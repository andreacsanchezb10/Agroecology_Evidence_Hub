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Knowledge_Hub/02.FOMD/02.metadata_structure/"/>
    </mc:Choice>
  </mc:AlternateContent>
  <xr:revisionPtr revIDLastSave="363" documentId="14_{BF77A4DB-2C0A-4862-9CC3-C64A3FB5C01D}" xr6:coauthVersionLast="47" xr6:coauthVersionMax="47" xr10:uidLastSave="{515B96FA-3F44-4838-9841-B3400D48634F}"/>
  <bookViews>
    <workbookView xWindow="-120" yWindow="-120" windowWidth="29040" windowHeight="15720" activeTab="1" xr2:uid="{FAB1A633-BA4D-4813-8605-DC3F4755D7C7}"/>
  </bookViews>
  <sheets>
    <sheet name="09_FOMD_metadata_extraction_lon" sheetId="2" r:id="rId1"/>
    <sheet name="09_FOMD_readme" sheetId="6" r:id="rId2"/>
    <sheet name="REMOVED" sheetId="4" r:id="rId3"/>
  </sheets>
  <externalReferences>
    <externalReference r:id="rId4"/>
    <externalReference r:id="rId5"/>
  </externalReferences>
  <definedNames>
    <definedName name="_xlnm._FilterDatabase" localSheetId="1" hidden="1">'09_FOMD_readme'!$A$7:$O$198</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949" i="2" l="1"/>
  <c r="AT949" i="2"/>
  <c r="AS949" i="2"/>
  <c r="AP949" i="2"/>
  <c r="AL949" i="2"/>
  <c r="AK949" i="2"/>
  <c r="AJ949" i="2"/>
  <c r="AG949" i="2"/>
  <c r="AC949" i="2"/>
  <c r="AB949" i="2"/>
  <c r="AA949" i="2"/>
  <c r="X949" i="2"/>
  <c r="T949" i="2"/>
  <c r="S949" i="2"/>
  <c r="R949" i="2"/>
  <c r="O949" i="2"/>
  <c r="AU947" i="2"/>
  <c r="AT947" i="2"/>
  <c r="AS947" i="2"/>
  <c r="AP947" i="2"/>
  <c r="AL947" i="2"/>
  <c r="AK947" i="2"/>
  <c r="AJ947" i="2"/>
  <c r="AG947" i="2"/>
  <c r="AC947" i="2"/>
  <c r="AB947" i="2"/>
  <c r="AA947" i="2"/>
  <c r="X947" i="2"/>
  <c r="T947" i="2"/>
  <c r="S947" i="2"/>
  <c r="R947" i="2"/>
  <c r="O947" i="2"/>
  <c r="AU945" i="2"/>
  <c r="AT945" i="2"/>
  <c r="AS945" i="2"/>
  <c r="AP945" i="2"/>
  <c r="AL945" i="2"/>
  <c r="AK945" i="2"/>
  <c r="AJ945" i="2"/>
  <c r="AG945" i="2"/>
  <c r="AC945" i="2"/>
  <c r="AB945" i="2"/>
  <c r="AA945" i="2"/>
  <c r="X945" i="2"/>
  <c r="T945" i="2"/>
  <c r="S945" i="2"/>
  <c r="R945" i="2"/>
  <c r="O945" i="2"/>
  <c r="KL943" i="2"/>
  <c r="KL942" i="2"/>
  <c r="AU942" i="2"/>
  <c r="AT942" i="2"/>
  <c r="AS942" i="2"/>
  <c r="AP942" i="2"/>
  <c r="AL942" i="2"/>
  <c r="AK942" i="2"/>
  <c r="AJ942" i="2"/>
  <c r="AG942" i="2"/>
  <c r="AC942" i="2"/>
  <c r="AB942" i="2"/>
  <c r="AA942" i="2"/>
  <c r="X942" i="2"/>
  <c r="T942" i="2"/>
  <c r="S942" i="2"/>
  <c r="R942" i="2"/>
  <c r="O942" i="2"/>
  <c r="KL941" i="2"/>
  <c r="AU941" i="2"/>
  <c r="AT941" i="2"/>
  <c r="AS941" i="2"/>
  <c r="AP941" i="2"/>
  <c r="AL941" i="2"/>
  <c r="AK941" i="2"/>
  <c r="AJ941" i="2"/>
  <c r="AG941" i="2"/>
  <c r="AC941" i="2"/>
  <c r="AB941" i="2"/>
  <c r="AA941" i="2"/>
  <c r="X941" i="2"/>
  <c r="T941" i="2"/>
  <c r="S941" i="2"/>
  <c r="R941" i="2"/>
  <c r="O941" i="2"/>
  <c r="KL940" i="2"/>
  <c r="AU938" i="2"/>
  <c r="AT938" i="2"/>
  <c r="AS938" i="2"/>
  <c r="AP938" i="2"/>
  <c r="AL938" i="2"/>
  <c r="AK938" i="2"/>
  <c r="AJ938" i="2"/>
  <c r="AG938" i="2"/>
  <c r="AC938" i="2"/>
  <c r="AB938" i="2"/>
  <c r="AA938" i="2"/>
  <c r="X938" i="2"/>
  <c r="T938" i="2"/>
  <c r="S938" i="2"/>
  <c r="R938" i="2"/>
  <c r="O938" i="2"/>
  <c r="AU936" i="2"/>
  <c r="AT936" i="2"/>
  <c r="AS936" i="2"/>
  <c r="AP936" i="2"/>
  <c r="AL936" i="2"/>
  <c r="AK936" i="2"/>
  <c r="AJ936" i="2"/>
  <c r="AG936" i="2"/>
  <c r="AC936" i="2"/>
  <c r="AB936" i="2"/>
  <c r="AA936" i="2"/>
  <c r="X936" i="2"/>
  <c r="T936" i="2"/>
  <c r="S936" i="2"/>
  <c r="R936" i="2"/>
  <c r="O936" i="2"/>
  <c r="AU934" i="2"/>
  <c r="AT934" i="2"/>
  <c r="AS934" i="2"/>
  <c r="AP934" i="2"/>
  <c r="AL934" i="2"/>
  <c r="AK934" i="2"/>
  <c r="AJ934" i="2"/>
  <c r="AG934" i="2"/>
  <c r="AC934" i="2"/>
  <c r="AB934" i="2"/>
  <c r="AA934" i="2"/>
  <c r="X934" i="2"/>
  <c r="T934" i="2"/>
  <c r="S934" i="2"/>
  <c r="R934" i="2"/>
  <c r="O934" i="2"/>
  <c r="KL932" i="2"/>
  <c r="KL931" i="2"/>
  <c r="AU931" i="2"/>
  <c r="AT931" i="2"/>
  <c r="AS931" i="2"/>
  <c r="AP931" i="2"/>
  <c r="AL931" i="2"/>
  <c r="AK931" i="2"/>
  <c r="AJ931" i="2"/>
  <c r="AG931" i="2"/>
  <c r="AC931" i="2"/>
  <c r="AB931" i="2"/>
  <c r="AA931" i="2"/>
  <c r="X931" i="2"/>
  <c r="T931" i="2"/>
  <c r="S931" i="2"/>
  <c r="R931" i="2"/>
  <c r="O931" i="2"/>
  <c r="KL930" i="2"/>
  <c r="AU930" i="2"/>
  <c r="AT930" i="2"/>
  <c r="AS930" i="2"/>
  <c r="AP930" i="2"/>
  <c r="AL930" i="2"/>
  <c r="AK930" i="2"/>
  <c r="AJ930" i="2"/>
  <c r="AG930" i="2"/>
  <c r="AC930" i="2"/>
  <c r="AB930" i="2"/>
  <c r="AA930" i="2"/>
  <c r="X930" i="2"/>
  <c r="T930" i="2"/>
  <c r="S930" i="2"/>
  <c r="R930" i="2"/>
  <c r="O930" i="2"/>
  <c r="KL929" i="2"/>
  <c r="KL925" i="2"/>
  <c r="KL924" i="2"/>
  <c r="KL923" i="2"/>
  <c r="KL922" i="2"/>
  <c r="KL918" i="2"/>
  <c r="KL917" i="2"/>
  <c r="KL916" i="2"/>
  <c r="KL915" i="2"/>
  <c r="KL911" i="2"/>
  <c r="KL910" i="2"/>
  <c r="KL909" i="2"/>
  <c r="KL908" i="2"/>
  <c r="AW905" i="2"/>
  <c r="AW904" i="2"/>
  <c r="AW903" i="2"/>
  <c r="AW902" i="2"/>
  <c r="AW901" i="2"/>
  <c r="AW900" i="2"/>
  <c r="AW899" i="2"/>
  <c r="AW898" i="2"/>
  <c r="AW897" i="2"/>
  <c r="AW896" i="2"/>
  <c r="AW895" i="2"/>
  <c r="AW894" i="2"/>
  <c r="AW893" i="2"/>
  <c r="AW892" i="2"/>
  <c r="AW891" i="2"/>
  <c r="AW890" i="2"/>
  <c r="AW889" i="2"/>
  <c r="AW888" i="2"/>
  <c r="AW887" i="2"/>
  <c r="AW886" i="2"/>
  <c r="AW885" i="2"/>
  <c r="AW884" i="2"/>
  <c r="AW883" i="2"/>
  <c r="AW882" i="2"/>
  <c r="AW881" i="2"/>
  <c r="AW880" i="2"/>
  <c r="AW879" i="2"/>
  <c r="AW878" i="2"/>
  <c r="AW877" i="2"/>
  <c r="AW876" i="2"/>
  <c r="AW875" i="2"/>
  <c r="AW874" i="2"/>
  <c r="AW873" i="2"/>
  <c r="AW872" i="2"/>
  <c r="AW871" i="2"/>
  <c r="AW870" i="2"/>
  <c r="AW869" i="2"/>
  <c r="AW868" i="2"/>
  <c r="AW867" i="2"/>
  <c r="AW866" i="2"/>
  <c r="AW865" i="2"/>
  <c r="AW864" i="2"/>
  <c r="AW863" i="2"/>
  <c r="AW862" i="2"/>
  <c r="AW861" i="2"/>
  <c r="AW860" i="2"/>
  <c r="AW859" i="2"/>
  <c r="AW858" i="2"/>
  <c r="AW857" i="2"/>
  <c r="AW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NR619" i="2"/>
  <c r="NR618" i="2"/>
  <c r="NR621" i="2"/>
  <c r="NR624" i="2"/>
  <c r="NR622" i="2"/>
  <c r="NR620" i="2"/>
  <c r="NR62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tc={37232256-CEC7-403D-9C45-CE35318A18FB}</author>
    <author>Pete Steward</author>
    <author>tc={6FB11702-965D-4E54-B8F6-E54968BD4B24}</author>
    <author>tc={A036609E-011B-4E77-8B02-041B17A54C36}</author>
  </authors>
  <commentList>
    <comment ref="BC3" authorId="0" shapeId="0" xr:uid="{37232256-CEC7-403D-9C45-CE35318A18FB}">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HO3" authorId="1" shapeId="0" xr:uid="{72914A39-F22F-41BB-ADC4-477BDB6ADE77}">
      <text>
        <r>
          <rPr>
            <b/>
            <sz val="9"/>
            <color indexed="81"/>
            <rFont val="Tahoma"/>
            <family val="2"/>
          </rPr>
          <t>Rather vague field that needs better definition</t>
        </r>
      </text>
    </comment>
    <comment ref="ME3" authorId="2" shapeId="0" xr:uid="{6FB11702-965D-4E54-B8F6-E54968BD4B24}">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MM3" authorId="3" shapeId="0" xr:uid="{A036609E-011B-4E77-8B02-041B17A54C36}">
      <text>
        <t>[Threaded comment]
Your version of Excel allows you to read this threaded comment; however, any edits to it will get removed if the file is opened in a newer version of Excel. Learn more: https://go.microsoft.com/fwlink/?linkid=870924
Comment:
    Not sure what is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Pete Steward</author>
    <author>tc={9B3C7EA7-8F90-4BEC-810C-976E2136D7B8}</author>
    <author>tc={1D9EFAA9-A61C-407F-B8A6-BF9A9E12B70A}</author>
    <author>tc={F8E61BF1-EE90-4D55-ABC7-451C8A7CBA92}</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9B3C7EA7-8F90-4BEC-810C-976E2136D7B8}">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8" authorId="0" shapeId="0" xr:uid="{C4DE0009-17BF-48FD-A6D7-1B2A1E707C60}">
      <text>
        <r>
          <rPr>
            <b/>
            <sz val="9"/>
            <color indexed="81"/>
            <rFont val="Tahoma"/>
            <family val="2"/>
          </rPr>
          <t>Rather vague field that needs better definition</t>
        </r>
      </text>
    </comment>
    <comment ref="E152" authorId="2" shapeId="0" xr:uid="{1D9EFAA9-A61C-407F-B8A6-BF9A9E12B70A}">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57" authorId="3" shapeId="0" xr:uid="{F8E61BF1-EE90-4D55-ABC7-451C8A7CBA92}">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5"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<sst xmlns="http://schemas.openxmlformats.org/spreadsheetml/2006/main" count="62088" uniqueCount="2466">
  <si>
    <t>outcome</t>
  </si>
  <si>
    <t>SR</t>
  </si>
  <si>
    <t>No</t>
  </si>
  <si>
    <t>Tab 1; Fig3H (1997)</t>
  </si>
  <si>
    <t>SE (Standard Error)</t>
  </si>
  <si>
    <t xml:space="preserve"> 2.3272116410524166</t>
  </si>
  <si>
    <t>Mean</t>
  </si>
  <si>
    <t>t/ha</t>
  </si>
  <si>
    <t>Crop Yield</t>
  </si>
  <si>
    <t xml:space="preserve">Yield of maize stover </t>
  </si>
  <si>
    <t>Maize Stover</t>
  </si>
  <si>
    <r>
      <t>4 replicates (blocks)</t>
    </r>
    <r>
      <rPr>
        <sz val="11"/>
        <color theme="1"/>
        <rFont val="Aptos Narrow"/>
        <family val="2"/>
        <scheme val="minor"/>
      </rPr>
      <t xml:space="preserve"> in a randomized complete block design</t>
    </r>
  </si>
  <si>
    <t>Hand Hoe</t>
  </si>
  <si>
    <t>kg/ha</t>
  </si>
  <si>
    <t>Inorganic</t>
  </si>
  <si>
    <t>Inorganic Fertilizer</t>
  </si>
  <si>
    <t>MF=continuous maize cropping with fertilizer (60 kg P2O5 + 60 kg N/ha) application</t>
  </si>
  <si>
    <t>MF=continuous maize cropping with fertilizer (60 kg P2O5 + 60 kg N/ha)</t>
  </si>
  <si>
    <t>Removed</t>
  </si>
  <si>
    <t>Monoculture</t>
  </si>
  <si>
    <t>Direct-seeding Planter</t>
  </si>
  <si>
    <t>Direct planting</t>
  </si>
  <si>
    <t>plants/ha</t>
  </si>
  <si>
    <t>Maize</t>
  </si>
  <si>
    <t>C2</t>
  </si>
  <si>
    <t>MF: continuous maize cropping associated with fertilizer  (60 kg P2O5 + 60 kg N/ha/season)</t>
  </si>
  <si>
    <t>LR=long rains period (March-July), SR=short rains period (September-January)</t>
  </si>
  <si>
    <t>1994 (LR, SR), 1995 (LR, SR), 1996 (LR, SR), 1997 (LR, SR), 1998 (SR)</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</si>
  <si>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</si>
  <si>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Unspecified</t>
  </si>
  <si>
    <t>Original</t>
  </si>
  <si>
    <t>Station</t>
  </si>
  <si>
    <t>Ebukanga experimental site</t>
  </si>
  <si>
    <t>Researcher Managed &amp; On-farm</t>
  </si>
  <si>
    <t>Kenya</t>
  </si>
  <si>
    <t>JA_Sjogr_10_Effec_Jo</t>
  </si>
  <si>
    <t>MD_Jones_21_A glo_Sc</t>
  </si>
  <si>
    <t xml:space="preserve"> 1.913895257769406</t>
  </si>
  <si>
    <t>M=continuous maize cropping</t>
  </si>
  <si>
    <t>C1</t>
  </si>
  <si>
    <t>M: continuous maize cropping</t>
  </si>
  <si>
    <t xml:space="preserve"> 1.572291207918095</t>
  </si>
  <si>
    <t>N18=18 months natural re-growth of vegetation fallow without cultivation</t>
  </si>
  <si>
    <t>T4</t>
  </si>
  <si>
    <t>N18: 18 months natural regrowth of vegetation fallow without cultivation</t>
  </si>
  <si>
    <t>Natural fallow</t>
  </si>
  <si>
    <t xml:space="preserve"> 1.5532224013075737</t>
  </si>
  <si>
    <t>N6=six months natural re-growth of vegetation fallow without cultivation</t>
  </si>
  <si>
    <t>T3</t>
  </si>
  <si>
    <t>N6: 6 months natural regrowth of vegetation fallow without cultivation</t>
  </si>
  <si>
    <t xml:space="preserve"> 1.5519284465732888</t>
  </si>
  <si>
    <t>Rhizobium leguminosarium</t>
  </si>
  <si>
    <t>Alleycropping (N fixing)</t>
  </si>
  <si>
    <t>MS18=Maize and Sesbania intercropped</t>
  </si>
  <si>
    <t>S18=18 months tree growth with Sesbania</t>
  </si>
  <si>
    <t>Sesbania sesban</t>
  </si>
  <si>
    <t>-</t>
  </si>
  <si>
    <t>T2</t>
  </si>
  <si>
    <t>S18: 18 months tree growth with Sesbania fallow</t>
  </si>
  <si>
    <t>Improved fallow</t>
  </si>
  <si>
    <t xml:space="preserve"> 1.8555310889650638</t>
  </si>
  <si>
    <t>MS6=Maize and Sesbania intercropped</t>
  </si>
  <si>
    <t>LR</t>
  </si>
  <si>
    <t>S6= six months tree growth with Sesbania fallow</t>
  </si>
  <si>
    <t>T1</t>
  </si>
  <si>
    <t>S6: 6 months tree growth with Sesbania fallow</t>
  </si>
  <si>
    <t>Tab 1; Fig3H (1996)</t>
  </si>
  <si>
    <t xml:space="preserve"> 2.156954439172779</t>
  </si>
  <si>
    <t xml:space="preserve"> 1.887062722753173</t>
  </si>
  <si>
    <t xml:space="preserve"> 2.279675830287621</t>
  </si>
  <si>
    <t xml:space="preserve"> 2.9233842591541617</t>
  </si>
  <si>
    <t xml:space="preserve"> 2.7073619214092766</t>
  </si>
  <si>
    <t xml:space="preserve"> 3.5657306304056657</t>
  </si>
  <si>
    <t>Tab 1; Fig3G (1998)</t>
  </si>
  <si>
    <t xml:space="preserve"> 2.179122748892345</t>
  </si>
  <si>
    <t xml:space="preserve"> 1.715474592736932</t>
  </si>
  <si>
    <t xml:space="preserve"> 1.4123731602266414</t>
  </si>
  <si>
    <t xml:space="preserve"> 1.4842401406117514</t>
  </si>
  <si>
    <t xml:space="preserve"> 1.7168896950229957</t>
  </si>
  <si>
    <t xml:space="preserve"> 1.5745371436272668</t>
  </si>
  <si>
    <t>Tab 1; Fig3G (1997)</t>
  </si>
  <si>
    <t xml:space="preserve"> 2.950623038089837</t>
  </si>
  <si>
    <t xml:space="preserve"> 2.6118071193122154</t>
  </si>
  <si>
    <t xml:space="preserve"> 2.3802020451597325</t>
  </si>
  <si>
    <t xml:space="preserve"> 2.1847157722134556</t>
  </si>
  <si>
    <t xml:space="preserve"> 3.0959068727924124</t>
  </si>
  <si>
    <t>Tab 1; Fig3G (1996)</t>
  </si>
  <si>
    <t xml:space="preserve"> 2.1863330319689576</t>
  </si>
  <si>
    <t xml:space="preserve"> 1.811836319835578</t>
  </si>
  <si>
    <t xml:space="preserve"> 1.6873073186619427</t>
  </si>
  <si>
    <t xml:space="preserve"> 4.455550626407381</t>
  </si>
  <si>
    <t xml:space="preserve"> 2.366758573442125</t>
  </si>
  <si>
    <t xml:space="preserve"> 4.456628799577715</t>
  </si>
  <si>
    <t>Tab 1; Fig3F (1997)</t>
  </si>
  <si>
    <t xml:space="preserve"> 1.9559238072121659</t>
  </si>
  <si>
    <t xml:space="preserve">Yield of maize cob </t>
  </si>
  <si>
    <t>Maize Cob</t>
  </si>
  <si>
    <t xml:space="preserve"> 1.337582815249588</t>
  </si>
  <si>
    <t xml:space="preserve"> 1.2722849561720437</t>
  </si>
  <si>
    <t xml:space="preserve"> 1.0368496830816891</t>
  </si>
  <si>
    <t xml:space="preserve"> 1.0989811172956276</t>
  </si>
  <si>
    <t xml:space="preserve"> 1.4171295862133615</t>
  </si>
  <si>
    <t>Tab 1; Fig3F (1996)</t>
  </si>
  <si>
    <t xml:space="preserve"> 1.774974210738261</t>
  </si>
  <si>
    <t xml:space="preserve"> 1.3906783541210395</t>
  </si>
  <si>
    <t xml:space="preserve"> 1.7506854151381575</t>
  </si>
  <si>
    <t xml:space="preserve"> 2.2600936688051974</t>
  </si>
  <si>
    <t xml:space="preserve"> 1.8756433524385319</t>
  </si>
  <si>
    <t xml:space="preserve"> 3.6404618346508357</t>
  </si>
  <si>
    <t>Tab 1; Fig3E (1998)</t>
  </si>
  <si>
    <t xml:space="preserve"> 4.0387712085940555</t>
  </si>
  <si>
    <t xml:space="preserve"> 1.816848002553562</t>
  </si>
  <si>
    <t xml:space="preserve"> 1.7519358087470485</t>
  </si>
  <si>
    <t xml:space="preserve"> 1.6028111189992682</t>
  </si>
  <si>
    <t xml:space="preserve"> 1.5170576807717921</t>
  </si>
  <si>
    <t xml:space="preserve"> 1.8753652858723102</t>
  </si>
  <si>
    <t>Tab 1; Fig3E (1997)</t>
  </si>
  <si>
    <t xml:space="preserve"> 4.177879773481484</t>
  </si>
  <si>
    <t xml:space="preserve"> 3.0559582184505825</t>
  </si>
  <si>
    <t xml:space="preserve"> 3.1603955818983316</t>
  </si>
  <si>
    <t xml:space="preserve"> 2.8419983820105994</t>
  </si>
  <si>
    <t xml:space="preserve"> 3.0312646183140997</t>
  </si>
  <si>
    <t xml:space="preserve"> 3.9180769040268126</t>
  </si>
  <si>
    <t>Tab 1; Fig3E (1996)</t>
  </si>
  <si>
    <t xml:space="preserve"> 2.985113396842169</t>
  </si>
  <si>
    <t xml:space="preserve"> 2.0110837777300823</t>
  </si>
  <si>
    <t xml:space="preserve"> 2.0731452283071103</t>
  </si>
  <si>
    <t xml:space="preserve"> 5.265707980430033</t>
  </si>
  <si>
    <t xml:space="preserve"> 2.1556626877335487</t>
  </si>
  <si>
    <t xml:space="preserve"> 6.468760146829787</t>
  </si>
  <si>
    <t>Tab 1; Fig3D (1997)</t>
  </si>
  <si>
    <t xml:space="preserve"> 0.38160883351699004</t>
  </si>
  <si>
    <t xml:space="preserve">Yield of maize core </t>
  </si>
  <si>
    <t>Maize Core</t>
  </si>
  <si>
    <t xml:space="preserve"> 0.23595025524546287</t>
  </si>
  <si>
    <t xml:space="preserve"> 0.22362650954640495</t>
  </si>
  <si>
    <t xml:space="preserve"> 0.1506847774754312</t>
  </si>
  <si>
    <t xml:space="preserve"> 0.18683518114556863</t>
  </si>
  <si>
    <t xml:space="preserve"> 0.22606089909370963</t>
  </si>
  <si>
    <t>Tab 1; Fig3D (1996)</t>
  </si>
  <si>
    <t xml:space="preserve"> 0.21930307868756582</t>
  </si>
  <si>
    <t xml:space="preserve"> 0.2827152719994599</t>
  </si>
  <si>
    <t xml:space="preserve"> 0.30369150156295666</t>
  </si>
  <si>
    <t xml:space="preserve"> 0.2913902444509411</t>
  </si>
  <si>
    <t xml:space="preserve"> 0.5306182112577864</t>
  </si>
  <si>
    <t>Tab 1; Fig3C (1998)</t>
  </si>
  <si>
    <t xml:space="preserve"> 0.6638164848254381</t>
  </si>
  <si>
    <t xml:space="preserve"> 0.30059445584641453</t>
  </si>
  <si>
    <t xml:space="preserve"> 0.23770963935599687</t>
  </si>
  <si>
    <t xml:space="preserve"> 0.2378550377756279</t>
  </si>
  <si>
    <t xml:space="preserve"> 0.22001577013628304</t>
  </si>
  <si>
    <t xml:space="preserve"> 0.2832584904288694</t>
  </si>
  <si>
    <t>Tab 1; Fig3C (1997)</t>
  </si>
  <si>
    <t xml:space="preserve"> 0.6289879710768991</t>
  </si>
  <si>
    <t xml:space="preserve"> 0.46998361471655703</t>
  </si>
  <si>
    <t xml:space="preserve"> 0.4671707145213876</t>
  </si>
  <si>
    <t xml:space="preserve"> 0.4252736006800173</t>
  </si>
  <si>
    <t xml:space="preserve"> 0.6087943674889135</t>
  </si>
  <si>
    <t>Tab 1; Fig3C (1996)</t>
  </si>
  <si>
    <t xml:space="preserve"> 0.4590563642565947</t>
  </si>
  <si>
    <t xml:space="preserve"> 0.29403475022229175</t>
  </si>
  <si>
    <t xml:space="preserve"> 0.33921451299917793</t>
  </si>
  <si>
    <t xml:space="preserve"> 0.7207567428517104</t>
  </si>
  <si>
    <t xml:space="preserve"> 0.3275602704410605</t>
  </si>
  <si>
    <t xml:space="preserve"> 0.7811753784553097</t>
  </si>
  <si>
    <t>Tab 1; Fig3B (1997)</t>
  </si>
  <si>
    <t xml:space="preserve"> 1.523809523809522</t>
  </si>
  <si>
    <t xml:space="preserve">Yield of maize grain </t>
  </si>
  <si>
    <t>Maize Grain</t>
  </si>
  <si>
    <t xml:space="preserve"> 0.9904761904761887</t>
  </si>
  <si>
    <t xml:space="preserve"> 0.9523809523809508</t>
  </si>
  <si>
    <t xml:space="preserve"> 0.7999999999999989</t>
  </si>
  <si>
    <t xml:space="preserve"> 0.8190476190476179</t>
  </si>
  <si>
    <t xml:space="preserve"> 1.0857142857142854</t>
  </si>
  <si>
    <t>Tab 1; Fig3B (1996)</t>
  </si>
  <si>
    <t xml:space="preserve"> 1.3904761904761873</t>
  </si>
  <si>
    <t xml:space="preserve"> 1.1428571428571406</t>
  </si>
  <si>
    <t xml:space="preserve"> 1.9047619047619033</t>
  </si>
  <si>
    <t xml:space="preserve"> 1.542857142857141</t>
  </si>
  <si>
    <t xml:space="preserve"> 3.0095238095238077</t>
  </si>
  <si>
    <t>Tab 1; Fig3A (1998)</t>
  </si>
  <si>
    <t xml:space="preserve"> 3.4189168227755964</t>
  </si>
  <si>
    <t xml:space="preserve"> 1.5611927119999036</t>
  </si>
  <si>
    <t xml:space="preserve"> 1.4820126716701072</t>
  </si>
  <si>
    <t xml:space="preserve"> 1.4026894486272354</t>
  </si>
  <si>
    <t xml:space="preserve"> 1.2452600556026203</t>
  </si>
  <si>
    <t xml:space="preserve"> 1.557040413320764</t>
  </si>
  <si>
    <t>Tab 1; Fig3A (1997)</t>
  </si>
  <si>
    <t xml:space="preserve"> 3.528523189633572</t>
  </si>
  <si>
    <t xml:space="preserve"> 2.5893161832261447</t>
  </si>
  <si>
    <t xml:space="preserve"> 2.6271880108341588</t>
  </si>
  <si>
    <t xml:space="preserve"> 2.4696870264530055</t>
  </si>
  <si>
    <t xml:space="preserve"> 2.5275328425348107</t>
  </si>
  <si>
    <t xml:space="preserve"> 3.347182283525635</t>
  </si>
  <si>
    <t>Tab 1; Fig3A (1996)</t>
  </si>
  <si>
    <t xml:space="preserve"> 2.4653915450607924</t>
  </si>
  <si>
    <t xml:space="preserve"> 1.6629956209953578</t>
  </si>
  <si>
    <t xml:space="preserve"> 1.700867448603372</t>
  </si>
  <si>
    <t xml:space="preserve"> 4.494720137455404</t>
  </si>
  <si>
    <t xml:space="preserve"> 1.796513500936653</t>
  </si>
  <si>
    <t xml:space="preserve"> 5.704327697502654</t>
  </si>
  <si>
    <t>Tab 1; Tab 4 (1996 SR 15-30)</t>
  </si>
  <si>
    <t>seeds/kg soil</t>
  </si>
  <si>
    <t>Abundance</t>
  </si>
  <si>
    <t>Number of Striga hermonthica seeds (seeds kg-1 soil)</t>
  </si>
  <si>
    <t>Pest</t>
  </si>
  <si>
    <t>Tab 1; Tab 4 (1996 LR 15-30)</t>
  </si>
  <si>
    <t>Tab 1; Tab 4 (1996 SR 0-15)</t>
  </si>
  <si>
    <t>Tab 1; Tab 4 (1996 LR 0-15)</t>
  </si>
  <si>
    <t>Tab 1; Tab 3</t>
  </si>
  <si>
    <t>10^3 plants/ha</t>
  </si>
  <si>
    <t>Number of Striga plants (x 1000 ha-1) during seven seasons</t>
  </si>
  <si>
    <t>Tab 4</t>
  </si>
  <si>
    <t>Mucuna pruriens Dried</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</si>
  <si>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</si>
  <si>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Hyparrhenia Grass Species</t>
  </si>
  <si>
    <t>Mulch (Non N fixing)</t>
  </si>
  <si>
    <t>Hypharennia grass was applied as mulch at 2.5 t ha-1 in CA treatments at the beginning of each rainy season.</t>
  </si>
  <si>
    <t>carbaryl</t>
  </si>
  <si>
    <t>Insecticide</t>
  </si>
  <si>
    <t>l/ha</t>
  </si>
  <si>
    <t>glyphosate</t>
  </si>
  <si>
    <t>Herbicide</t>
  </si>
  <si>
    <t>Glyphosate (480 g l-1 active ingredient) at 2.5 l ha-1 soon after planting and there-after weeding was done manually using hand hoes.</t>
  </si>
  <si>
    <t>Off-farm (unknown)</t>
  </si>
  <si>
    <t>% of Total</t>
  </si>
  <si>
    <t>Cattle Manure</t>
  </si>
  <si>
    <t>Manure</t>
  </si>
  <si>
    <t xml:space="preserve">basal fertiliser (compound D) </t>
  </si>
  <si>
    <t>Relay Intercropping (N fixing)</t>
  </si>
  <si>
    <t>Mucuna were relayed in between maize rows</t>
  </si>
  <si>
    <t>An animal drawn Fitarelli direct seeder (Brazilian made) was used  for opening planting furrows</t>
  </si>
  <si>
    <t>No or Zero Tillage</t>
  </si>
  <si>
    <t xml:space="preserve">conservation agriculture (CA): Conservation agriculture (CA) which is premised on three main principles namely minimal soil disturbance, crop rotations and mulching is being promoted as a potential solution to declining soil productivity. </t>
  </si>
  <si>
    <t>Unespecified</t>
  </si>
  <si>
    <t>Velvet Bean, Mucuna</t>
  </si>
  <si>
    <t>T6</t>
  </si>
  <si>
    <t>iv CA + maize + mucuna intercropping (F + M)</t>
  </si>
  <si>
    <t>Intercropping</t>
  </si>
  <si>
    <t>2014-15 with manure</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</si>
  <si>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</si>
  <si>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31.65</t>
  </si>
  <si>
    <t>-17.71666667</t>
  </si>
  <si>
    <t>District</t>
  </si>
  <si>
    <t>Murehwa</t>
  </si>
  <si>
    <t>Farmer Managed</t>
  </si>
  <si>
    <t>Zimbabwe</t>
  </si>
  <si>
    <t>JA_Mutsa_20_Forag_NJ</t>
  </si>
  <si>
    <t>MA_Sanch_22_Finan_Ec</t>
  </si>
  <si>
    <t>Cowpea Dried</t>
  </si>
  <si>
    <t>Cowpea</t>
  </si>
  <si>
    <t>cowpeas were relayed in between maize rows</t>
  </si>
  <si>
    <t>T5</t>
  </si>
  <si>
    <t>iii CA + maize + cowpea intercropping (F + M)</t>
  </si>
  <si>
    <t>Yes</t>
  </si>
  <si>
    <t>Maize monoculture</t>
  </si>
  <si>
    <t>C4</t>
  </si>
  <si>
    <t>ii CA + sole maize continuous (F + M)</t>
  </si>
  <si>
    <t>iv CA + maize + mucuna intercropping (F only)</t>
  </si>
  <si>
    <t>2012/13-2014/15 no manure</t>
  </si>
  <si>
    <t>iii CA + maize + cowpea intercropping (F only)</t>
  </si>
  <si>
    <t>ii CA + sole maize continuous (F only)</t>
  </si>
  <si>
    <t>Fig 3b</t>
  </si>
  <si>
    <t>98.4251969</t>
  </si>
  <si>
    <t>314.96063</t>
  </si>
  <si>
    <t>USD/ha</t>
  </si>
  <si>
    <t>Gross Margin</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</si>
  <si>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</si>
  <si>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margin/ha (USD)</t>
  </si>
  <si>
    <t>Nitrogen ﬁxation</t>
  </si>
  <si>
    <t>Soybean Dried</t>
  </si>
  <si>
    <t>Soybean</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</si>
  <si>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</si>
  <si>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Rotation (N fixing)</t>
  </si>
  <si>
    <t>Crop rotation</t>
  </si>
  <si>
    <t>/</t>
  </si>
  <si>
    <t>Groundnut or Peanut</t>
  </si>
  <si>
    <t>T8</t>
  </si>
  <si>
    <t>vi CA + soybean/groundnut + maize rotation (legume phase) (F + M)</t>
  </si>
  <si>
    <t>2014/15 season</t>
  </si>
  <si>
    <t>157.480315</t>
  </si>
  <si>
    <t>196.850394</t>
  </si>
  <si>
    <t>basal fertiliser (compound D). Soybean seed was inoculated with rhizobia just before planting.</t>
  </si>
  <si>
    <t>Rotation (Non N fixing)</t>
  </si>
  <si>
    <t>T7</t>
  </si>
  <si>
    <t>v CA + maize + soybean/groundnut rotation (maize phase) (F + M)</t>
  </si>
  <si>
    <t>177.165354</t>
  </si>
  <si>
    <t>1456.69291</t>
  </si>
  <si>
    <t>472.440945</t>
  </si>
  <si>
    <t>354.330709</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</si>
  <si>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</si>
  <si>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216.535433</t>
  </si>
  <si>
    <t>236.220472</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</si>
  <si>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</si>
  <si>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No Glyphosate added</t>
  </si>
  <si>
    <t>In CT treatment, all weeding operations were done manually using a hand hoe.</t>
  </si>
  <si>
    <t>Ox-drawn Mouldboard Plough</t>
  </si>
  <si>
    <t>Conventional Tillage</t>
  </si>
  <si>
    <t>conventional mouldboard tillage (CT): ox-drawn mouldboard plough</t>
  </si>
  <si>
    <t>C3</t>
  </si>
  <si>
    <t>i CT + sole maize continuous (F + M)</t>
  </si>
  <si>
    <t>511.811024</t>
  </si>
  <si>
    <t>vi CA + soybean/groundnut + maize rotation (legume phase)  (F only)</t>
  </si>
  <si>
    <t>413.385827</t>
  </si>
  <si>
    <t>v CA + maize + soybean/groundnut rotation (maize phase)  (F only)</t>
  </si>
  <si>
    <t>2086.61417</t>
  </si>
  <si>
    <t>629.92126</t>
  </si>
  <si>
    <t>393.700787</t>
  </si>
  <si>
    <t>255.905512</t>
  </si>
  <si>
    <t>531.496063</t>
  </si>
  <si>
    <t xml:space="preserve">Gross margin/ha (USD). </t>
  </si>
  <si>
    <t>i CT + sole maize continuous (F only)</t>
  </si>
  <si>
    <t>Tab 3</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</si>
  <si>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</si>
  <si>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</si>
  <si>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</si>
  <si>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First year the measurement was taken (YYYY). For yield or similar outcomes this should relate to the harvest year (rather than the planting year). Where data are aggregated across years also complete the Measurement End Year Field.</t>
  </si>
  <si>
    <t>The calendar year the measurement was taken. Seasons in multi-season systems are identified by decimals ‘.1’ or ‘.2’ for the first and second season respectively. When the measurements are average values for more than one year create a decimal for the years covered.</t>
  </si>
  <si>
    <t>Statistics if outcome temporally aggregatted</t>
  </si>
  <si>
    <t>The location in the paper where the data can be found. This should be three letters (fig, tab, or txt) in lowercase and a number (for figures and tables) to signify figure, table or text, respectively.</t>
  </si>
  <si>
    <t xml:space="preserve">Number of independent sampling units on which the sub-outcome estimate is based for this specific practice. </t>
  </si>
  <si>
    <t>Upper limit for variation in suboutcome when  variation is reported as a confidence interval or interquartile range.</t>
  </si>
  <si>
    <t>Lower limit for variation in suboutcome when variation is reported as a confidence interval or interquartile range.</t>
  </si>
  <si>
    <t>Value measure of dispersion when variation is reported as standard deviation or standard error</t>
  </si>
  <si>
    <t>Statistical metric used to quantify variation in the sub-outcome (e.g., standard deviation, standard error, confidence interval, interquartile range).</t>
  </si>
  <si>
    <t>Numerical value corresponding to the reported central tendency of the sub-outcome.</t>
  </si>
  <si>
    <t>Statistical metric used to report the central tendency of the sub-outcome (e.g., mean, median)</t>
  </si>
  <si>
    <t>Comparison Treatment (e.g. for LER or fertilizer use efficiency outcomes)</t>
  </si>
  <si>
    <t>Inputs (e.g., fertilizer, fertilizer application, pesticide, seeds, labor, etc.) included in the financial outcome calculation</t>
  </si>
  <si>
    <t>Duration (Days). Use with Weight Gain subindicator.</t>
  </si>
  <si>
    <t>Mean Starting Weight. Use with Weight Gain subindicator. You may take the average across all treatments if the starting weights are similar and the difference between them is small relative to the total change in wieght.</t>
  </si>
  <si>
    <t>Starting Weight Unit. Use with Weight Gain subindicator.</t>
  </si>
  <si>
    <t>Economic Period (Years). Use with Net Present Value (NPV) outcome or similar only.</t>
  </si>
  <si>
    <t>Economic Discount Rate (%). Typically associated with calculations of Net Present Value (NPV).</t>
  </si>
  <si>
    <t>Soil outcome depths (cm) upper. Upper depth of measurement (cm) for soil outcomes</t>
  </si>
  <si>
    <t>Soil outcome depths (cm) lower. Lower depth of measurement (cm) for soil outcomes</t>
  </si>
  <si>
    <t>For biodiversity outcomes, specify whether the taxa were assessed above or below ground</t>
  </si>
  <si>
    <t>Unit of measurement for the outcome (please use SI units)</t>
  </si>
  <si>
    <t>Harmonised sub-outcome category assigned to the reported outcome, based on the controlled ontology.</t>
  </si>
  <si>
    <t>Description of the suboutcome as reported in the primary study or systematic synthesis. Record sufficient detail to clearly identify what was measured and how it was defined.</t>
  </si>
  <si>
    <t>Suboutcome or component of the outcome as reported (e.g., “yield per plot”, “gross margin”, “labour cost”, “aboveground biomass”). Use when the study reports multiple components under a broader outcome.</t>
  </si>
  <si>
    <t>For biodiversity outcomes, specify the functional group related to taxa assessed, if specified in the article</t>
  </si>
  <si>
    <t>if it is biodiversity put functional group related to the taxa assessed (if specified in the article)</t>
  </si>
  <si>
    <t>taxa details, output from economic indictors</t>
  </si>
  <si>
    <t>Size of Harvested Plot (m2). The area of an treatment plot harvested to estimate crop yields (or other outcomes if crop yield was not the primary focus of the experiment). Size (in square meters) of the smallest experimental plot unit corresponding to the extracted outcome value. If plot dimensions are reported (e.g., 6 m × 4 m), calculate and record the area in m² (e.g., 24).</t>
  </si>
  <si>
    <t>Experimental design information, such as plot size, layout and notes on historical management. A plan specification that states how treatments are allocated to the experimental units during an agronomic trial. It refers to the conceptual framework within which the experiment is conducted. Source: AGRO</t>
  </si>
  <si>
    <t>(Days after Storage for Postharvest)</t>
  </si>
  <si>
    <t>(Storage Date End for Postharvest)</t>
  </si>
  <si>
    <t>(Storage Date Start for Postharvest)</t>
  </si>
  <si>
    <t>Name of the postharvesting subpractice</t>
  </si>
  <si>
    <t>Complete with an easy to recognize name for the practice, you will use this name to reference it when building treatments later in the extraction process. Avoid using special characters.</t>
  </si>
  <si>
    <t>Harvest Days After Planting</t>
  </si>
  <si>
    <t>Harvest Date End (dd/mm/yy)</t>
  </si>
  <si>
    <t>Harvest Date Start (dd/mm/yy)</t>
  </si>
  <si>
    <t>Name the harvest subpractice</t>
  </si>
  <si>
    <t>Name of the water harvesting subpractice</t>
  </si>
  <si>
    <t>Type of Water Applied</t>
  </si>
  <si>
    <t>Amount of Water Applied</t>
  </si>
  <si>
    <t>Unit of Water Application</t>
  </si>
  <si>
    <t>Date End of the irrigation</t>
  </si>
  <si>
    <t>Date Start of the irrigation</t>
  </si>
  <si>
    <t>Name of the irrigation subpractice</t>
  </si>
  <si>
    <t>Amount Applied. Captures the total amount of pH-altering material applied</t>
  </si>
  <si>
    <t>Unit of Application</t>
  </si>
  <si>
    <t>Material applied. Type of material applied to influence soil pH</t>
  </si>
  <si>
    <t>Name of the pH control subpractice</t>
  </si>
  <si>
    <t>Amount of material applied in the study</t>
  </si>
  <si>
    <t>Source of Material. In-field: From inside the experimental field. On-farm: From outside the experimental field within the same landholding. Off-farm: From outside the farm</t>
  </si>
  <si>
    <t>Describes the type of processing applied to the material before application</t>
  </si>
  <si>
    <t>Mulch Material Applied. Choose from the list or add a new material if the list does not contain a suitable match. Please specifiy the type of any new materials add in the column to the left. You do not need to enter any details about mulched crop residues here.</t>
  </si>
  <si>
    <t>Tree (plant species). Only required if a material comes from a tree or shrub</t>
  </si>
  <si>
    <t>Indicates the total amount of elemental potassium (K) from non-composted organic materials</t>
  </si>
  <si>
    <t>Specifies the total amount of elemental phosphorus (P) from non-composted organic materials</t>
  </si>
  <si>
    <t>Represents the total amount of elemental nitrogen (N) added from non-composted organic materials</t>
  </si>
  <si>
    <t>The unit of measurement for total organic NPK numbers.</t>
  </si>
  <si>
    <t>Name of the residues management practice</t>
  </si>
  <si>
    <t>Chemical amount applied</t>
  </si>
  <si>
    <t>unit of measurement for the active ingredient in the chemical application</t>
  </si>
  <si>
    <t>Please use active ingredient name over trade-name of product, unless the  product contains multiple active ingredients then it is acceptible to use the product name.</t>
  </si>
  <si>
    <t>Category of the chemical</t>
  </si>
  <si>
    <t>Complete with an easy to recognize name for the chemical practice, you will use this name to reference it when building treatments later in the extraction process. Avoid using special characters.</t>
  </si>
  <si>
    <t>Frequency of the weeding practice</t>
  </si>
  <si>
    <t>Weeding frequency time unit</t>
  </si>
  <si>
    <t>Name the physical weeding method. If only chemical weed control method was applied, select Chemical weed control and complete the details of the chemical in chemical management section</t>
  </si>
  <si>
    <t>Complete with an easy to recognize name for the weeding practice, you will use this name to reference it when building treatments later in the extraction process. Avoid using special characters.</t>
  </si>
  <si>
    <t>Fertilizer source. Only required for organic materials like compost, manure or residues.</t>
  </si>
  <si>
    <t>Total elemental potassium applied from organic sources (e.g., compost, manure, biosolid).</t>
  </si>
  <si>
    <t>Total elemental phosphorus applied from organic sources (e.g., compost, manure, biosolid).</t>
  </si>
  <si>
    <t>Total elemental nitrogen applied  from organic sources (e.g., compost, manure, biosolid).</t>
  </si>
  <si>
    <t>Total elemental nitrogen, phosphorus, and potassium applied from organic sources (e.g., compost, manure, biosolid).</t>
  </si>
  <si>
    <t>Name of the organic fertilizer</t>
  </si>
  <si>
    <t>Category of organic fertilizer</t>
  </si>
  <si>
    <t>Total potassium applied from inorganic sources presented as potassium oxide (K2O).</t>
  </si>
  <si>
    <t>Total phosphorus applied from inorganic sources presented as phosphorus pentoxide (P2O5) .</t>
  </si>
  <si>
    <t>Total elemental potassium applied from inorganic sources (e.g., potassium chloride or monopotassium phosphate).</t>
  </si>
  <si>
    <t>Total elemental phosphorus applied from inorganic sources (e.g., rock phosphate or DAP).</t>
  </si>
  <si>
    <t>Total elemental nitrogen applied from inorganic sources (e.g., urea or DAP).</t>
  </si>
  <si>
    <t>Total elemental nitrogen, phosphorus, and potassium applied from inorganic sources (e.g., urea or DAP).</t>
  </si>
  <si>
    <t>The unit of measurement for total inorganic NPK numbers.</t>
  </si>
  <si>
    <t>Name of the inorganic fertilizer</t>
  </si>
  <si>
    <t>Category of inorganic fertilizer</t>
  </si>
  <si>
    <t>Name of the nutrient management subpractice</t>
  </si>
  <si>
    <t>Complete with an easy to recognize name for the fertilizer practice, you will use this name to reference it when building treatments later in the extraction process. Avoid using special characters.</t>
  </si>
  <si>
    <t>DHB max</t>
  </si>
  <si>
    <t>DHB min</t>
  </si>
  <si>
    <t>DHB mean</t>
  </si>
  <si>
    <t>Canopy height  max if height is provided by ranges. Ex. If height is 50-70, complete with 70</t>
  </si>
  <si>
    <t>Canopy height  min if height is provided by ranges. Ex. If height is 50-70, complete with 50</t>
  </si>
  <si>
    <t>Canopy height mean if height is provided as mean. Ex. If height is 15 meters, complete with 15</t>
  </si>
  <si>
    <t>Shade max if shade is provided by ranges. Ex. If shade is 50-70, complete with 70</t>
  </si>
  <si>
    <t>Shade min if shade is provided by ranges. Ex. If shade is 50-70, complete with 50</t>
  </si>
  <si>
    <t>Shade mean if shade is provided as mean. Ex. If shade is 52%, complete with 52</t>
  </si>
  <si>
    <t>Name of the agroforestry practice. This dimension captures what components are combined and their ecological complexity.</t>
  </si>
  <si>
    <t>Name of the agroforestry practice. This dimension describes how trees are arranged in space</t>
  </si>
  <si>
    <t>Choose a easy to recognize name for the practice, you will use this name to reference it when building treatments later in the extraction process. Avoid using special characters.</t>
  </si>
  <si>
    <t>Fate of crop residues from the previous season</t>
  </si>
  <si>
    <t xml:space="preserve">Name of the crop sequence subpractice (crop rotation type, fallow type, green manure or cover crop type, </t>
  </si>
  <si>
    <t>Complete with an easy to recognize name for the intercropping practice, you will use this name to reference it when building treatments later in the extraction process. Avoid using special characters.</t>
  </si>
  <si>
    <t>Name of the intercropping subpractice</t>
  </si>
  <si>
    <t xml:space="preserve">Crop trait. Enter any specific info of the variety </t>
  </si>
  <si>
    <t>Type of plant variety or similar. Is it a local variety?</t>
  </si>
  <si>
    <t>Is it an improved, Hybrid or unimproved variety ?</t>
  </si>
  <si>
    <t>Variety, cultivar of the crop</t>
  </si>
  <si>
    <t>Planting Method</t>
  </si>
  <si>
    <t>Name of the planting subpractice</t>
  </si>
  <si>
    <t>Complete with an easy to recognize name for the planting method, you will use this name to reference it when building treatments later in the extraction process. Avoid using special characters.</t>
  </si>
  <si>
    <t xml:space="preserve">How many times was the land tilled during one experimental season </t>
  </si>
  <si>
    <t>Tillage Depth (cm). The depth at which a soil is ploughed or tilled. Source: AGROVOC</t>
  </si>
  <si>
    <t>Other Soil Prep Methods</t>
  </si>
  <si>
    <t>Tillage method or implement</t>
  </si>
  <si>
    <t>Name of the tillage practice</t>
  </si>
  <si>
    <t>Complete with an easy to recognize name for the tillage practice, you will use this name to reference it when building treatments later in the extraction process. Avoid using special characters.</t>
  </si>
  <si>
    <t>Numerical value of tree planting density corresponding to the selected tree and density unit.</t>
  </si>
  <si>
    <t>Unit fo the planting density</t>
  </si>
  <si>
    <t>Name of tree or shrub species used in the specific practice. Please use scientific name and be careful of your spelling. Use full scientific name, do not abbreviate genus (e.g., Mangifera indica should not be abbreviated to M.indica)." "Gliricidia sepium; Acacia abyssinica"</t>
  </si>
  <si>
    <t>Use a dash (-) for intercrops and forward slash (/) for rotation. So we can know the arrangement of crops in the plot</t>
  </si>
  <si>
    <t>Numerical value of crop planting density corresponding to the selected crop and density unit.</t>
  </si>
  <si>
    <t>Commercial or local name of the crop variety associated with the selected crop (e.g., Katumani, G2333, Maasai Red). Do not include the crop species name in this field.</t>
  </si>
  <si>
    <t>Name of crop species including in the practice, first letter of name capitilized and the rest lowercase. Use common names of species. See crop lists in 01_crops$crop_names in 01_FOMD_ontologoies file.</t>
  </si>
  <si>
    <t>Season as stated by the author</t>
  </si>
  <si>
    <t xml:space="preserve">Year when the experiment stopped. Year End as stated by the author </t>
  </si>
  <si>
    <t xml:space="preserve">Year when the experiment started. Year Start as stated by the author </t>
  </si>
  <si>
    <t>Complete with the specific time period name the study provide</t>
  </si>
  <si>
    <t>Length of time the experiment has been ongoing up to the date the data are being reported for in years. In bimodal rainfall systems with multiple growing seasons, seasons are identified by fractions of the year, 0.5, etc. If outcomes are reported in a unimodal rainfall system with one growing season per year, the duration can be equivalent to one year.</t>
  </si>
  <si>
    <t>Field size in hectares</t>
  </si>
  <si>
    <t>A plan specification that states how treatments are allocated to the experimental units during an agronomic trial. It refers to the conceptual framework within which the experiment is conducted. Source: AGRO</t>
  </si>
  <si>
    <t>Manual estimation (e.g. from measuring on google earth) in m of the spatial uncertainty for a point location. The site should within an X m radius (the buffer.manual amount) of the point location specified. Unit is meters</t>
  </si>
  <si>
    <t>Longitude of the study location in decimal degrees, recorded at the precision reported in the publication or derived from place-based geocoding when coordinates are not provided.</t>
  </si>
  <si>
    <t>Latitude of the study location in decimal degrees, recorded at the precision reported in the publication or derived from place-based geocoding when coordinates are not provided.</t>
  </si>
  <si>
    <t>Source and derivation type of the geographic coordinates associated with the study site. Indicates whether coordinates were directly reported in the publication or derived during data extraction.</t>
  </si>
  <si>
    <t>A qualitative measure of how accurate you think the location reporting is. If the study is at a research station, but we only know the location of the city where the station is,  we record "City". If we know the exact location of the station record "Facility".</t>
  </si>
  <si>
    <t>Standardised name of the specific study site</t>
  </si>
  <si>
    <t>Type of research setting in which the data were generated (e.g., experimental, observational, survey-based).</t>
  </si>
  <si>
    <t>Country where the study site is located</t>
  </si>
  <si>
    <t>Unique identifier assigned to each study</t>
  </si>
  <si>
    <t>Unique identifier assigned to the study by the original systematic synthesis.</t>
  </si>
  <si>
    <t>outcome year</t>
  </si>
  <si>
    <t>outcome value</t>
  </si>
  <si>
    <t>product/taxa of outcome</t>
  </si>
  <si>
    <t>outcome experimental design</t>
  </si>
  <si>
    <t>postharvesting: moderator</t>
  </si>
  <si>
    <t>postharvesting: practice</t>
  </si>
  <si>
    <t>harvest: moderator</t>
  </si>
  <si>
    <t>harvest: practice</t>
  </si>
  <si>
    <t>water harvesting: practice</t>
  </si>
  <si>
    <t>irrigation: moderator</t>
  </si>
  <si>
    <t>irrigation: practice</t>
  </si>
  <si>
    <t>pH ammendment: moderator</t>
  </si>
  <si>
    <t>pH ammendment: practice</t>
  </si>
  <si>
    <t>Mulches, residues, prunning: moderator</t>
  </si>
  <si>
    <t>Mulches, residues, prunning: practice</t>
  </si>
  <si>
    <t>chemical management: moderator</t>
  </si>
  <si>
    <t>chemical management: practice</t>
  </si>
  <si>
    <t>weeding management: moderator. This section is for physical weeding only, herbicides application should be noted under the chemicals columns.</t>
  </si>
  <si>
    <t>weeding management: practice. This section is for physical weeding only, herbicides application should be noted under the chemicals columns.</t>
  </si>
  <si>
    <t>nutrient management: moderator</t>
  </si>
  <si>
    <t>nutrient management: practice</t>
  </si>
  <si>
    <t>agroforestry: moderator</t>
  </si>
  <si>
    <t>agroforestry: practice</t>
  </si>
  <si>
    <t>crop sequence (crop rotation, fallow, green manure): moderator</t>
  </si>
  <si>
    <t>crop sequence (crop rotation, fallow, green manure): practice</t>
  </si>
  <si>
    <t>intercropping: moderator</t>
  </si>
  <si>
    <t>intercropping: practice</t>
  </si>
  <si>
    <t>improved varieties: practice</t>
  </si>
  <si>
    <t>planting: moderator</t>
  </si>
  <si>
    <t>planting: practice</t>
  </si>
  <si>
    <t>soil management: moderator</t>
  </si>
  <si>
    <t>soil management: practice</t>
  </si>
  <si>
    <t>commodity: trees</t>
  </si>
  <si>
    <t>commodity_crop</t>
  </si>
  <si>
    <t>practice</t>
  </si>
  <si>
    <t>experiment time</t>
  </si>
  <si>
    <t>experiment details</t>
  </si>
  <si>
    <t>location</t>
  </si>
  <si>
    <t>id</t>
  </si>
  <si>
    <t>out_season_end</t>
  </si>
  <si>
    <t>out_season_start</t>
  </si>
  <si>
    <t>out_year_end</t>
  </si>
  <si>
    <t>out_year_start</t>
  </si>
  <si>
    <t>out_year</t>
  </si>
  <si>
    <t>out_agg_stat</t>
  </si>
  <si>
    <t>data_location</t>
  </si>
  <si>
    <t>out_value</t>
  </si>
  <si>
    <t>out_value_metric</t>
  </si>
  <si>
    <t>out_comparison_treatment</t>
  </si>
  <si>
    <t>out_wg_days</t>
  </si>
  <si>
    <t>out_wg_start_unit</t>
  </si>
  <si>
    <t>out_wg_start</t>
  </si>
  <si>
    <t>out_npv_econ_period</t>
  </si>
  <si>
    <t>out_npv_discount_rate</t>
  </si>
  <si>
    <t>out_soil_depth_u</t>
  </si>
  <si>
    <t>out_soil_depth_l</t>
  </si>
  <si>
    <t>product_component05</t>
  </si>
  <si>
    <t>product_component04</t>
  </si>
  <si>
    <t>product_component03</t>
  </si>
  <si>
    <t>product_component02</t>
  </si>
  <si>
    <t>product_component01</t>
  </si>
  <si>
    <t>product_raw</t>
  </si>
  <si>
    <t>out_exp_plot_size</t>
  </si>
  <si>
    <t>out_exp_design</t>
  </si>
  <si>
    <t>harvest_days_after_planting</t>
  </si>
  <si>
    <t>harvest_date_end</t>
  </si>
  <si>
    <t>harvest_date_start</t>
  </si>
  <si>
    <t>harvest_subpractice</t>
  </si>
  <si>
    <t>harvest_subpractice_raw</t>
  </si>
  <si>
    <t>watharv_subpractice01:04</t>
  </si>
  <si>
    <t>watharv_subpractice_raw</t>
  </si>
  <si>
    <t>irrig_water_type</t>
  </si>
  <si>
    <t>irrig_water_amount</t>
  </si>
  <si>
    <t>irrig_water_unit</t>
  </si>
  <si>
    <t>irrig_date_end</t>
  </si>
  <si>
    <t>irrig_date_start</t>
  </si>
  <si>
    <t>irrig_subpractice</t>
  </si>
  <si>
    <t>irrig_subpractice_raw</t>
  </si>
  <si>
    <t>ph_material_applied</t>
  </si>
  <si>
    <t>ph_subpractice</t>
  </si>
  <si>
    <t>ph_subpractice_raw</t>
  </si>
  <si>
    <t>residues_material_amount</t>
  </si>
  <si>
    <t>residues_material_unit</t>
  </si>
  <si>
    <t>residues_material_source</t>
  </si>
  <si>
    <t>residues_processing</t>
  </si>
  <si>
    <t>residues_material</t>
  </si>
  <si>
    <t>residues_tree</t>
  </si>
  <si>
    <t>residues_K</t>
  </si>
  <si>
    <t>residues_P</t>
  </si>
  <si>
    <t>residues_N</t>
  </si>
  <si>
    <t>residues_unit</t>
  </si>
  <si>
    <t>residues_subpractice01:04</t>
  </si>
  <si>
    <t>residues_subpractice_raw</t>
  </si>
  <si>
    <t>chem_amount03</t>
  </si>
  <si>
    <t>chem_unit03</t>
  </si>
  <si>
    <t>chem_name03</t>
  </si>
  <si>
    <t>chem_subpractice03</t>
  </si>
  <si>
    <t>chem_amount02</t>
  </si>
  <si>
    <t>chem_unit02</t>
  </si>
  <si>
    <t>chem_name02</t>
  </si>
  <si>
    <t>chem_subpractice02</t>
  </si>
  <si>
    <t>chem_amount01</t>
  </si>
  <si>
    <t>chem_unit01</t>
  </si>
  <si>
    <t>chem_name01</t>
  </si>
  <si>
    <t>chem_subpractice01</t>
  </si>
  <si>
    <t>chem_subpractice_raw</t>
  </si>
  <si>
    <t>weed_frequency</t>
  </si>
  <si>
    <t>weed_frequency_unit</t>
  </si>
  <si>
    <t>fert_organic_source</t>
  </si>
  <si>
    <t>fert_organicK</t>
  </si>
  <si>
    <t>fert_organicP</t>
  </si>
  <si>
    <t>fert_organicN</t>
  </si>
  <si>
    <t>fert_organicNPK_unit</t>
  </si>
  <si>
    <t>fert_organic_amount</t>
  </si>
  <si>
    <t>fert_organic_unit</t>
  </si>
  <si>
    <t>fert_organic_type</t>
  </si>
  <si>
    <t>fert_organic_category</t>
  </si>
  <si>
    <t>fert_inorganicK2O</t>
  </si>
  <si>
    <t>fert_inorganicP2O5</t>
  </si>
  <si>
    <t>fert_inorganicK</t>
  </si>
  <si>
    <t>fert_inorganicP</t>
  </si>
  <si>
    <t>fert_inorganicN</t>
  </si>
  <si>
    <t>fert_inorganicNPK_unit</t>
  </si>
  <si>
    <t>fert_inorganic_type</t>
  </si>
  <si>
    <t>fert_inorganic_category</t>
  </si>
  <si>
    <t>fert_subpractice</t>
  </si>
  <si>
    <t>fert_subpractice_raw</t>
  </si>
  <si>
    <t>agrof_dhb_max</t>
  </si>
  <si>
    <t>agrof_dhb_min</t>
  </si>
  <si>
    <t>agrof_dhb_mean</t>
  </si>
  <si>
    <t>agrof_canopy_height_min</t>
  </si>
  <si>
    <t>agrof_canopy_height_mean</t>
  </si>
  <si>
    <t>agrof_shade_max</t>
  </si>
  <si>
    <t>agrof_shade_min</t>
  </si>
  <si>
    <t>agrof_shade_mean</t>
  </si>
  <si>
    <t>agrof_temporal_subpractice</t>
  </si>
  <si>
    <t>agrof_components_subpractice</t>
  </si>
  <si>
    <t>agrof_spatial_arrangement_subpractice</t>
  </si>
  <si>
    <t>crop_seq_residues_fate</t>
  </si>
  <si>
    <t>crop_seq_start_season</t>
  </si>
  <si>
    <t>crop_seq_start_year</t>
  </si>
  <si>
    <t>crop_seq_subpractice03</t>
  </si>
  <si>
    <t>crop_seq_subpractice02</t>
  </si>
  <si>
    <t>crop_seq_subpractice01</t>
  </si>
  <si>
    <t>crop_seq_subpractice_raw</t>
  </si>
  <si>
    <t>intercrop_residues_fate</t>
  </si>
  <si>
    <t>intercrop_start_season</t>
  </si>
  <si>
    <t>intercrop_start_year</t>
  </si>
  <si>
    <t>intercrop_subpractice</t>
  </si>
  <si>
    <t>intercrop_subpractice_raw</t>
  </si>
  <si>
    <t>planting_date_end</t>
  </si>
  <si>
    <t>planting_date_start</t>
  </si>
  <si>
    <t>planting_method</t>
  </si>
  <si>
    <t>planting_subpractice</t>
  </si>
  <si>
    <t>planting_subpractice_raw</t>
  </si>
  <si>
    <t>tillage_frequency</t>
  </si>
  <si>
    <t>tillage_depth</t>
  </si>
  <si>
    <t>tillage_method_other</t>
  </si>
  <si>
    <t>tillage_method</t>
  </si>
  <si>
    <t>tillage_subpractice</t>
  </si>
  <si>
    <t>tillage_subpractice_raw</t>
  </si>
  <si>
    <t>tree_density01</t>
  </si>
  <si>
    <t>tree_density_unit01</t>
  </si>
  <si>
    <t>tree01</t>
  </si>
  <si>
    <t>crop_arrangement03</t>
  </si>
  <si>
    <t>crop_density03</t>
  </si>
  <si>
    <t>crop_density_unit03</t>
  </si>
  <si>
    <t>crop_variety03</t>
  </si>
  <si>
    <t>crop03</t>
  </si>
  <si>
    <t>crop_arrangement02</t>
  </si>
  <si>
    <t>crop_density02</t>
  </si>
  <si>
    <t>crop_density_unit02</t>
  </si>
  <si>
    <t>crop_variety02</t>
  </si>
  <si>
    <t>crop02</t>
  </si>
  <si>
    <t>crop_arrangement01</t>
  </si>
  <si>
    <t>crop_density01</t>
  </si>
  <si>
    <t>crop_density_unit01</t>
  </si>
  <si>
    <t>crop_variety01</t>
  </si>
  <si>
    <t>crop01</t>
  </si>
  <si>
    <t>subpractice_description_raw</t>
  </si>
  <si>
    <t>subpractice_raw</t>
  </si>
  <si>
    <t>time_season</t>
  </si>
  <si>
    <t>time_year_end</t>
  </si>
  <si>
    <t>time_year_start</t>
  </si>
  <si>
    <t>time_raw</t>
  </si>
  <si>
    <t>exp_duration</t>
  </si>
  <si>
    <t>exp_field_size</t>
  </si>
  <si>
    <t>exp_plot_size</t>
  </si>
  <si>
    <t>exp_design</t>
  </si>
  <si>
    <t>site_buffer01</t>
  </si>
  <si>
    <t>site_longitude01</t>
  </si>
  <si>
    <t>site_latitude01</t>
  </si>
  <si>
    <t>site_latlong_type01</t>
  </si>
  <si>
    <t>site_admin01</t>
  </si>
  <si>
    <t>site_id01</t>
  </si>
  <si>
    <t>site_type01</t>
  </si>
  <si>
    <t>study_id</t>
  </si>
  <si>
    <t>Forage yield intercropping (kg/ha) = Maize stover + legume stover + mucuna grain</t>
  </si>
  <si>
    <t>Forage yield</t>
  </si>
  <si>
    <t>Maize grain yield (kg/ha)</t>
  </si>
  <si>
    <t>intercrop_design</t>
  </si>
  <si>
    <t>intercrop_pattern</t>
  </si>
  <si>
    <t>In which design both species were  intercropped</t>
  </si>
  <si>
    <t>In which way both species were spatially  sown</t>
  </si>
  <si>
    <t>Additive</t>
  </si>
  <si>
    <t>Row</t>
  </si>
  <si>
    <t>Type of animal breed or similar. Is it a local breed?</t>
  </si>
  <si>
    <t>improved breeds: practice</t>
  </si>
  <si>
    <t>Is it an improved, Hybrid or unimproved breed ?</t>
  </si>
  <si>
    <t>Breed of the animal</t>
  </si>
  <si>
    <t>Numerical value of animal growing density corresponding to the selected animal and density unit.</t>
  </si>
  <si>
    <t>commodity: animal</t>
  </si>
  <si>
    <t>Unit used to report animal growing density.</t>
  </si>
  <si>
    <t>Commercial or local name of the animal variety associated with the selected animal (e.g., Katumani, G2333, Maasai Red). Do not include the animal species name in this field.</t>
  </si>
  <si>
    <t>Name of animal species including in the practice, first letter of name capitilized and the rest lowercase. Use common names of species. See animal lists in 01_animals$v_product in 01_FOMD_ontologoies file.</t>
  </si>
  <si>
    <t>Labour Cost</t>
  </si>
  <si>
    <t>country01</t>
  </si>
  <si>
    <t>site_buffer02</t>
  </si>
  <si>
    <t>country02</t>
  </si>
  <si>
    <t>site_type02</t>
  </si>
  <si>
    <t>site_id02</t>
  </si>
  <si>
    <t>site_admin02</t>
  </si>
  <si>
    <t>site_agg02</t>
  </si>
  <si>
    <t>site_latlong_type02</t>
  </si>
  <si>
    <t>site_latitude02</t>
  </si>
  <si>
    <t>site_longitude02</t>
  </si>
  <si>
    <t>site_agg01</t>
  </si>
  <si>
    <t>Use a dash (-) for intercrops and forward slash (/) for rotation. So we can know the arrangement of trees in the plot</t>
  </si>
  <si>
    <t>tree_arrangement01</t>
  </si>
  <si>
    <t>tree02</t>
  </si>
  <si>
    <t>tree_density_unit02</t>
  </si>
  <si>
    <t>tree_density02</t>
  </si>
  <si>
    <t>tree_arrangement02</t>
  </si>
  <si>
    <t>animal_density_unit01</t>
  </si>
  <si>
    <t>animal_density01</t>
  </si>
  <si>
    <t>animal01</t>
  </si>
  <si>
    <t>animal_density02</t>
  </si>
  <si>
    <t>animal02</t>
  </si>
  <si>
    <t>animal_density_unit02</t>
  </si>
  <si>
    <t>varietal_crop_variety</t>
  </si>
  <si>
    <t>varietal_crop_subpractice</t>
  </si>
  <si>
    <t>varietal_crop_type</t>
  </si>
  <si>
    <t>varietal_crop_trait</t>
  </si>
  <si>
    <t>animal_breed02</t>
  </si>
  <si>
    <t>animal_breed01</t>
  </si>
  <si>
    <t>varietal_animal_breed</t>
  </si>
  <si>
    <t>varietal_animal_subpractice</t>
  </si>
  <si>
    <t>varietal_animal_type</t>
  </si>
  <si>
    <t>out_subindicator_raw</t>
  </si>
  <si>
    <t>out_subindicator_description_raw</t>
  </si>
  <si>
    <t>out_subindicator</t>
  </si>
  <si>
    <t>out_subindicator_unit</t>
  </si>
  <si>
    <t>bio_ground_ref</t>
  </si>
  <si>
    <t>Striga hermonthica plants</t>
  </si>
  <si>
    <t>Striga hermonthica seeds</t>
  </si>
  <si>
    <t>Above</t>
  </si>
  <si>
    <t>Below</t>
  </si>
  <si>
    <t>econ_inputs</t>
  </si>
  <si>
    <t>bio_func_group</t>
  </si>
  <si>
    <t>agrof_shade_subpractice</t>
  </si>
  <si>
    <t>agrof_canopy_height_max</t>
  </si>
  <si>
    <t>practice_id</t>
  </si>
  <si>
    <t>out_sample_size</t>
  </si>
  <si>
    <t>Seed inoculation</t>
  </si>
  <si>
    <t>No Inoculation Applied</t>
  </si>
  <si>
    <t>No Fertilizers Applied</t>
  </si>
  <si>
    <t>No Insecticide Applied</t>
  </si>
  <si>
    <t>The size of a treatment plot in the experiment in meter squares, if variable use the mean value or mid-point of the size range.</t>
  </si>
  <si>
    <t>Complete with an easy to recognize name for the varietal subpractice, you will use this name to reference it when building treatments later in the extraction process. Avoid using special characters.</t>
  </si>
  <si>
    <t>varietal_animal_subpractice_raw</t>
  </si>
  <si>
    <t>Complete with an easy to recognize name for the animal varietal subpractice, you will use this name to reference it when building treatments later in the extraction process. Avoid using special characters.</t>
  </si>
  <si>
    <t>The start year of the intercropping practice</t>
  </si>
  <si>
    <t>List the starting season of an experimental treatment in systems with &gt;1 growing season. If a region has unimodal rainfall or if seasonality is unespecified please leave this file blanck</t>
  </si>
  <si>
    <t>agrof_subpractice_raw</t>
  </si>
  <si>
    <t>Compound D..Ammonium Nitrate</t>
  </si>
  <si>
    <t>240..200</t>
  </si>
  <si>
    <t>Inorganic Fertilizer..Seeds..Labor Cost..Herbicides</t>
  </si>
  <si>
    <t>C2..T1..T2..T3..T4</t>
  </si>
  <si>
    <t>Inorganic Fertilizer..Seeds..Labor Cost..Organic Mulch..Herbicides</t>
  </si>
  <si>
    <t>T1..T2..T3..T4</t>
  </si>
  <si>
    <t>Direct-seeding Planter..Hand hoes</t>
  </si>
  <si>
    <t>Inorganic Fertilizer..Seeds..Pesticides...Labor Cost..Organic Mulch..Herbicides</t>
  </si>
  <si>
    <t>Compound D..Ammonium Nitrate..Gypsum</t>
  </si>
  <si>
    <t>240..200..Unspecified</t>
  </si>
  <si>
    <t>Inorganic Fertilizer..Organic Fertilizer...Seeds..Labor Cost..Herbicides</t>
  </si>
  <si>
    <t>C4..T5..T6..T7..T8</t>
  </si>
  <si>
    <t>Inorganic Fertilizer..Organic Fertilizer...Seeds..Labor Cost..Organic Mulch..Herbicides</t>
  </si>
  <si>
    <t>T5..T6..T7..T8</t>
  </si>
  <si>
    <t>Inorganic Fertilizer..Organic Fertilizer...Seeds..Pesticides...Labor Cost..Organic Mulch..Herbicides</t>
  </si>
  <si>
    <t>T1..T2</t>
  </si>
  <si>
    <t>T5..T6</t>
  </si>
  <si>
    <t>C1..T1..T2..T3..T4</t>
  </si>
  <si>
    <t>weed_method_raw</t>
  </si>
  <si>
    <t>weed_method</t>
  </si>
  <si>
    <t>Kenya Seed Company*H 511</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</si>
  <si>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</si>
  <si>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</si>
  <si>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</si>
  <si>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</si>
  <si>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</si>
  <si>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</si>
  <si>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</si>
  <si>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</si>
  <si>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</si>
  <si>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</si>
  <si>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</si>
  <si>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</si>
  <si>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</si>
  <si>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</si>
  <si>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</si>
  <si>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</si>
  <si>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</si>
  <si>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</si>
  <si>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</si>
  <si>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</si>
  <si>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</si>
  <si>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</si>
  <si>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Complete only when provided by the systematic synthesis (e.g. MetaData).</t>
  </si>
  <si>
    <t>Free text</t>
  </si>
  <si>
    <t>Preserves traceability to original datasets.</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</si>
  <si>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</si>
  <si>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</si>
  <si>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</si>
  <si>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Character</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</si>
  <si>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</si>
  <si>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</si>
  <si>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</si>
  <si>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</si>
  <si>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</si>
  <si>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</si>
  <si>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</si>
  <si>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Standardised name of the specific study site. If  you select a site name that already exists in ontologies, the latitude and longitude fields will auto-populate. Please check the auto-generated co-ordinates against the ones reported in the publication and in GoogleMaps/Earth. If there is a mismatch you can overwrite the autogenerated values.</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</si>
  <si>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</si>
  <si>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</si>
  <si>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</si>
  <si>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Must match a value listed in 01_lookup_levels$site_admin in 01_FOMD_ontologies file.</t>
  </si>
  <si>
    <t>Captures spatial reporting accuracy and supports interpretation of geographic precision</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</si>
  <si>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</si>
  <si>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</si>
  <si>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Must match a value listed in 01_lookup_levels$site_location_type in 01_FOMD_ontologies file.</t>
  </si>
  <si>
    <t>Has to match one of the items in the drop down</t>
  </si>
  <si>
    <t>numeric</t>
  </si>
  <si>
    <t>decimal degrees</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</si>
  <si>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</si>
  <si>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</si>
  <si>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</si>
  <si>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</si>
  <si>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</si>
  <si>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</si>
  <si>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</si>
  <si>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Free Text</t>
  </si>
  <si>
    <t>AGROVOC</t>
  </si>
  <si>
    <t>experimental design</t>
  </si>
  <si>
    <t>http://aims.fao.org/aos/agrovoc/c_29466</t>
  </si>
  <si>
    <t>Numeric</t>
  </si>
  <si>
    <t>m2</t>
  </si>
  <si>
    <t>Free numeric entry (positive).</t>
  </si>
  <si>
    <t>Put plot size in meter squares</t>
  </si>
  <si>
    <t>Hectares</t>
  </si>
  <si>
    <t>Put field size in ha</t>
  </si>
  <si>
    <t>yyyy</t>
  </si>
  <si>
    <t>Subpractice or specific implementation detail of the broader practice as reported (e.g., “reduced tillage”, “legume intercrop”, “organic manure application”).</t>
  </si>
  <si>
    <t>Record exactly as reported. Normalise whitespace only. Leave blank if no specific sub-practice is reported.</t>
  </si>
  <si>
    <t>Retains detailed implementation information before controlled coding, supporting traceability and reproducibility.</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</si>
  <si>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</si>
  <si>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</si>
  <si>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</si>
  <si>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crop01:15</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</si>
  <si>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</si>
  <si>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</si>
  <si>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</si>
  <si>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</si>
  <si>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</si>
  <si>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</si>
  <si>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01_lookup_levels[Field$Plant.Density.Unit]</t>
  </si>
  <si>
    <t>crop_density01:15</t>
  </si>
  <si>
    <t>Depends on Unit</t>
  </si>
  <si>
    <t>crop_arrangement01:15</t>
  </si>
  <si>
    <t>"-", "/"</t>
  </si>
  <si>
    <t>commodity_trees</t>
  </si>
  <si>
    <t>tree01:15</t>
  </si>
  <si>
    <t>01_trees$tree.latin.name</t>
  </si>
  <si>
    <t>NA</t>
  </si>
  <si>
    <t>species (taxa)</t>
  </si>
  <si>
    <t>http://aims.fao.org/aos/agrovoc/c_331243</t>
  </si>
  <si>
    <t>tree_density_unit01:15</t>
  </si>
  <si>
    <t>tree_density01:15</t>
  </si>
  <si>
    <t>tree_arrangement01:15</t>
  </si>
  <si>
    <t>animal01:05</t>
  </si>
  <si>
    <t>unique(01_vars_animals$V.Product)</t>
  </si>
  <si>
    <t>Drop-down menu (controlled vocabulary; single selection per indexed column).</t>
  </si>
  <si>
    <t>Enables standardised crop classification and supports filtering, grouping, and crop-specific analyses.</t>
  </si>
  <si>
    <t>animal_breed01:05</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</si>
  <si>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</si>
  <si>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</si>
  <si>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</si>
  <si>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</si>
  <si>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</si>
  <si>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</si>
  <si>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</si>
  <si>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</si>
  <si>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</si>
  <si>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</si>
  <si>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</si>
  <si>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</si>
  <si>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soil_management_practice</t>
  </si>
  <si>
    <t>None</t>
  </si>
  <si>
    <t>soil_management_moderator</t>
  </si>
  <si>
    <t>01_lookup_levels[Field$$T.Method]</t>
  </si>
  <si>
    <t>Allows multiple selection</t>
  </si>
  <si>
    <t>tillage equipment</t>
  </si>
  <si>
    <t>http://aims.fao.org/aos/agrovoc/c_25768</t>
  </si>
  <si>
    <t>01_lookup_levels[Field$$Till.Other]</t>
  </si>
  <si>
    <t>Compound and Vague topic</t>
  </si>
  <si>
    <t>Integer</t>
  </si>
  <si>
    <t>cm</t>
  </si>
  <si>
    <t>Range 0-150, warn if &gt;50</t>
  </si>
  <si>
    <t>ploughing depth</t>
  </si>
  <si>
    <t>http://aims.fao.org/aos/agrovoc/c_d349db98</t>
  </si>
  <si>
    <t>None , but could be set to an integer class with lmiited number of tillage passes allowed</t>
  </si>
  <si>
    <t>planting_practice</t>
  </si>
  <si>
    <t>planting_moderator</t>
  </si>
  <si>
    <t>01_lookup_levels[Field$Plant.Method"]</t>
  </si>
  <si>
    <t>Date</t>
  </si>
  <si>
    <t>improved crop varieties: practice</t>
  </si>
  <si>
    <t>Complete with an easy to recognize name for the crop varietal subpractice, you will use this name to reference it when building treatments later in the extraction process. Avoid using special characters.</t>
  </si>
  <si>
    <t>Choose from unique 01_vars_crops[V.Product==V.Product,V.Var] or add new value.</t>
  </si>
  <si>
    <t>01_lookup_levels[Field$$Crop.Trait]</t>
  </si>
  <si>
    <t>Replacement, Additive</t>
  </si>
  <si>
    <t>Paut et al 2024</t>
  </si>
  <si>
    <t>https://www.nature.com/articles/s41597-023-02831-7</t>
  </si>
  <si>
    <t>Strip, Row, Mixed</t>
  </si>
  <si>
    <t>01_lookup_levels[Field$M.Fate]</t>
  </si>
  <si>
    <t>Complete with an easy to recognize name for the crop rotation practice, you will use this name to reference it when building treatments later in the extraction process. Avoid using special characters.</t>
  </si>
  <si>
    <t>crop_seq_subpractice01:03</t>
  </si>
  <si>
    <t>The start year of the crop rotation practice</t>
  </si>
  <si>
    <t>agroforestry</t>
  </si>
  <si>
    <t>https://agrovoc.fao.org/browse/agrovoc/en/page/c_16113</t>
  </si>
  <si>
    <t>percentage</t>
  </si>
  <si>
    <t>Allow for example "&gt;50". No higher than 100</t>
  </si>
  <si>
    <t>Allow for example "&gt;50".</t>
  </si>
  <si>
    <t>Free type cell</t>
  </si>
  <si>
    <t>unique(01_fertiliser$F.Category_New)</t>
  </si>
  <si>
    <t>fertilizers</t>
  </si>
  <si>
    <t>http://aims.fao.org/aos/agrovoc/c_2867</t>
  </si>
  <si>
    <t>Drop down menu</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</si>
  <si>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</si>
  <si>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</si>
  <si>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</si>
  <si>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</si>
  <si>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</si>
  <si>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</si>
  <si>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</si>
  <si>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</si>
  <si>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</si>
  <si>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</si>
  <si>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</si>
  <si>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phosphorus
inorganic fertilizers</t>
  </si>
  <si>
    <t>http://aims.fao.org/aos/agrovoc/c_5804
http://aims.fao.org/aos/agrovoc/c_27870</t>
  </si>
  <si>
    <t>potassium
inorganic fertilizers</t>
  </si>
  <si>
    <t>http://aims.fao.org/aos/agrovoc/c_6139
http://aims.fao.org/aos/agrovoc/c_27870</t>
  </si>
  <si>
    <t>01_fertiliser[F.Category==Fert.Method$F.Category,F.Type] or Free Text</t>
  </si>
  <si>
    <t>Unit used to report elemental nutrient quantities (N, P, K) applied from organic fertilizers. Try to record kg/ha</t>
  </si>
  <si>
    <t>nitrogen
organic fertilizers</t>
  </si>
  <si>
    <t>http://aims.fao.org/aos/agrovoc/c_5192
http://aims.fao.org/aos/agrovoc/c_4592</t>
  </si>
  <si>
    <t>phosphorus
organic fertilizers</t>
  </si>
  <si>
    <t>http://aims.fao.org/aos/agrovoc/c_5804
http://aims.fao.org/aos/agrovoc/c_4592</t>
  </si>
  <si>
    <t>potassium
organic fertilizers</t>
  </si>
  <si>
    <t>http://aims.fao.org/aos/agrovoc/c_6139
http://aims.fao.org/aos/agrovoc/c_4592</t>
  </si>
  <si>
    <t>01_lookup_levels[Field$$M.Source]</t>
  </si>
  <si>
    <t>Only required if Fertilizer[F.Type==Fert.Method$F.Type, F.Category == "Organic" ]</t>
  </si>
  <si>
    <t>mechanical weed control</t>
  </si>
  <si>
    <t>http://aims.fao.org/aos/agrovoc/c_24200</t>
  </si>
  <si>
    <t>01_lookup_levels[Field$$W.Time.Units]</t>
  </si>
  <si>
    <t>chem_subpractice01:05</t>
  </si>
  <si>
    <t>Name of the pest management subpractice. Start with Herbicide management-Inoculation management-Insecticide management</t>
  </si>
  <si>
    <t>agrochemicals</t>
  </si>
  <si>
    <t>http://aims.fao.org/aos/agrovoc/c_24430</t>
  </si>
  <si>
    <t>chem_name01:05</t>
  </si>
  <si>
    <t>chem_unit01:05</t>
  </si>
  <si>
    <t>01_lookup_levels[Field$$C.AI.Unit]</t>
  </si>
  <si>
    <t>chem_amount01:05</t>
  </si>
  <si>
    <t>application rates</t>
  </si>
  <si>
    <t>crop residues</t>
  </si>
  <si>
    <t>http://aims.fao.org/aos/agrovoc/c_16118</t>
  </si>
  <si>
    <t>nitrogen content</t>
  </si>
  <si>
    <t>http://aims.fao.org/aos/agrovoc/c_5193</t>
  </si>
  <si>
    <t>phosphorus</t>
  </si>
  <si>
    <t xml:space="preserve">http://aims.fao.org/aos/agrovoc/c_5804
</t>
  </si>
  <si>
    <t>potassium</t>
  </si>
  <si>
    <t>http://aims.fao.org/aos/agrovoc/c_6139</t>
  </si>
  <si>
    <t>01_trees$Tree.Latin.Name</t>
  </si>
  <si>
    <t>woody plants</t>
  </si>
  <si>
    <t>http://aims.fao.org/aos/agrovoc/c_26837</t>
  </si>
  <si>
    <t>01_residues$M.Material or if a tree/shrub entered 01_lookup_levels$Tree.Materials or Free Text</t>
  </si>
  <si>
    <t>mulches</t>
  </si>
  <si>
    <t>http://aims.fao.org/aos/agrovoc/c_4977</t>
  </si>
  <si>
    <t>01_lookup_levels[Field$M.Process]</t>
  </si>
  <si>
    <t>01_lookup_levels[Field$M.Source]</t>
  </si>
  <si>
    <t>01_lookup_levels[Field$$M.Unit"]</t>
  </si>
  <si>
    <t>Required if Res.Method$M.Amount has a value</t>
  </si>
  <si>
    <t>01_practices[practice=="pH Control",subpractice] or Free Text</t>
  </si>
  <si>
    <t>liming</t>
  </si>
  <si>
    <t>http://aims.fao.org/aos/agrovoc/c_25206</t>
  </si>
  <si>
    <t>01_lookup_levels[Field$pH.Material] or Free Text</t>
  </si>
  <si>
    <t>liming materials</t>
  </si>
  <si>
    <t>http://aims.fao.org/aos/agrovoc/c_200</t>
  </si>
  <si>
    <t>01_lookup_levels[Field$F.Unit"]</t>
  </si>
  <si>
    <t>01_lookup_levels[Field$I.Unit"]</t>
  </si>
  <si>
    <t>01_lookup_levels[Field$I.Water.Type] or Free Text</t>
  </si>
  <si>
    <t>irrigation water</t>
  </si>
  <si>
    <t>http://aims.fao.org/aos/agrovoc/c_3958</t>
  </si>
  <si>
    <t>water harvesting</t>
  </si>
  <si>
    <t>http://aims.fao.org/aos/agrovoc/c_25305</t>
  </si>
  <si>
    <t>harvesting</t>
  </si>
  <si>
    <t>http://aims.fao.org/aos/agrovoc/c_3500</t>
  </si>
  <si>
    <t>dd/mm/yy</t>
  </si>
  <si>
    <t>warning if &lt;30</t>
  </si>
  <si>
    <t>ANIMAL PRACTICES MISSING</t>
  </si>
  <si>
    <t>subpractice_all (ver el nombre de esto en ERA)</t>
  </si>
  <si>
    <t>Harmonised sub-practice category corresponding to the reported practice, based on the controlled ontology. Each indexed column (1:n) contains a single sub-practice code.</t>
  </si>
  <si>
    <t>Must match a value listed in the subpractice 001_practices$subpractice in the 001_FOMD_ontologies file. Select only one subpractice per indexed column. Use additional indexed columns (2, 3, etc.) if multiple sub-practices apply. Remove from supractice2 list the subpractice that was already selected in subpractice01</t>
  </si>
  <si>
    <t>Drop-down menu (controlled vocabulary, single selection per column)</t>
  </si>
  <si>
    <t>Enables standardised classification, aggregation, and comparison of practices across studies while preserving multi-component practices.</t>
  </si>
  <si>
    <t>None, but a lookup table could be implemented</t>
  </si>
  <si>
    <t>exp_hplot_size&lt;=exp_plot_size</t>
  </si>
  <si>
    <t>product_component01:05</t>
  </si>
  <si>
    <t>01_lookup_levels[Field$out_bio_ground_ref]</t>
  </si>
  <si>
    <t>01_out_econ$Variable</t>
  </si>
  <si>
    <t xml:space="preserve">Allows multiple selection </t>
  </si>
  <si>
    <t>Complete only when a sub-outcome is explicitly stated in the study/synthesis. Copy verbatim; normalise whitespace only. Leave blank if not reported or not applicable.</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</si>
  <si>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</si>
  <si>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</si>
  <si>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</si>
  <si>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</si>
  <si>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</si>
  <si>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</si>
  <si>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</si>
  <si>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</si>
  <si>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</si>
  <si>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</si>
  <si>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</si>
  <si>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</si>
  <si>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</si>
  <si>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</si>
  <si>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</si>
  <si>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t>
  </si>
  <si>
    <t>0-100, warn if &gt;50</t>
  </si>
  <si>
    <t>years</t>
  </si>
  <si>
    <t>None,  but should be limited to units of mass (e.g. g, kg)</t>
  </si>
  <si>
    <t>Only required when Out.Out$Subindicator == "Weight Gain" &amp; !Out.Out$Out.WG.Start has data</t>
  </si>
  <si>
    <t>body weight</t>
  </si>
  <si>
    <t>http://aims.fao.org/aos/agrovoc/c_15846</t>
  </si>
  <si>
    <t>Days</t>
  </si>
  <si>
    <t>&gt;0, warning if &gt;1000</t>
  </si>
  <si>
    <t>AGROVOC
UO</t>
  </si>
  <si>
    <t>duration
day</t>
  </si>
  <si>
    <t>http://aims.fao.org/aos/agrovoc/c_2412
http://purl.obolibrary.org/obo/UO_0000002</t>
  </si>
  <si>
    <t>metric</t>
  </si>
  <si>
    <t>01_lookup_levels[Field$suboutcome_value_metric]</t>
  </si>
  <si>
    <t>Must match a value listed in 01_lookuplevels$suboutcome_value_metric in the 01_FOMD_ontologies file.</t>
  </si>
  <si>
    <t>Clarifies how the central value was calculated and enables filtering and harmonisation across studies</t>
  </si>
  <si>
    <t>Must be numeric. Where applicable, standardise values to the harmonised unit (e.g., convert yields to t/ha when required), retaining maximum available precision.</t>
  </si>
  <si>
    <t>Stores the primary quantitative result used for synthesis.</t>
  </si>
  <si>
    <t>01_lookup_levels[Field$Error.Type]</t>
  </si>
  <si>
    <t>Must match a value listed in 01_lookuplevels$suboutcome_variance_metric in the 01_FOMD_ontologies file.</t>
  </si>
  <si>
    <t>Identifies the type of dispersion measure used, enabling correct variance harmonisation.</t>
  </si>
  <si>
    <t>Enter only when suboutcome_variance_metric corresponds to SD, SE OR SEM. Must be numeric. Leave blank otherwise.</t>
  </si>
  <si>
    <t>Enables calculation of effect sizes and weighting in meta-analysis.</t>
  </si>
  <si>
    <t>Enter only when suboutcome_variance_metric corresponds to CV or IQR. Must be numeric. Leave blank otherwise.</t>
  </si>
  <si>
    <t>Preserves full reporting of interval-based uncertainty measures.</t>
  </si>
  <si>
    <t>Double</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</si>
  <si>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</si>
  <si>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</si>
  <si>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</si>
  <si>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</si>
  <si>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</si>
  <si>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</si>
  <si>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01_lookup_levels[Field$Out.Agg.Stat]</t>
  </si>
  <si>
    <t>Positive integer</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</si>
  <si>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</si>
  <si>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</si>
  <si>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</si>
  <si>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</si>
  <si>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</si>
  <si>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</si>
  <si>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</si>
  <si>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</si>
  <si>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</si>
  <si>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</si>
  <si>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</si>
  <si>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</si>
  <si>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</si>
  <si>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</si>
  <si>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</si>
  <si>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</si>
  <si>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</si>
  <si>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</si>
  <si>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</si>
  <si>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</si>
  <si>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</si>
  <si>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</si>
  <si>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</si>
  <si>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</si>
  <si>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</si>
  <si>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</si>
  <si>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</si>
  <si>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</si>
  <si>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</si>
  <si>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</si>
  <si>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</si>
  <si>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</si>
  <si>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</si>
  <si>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</si>
  <si>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</si>
  <si>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</si>
  <si>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</si>
  <si>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</si>
  <si>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</si>
  <si>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</si>
  <si>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</si>
  <si>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</si>
  <si>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</si>
  <si>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</si>
  <si>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</si>
  <si>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</si>
  <si>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</si>
  <si>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</si>
  <si>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</si>
  <si>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</si>
  <si>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</si>
  <si>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</si>
  <si>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</si>
  <si>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</si>
  <si>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</si>
  <si>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</si>
  <si>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</si>
  <si>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</si>
  <si>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</si>
  <si>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</si>
  <si>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watharv_subpractice02</t>
  </si>
  <si>
    <t>watharv_subpractice03</t>
  </si>
  <si>
    <t>watharv_subpractice04</t>
  </si>
  <si>
    <t>watharv_subpractice01</t>
  </si>
  <si>
    <t xml:space="preserve">Crop trait. Enter any specific info of the variety .  When multiple traits are reported for the same variety, separate traits using two dots (..). </t>
  </si>
  <si>
    <t xml:space="preserve">Name of the intercropping subpractice. When multiple traits are reported for the same variety, separate traits using two dots (-). </t>
  </si>
  <si>
    <t>crop_sequence_practice</t>
  </si>
  <si>
    <t>crop_sequence_moderator</t>
  </si>
  <si>
    <t>animal_arrangement01</t>
  </si>
  <si>
    <t>animal_arrangement02</t>
  </si>
  <si>
    <t>animal_arrangement01:05</t>
  </si>
  <si>
    <t>agroforestry_practice</t>
  </si>
  <si>
    <t>agroforestry_moderator</t>
  </si>
  <si>
    <t>fert_inorganic_unit</t>
  </si>
  <si>
    <t>fert_inorganic_amount</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</si>
  <si>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</si>
  <si>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weeding_management_practice</t>
  </si>
  <si>
    <t>weeding_management_moderator</t>
  </si>
  <si>
    <t>chemical_management_practice</t>
  </si>
  <si>
    <t>chemical_management_moderator</t>
  </si>
  <si>
    <t>List the starting season of an experimental treatment in systems with &gt;1 growing season. If a region has unimodal rainfall or if seasonality is unspecified please leave this file blanck</t>
  </si>
  <si>
    <t>residues_subpractice02</t>
  </si>
  <si>
    <t>residues_subpractice03</t>
  </si>
  <si>
    <t>residues_subpractice04</t>
  </si>
  <si>
    <t>residues_subpractice01</t>
  </si>
  <si>
    <t>Name of the residues management practice (mulches, residues, prunning)</t>
  </si>
  <si>
    <t>residues_practice</t>
  </si>
  <si>
    <t>residues_moderator</t>
  </si>
  <si>
    <t>No mulch Applied</t>
  </si>
  <si>
    <t>ph_material_unit</t>
  </si>
  <si>
    <t>ph_material_amount</t>
  </si>
  <si>
    <t>pH_amendment_moderator</t>
  </si>
  <si>
    <t>pH_amendment_practice</t>
  </si>
  <si>
    <t>irrigation_practice</t>
  </si>
  <si>
    <t>irrigation_moderator</t>
  </si>
  <si>
    <t>Planting Date Start DD/MM/YYYY</t>
  </si>
  <si>
    <t>Planting Date End DD/MM/YYYY</t>
  </si>
  <si>
    <t>Planting Date Start (DD/MM/YYYY)</t>
  </si>
  <si>
    <t>Planting Date End (DD/MM/YYYY)</t>
  </si>
  <si>
    <t>Date Start of the irrigation (DD/MM/YYYY)</t>
  </si>
  <si>
    <t>Date End of the irrigation (DD/MM/YYYY)</t>
  </si>
  <si>
    <t>harvest_practice</t>
  </si>
  <si>
    <t>harvest_moderator</t>
  </si>
  <si>
    <t>postharvesting_practice</t>
  </si>
  <si>
    <t>postharvesting_moderator</t>
  </si>
  <si>
    <t>postharvest_subpractice_raw</t>
  </si>
  <si>
    <t>postharvest_subpractice01:04</t>
  </si>
  <si>
    <t>postharvest_date_start</t>
  </si>
  <si>
    <t>postharvest_date_end</t>
  </si>
  <si>
    <t>postharvest_days_after_storage</t>
  </si>
  <si>
    <t>postharvest_subpractice04</t>
  </si>
  <si>
    <t>postharvest_subpractice03</t>
  </si>
  <si>
    <t>postharvest_subpractice02</t>
  </si>
  <si>
    <t>postharvest_subpractice01</t>
  </si>
  <si>
    <t>01_products$Edge_Value</t>
  </si>
  <si>
    <t>product_outcome</t>
  </si>
  <si>
    <t>input_outcome</t>
  </si>
  <si>
    <t>commodity_animal</t>
  </si>
  <si>
    <t>experiment_details</t>
  </si>
  <si>
    <t>experiment_time</t>
  </si>
  <si>
    <t>outcome_time</t>
  </si>
  <si>
    <t xml:space="preserve">Unique ID assigned to each site/treatment/managment. If a study reports outcomes for multiple intervention (e.g., agroforestry and intercropping), or comparator systems (e.g., simplified agricultural systems and natural), and/or multiple sites (e.g., Huatusco - MX; and Coatepec - MX) data from all interventions and comparators will be extracted and coded separately. For example, for put C1, C2,...giving a unique number to each unique treatment (and same number if only the taxa or biodiversity outcome changes). For the intervention practices, put T1, T2, ....using same logic. This will be used to correctly link comparators and intervention combinations within a single study, for analysis. Notes: If the experiment settings across taxa or biodiversity measure are the same, then use the same C value and T values. Change C and T values if settings like location, pesticide use, etc. change. </t>
  </si>
  <si>
    <t>C2..T1..T2</t>
  </si>
  <si>
    <t>C4..T5..T6</t>
  </si>
  <si>
    <t>Forage yield (kg/ha)= maize stover and Maize grain yield</t>
  </si>
  <si>
    <t>Forage yield, intercropping (kg/ha)= maize stover and legume stover</t>
  </si>
  <si>
    <t>Forage yield (kg/ha)= maize stover</t>
  </si>
  <si>
    <t>Mixed Forage</t>
  </si>
  <si>
    <t>product_focal_yield</t>
  </si>
  <si>
    <t>Biomass Yield</t>
  </si>
  <si>
    <t>Fig 3a</t>
  </si>
  <si>
    <t xml:space="preserve"> 588.8324873096444</t>
  </si>
  <si>
    <t xml:space="preserve"> 578.6802030456851</t>
  </si>
  <si>
    <t xml:space="preserve"> 639.5939086294416</t>
  </si>
  <si>
    <t xml:space="preserve"> 720.8121827411165</t>
  </si>
  <si>
    <t xml:space="preserve"> 1385.786802030457</t>
  </si>
  <si>
    <t xml:space="preserve"> 487.30964467005066</t>
  </si>
  <si>
    <t>extraction_person</t>
  </si>
  <si>
    <t>extraction_date</t>
  </si>
  <si>
    <t>checking_person</t>
  </si>
  <si>
    <t>checking_date</t>
  </si>
  <si>
    <t>row_status</t>
  </si>
  <si>
    <t>AS</t>
  </si>
  <si>
    <t>checking_obs</t>
  </si>
  <si>
    <t>extraction_obs</t>
  </si>
  <si>
    <t>extraction_details</t>
  </si>
  <si>
    <t>MD_Paut</t>
  </si>
  <si>
    <t>Nigeria</t>
  </si>
  <si>
    <t>Onion</t>
  </si>
  <si>
    <t>mt/ha</t>
  </si>
  <si>
    <t>15x20 cm sole onion</t>
  </si>
  <si>
    <t>15x20 cm onion/60x30 cm pepper</t>
  </si>
  <si>
    <t>Onion Bulb</t>
  </si>
  <si>
    <t>Pepper Fresh Fruit</t>
  </si>
  <si>
    <t>Onion bulb yield (mt/ha)</t>
  </si>
  <si>
    <t>Onion bulb yield (mt/ha) and peper fresh fruit (mt/yield)</t>
  </si>
  <si>
    <t>out_var_metric</t>
  </si>
  <si>
    <t>out_var_value</t>
  </si>
  <si>
    <t>outc_var_value_l</t>
  </si>
  <si>
    <t>outc_var_value_u</t>
  </si>
  <si>
    <t>Pepper</t>
  </si>
  <si>
    <t>15x20 cm onion/60x45 cm pepper</t>
  </si>
  <si>
    <t>15x20 cm onion/60x60 cm pepper</t>
  </si>
  <si>
    <t>15x20 cm onion/60x75 cm pepper</t>
  </si>
  <si>
    <t>Intercrop (Non N fixing)</t>
  </si>
  <si>
    <t>peper fresh fruit (mt/yield)</t>
  </si>
  <si>
    <t>60x30 cm sole pepper</t>
  </si>
  <si>
    <t>Bulb yield &amp; Fresh fruit yield</t>
  </si>
  <si>
    <t>Randomnized complete block design, 3 replicates in 2002 and 3 replicates in 2004= 6 replicates</t>
  </si>
  <si>
    <t>Region</t>
  </si>
  <si>
    <t>01_lookup_levels[Field$site_latlong_type]</t>
  </si>
  <si>
    <t>01_lookup_levels[Field$FieldSite.Admin]</t>
  </si>
  <si>
    <t>01_countries[country]</t>
  </si>
  <si>
    <t>01_sites[Site.Id]  or Free text</t>
  </si>
  <si>
    <t>Sudan Savanna ecological zone</t>
  </si>
  <si>
    <t>The experiment was a two factor experiment i.e., two crops combined under different intercropping spacings laid out in a randomnized complete block design (rcdb), replicated three times. There were ten treatments.</t>
  </si>
  <si>
    <t>Bama red</t>
  </si>
  <si>
    <t>Damasak</t>
  </si>
  <si>
    <t>60x30 cm pepper/15x20 onion</t>
  </si>
  <si>
    <t>60x30 cm pepper/15x30 onion</t>
  </si>
  <si>
    <t>60x30 cm pepper/15x40 onion</t>
  </si>
  <si>
    <t>60x30 cm pepper/15x50 onion</t>
  </si>
  <si>
    <t>Fresh fruit yield</t>
  </si>
  <si>
    <t>2002/2003 and 2004/2005 cool dry seeason of october to march of each year</t>
  </si>
  <si>
    <t>T1..T2..T3..T4..T5..T6..T7..T8</t>
  </si>
  <si>
    <t>product_component_focal_yield</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</si>
  <si>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</si>
  <si>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</si>
  <si>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</si>
  <si>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</si>
  <si>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</si>
  <si>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</si>
  <si>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</si>
  <si>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</si>
  <si>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</si>
  <si>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</si>
  <si>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commodity_product_component</t>
  </si>
  <si>
    <t>varietal_crop_subpractice_raw</t>
  </si>
  <si>
    <t>intercropping_practice</t>
  </si>
  <si>
    <t>intercropping_moderator</t>
  </si>
  <si>
    <t>Natural Fallow (&gt;6months)</t>
  </si>
  <si>
    <t>Natural Fallow (&gt;1yr)</t>
  </si>
  <si>
    <t>01_practices[subtype %in% c("Agroforestry pruning residues","Mulches","Crop residues"),Subpractice]</t>
  </si>
  <si>
    <r>
      <t xml:space="preserve">Name of the agroforestry practice. This dimension captures </t>
    </r>
    <r>
      <rPr>
        <sz val="11"/>
        <color theme="1"/>
        <rFont val="Aptos Narrow"/>
        <family val="2"/>
        <scheme val="minor"/>
      </rPr>
      <t>the shade management of the agroforestry system.</t>
    </r>
  </si>
  <si>
    <t>01_practices[type=="Crop management" &amp; subtype%in%c("Genetic improvement", "Genetic variation"),subpractice]</t>
  </si>
  <si>
    <t>01_practices[subtype== "Tillage",subpractice]</t>
  </si>
  <si>
    <t>habitat_type</t>
  </si>
  <si>
    <t>cropland</t>
  </si>
  <si>
    <t>outcome_value</t>
  </si>
  <si>
    <t>outcome_experimental_design</t>
  </si>
  <si>
    <t>nutrient_management_practice</t>
  </si>
  <si>
    <t>nutrient_management_fert_moderator</t>
  </si>
  <si>
    <t>nutrient_management_org_moderator</t>
  </si>
  <si>
    <t>crop_arrangement04</t>
  </si>
  <si>
    <t>crop_arrangement05</t>
  </si>
  <si>
    <t>crop_arrangement06</t>
  </si>
  <si>
    <t>crop_arrangement07</t>
  </si>
  <si>
    <t>crop_arrangement08</t>
  </si>
  <si>
    <t>crop04</t>
  </si>
  <si>
    <t>crop_variety04</t>
  </si>
  <si>
    <t>crop_density_unit04</t>
  </si>
  <si>
    <t>crop_density04</t>
  </si>
  <si>
    <t>crop_arrangement09</t>
  </si>
  <si>
    <t>crop05</t>
  </si>
  <si>
    <t>crop_variety05</t>
  </si>
  <si>
    <t>crop_density_unit05</t>
  </si>
  <si>
    <t>crop_density05</t>
  </si>
  <si>
    <t>crop06</t>
  </si>
  <si>
    <t>crop_variety06</t>
  </si>
  <si>
    <t>crop_density_unit06</t>
  </si>
  <si>
    <t>crop_density06</t>
  </si>
  <si>
    <t>crop07</t>
  </si>
  <si>
    <t>crop_variety07</t>
  </si>
  <si>
    <t>crop_density_unit07</t>
  </si>
  <si>
    <t>crop_density07</t>
  </si>
  <si>
    <t>crop08</t>
  </si>
  <si>
    <t>crop_variety08</t>
  </si>
  <si>
    <t>crop_density_unit08</t>
  </si>
  <si>
    <t>crop_density08</t>
  </si>
  <si>
    <t>crop09</t>
  </si>
  <si>
    <t>crop_variety09</t>
  </si>
  <si>
    <t>crop_density_unit09</t>
  </si>
  <si>
    <t>crop_density09</t>
  </si>
  <si>
    <t>crop_arrangement10</t>
  </si>
  <si>
    <t>crop_arrangement11</t>
  </si>
  <si>
    <t>crop_arrangement12</t>
  </si>
  <si>
    <t>crop_arrangement13</t>
  </si>
  <si>
    <t>crop_arrangement14</t>
  </si>
  <si>
    <t>crop_arrangement15</t>
  </si>
  <si>
    <t>crop10</t>
  </si>
  <si>
    <t>crop_variety10</t>
  </si>
  <si>
    <t>crop_density_unit10</t>
  </si>
  <si>
    <t>crop_density10</t>
  </si>
  <si>
    <t>crop11</t>
  </si>
  <si>
    <t>crop_variety11</t>
  </si>
  <si>
    <t>crop_density_unit11</t>
  </si>
  <si>
    <t>crop_density11</t>
  </si>
  <si>
    <t>crop12</t>
  </si>
  <si>
    <t>crop_variety12</t>
  </si>
  <si>
    <t>crop_density_unit12</t>
  </si>
  <si>
    <t>crop_density12</t>
  </si>
  <si>
    <t>crop13</t>
  </si>
  <si>
    <t>crop_variety13</t>
  </si>
  <si>
    <t>crop_density_unit13</t>
  </si>
  <si>
    <t>crop_density13</t>
  </si>
  <si>
    <t>crop14</t>
  </si>
  <si>
    <t>crop_variety14</t>
  </si>
  <si>
    <t>crop_density_unit14</t>
  </si>
  <si>
    <t>crop_density14</t>
  </si>
  <si>
    <t>crop15</t>
  </si>
  <si>
    <t>crop_variety15</t>
  </si>
  <si>
    <t>crop_density_unit15</t>
  </si>
  <si>
    <t>crop_density15</t>
  </si>
  <si>
    <t>country01:05</t>
  </si>
  <si>
    <t>site_type01:05</t>
  </si>
  <si>
    <t>site_id01:05</t>
  </si>
  <si>
    <t>site_admin01:05</t>
  </si>
  <si>
    <t>site_agg01:05</t>
  </si>
  <si>
    <t>site_latlong_type01:05</t>
  </si>
  <si>
    <t>site_latitude01:05</t>
  </si>
  <si>
    <t>site_longitude01:05</t>
  </si>
  <si>
    <t>site_buffer01:05</t>
  </si>
  <si>
    <t>site_buffer03</t>
  </si>
  <si>
    <t>site_buffer04</t>
  </si>
  <si>
    <t>site_buffer05</t>
  </si>
  <si>
    <t>country03</t>
  </si>
  <si>
    <t>site_type03</t>
  </si>
  <si>
    <t>site_id03</t>
  </si>
  <si>
    <t>site_admin03</t>
  </si>
  <si>
    <t>site_agg03</t>
  </si>
  <si>
    <t>site_latlong_type03</t>
  </si>
  <si>
    <t>site_latitude03</t>
  </si>
  <si>
    <t>site_longitude03</t>
  </si>
  <si>
    <t>country04</t>
  </si>
  <si>
    <t>site_type04</t>
  </si>
  <si>
    <t>site_id04</t>
  </si>
  <si>
    <t>site_admin04</t>
  </si>
  <si>
    <t>site_agg04</t>
  </si>
  <si>
    <t>site_latlong_type04</t>
  </si>
  <si>
    <t>site_latitude04</t>
  </si>
  <si>
    <t>site_longitude04</t>
  </si>
  <si>
    <t>country05</t>
  </si>
  <si>
    <t>site_type05</t>
  </si>
  <si>
    <t>site_id05</t>
  </si>
  <si>
    <t>site_admin05</t>
  </si>
  <si>
    <t>site_agg05</t>
  </si>
  <si>
    <t>site_latlong_type05</t>
  </si>
  <si>
    <t>site_latitude05</t>
  </si>
  <si>
    <t>site_longitude05</t>
  </si>
  <si>
    <t>tree_arrangement03</t>
  </si>
  <si>
    <t>tree_arrangement04</t>
  </si>
  <si>
    <t>tree_arrangement05</t>
  </si>
  <si>
    <t>tree_arrangement06</t>
  </si>
  <si>
    <t>tree_arrangement07</t>
  </si>
  <si>
    <t>tree_arrangement08</t>
  </si>
  <si>
    <t>tree_arrangement09</t>
  </si>
  <si>
    <t>tree_arrangement10</t>
  </si>
  <si>
    <t>tree_arrangement11</t>
  </si>
  <si>
    <t>tree_arrangement12</t>
  </si>
  <si>
    <t>tree03</t>
  </si>
  <si>
    <t>tree_density_unit03</t>
  </si>
  <si>
    <t>tree_density03</t>
  </si>
  <si>
    <t>tree04</t>
  </si>
  <si>
    <t>tree_density_unit04</t>
  </si>
  <si>
    <t>tree_density04</t>
  </si>
  <si>
    <t>tree05</t>
  </si>
  <si>
    <t>tree_density_unit05</t>
  </si>
  <si>
    <t>tree_density05</t>
  </si>
  <si>
    <t>tree_arrangement13</t>
  </si>
  <si>
    <t>tree_arrangement14</t>
  </si>
  <si>
    <t>tree_arrangement15</t>
  </si>
  <si>
    <t>tree06</t>
  </si>
  <si>
    <t>tree_density_unit06</t>
  </si>
  <si>
    <t>tree_density06</t>
  </si>
  <si>
    <t>tree07</t>
  </si>
  <si>
    <t>tree_density_unit07</t>
  </si>
  <si>
    <t>tree_density07</t>
  </si>
  <si>
    <t>tree08</t>
  </si>
  <si>
    <t>tree_density_unit08</t>
  </si>
  <si>
    <t>tree_density08</t>
  </si>
  <si>
    <t>tree09</t>
  </si>
  <si>
    <t>tree_density_unit09</t>
  </si>
  <si>
    <t>tree_density09</t>
  </si>
  <si>
    <t>tree10</t>
  </si>
  <si>
    <t>tree_density_unit10</t>
  </si>
  <si>
    <t>tree_density10</t>
  </si>
  <si>
    <t>tree11</t>
  </si>
  <si>
    <t>tree_density_unit11</t>
  </si>
  <si>
    <t>tree_density11</t>
  </si>
  <si>
    <t>tree12</t>
  </si>
  <si>
    <t>tree_density_unit12</t>
  </si>
  <si>
    <t>tree_density12</t>
  </si>
  <si>
    <t>tree13</t>
  </si>
  <si>
    <t>tree_density_unit13</t>
  </si>
  <si>
    <t>tree_density13</t>
  </si>
  <si>
    <t>tree14</t>
  </si>
  <si>
    <t>tree_density_unit14</t>
  </si>
  <si>
    <t>tree_density14</t>
  </si>
  <si>
    <t>tree15</t>
  </si>
  <si>
    <t>tree_density_unit15</t>
  </si>
  <si>
    <t>tree_density15</t>
  </si>
  <si>
    <t>animal_arrangement03</t>
  </si>
  <si>
    <t>animal_arrangement04</t>
  </si>
  <si>
    <t>animal_arrangement05</t>
  </si>
  <si>
    <t>animal03</t>
  </si>
  <si>
    <t>animal_breed03</t>
  </si>
  <si>
    <t>animal_density_unit03</t>
  </si>
  <si>
    <t>animal_density03</t>
  </si>
  <si>
    <t>animal04</t>
  </si>
  <si>
    <t>animal_breed04</t>
  </si>
  <si>
    <t>animal_density_unit04</t>
  </si>
  <si>
    <t>animal_density04</t>
  </si>
  <si>
    <t>animal05</t>
  </si>
  <si>
    <t>animal_breed05</t>
  </si>
  <si>
    <t>animal_density_unit05</t>
  </si>
  <si>
    <t>animal_density05</t>
  </si>
  <si>
    <t>ss_id</t>
  </si>
  <si>
    <t>JA_Berha_21_A sys_AG</t>
  </si>
  <si>
    <t>Ethiopia</t>
  </si>
  <si>
    <t>Study conducted at three sites over 2 years (one cropping season per year), with three farmers per site each hosting one experimental block. So N = 3 farmers per study site x 3 subplots where yield was harvested x 2 years = 18</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</si>
  <si>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</si>
  <si>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</si>
  <si>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Table A1</t>
  </si>
  <si>
    <t>Halaba</t>
  </si>
  <si>
    <t>Table A2</t>
  </si>
  <si>
    <t>Loka-Abaya</t>
  </si>
  <si>
    <t>Table A3</t>
  </si>
  <si>
    <t>total variable cost</t>
  </si>
  <si>
    <t>Lablab</t>
  </si>
  <si>
    <t>Ziway</t>
  </si>
  <si>
    <t>Variable Cost</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</si>
  <si>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</si>
  <si>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</si>
  <si>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Control: Recommended fertilizer levels, i.e. 100 kg diammonium  phosphate (DAP) ha 1 and 100 kg ha 1 urea at 30 days after planting  (53,333 plants ha 1)</t>
  </si>
  <si>
    <t>Control: maize with recommended fertilizer rates. Recommended fertilizer levels, i.e. 100 kg diammonium  phosphate (DAP) ha 1 and 100 kg ha 1 urea at 30 days after planting  (53,333 plants ha 1)</t>
  </si>
  <si>
    <t>MD: maize with micrrodosed fertilizer. Micro-dosing (point application of 0.5 g of DAP (equivalent to  26.7 kg ha 1) at planting and 0.5 g of urea (equivalent to  26.7 kg ha 1) 30 days after planting per pocket), equivalent to  17.3 kg N/ha (53,333 plants ha 1)</t>
  </si>
  <si>
    <t>SP+M: maize with seeds primed, mulch and recommended fertilizer. Seed priming (soaking seeds in water for 8 h prior to sowing), + 3 Mg/ha mulch, + recommended fertilizer levels (53,333  plants ha 1)</t>
  </si>
  <si>
    <t>SP+MD: maize with seeds primed and microdosed fertilizer. Seed priming + micro-dosing (53,333 plants ha 1)</t>
  </si>
  <si>
    <t>MD+SH: maize intercropped with sunnhemp and microdosed fertilizer. Micro-dosing + maize/sunnhemp intercropping (53,333  and 266,666 plants ha 1)</t>
  </si>
  <si>
    <t>MD+LL: maize intercropped with lablab and microdosed fertilizer. Micro-dosing + maize/lablab intercropping (53,333 and  66,666 plants ha 1)</t>
  </si>
  <si>
    <t>Sunn Hemp</t>
  </si>
  <si>
    <t>Recommend rate of fertilizer</t>
  </si>
  <si>
    <t>MD: Micro-dosing (point application of 0.5 g of DAP (equivalent to  26.7 kg ha 1) at planting and 0.5 g of urea (equivalent to  26.7 kg ha 1) 30 days after planting per pocket), equivalent to  17.3 kg N/ha (53,333 plants ha 1);</t>
  </si>
  <si>
    <t>SP + M: Seed priming (soaking seeds in water for 8 h prior to sowing), + 3 Mg/ha mulch, + recommended fertilizer levels (53,333  plants ha 1)</t>
  </si>
  <si>
    <t>Micro dosing</t>
  </si>
  <si>
    <t>MD + SH: Micro-dosing + maize/sunnhemp intercropping (53,333  and 266,666 plants ha 1)</t>
  </si>
  <si>
    <t>maize/sunnhemp intercropping</t>
  </si>
  <si>
    <t>maize/lablab intercropping</t>
  </si>
  <si>
    <t>Micro-dosing + maize/lablab intercropping (53,333 and  66,666 plants ha 1)</t>
  </si>
  <si>
    <t>Seed priming + micro-dosing (53,333 plants ha 1)</t>
  </si>
  <si>
    <t>Diammonium Phosphate..Urea</t>
  </si>
  <si>
    <t>100..100</t>
  </si>
  <si>
    <t>26.7..26.7</t>
  </si>
  <si>
    <t>Seed priming (soaking seeds in water for 8 h prior to sowing)</t>
  </si>
  <si>
    <t>3 Mg/ha mulch</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</si>
  <si>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</si>
  <si>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</si>
  <si>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Intercrop (N fixing)</t>
  </si>
  <si>
    <t>Lablab Biomass</t>
  </si>
  <si>
    <t>Seeds..Inorganic Fertilizer..Labor Cost</t>
  </si>
  <si>
    <t>SD (Standard Deviation)</t>
  </si>
  <si>
    <t>C2..C4..T1..T2</t>
  </si>
  <si>
    <t>JA_Moham_08_Produ_Wo</t>
  </si>
  <si>
    <t>Danila: cowpea monoculture</t>
  </si>
  <si>
    <t xml:space="preserve">Delfos (monocrotophos 400 g L of water-soluble concentrate) at the rate of 1.0 L ha </t>
  </si>
  <si>
    <t>gross monetary return</t>
  </si>
  <si>
    <t>Gross monetary returns on intercrop products were determined by summing the total naira value of cowpea and millet grains, millet stover and cowpea fodder per hectare.</t>
  </si>
  <si>
    <t>IT90K-277-2: cowpea monoculture</t>
  </si>
  <si>
    <t>IT95K-1091-3: cowpea monoculture</t>
  </si>
  <si>
    <t>IT96D-740: cowpea monoculture</t>
  </si>
  <si>
    <t>IT96D-757: cowpea monoculture</t>
  </si>
  <si>
    <t>C5</t>
  </si>
  <si>
    <t>IT96D-722: cowpea monoculture</t>
  </si>
  <si>
    <t>C6</t>
  </si>
  <si>
    <t>Millet</t>
  </si>
  <si>
    <t>IT 95K-277-2</t>
  </si>
  <si>
    <t>IT 95K-1091-3</t>
  </si>
  <si>
    <t>IT 96D-740</t>
  </si>
  <si>
    <t>IT 96D-757</t>
  </si>
  <si>
    <t>IT 96D-772</t>
  </si>
  <si>
    <t>Danila</t>
  </si>
  <si>
    <t>Replacement</t>
  </si>
  <si>
    <t>sole grain yield</t>
  </si>
  <si>
    <t>Cowpea Grain</t>
  </si>
  <si>
    <t>cowpea grain</t>
  </si>
  <si>
    <t>Local</t>
  </si>
  <si>
    <t>Medium Maturity..Photoperiod Sensitive..Spreading growth habit</t>
  </si>
  <si>
    <t>Medium Maturity..Photoperiod Insensitive..Semi-erect growing habit</t>
  </si>
  <si>
    <t>Improved</t>
  </si>
  <si>
    <t>Danila: cowpea/millet intercrop</t>
  </si>
  <si>
    <t>IT90K-277-2: cowpea /millet intercrop</t>
  </si>
  <si>
    <t>IT95K-1091-3: cowpea /millet intercrop</t>
  </si>
  <si>
    <t>IT96D-740: cowpea /millet intercrop</t>
  </si>
  <si>
    <t>IT96D-757: cowpea /millet intercrop</t>
  </si>
  <si>
    <t>IT96D-722: cowpea /millet intercrop</t>
  </si>
  <si>
    <t>Tab 3 (sole grain yield)</t>
  </si>
  <si>
    <t>Tab 3 (intercrop grain yield)</t>
  </si>
  <si>
    <t>delfos</t>
  </si>
  <si>
    <t>All plots received a basal dressing of 30kg N, 13kg P and 24.3kg K ha-1 as urea, Superphosphate and muriate of potash, respectivelly</t>
  </si>
  <si>
    <t>Urea..Superphosphate..Muriate of Potash</t>
  </si>
  <si>
    <t>30..13..24.3</t>
  </si>
  <si>
    <t>IITA, Minjibir</t>
  </si>
  <si>
    <t>The experiment was conducted during the 1999 and 2000</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</si>
  <si>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</si>
  <si>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intercrop grain yield</t>
  </si>
  <si>
    <t>CT Maize</t>
  </si>
  <si>
    <t>CA Maize</t>
  </si>
  <si>
    <t>Maize/Cowpea Intercropping</t>
  </si>
  <si>
    <t>Maize/Mucuna Intercropping</t>
  </si>
  <si>
    <t>Maize/Soybean Rotation</t>
  </si>
  <si>
    <t>Soybean/Maize Rotation</t>
  </si>
  <si>
    <t>Maize/Groundnut Rotation</t>
  </si>
  <si>
    <t>Groundnut/Maize Rotation</t>
  </si>
  <si>
    <t>T9</t>
  </si>
  <si>
    <t>T10</t>
  </si>
  <si>
    <t>T11</t>
  </si>
  <si>
    <t>T12</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</si>
  <si>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</si>
  <si>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USD/acre</t>
  </si>
  <si>
    <t>Labour costs</t>
  </si>
  <si>
    <t>Land Clearing..Land Preparation..Sowing..Inorganic Fertilizer Application..Organic Fertilizer Application..Herbicides Application..Pesticides Application..Weeding..Harvesting..Threshing</t>
  </si>
  <si>
    <t>Land Clearing..Sowing..Inorganic Fertilizer Application..Organic Fertilizer Application..Organic Mulch..Herbicides Application..Weeding..Harvesting..Threshing</t>
  </si>
  <si>
    <t>Land Clearing..Sowing..Inorganic Fertilizer Application..Organic Fertilizer Application..Organic Mulch..Herbicides Application..Pesticides Application..Weeding..Harvesting..Threshing</t>
  </si>
  <si>
    <t>Land Clearing..Sowing..Organic Fertilizer Application..Organic Mulch..Herbicides Application..Weeding..Harvesting..Threshing</t>
  </si>
  <si>
    <t>Ammonium Nitrate</t>
  </si>
  <si>
    <t>Top dressing with Ammonium Nitrate</t>
  </si>
  <si>
    <t>T13</t>
  </si>
  <si>
    <t>T14</t>
  </si>
  <si>
    <t>C6..T9..T10..T11..T12..T13..T14</t>
  </si>
  <si>
    <t>T9..T10..T11..T12..T13..T14</t>
  </si>
  <si>
    <t>JA_Kabur_08_Evalu_Jo</t>
  </si>
  <si>
    <t>Tab 2 bulb yield (mt/ha)(2002)</t>
  </si>
  <si>
    <t>Tab 2 bulb yield (mt/ha)(2002); Tab 3 Fresh fruit yield (mt/ha)(2002)</t>
  </si>
  <si>
    <t>Tab 3 Fresh fruit yield (mt/ha)(2004)</t>
  </si>
  <si>
    <t>Tab 2 bulb yield (mt/ha)(2004); Tab 3 Fresh fruit yield (mt/ha)(2004)</t>
  </si>
  <si>
    <t>Gross Return</t>
  </si>
  <si>
    <t>total revenue (USD/ha)</t>
  </si>
  <si>
    <t>Sunn Hemp Biomass</t>
  </si>
  <si>
    <t>yield (kg/ha)</t>
  </si>
  <si>
    <t>The experimental design was split plot with three replications.</t>
  </si>
  <si>
    <t>JA_Muone_07_Effec_Af</t>
  </si>
  <si>
    <t>Sole TGX 1448-2E: soybean varieties (TGX 1448-2E)</t>
  </si>
  <si>
    <t>The experiments were laid out factorially in randomized complete block design (RCBD) with three blocks x two seasons (6 samples per treatment)</t>
  </si>
  <si>
    <t>soybean yield</t>
  </si>
  <si>
    <t>yield x crop price</t>
  </si>
  <si>
    <t>Sole Samsoy-2: Soybean variety (Samsoy-2)</t>
  </si>
  <si>
    <t>Sole Maixe (53,330): maize (TZR-EW)</t>
  </si>
  <si>
    <t>maize yield</t>
  </si>
  <si>
    <t>maize and soybean yield</t>
  </si>
  <si>
    <t>38,000/Samsoy-2: maize (TZR-EW)/Soybean variety (Samsoy-2)</t>
  </si>
  <si>
    <t>44,440/TGX 1448-2E: maize (TZR-EW)/ soybean varieties (TGX 1448-2E)</t>
  </si>
  <si>
    <t>44,440/Samsoy-2: maize (TZR-EW)/Soybean variety (Samsoy-2)</t>
  </si>
  <si>
    <t>53,330/TGX 1448-2E: maize (TZR-EW)/soybean varieties (TGX 1448-2E)</t>
  </si>
  <si>
    <t>53,330/Samsoy-2: maize (TZR-EW)/Soybean variety (Samsoy-2)</t>
  </si>
  <si>
    <t>NGN/ha</t>
  </si>
  <si>
    <t>Tab9 (early season)</t>
  </si>
  <si>
    <t>early season</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</si>
  <si>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</si>
  <si>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</si>
  <si>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38,000/TGX 1448-2E: maize (TZR-EW)/soybean varieties (TGX 1448-2E)</t>
  </si>
  <si>
    <t>TGx 1448-2E</t>
  </si>
  <si>
    <t>Samsoy-2</t>
  </si>
  <si>
    <t>TZR-EW</t>
  </si>
  <si>
    <t>Monoculure</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</si>
  <si>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</si>
  <si>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Hand Weeding</t>
  </si>
  <si>
    <t>Two manual weedings were done at three and six weeks after planting (WAP).</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</si>
  <si>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</si>
  <si>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</si>
  <si>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Inorganic and Organic Fertilizers</t>
  </si>
  <si>
    <t>Tab9 (late season)</t>
  </si>
  <si>
    <t>early season (May - August)</t>
  </si>
  <si>
    <t>late season (July November)</t>
  </si>
  <si>
    <t>late season</t>
  </si>
  <si>
    <t>T2..T4..T6</t>
  </si>
  <si>
    <t>T1..T2..T3..T4..T5..T6</t>
  </si>
  <si>
    <t>T1..T3..T5</t>
  </si>
  <si>
    <t>Partial Land Equivalent Ratio</t>
  </si>
  <si>
    <t>Tab8 (early season)</t>
  </si>
  <si>
    <t>maize and soybean</t>
  </si>
  <si>
    <t>Partial LER</t>
  </si>
  <si>
    <t>Millet monoculture</t>
  </si>
  <si>
    <t>C0</t>
  </si>
  <si>
    <t>millet yield</t>
  </si>
  <si>
    <t>JA_Phill_09_Econo_Wo</t>
  </si>
  <si>
    <t>Sole Telfairia (40 tonnes/ha manure)</t>
  </si>
  <si>
    <t>a total of nine treatment combinations of three replicates each were assigned by randomized complete block design on 27 experimental plots. (3 replications x 2 years = 6=</t>
  </si>
  <si>
    <t>revenue from telfairia</t>
  </si>
  <si>
    <t>Sole Telfairia (80 tonnes/ha manure)</t>
  </si>
  <si>
    <t>Sole Telfairia (no manure)</t>
  </si>
  <si>
    <t>Sole Plantain (no manure)</t>
  </si>
  <si>
    <t>Plantain</t>
  </si>
  <si>
    <t>Sole Plantain (40 tonnes/ha manure)</t>
  </si>
  <si>
    <t>Sole Plantain (80 tonnes/ha manure)</t>
  </si>
  <si>
    <t>Plantain and Telfairia (no manure)</t>
  </si>
  <si>
    <t>Plantain and Telfairia: (40 tonnes/ha manure)</t>
  </si>
  <si>
    <t>Plantain and Telfairia: (80 tonnes/ha manure)</t>
  </si>
  <si>
    <t>Tab1</t>
  </si>
  <si>
    <t>Tab2</t>
  </si>
  <si>
    <t>Tab3</t>
  </si>
  <si>
    <t>University of Agriculture Abeokuta</t>
  </si>
  <si>
    <t>01_product$Product.Simple</t>
  </si>
  <si>
    <t>Fluted Pumpkin</t>
  </si>
  <si>
    <t>Agbagba</t>
  </si>
  <si>
    <t>Unspecified Manure</t>
  </si>
  <si>
    <t>total revenue (Nairas/ha)</t>
  </si>
  <si>
    <t>Plantain Sucker</t>
  </si>
  <si>
    <t>revenue from plantain sucker sales</t>
  </si>
  <si>
    <t>revenue from telfairia and plantain sucker sales</t>
  </si>
  <si>
    <t>Tab4</t>
  </si>
  <si>
    <t>Plantain Fruit</t>
  </si>
  <si>
    <t>labour cost</t>
  </si>
  <si>
    <t>labour cost (N/ha)</t>
  </si>
  <si>
    <t>Total variable cost (N/ha)</t>
  </si>
  <si>
    <t>Labor Cost</t>
  </si>
  <si>
    <t>Seeds or Planting Material..Labor Cost</t>
  </si>
  <si>
    <t>Seeds or Planting Material..Labor Cost..Organic Fertilizer</t>
  </si>
  <si>
    <t>Gross Margin (N/ha)</t>
  </si>
  <si>
    <t>Fig2</t>
  </si>
  <si>
    <t>Benefit - Cost ratio</t>
  </si>
  <si>
    <t>Benefit Cost Ratio (GRVC)</t>
  </si>
  <si>
    <t>Crop yield</t>
  </si>
  <si>
    <t>JA_Saka,_07_An ec_Mi</t>
  </si>
  <si>
    <t>nd</t>
  </si>
  <si>
    <t>Mz: sole maize</t>
  </si>
  <si>
    <t>2 studied years</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</si>
  <si>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</si>
  <si>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</si>
  <si>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</si>
  <si>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Kn: sole kenaf</t>
  </si>
  <si>
    <t>Kenaf</t>
  </si>
  <si>
    <t>AYB sole african yam bean</t>
  </si>
  <si>
    <t>Mz/Kn/AY:intercropping maize, kenaf and african yam bean</t>
  </si>
  <si>
    <t>Mz/Kn: intercropping maize and kenaf</t>
  </si>
  <si>
    <t>Mz/AY: intercroppin maize and african yam bean</t>
  </si>
  <si>
    <t>Kn/AYB: intercropping kenaf and african yam bean</t>
  </si>
  <si>
    <t>Ibadan</t>
  </si>
  <si>
    <t>African Yam Bean</t>
  </si>
  <si>
    <t xml:space="preserve">The experiment involved seven treatments namely: AYB/Maize/Kenaf, AYB/Kenaf, AYB/Maize, Maize/Kenaf, sole maize, sole kenaf and sole AYB. </t>
  </si>
  <si>
    <t>Cuba 108</t>
  </si>
  <si>
    <t>DMR-ESR-Y</t>
  </si>
  <si>
    <t>Cuba 109</t>
  </si>
  <si>
    <t>A basal application of 120 kg haG NPK (15-15-15) compound fertilizer was applied to maize and kenaf plants.</t>
  </si>
  <si>
    <t>A basal application of 120 kg haG NPK (15-15-15) compound fertilizer was applied to maize and kenaf plants. At anthesis, a second dose of fertilizer was</t>
  </si>
  <si>
    <t>A basal application of 120 kg haG NPK (15-15-15) compound fertilizer was applied to maize and kenaf plants. applied to maize in form of 40 kgN haG using urea.</t>
  </si>
  <si>
    <t>120..40</t>
  </si>
  <si>
    <t>120..41</t>
  </si>
  <si>
    <t>120..42</t>
  </si>
  <si>
    <t>120..43</t>
  </si>
  <si>
    <t>Compound D..Urea</t>
  </si>
  <si>
    <t>Compound D</t>
  </si>
  <si>
    <t>No fertilizer applied</t>
  </si>
  <si>
    <t>No-fertilizer</t>
  </si>
  <si>
    <t>total benefit</t>
  </si>
  <si>
    <t>Maize value, kenaf value, ayb value</t>
  </si>
  <si>
    <t>Maize value, kenaf value</t>
  </si>
  <si>
    <t>Maize value, ayb value</t>
  </si>
  <si>
    <t>Maize value</t>
  </si>
  <si>
    <t>kenaf value, ayb value</t>
  </si>
  <si>
    <t>kenaf value</t>
  </si>
  <si>
    <t>ayb value</t>
  </si>
  <si>
    <t>Maize monocrop infested with S. hermonthica (henceforth referred to as site A)</t>
  </si>
  <si>
    <t>four replications per treatment</t>
  </si>
  <si>
    <t>maize grain</t>
  </si>
  <si>
    <t>gross benefits</t>
  </si>
  <si>
    <t>maize-beans: intercrop infested with S. hermonthica (henceforth referred to as site A)</t>
  </si>
  <si>
    <t>maize grain, bean grain</t>
  </si>
  <si>
    <t>maize-desmodium: maize and silverleaf desmodium infested with S. hermonthica (henceforth referred to as site A)</t>
  </si>
  <si>
    <t>Desmodium</t>
  </si>
  <si>
    <t>maize grain, desmodium seeds, desmodium forage</t>
  </si>
  <si>
    <t>MDB same hole: maize, desmodium and bean with maize and beans in the same hole; infested with S. hermonthica (henceforth referred to as site A)</t>
  </si>
  <si>
    <t>maize grain, desmodium seeds, bean grain, desmodium forage</t>
  </si>
  <si>
    <t>MDB different holes: maize, desmodium and bean with maize and beans in the same hole; infested with S. hermonthica (henceforth referred to as site A)</t>
  </si>
  <si>
    <t>Maize monocrop; with no S. hermonthica infestation (henceforth referred to as site B).</t>
  </si>
  <si>
    <t>maize-beans: intercrop; with no S. hermonthica infestation (henceforth referred to as site B).</t>
  </si>
  <si>
    <t>maize-desmodium: maize and silverleaf desmodium; with no S. hermonthica infestation (henceforth referred to as site B).</t>
  </si>
  <si>
    <t>MDB same hole: maize, desmodium and bean with maize and beans in the same hole; with no S. hermonthica infestation (henceforth referred to as site B).</t>
  </si>
  <si>
    <t>MDB different holes: maize, desmodium and bean with maize and beans in the same hole; with no S. hermonthica infestation (henceforth referred to as site B).</t>
  </si>
  <si>
    <t>short rains</t>
  </si>
  <si>
    <t>Tab8 (siteA infested with striga, short rains 2007)</t>
  </si>
  <si>
    <t>ICIPE Campus, Mbita Point</t>
  </si>
  <si>
    <t>Common Bean</t>
  </si>
  <si>
    <t>Mwezi moja</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</si>
  <si>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</si>
  <si>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H 505</t>
  </si>
  <si>
    <t>Additionally, in all plots, 20 kg nitrogen and 50 kg P/ha were applied as diammonium phosphate at planting of maize and 20 kg N/ha was applied as calcium ammonium nitrate as topdressing 6 weeks later.</t>
  </si>
  <si>
    <t>Diammonium Phosphate..Calcium Ammonium Nitrate</t>
  </si>
  <si>
    <t>Push pull</t>
  </si>
  <si>
    <t>long rains</t>
  </si>
  <si>
    <t>short rains 2007</t>
  </si>
  <si>
    <t>long rains 2008</t>
  </si>
  <si>
    <t>long rains 2007</t>
  </si>
  <si>
    <t>Total revenues minus total variable costs</t>
  </si>
  <si>
    <t>Common Bean Grain</t>
  </si>
  <si>
    <t>MDB different holes: maize, desmodium and bean with maize and beans in the different hole; infested with S. hermonthica (henceforth referred to as site A)</t>
  </si>
  <si>
    <t>Desmodium Seed</t>
  </si>
  <si>
    <t>Desmodium Forage</t>
  </si>
  <si>
    <t>Planting..Weeding..Inorganic Fertilizer Application..Harvesting..Shelling</t>
  </si>
  <si>
    <t>Planting..Weeding..Inorganic Fertilizer Application..Harvesting..Shelling..Threshing</t>
  </si>
  <si>
    <t>Planting..Weeding..Inorganic Fertilizer Application..Harvesting..Shelling..Machinery..Packaging material..Transport..Seeds..Inorganic Fertilizer</t>
  </si>
  <si>
    <t>Planting..Weeding..Inorganic Fertilizer Application..Harvesting..Shelling..Threshing..Machinery..Packaging material..Transport..Seeds..Inorganic Fertilizer</t>
  </si>
  <si>
    <t>total revenue</t>
  </si>
  <si>
    <t>where zi is the amount of money generated from the sale of plot output i, i.e., due to the technology including maize grain, beans, desmodium seeds and desmodium forage.</t>
  </si>
  <si>
    <t>Tab6 (siteA infested with striga, short rains 2007)</t>
  </si>
  <si>
    <t>Tab8 (siteB without striga, short rains 2007)</t>
  </si>
  <si>
    <t>Tab8 (siteB without striga, long rains 2007)</t>
  </si>
  <si>
    <t>Tab6 (siteB without striga, long rains 2007)</t>
  </si>
  <si>
    <t>Tab6 (siteB without striga, short rains 2007)</t>
  </si>
  <si>
    <t>Maize grain yield</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</si>
  <si>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</si>
  <si>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</si>
  <si>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</si>
  <si>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</si>
  <si>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</si>
  <si>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</si>
  <si>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long rains 12WAE</t>
  </si>
  <si>
    <t>Tab5 (long rains 2008 12WAE twelve weeks after maize emerge)</t>
  </si>
  <si>
    <t>plants/plot</t>
  </si>
  <si>
    <t>Number of Striga hermonthica plants per plot</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</si>
  <si>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</si>
  <si>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01_practices[subtype %in% c("Pest management in plants"),subpractice]</t>
  </si>
  <si>
    <t>01_practices[type =="Nutrient management",subpractice]</t>
  </si>
  <si>
    <t>01_practices[type=="Water management" &amp; theme=="Irrigation",subpractice] or Free Text</t>
  </si>
  <si>
    <t>01_practices[theme %in% c("Water Harvesting"),Subpractice]</t>
  </si>
  <si>
    <t>01_practices[subtype=="Harvesting method",subpractice] or Free Text</t>
  </si>
  <si>
    <t>01_practices[subtype %in% c("Postharvest method"),Subpractice]</t>
  </si>
  <si>
    <t>01_practices[subtype =="Planting method"]</t>
  </si>
  <si>
    <t>landscape_management</t>
  </si>
  <si>
    <t>What ecological function is the structure meant to provide?</t>
  </si>
  <si>
    <t>Name the landscape structure subpractice</t>
  </si>
  <si>
    <t>land_structure_subpractice_raw</t>
  </si>
  <si>
    <t>land_structure_subpractice</t>
  </si>
  <si>
    <t>land_structure_function</t>
  </si>
  <si>
    <t>land_structure_origin</t>
  </si>
  <si>
    <t>land_structure_manage</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</si>
  <si>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</si>
  <si>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</si>
  <si>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01_lookup_levels[Field$land_structure_function]</t>
  </si>
  <si>
    <t>01_lookup_levels[Field$land_structure_origin]</t>
  </si>
  <si>
    <t>01_lookup_levels[Field$land_structure_manage]</t>
  </si>
  <si>
    <t>Agroforestry Fallow (N fixing) (&gt;=6months)</t>
  </si>
  <si>
    <t>Agroforestry Fallow (N fixing) (&gt;=1yr)</t>
  </si>
  <si>
    <t>agrof_subpractice_age_years</t>
  </si>
  <si>
    <t>01_practices[subtheme %in% c("FMNR","Alleycropping", "Parklands","Boundary Planting", "Homegarden","Other Agroforestry","Monoculture","Timber plantation"),subpractice] &amp;01_practices[type =="Natural/seminatural habitats management,subpractice]</t>
  </si>
  <si>
    <t>01_practices[subtype%in%c( "Diversification (temporal)","Diversification (spatial temporal)"),Subpractice] &amp; &amp;01_practices[type =="Natural/seminatural habitats management,subpractice]</t>
  </si>
  <si>
    <t>01_practices[type%in%c("Crop management", "Soil management) &amp;subtype=="Diversification (spatial)",subpractice]  &amp; 01_practices[type =="Natural/seminatural habitats management,subpractice]</t>
  </si>
  <si>
    <t>01_practices[practice %in% c("Silvopasture","Multistrata Agroforestry","Agroforestry - high diversity","Agroforestry - low diversity","Other Agroforestry","Agrosilvopasture","Aquasilvopasture","Monoculture"),subpractice] &amp;01_practices[type =="Natural/seminatural habitats management,subpractice]</t>
  </si>
  <si>
    <t>01_practices[subtype %in% c("Shade management"),subpractice] &amp;01_practices[type =="Natural/seminatural habitats management,subpractice]</t>
  </si>
  <si>
    <t>water harvesting_practice</t>
  </si>
  <si>
    <t>01_practices[subtype =="Landscape structure"),Subpractice] &amp;01_practices[type =="Natural/seminatural habitats management,subpractice]</t>
  </si>
  <si>
    <t>system_type</t>
  </si>
  <si>
    <t>Name of animal species including in the practice, first letter of name capitilized and the rest lowercase. Use common names of species.</t>
  </si>
  <si>
    <t>Must match a value listed in the 01_var_animals$V.Var in 01_FOMD_ontologies file. Use controlled vocabulary only (no free typing). If multiple animals are present (e.g., intercropping or rotation), record each animal in a separate indexed column (animal01:05).</t>
  </si>
  <si>
    <t>01_vars_animals$V.Var</t>
  </si>
  <si>
    <t>01_practices[type=="Animal management" &amp;subtype=="Genetic improvement",Subpractice]</t>
  </si>
  <si>
    <t>01_lookup_levels[Field$Var.Type]</t>
  </si>
  <si>
    <t>varietal_animal_trait</t>
  </si>
  <si>
    <t>01_lookup_levels[Field$animal_var_type]</t>
  </si>
  <si>
    <t xml:space="preserve">Animal trait. Enter any specific info of the variety . When multiple traits are reported for the same variety, separate traits using two dots (..). </t>
  </si>
  <si>
    <t>01_lookup_levels[Field$animal_trait]</t>
  </si>
  <si>
    <t>cropland, grassland, natural/seminatural</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</si>
  <si>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</si>
  <si>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JA_Mastr_12_Trade_Co</t>
  </si>
  <si>
    <t>Argentina</t>
  </si>
  <si>
    <t>0.3287671232876712</t>
  </si>
  <si>
    <t>FF: forest fragments: that had not been used for agriculture or intensive logging in the past 5 years, were &gt;1000 ha, and had a canopy cover &gt;70%.</t>
  </si>
  <si>
    <t>natural/seminatural</t>
  </si>
  <si>
    <t>all species</t>
  </si>
  <si>
    <t>Birds</t>
  </si>
  <si>
    <t>Shannon Index</t>
  </si>
  <si>
    <t>Pasture not embedding natural habitat</t>
  </si>
  <si>
    <t>HIPS: high-intensity pasture systems, open pastures of non-native grasses growing on areas completely cleared of native vegetation</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</si>
  <si>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</si>
  <si>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carnivores</t>
  </si>
  <si>
    <t>Species Richness</t>
  </si>
  <si>
    <t>frugivores</t>
  </si>
  <si>
    <t>Frugivores</t>
  </si>
  <si>
    <t>granivores</t>
  </si>
  <si>
    <t>Granivores</t>
  </si>
  <si>
    <t>insectivores</t>
  </si>
  <si>
    <t>omnivores</t>
  </si>
  <si>
    <t>Omnivores</t>
  </si>
  <si>
    <t>Pasture embedding natural habitat</t>
  </si>
  <si>
    <t>VLIS: very-low intensity systems, closed forests with free-ranging cattle feeding on understory shurbs and ephemeral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</si>
  <si>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</si>
  <si>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LISS: low-intensity silvopastoral systems, open forests with free-ranging cattle feeding on understory selectively cleared to stimulate regeneration of native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</si>
  <si>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</si>
  <si>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IISS: intermediate-intensity silvopastoral systems, stands of native trees of varying densities in which planted non-native grasses have replaced the woody understory</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</si>
  <si>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</si>
  <si>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</si>
  <si>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Silvopasture</t>
  </si>
  <si>
    <t>Calycophyllum multiflorum</t>
  </si>
  <si>
    <t>Phyllostylon rhamnoides</t>
  </si>
  <si>
    <t>Bulnesia sarmientoi</t>
  </si>
  <si>
    <t>Chorisia speciosa</t>
  </si>
  <si>
    <t>Prosopis spp.</t>
  </si>
  <si>
    <t>Aspidosperma spp.</t>
  </si>
  <si>
    <t>Schinopsis balansae</t>
  </si>
  <si>
    <t>Cattle</t>
  </si>
  <si>
    <t>Agroforestry (high shaded)</t>
  </si>
  <si>
    <t>Native grasses</t>
  </si>
  <si>
    <t>Agroforestry (moderate shaded)</t>
  </si>
  <si>
    <t>grassland</t>
  </si>
  <si>
    <t>Unshaded</t>
  </si>
  <si>
    <t>Panicum maximum</t>
  </si>
  <si>
    <t>Ephemeral</t>
  </si>
  <si>
    <t>forest specialist</t>
  </si>
  <si>
    <t>generalist</t>
  </si>
  <si>
    <t>open-land specialist</t>
  </si>
  <si>
    <t>Forest specialist</t>
  </si>
  <si>
    <t>Generalist</t>
  </si>
  <si>
    <t>Open-land specialist</t>
  </si>
  <si>
    <t>Carnivores</t>
  </si>
  <si>
    <t>Insectivores</t>
  </si>
  <si>
    <t>Secondary Forest</t>
  </si>
  <si>
    <t>Farmer Managed Natural Regeneration</t>
  </si>
  <si>
    <t>Open pasture</t>
  </si>
  <si>
    <t>Exotic</t>
  </si>
  <si>
    <t>Native</t>
  </si>
  <si>
    <t>kg/ha/yr</t>
  </si>
  <si>
    <t>cattle yield</t>
  </si>
  <si>
    <t>Weight Gain</t>
  </si>
  <si>
    <t>cattle yield based on this question How many kilograms of meat yield each cattle head</t>
  </si>
  <si>
    <t>cattle weight</t>
  </si>
  <si>
    <t>individuals/km2</t>
  </si>
  <si>
    <t>From text in Results &gt; Production Intensity, Cattle Yield and Tree Cover</t>
  </si>
  <si>
    <t>May to August 2010</t>
  </si>
  <si>
    <t>Farm</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</si>
  <si>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</si>
  <si>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The Bermejo-Pilcomayo Interfluve</t>
  </si>
  <si>
    <t>JA_Hylan_09_compl_Co</t>
  </si>
  <si>
    <t>upland rainforest, with canopy trees, such as Olea welwitschii, Sapium ellipticum, Schefflera abyssinica, Syzygium guineense,and Pouteria adolfi-friderici,that reach 20â€“30 m (Friis</t>
  </si>
  <si>
    <t>Schefflera abyssinica</t>
  </si>
  <si>
    <t>Pouteria adolfi-friderici</t>
  </si>
  <si>
    <t>Olea welwitschii</t>
  </si>
  <si>
    <t>Sapium ellipticum</t>
  </si>
  <si>
    <t>Syzygium guineense</t>
  </si>
  <si>
    <t>A quadrat (various sizes depending on taxa) in each 1km2 site, including 13 sites for plantation, 15 for forest, 14 for home gardens</t>
  </si>
  <si>
    <t>Bryophyta (Liverworts)</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</si>
  <si>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</si>
  <si>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</si>
  <si>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Bryophyta (Mosses)</t>
  </si>
  <si>
    <t>Plants (Trees and Shrubs)</t>
  </si>
  <si>
    <t>Plants (Vascular Epiphytic Species)</t>
  </si>
  <si>
    <t>Coffee</t>
  </si>
  <si>
    <t xml:space="preserve">Home Garden </t>
  </si>
  <si>
    <t>shaded coffee home gardens</t>
  </si>
  <si>
    <t>Homegarden</t>
  </si>
  <si>
    <t>Dry tropical forest</t>
  </si>
  <si>
    <t>Upland rainforest</t>
  </si>
  <si>
    <t>T1..T2..T3..C2</t>
  </si>
  <si>
    <t>T1..T2..T3</t>
  </si>
  <si>
    <t>May to August 2011</t>
  </si>
  <si>
    <t>May to August 2012</t>
  </si>
  <si>
    <t>May to August 2013</t>
  </si>
  <si>
    <t>May to August 2014</t>
  </si>
  <si>
    <t>Town</t>
  </si>
  <si>
    <t>Bonga</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</si>
  <si>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</si>
  <si>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Forest (pristine/primary/unmanaged)</t>
  </si>
  <si>
    <t>Trees and Shrubs</t>
  </si>
  <si>
    <t>Vascular epiphytes</t>
  </si>
  <si>
    <t>Species density</t>
  </si>
  <si>
    <t>Mosses</t>
  </si>
  <si>
    <t>Liverworts</t>
  </si>
  <si>
    <t>Based on aerial photographs from 1996 (and in some cases 1984–1985)</t>
  </si>
  <si>
    <t>JA_Siles_08_Mixed_So</t>
  </si>
  <si>
    <t>Zambia</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</si>
  <si>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</si>
  <si>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</si>
  <si>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Figure 4 A</t>
  </si>
  <si>
    <t>Fallow (regular, &gt;1yr)</t>
  </si>
  <si>
    <t>Pigeon pea</t>
  </si>
  <si>
    <t>millipedes</t>
  </si>
  <si>
    <t>Figure 4 B</t>
  </si>
  <si>
    <t>termites</t>
  </si>
  <si>
    <t>Figure 4 C</t>
  </si>
  <si>
    <t>Figure 4 D</t>
  </si>
  <si>
    <t>Figure 4 E</t>
  </si>
  <si>
    <t>Msekera RS</t>
  </si>
  <si>
    <t>between 1999 and 2007.</t>
  </si>
  <si>
    <t>MM 604</t>
  </si>
  <si>
    <t>Compound..Urea</t>
  </si>
  <si>
    <t>200..200</t>
  </si>
  <si>
    <t>100..92</t>
  </si>
  <si>
    <t>The treatments were arranged in a randomized complete block design with three replicates.</t>
  </si>
  <si>
    <t>01_practices[theme =="Weed control",subpractice]</t>
  </si>
  <si>
    <t>Weeding was done manually once to help seedling establishment and all weeds were incorporated into the soil.</t>
  </si>
  <si>
    <t>Earthworms</t>
  </si>
  <si>
    <t>Millipedes</t>
  </si>
  <si>
    <t>Termites</t>
  </si>
  <si>
    <t>Beetles</t>
  </si>
  <si>
    <t>Centipedes</t>
  </si>
  <si>
    <t>Integration of edible beans (Phaseolus vulgaris L.) into the push–pull technology developed for stemborer and Striga control in maize-based cropping systems</t>
  </si>
  <si>
    <t>Cc: pigeon pea in fallow. Fallow (12/1999-10/2001); M-F (12/2001-4/2002); M-F (12/2002-4/2003); fallow (12/2023-10/2005); M-F (12/2005-4/2006); M-F (12/2006-4/2007)</t>
  </si>
  <si>
    <t xml:space="preserve">Tv: tephrosia in fallow. Fallow (12/1999-10/2001); M-F (12/2001-4/2002); M-F (12/2002-4/2003); fallow (12/2023-10/2005); M-F (12/2005-4/2006); M-F (12/2006-4/2007) </t>
  </si>
  <si>
    <t>SsTv: 1:1 mixtures of sesbania + tephrosia in fallow. Fallow (12/1999-10/2001); M-F (12/2001-4/2002); M-F (12/2002-4/2003); fallow (12/2023-10/2005); M-F (12/2005-4/2006); M-F (12/2006-4/2007)</t>
  </si>
  <si>
    <t>SsCc: 1:1 mixtures of sesbania + pigeon pea in fallow. Fallow (12/1999-10/2001); M-F (12/2001-4/2002); M-F (12/2002-4/2003); fallow (12/2023-10/2005); M-F (12/2005-4/2006); M-F (12/2006-4/2007)</t>
  </si>
  <si>
    <t xml:space="preserve">Ss: sesbania in fallow. Fallow (12/1999-10/2001); M-F (12/2001-4/2002); M-F (12/2002-4/2003); fallow (12/2023-10/2005); M-F (12/2005-4/2006); M-F (12/2006-4/2007) </t>
  </si>
  <si>
    <t>M + F: monoculture maize receiving recommended fertilizer. M+F (12/1999-10/2001); M+F (12/2001-4/2002); M+F (12/2002-4/2003); M+F (12/2023-10/2005); M+F (12/2005-4/2006); M+F (12/2006-4/2007)</t>
  </si>
  <si>
    <t>Tephrosia vogelii</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</si>
  <si>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</si>
  <si>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Incorporated</t>
  </si>
  <si>
    <t>Improved Fallow (N fixing) (&gt;6months)</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</si>
  <si>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</si>
  <si>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</si>
  <si>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Feb</t>
  </si>
  <si>
    <t>JA_Kaur,_21_Produ_IN</t>
  </si>
  <si>
    <t>India</t>
  </si>
  <si>
    <t>Crop rotation - low diversity</t>
  </si>
  <si>
    <t>M-W: maize (Zea mays)-wheat (Triticum aestivum)</t>
  </si>
  <si>
    <t>Wheat</t>
  </si>
  <si>
    <t>Maize- Wheat yield</t>
  </si>
  <si>
    <t>Net income</t>
  </si>
  <si>
    <t>Crop rotation - high diversity</t>
  </si>
  <si>
    <t>M-P-Me:maize-potato (Solanum tuberosum)-mentha (Mentha arvensis)  onion (Allium cepa)</t>
  </si>
  <si>
    <t>Mentha</t>
  </si>
  <si>
    <t>Potato</t>
  </si>
  <si>
    <t>Maize- Mentha- Onion- Potato yield</t>
  </si>
  <si>
    <t>M(f)-P- Me: maize  cowpea (Vigna unguiculata) (f)-potato-mentha  onion</t>
  </si>
  <si>
    <t>Cowpea- Maize- Mentha- Onion- Potato yield</t>
  </si>
  <si>
    <t>M(f)-P-SpM: maize  cowpea (f)-potato-spring maize</t>
  </si>
  <si>
    <t>Cowpea- Maize- Potato yield</t>
  </si>
  <si>
    <t>M(f)-Gs-SuMo: maize  cowpea (f)-gobhi sarson-summer moong (Vigna radiata)</t>
  </si>
  <si>
    <t>Cowpea- Gobhi sarson- Maize- Summer moong yield</t>
  </si>
  <si>
    <t>M-TSuMo: maize-toria (Brassica rapa)  gobhi sarson (Brassica napus)- summer moong</t>
  </si>
  <si>
    <t>Gobhi sarson- Maize- Moong- Toria yield</t>
  </si>
  <si>
    <t>M(f)-TSuMo: maize  cowpea (f)-toria- gobhi sarson-summer moong (Vigna radiata)</t>
  </si>
  <si>
    <t>Cowpea- Gobhi sarson- Maize- Moong- Toria yield</t>
  </si>
  <si>
    <t>M-P-Me+O:maize-potato (Solanum tuberosum)-mentha (Mentha arvensis)  onion (Allium cepa)</t>
  </si>
  <si>
    <t>M(f)-P- Me+O: maize  cowpea (Vigna unguiculata) (f)-potato-mentha  onion</t>
  </si>
  <si>
    <t>B:C ratio</t>
  </si>
  <si>
    <t>Net returns: Net returns were calculated by subtracting total variable cost from the gross returns.</t>
  </si>
  <si>
    <t>Net Return</t>
  </si>
  <si>
    <t>Benefit cost ratio was calculated by dividing the net returns with total variable cost under the respective treatment.</t>
  </si>
  <si>
    <t>Benefit Cost Ratio (NRVC)</t>
  </si>
  <si>
    <t>INR/ha</t>
  </si>
  <si>
    <t>PMH 1</t>
  </si>
  <si>
    <t>M(f)-Gs-SuMo: maize  cowpea (f)-gobhi sarson (Brassica napus)-summer moong (Vigna radiata)</t>
  </si>
  <si>
    <t>Canola</t>
  </si>
  <si>
    <t>Mung Bean</t>
  </si>
  <si>
    <t>Turnip</t>
  </si>
  <si>
    <t>Crop rotation (High diversity)</t>
  </si>
  <si>
    <t>Crop rotation (Low diversity)</t>
  </si>
  <si>
    <t>Two hand weedings were given to control weeds.</t>
  </si>
  <si>
    <t>pendimethalin</t>
  </si>
  <si>
    <t>deltamethrin</t>
  </si>
  <si>
    <t>Table 2</t>
  </si>
  <si>
    <t>mm</t>
  </si>
  <si>
    <t>3 replications</t>
  </si>
  <si>
    <t>kharif maize grain yield</t>
  </si>
  <si>
    <t>Table 1</t>
  </si>
  <si>
    <t>q/ha</t>
  </si>
  <si>
    <t>kg/m3</t>
  </si>
  <si>
    <t>Water Use Efficiency</t>
  </si>
  <si>
    <t>kharif maize grain yield (pooled)</t>
  </si>
  <si>
    <t>Irrigation</t>
  </si>
  <si>
    <t>AWP (kg/m3) is the ratio of grain yield to irrigation water applied.</t>
  </si>
  <si>
    <t>Apparent water productivity (kg/m3) of kharif maize</t>
  </si>
  <si>
    <t>Researcher Managed &amp; Research Facility</t>
  </si>
  <si>
    <t>crop growing seasons (2016-2017, 2017-2018)</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</si>
  <si>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</si>
  <si>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Total fertilizer application was 125 kg N/ha, 60 kg P2O5/ha and 30 kg K2O/ha. One third of N and entire quantity of P2O5 and K2O were applied at the time of sowing.</t>
  </si>
  <si>
    <t>Seeds were treated with Bavistin 50 WP (carbendazim) @ 3 g/kg seed. Pre-emergence herbicide Stomp 30 EC (pendimethalin) was sprayed within 2 days of sowing. Decis 2.8 EC (deltamethrin) was sprayed to control maize borer.</t>
  </si>
  <si>
    <t>times</t>
  </si>
  <si>
    <t>01_chemicals[C.Name] &amp; Free Text</t>
  </si>
  <si>
    <t>carbendazim</t>
  </si>
  <si>
    <t>g/kg seed</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</si>
  <si>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</si>
  <si>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g/MJ</t>
  </si>
  <si>
    <t>Energy Use Efficiency</t>
  </si>
  <si>
    <t>Energy productivity  (g grain/MJ)</t>
  </si>
  <si>
    <t>Energy productivity (g grain per MJ energy): The energy productivity (EP) was worked out as ratio of grain yield (g/ha) to the energy input (MJ/ha) as suggested by Demicran et al. (2006).</t>
  </si>
  <si>
    <t>Machinery..Inorganic Fertilizer..Pesticides..Irrigation..Organic Fertilizer</t>
  </si>
  <si>
    <t>M+C(f)-P- Me+O: maize  cowpea (Vigna unguiculata) (f)-potato-mentha  onion</t>
  </si>
  <si>
    <t>M+C(f)-P-SpM: maize  cowpea (f)-potato-spring maize</t>
  </si>
  <si>
    <t>M+C(f)-Gs-SuMo: maize  cowpea (f)-gobhi sarson (Brassica napus)-summer moong (Vigna radiata)</t>
  </si>
  <si>
    <t>M+C(f)-TSuMo: maize  cowpea (f)-toria- gobhi sarson-summer moong (Vigna radiata)</t>
  </si>
  <si>
    <t>Punjab Agricultural University (PAU), Ludhiana.</t>
  </si>
  <si>
    <t>JA_Perry_16_how n_Fo</t>
  </si>
  <si>
    <t>Peru</t>
  </si>
  <si>
    <t>Macuya</t>
  </si>
  <si>
    <t>Facility</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</si>
  <si>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</si>
  <si>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</si>
  <si>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</si>
  <si>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</si>
  <si>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</si>
  <si>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Macuya primary natural forest (selectively logged 20+ yrs ago; closed canopy; 9 trees/25 m2; 95% ground shade) and ~20 yr old closed-canopy forest in Pimental</t>
  </si>
  <si>
    <t>Primary forest</t>
  </si>
  <si>
    <t>No tillage (natural forest)</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</si>
  <si>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</si>
  <si>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</si>
  <si>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Abundance (total number of individuals)</t>
  </si>
  <si>
    <t>Total number of individuals collected across all samples per habitat.</t>
  </si>
  <si>
    <t>n</t>
  </si>
  <si>
    <t>Coleoptera</t>
  </si>
  <si>
    <t>Hymenoptera</t>
  </si>
  <si>
    <t>Orthoptera</t>
  </si>
  <si>
    <t>Homoptera</t>
  </si>
  <si>
    <t>Dictyoptera</t>
  </si>
  <si>
    <t>T1..T2..C2..C3</t>
  </si>
  <si>
    <t>Total</t>
  </si>
  <si>
    <t>tab2</t>
  </si>
  <si>
    <t>Lolita</t>
  </si>
  <si>
    <t>Antonio Raimondi</t>
  </si>
  <si>
    <t>Agroforestry</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</si>
  <si>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</si>
  <si>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</si>
  <si>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</si>
  <si>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</si>
  <si>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</si>
  <si>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</si>
  <si>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Multistrata Agroforestry</t>
  </si>
  <si>
    <t>Agroforestry - high diversity</t>
  </si>
  <si>
    <t>C1..T2..C2..C3</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</si>
  <si>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</si>
  <si>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</si>
  <si>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</si>
  <si>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Theobroma cacao</t>
  </si>
  <si>
    <t>Inga sp.</t>
  </si>
  <si>
    <t>Calycophyllum spruceanum</t>
  </si>
  <si>
    <t>Dipteryx alata</t>
  </si>
  <si>
    <t>Tabebuia rosea</t>
  </si>
  <si>
    <t>Cocoa agroforest (cocoa + shade trees)</t>
  </si>
  <si>
    <t>Agroforestry - low diversity</t>
  </si>
  <si>
    <t>C1..T1..C2..C3</t>
  </si>
  <si>
    <t>Cassava monoculture; low vegetation density; no shade; established after slash-and-burn clearing</t>
  </si>
  <si>
    <t>Cassava</t>
  </si>
  <si>
    <t>Slash-and-burn clearing followed by hand-hoe land preparation</t>
  </si>
  <si>
    <t>C1..T1..T2..C3</t>
  </si>
  <si>
    <t>Weedy grassland on degraded soils; dominated by Imperata brasiliensis; compact 1.2 m tall grass vegetation; some grasslands burned up to three times per year</t>
  </si>
  <si>
    <t>Imperata brasiliensis</t>
  </si>
  <si>
    <t>No tillage; degraded land</t>
  </si>
  <si>
    <t>C1..T1..T2..C2</t>
  </si>
  <si>
    <t>Observed species richness (total no. of morphospecies)</t>
  </si>
  <si>
    <t>Total number of morphospecies observed across all samples per habitat.</t>
  </si>
  <si>
    <t>Jackknife species richness (total)</t>
  </si>
  <si>
    <t>Jackknife estimator of species richness based on total pooled samples per habitat. Accounts for unseen rare species.</t>
  </si>
  <si>
    <t>Jack-knife Species Richness</t>
  </si>
  <si>
    <t>Shannon-Weiner diversity index</t>
  </si>
  <si>
    <t>Shannon-Weiner diversity index (H', log base e) computed on total pooled morphospecies abundances per habitat.</t>
  </si>
  <si>
    <t>Shannon-Wiener Index</t>
  </si>
  <si>
    <t>Shannon-Weaver Index (H')</t>
  </si>
  <si>
    <t>Simpson's diversity index (1-D)</t>
  </si>
  <si>
    <t>Simpson's diversity index (1-D) computed on total pooled morphospecies abundances per habitat.</t>
  </si>
  <si>
    <t>Simpson Index</t>
  </si>
  <si>
    <t>Simpson's diversity index</t>
  </si>
  <si>
    <t>Observed species richness per sample</t>
  </si>
  <si>
    <t>Mean observed species richness per sample (no. of morphospecies per sample plot/trap-round), with SD.</t>
  </si>
  <si>
    <t>n per sample</t>
  </si>
  <si>
    <t>Jackknife species richness per sample</t>
  </si>
  <si>
    <t>Mean Jackknife estimate of species richness per sample, with SD.</t>
  </si>
  <si>
    <t>Species density computed as observed species per square meter of total sampled area per habitat.</t>
  </si>
  <si>
    <t>species per m2</t>
  </si>
  <si>
    <t>Shannon-Weiner diversity index per sample</t>
  </si>
  <si>
    <t>Mean Shannon-Weiner diversity index (H', log base e) per sample, with SD.</t>
  </si>
  <si>
    <t>Simpson's diversity index (1-D) per sample</t>
  </si>
  <si>
    <t>Mean Simpson's diversity index (1-D) per sample, with SD.</t>
  </si>
  <si>
    <t>Grassland (semi natural)</t>
  </si>
  <si>
    <t>Other Agroforestry</t>
  </si>
  <si>
    <t>JA_Kapoor_07_Effec_Jo</t>
  </si>
  <si>
    <t>Researcher Managed</t>
  </si>
  <si>
    <t>Iyerpadi-Akkamalai (IYAK), Valparai plateau, Anamalai Hills</t>
  </si>
  <si>
    <t>January to May 2005</t>
  </si>
  <si>
    <t>Dry season (January-May)</t>
  </si>
  <si>
    <t>Cullenia exarillata</t>
  </si>
  <si>
    <t>trees/ha</t>
  </si>
  <si>
    <t>Mesua ferrea</t>
  </si>
  <si>
    <t>Palaquium ellipticum</t>
  </si>
  <si>
    <t>understorey spider morphospecies (Araneae; 21 families, 8 functional groups)</t>
  </si>
  <si>
    <t>Araneae</t>
  </si>
  <si>
    <t>21/04/2026</t>
  </si>
  <si>
    <t>Draft</t>
  </si>
  <si>
    <t>Andiparai (AN), Valparai plateau, Anamalai Hills</t>
  </si>
  <si>
    <t>Manamboli (MA), Valparai plateau, Anamalai Hills</t>
  </si>
  <si>
    <t>Iyerpadi Top (IT), Valparai plateau, Anamalai Hills</t>
  </si>
  <si>
    <t>Forest (disturbed/managed)</t>
  </si>
  <si>
    <t>C1..T2..T3</t>
  </si>
  <si>
    <t>Tata Finley (TF), Valparai plateau, Anamalai Hills</t>
  </si>
  <si>
    <t>Pannimade (PA), Valparai plateau, Anamalai Hills</t>
  </si>
  <si>
    <t>Varattuparai 1-3 (V3), Valparai plateau, Anamalai Hills</t>
  </si>
  <si>
    <t>Puthuthottam (PU), Valparai plateau, Anamalai Hills</t>
  </si>
  <si>
    <t>Maesopsis eminii</t>
  </si>
  <si>
    <t>Spathodea campanulata</t>
  </si>
  <si>
    <t>C1..T1..T3</t>
  </si>
  <si>
    <t>Korangumudi (KO), Valparai plateau, Anamalai Hills</t>
  </si>
  <si>
    <t>Injipara (IN), Valparai plateau, Anamalai Hills</t>
  </si>
  <si>
    <t>BBTC Coffee (BC), Valparai plateau, Anamalai Hills</t>
  </si>
  <si>
    <t>Eucalyptus sp.</t>
  </si>
  <si>
    <t>Shade coffee plantation</t>
  </si>
  <si>
    <t>Organic management reported (no synthetic fertilizer)</t>
  </si>
  <si>
    <t>Organic Fertilizer</t>
  </si>
  <si>
    <t>C1..T1..T2</t>
  </si>
  <si>
    <t>Tata Coffee (TC), Valparai plateau, Anamalai Hills</t>
  </si>
  <si>
    <t>Erythrina indica</t>
  </si>
  <si>
    <t>n araneae/m2</t>
  </si>
  <si>
    <t>fig2a (visual estimate)</t>
  </si>
  <si>
    <t>species per 100 m2</t>
  </si>
  <si>
    <t>fig2b (visual estimate)</t>
  </si>
  <si>
    <t>Rareified Species Richness</t>
  </si>
  <si>
    <t>expected species count</t>
  </si>
  <si>
    <t>fig3 (visual estimate)</t>
  </si>
  <si>
    <t>estimated species count</t>
  </si>
  <si>
    <t>Estimated</t>
  </si>
  <si>
    <t>Code</t>
  </si>
  <si>
    <t>Site</t>
  </si>
  <si>
    <t>Area (ha)</t>
  </si>
  <si>
    <t>Alt (m)</t>
  </si>
  <si>
    <t>Lat (°N)</t>
  </si>
  <si>
    <t>Lon (°E)</t>
  </si>
  <si>
    <t>Buffer (m)</t>
  </si>
  <si>
    <t>Confidence</t>
  </si>
  <si>
    <t>Source / reasoning</t>
  </si>
  <si>
    <t>IYAK</t>
  </si>
  <si>
    <t>Iyerpadi–Akkamalai</t>
  </si>
  <si>
    <t>High</t>
  </si>
  <si>
    <t>Iyerpadi village centre from elevationmap.net (10.362248, 76.980171, 1224 m); Akkamalai 3.5 km east (10.3246, 77.008, 1338 m). Fragment is large (2600 ha) so buffer reflects fragment spatial extent, not GPS error.</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</si>
  <si>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</si>
  <si>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</si>
  <si>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</si>
  <si>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</si>
  <si>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</si>
  <si>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</si>
  <si>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</si>
  <si>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</si>
  <si>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</si>
  <si>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</si>
  <si>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</si>
  <si>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</si>
  <si>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</si>
  <si>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</si>
  <si>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</si>
  <si>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</si>
  <si>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</si>
  <si>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</si>
  <si>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</si>
  <si>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</si>
  <si>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TF</t>
  </si>
  <si>
    <t>Tata Finley (= Old Valparai)</t>
  </si>
  <si>
    <t>Direct gazetteer match: Old Valparai 10.351159, 76.938382, elevation 1067 m. Confirmed by NCF dataset: "Current Name of TF (Tata Finlay) site is Old Valparai". Paper's 980 m matches within SRTM uncertainty.</t>
  </si>
  <si>
    <t>PA</t>
  </si>
  <si>
    <t>Pannimade</t>
  </si>
  <si>
    <t>Direct gazetteer match: Pannimade 10.279004, 76.887396, elevation 982 m (paper says 1032 m — likely paper rounded). From elevationmap.net.</t>
  </si>
  <si>
    <t>V3</t>
  </si>
  <si>
    <t>Varattuparai 1–3</t>
  </si>
  <si>
    <t>Varattuparai is the location of NCF's rainforest nursery in land provided by Tata Coffee. No exact gazetteer hit, but Fig. 1 places V3 between MA and TC/TF. Small fragment (11 ha).</t>
  </si>
  <si>
    <t>BC</t>
  </si>
  <si>
    <t>BBTC Coffee</t>
  </si>
  <si>
    <t>Paper says BC is adjacent to a degraded fragment "along the Sholayar river" and surrounded by tea plantations. Placed near the Sholayar river valley on the SW edge of the plateau, consistent with Fig. 1.</t>
  </si>
  <si>
    <t>TC</t>
  </si>
  <si>
    <t>Tata Coffee</t>
  </si>
  <si>
    <t>Paper says TC "bordered a forest fragment (TF)" = Tata Finley/Old Valparai. So placed adjacent to TF (10.3512, 76.9384), slightly south/west.</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</si>
  <si>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</si>
  <si>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</si>
  <si>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Visual searches for spiders along belt transects (2 m wide, 1.6 m max height, ~180 min each; 07:15-14:30 h on non-rainy days). Practice C1 aggregates 3 sites: IYAK (7 transects, 3.09 km, 1219 min); AN (4 transects, 2.04 km, 893 min); MA (4 transects, 2.06 km, 851 min).</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</si>
  <si>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</si>
  <si>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</si>
  <si>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</si>
  <si>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Visual searches for spiders along belt transects (2 m wide, 1.6 m max height, ~180 min each; 07:15-14:30 h on non-rainy days). Practice T2 aggregates 3 sites: PU (5 transects, 3.0 km, 894 min); KO (5 transects, 2.53 km, 908 min); IN (5 transects, 2.34 km, 900 min).</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</si>
  <si>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</si>
  <si>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Manual weeding of undergrowth under coffee rows</t>
  </si>
  <si>
    <t>Visual searches for spiders along belt transects (2 m wide, 1.6 m max height, ~180 min each; 07:15-14:30 h on non-rainy days). Practice T3 aggregates 2 sites: BC (5 transects, 2.51 km, 868 min); TC (5 transects, 2.12 km, 903 min).</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</si>
  <si>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</si>
  <si>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</si>
  <si>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</si>
  <si>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</si>
  <si>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</si>
  <si>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</si>
  <si>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</si>
  <si>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</si>
  <si>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density, fertilizers from table 1. chemicals from table3.yield year 3 from table 6</t>
  </si>
  <si>
    <t>outputs maize year 3</t>
  </si>
  <si>
    <t>yield (sweet potato, bean, maize), sweet potato leaves, sweet potato vines, bean leaves</t>
  </si>
  <si>
    <t>4 smallholders per district</t>
  </si>
  <si>
    <t>No Herbicide Applied</t>
  </si>
  <si>
    <t>Weeds were controlled by hand-hoeing.</t>
  </si>
  <si>
    <t>Inorganic fertilizer</t>
  </si>
  <si>
    <t>CTR: conventional tillage rotation (sweet potato, bean, maize)</t>
  </si>
  <si>
    <t>Conventional tillage</t>
  </si>
  <si>
    <t>DK 9089</t>
  </si>
  <si>
    <t>Khulophete</t>
  </si>
  <si>
    <t>Mugamba</t>
  </si>
  <si>
    <t>Sweet Potato</t>
  </si>
  <si>
    <t>the 2011/12, 2012/13, and 2013/14 growing seasons in the Central region of Malawi</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</si>
  <si>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</si>
  <si>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Dowa</t>
  </si>
  <si>
    <t>Malawi</t>
  </si>
  <si>
    <t>JA_TerAv_19_Diver_AG</t>
  </si>
  <si>
    <t>yield (sweet potato, pigeon pea, bean, maize), sweet potato leaves, sweet potato vines, bean leaves</t>
  </si>
  <si>
    <t>harness</t>
  </si>
  <si>
    <t>roundup</t>
  </si>
  <si>
    <t>Intercrop Rotation</t>
  </si>
  <si>
    <t>CAR: conservation agriculture rotation (Sweet potato, pigeon pea, bean, maize)</t>
  </si>
  <si>
    <t>No Tillage</t>
  </si>
  <si>
    <t>Mwaiwathu alimi</t>
  </si>
  <si>
    <t>Pigeon Pea</t>
  </si>
  <si>
    <t>T3..T4</t>
  </si>
  <si>
    <t>yield maize</t>
  </si>
  <si>
    <t>NTM: continuous no-till maize</t>
  </si>
  <si>
    <t>density, fertilizers from table 1. chemicals from table 2. yield year 3 from table 5</t>
  </si>
  <si>
    <t>yield (cassava, soybean, maize), cassava leaves, cassava stems, firewood</t>
  </si>
  <si>
    <t>CTR: conventional tillage rotation (Cassava, soybean, maize)</t>
  </si>
  <si>
    <t>Nasoko</t>
  </si>
  <si>
    <t>Manyakola</t>
  </si>
  <si>
    <t>Nkhotakota</t>
  </si>
  <si>
    <t>yield (cassava, pigeon pea,cowpea, maize), cassava leaves, cassava stems, firewood, cowpea leaves</t>
  </si>
  <si>
    <t>ml/l</t>
  </si>
  <si>
    <t>dimethoate</t>
  </si>
  <si>
    <t>CAR: conservation agriculture rotation (Cassava, pigeon pea, cowpea, pigeon pea, maize</t>
  </si>
  <si>
    <t>IT 82E-16</t>
  </si>
  <si>
    <t>Sum</t>
  </si>
  <si>
    <t>density, fertilizers from table 1. chemicals from table3.economic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</si>
  <si>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</si>
  <si>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gross margin With opportunity cost of labor</t>
  </si>
  <si>
    <t>Seeds..Inorganic Fertilizer..Transport..Labor Cost</t>
  </si>
  <si>
    <t>Common Bean Grain..Common Bean Leaves</t>
  </si>
  <si>
    <t>Sweet Potato Tuber..Sweet Potato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</si>
  <si>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</si>
  <si>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Seeds..Inorganic Fertilizer..Herbicides..Transport..Equipment..Labor Cost</t>
  </si>
  <si>
    <t>Pigeon Pea Grain</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</si>
  <si>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</si>
  <si>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density, fertilizers from table 1. chemicals from table 2. 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</si>
  <si>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</si>
  <si>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Cassava Tuber..Cassava Stems..Cassava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</si>
  <si>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</si>
  <si>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Seeds..Inorganic Fertilizer..Herbicides..Insecticides..Transport..Equipment..Labor Cost</t>
  </si>
  <si>
    <t>Cowpea leaves..Cowpea</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</si>
  <si>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</si>
  <si>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USD/d</t>
  </si>
  <si>
    <t>Return to Labour</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</si>
  <si>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</si>
  <si>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labor productivity</t>
  </si>
  <si>
    <t>Planting..Inorganic Fertilizer Application..Herbicides Application..Harvesting..Weeding</t>
  </si>
  <si>
    <t>Planting..Inorganic Fertilizer Application..Herbicides Application..Insecticides Application..Harvesting..Weeding</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</si>
  <si>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</si>
  <si>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net revenue</t>
  </si>
  <si>
    <t>Total Cost</t>
  </si>
  <si>
    <t>total costs</t>
  </si>
  <si>
    <t>labor cost</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</si>
  <si>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</si>
  <si>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gross revenue</t>
  </si>
  <si>
    <t>JA_Mideg_10_Integ_In</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</si>
  <si>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</si>
  <si>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</si>
  <si>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</si>
  <si>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</si>
  <si>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</si>
  <si>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</si>
  <si>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</si>
  <si>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</si>
  <si>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</si>
  <si>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</si>
  <si>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</si>
  <si>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</si>
  <si>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</si>
  <si>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</si>
  <si>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</si>
  <si>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</si>
  <si>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</si>
  <si>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</si>
  <si>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Desmodium intortum</t>
  </si>
  <si>
    <t>total revenue minus total variable costs</t>
  </si>
  <si>
    <t>yield</t>
  </si>
  <si>
    <t>Grain yields of finger millet and finger millet stover</t>
  </si>
  <si>
    <t>Table 4 and Table 5</t>
  </si>
  <si>
    <t>Grain yields of finger millet, finger millet stover and desmodium intortum forage</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</si>
  <si>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</si>
  <si>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</si>
  <si>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</si>
  <si>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</si>
  <si>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year 5</t>
  </si>
  <si>
    <t>table 5</t>
  </si>
  <si>
    <t>TZS/ha</t>
  </si>
  <si>
    <t>wood yield</t>
  </si>
  <si>
    <t>total benefits</t>
  </si>
  <si>
    <t>Trees</t>
  </si>
  <si>
    <t>bags/ha</t>
  </si>
  <si>
    <t>Urea</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</si>
  <si>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</si>
  <si>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</si>
  <si>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Hand hoes</t>
  </si>
  <si>
    <t>Acacia leptocarpa</t>
  </si>
  <si>
    <t>Acacia julifera</t>
  </si>
  <si>
    <t>Acacia crassicarpa</t>
  </si>
  <si>
    <t>kg seed/ha</t>
  </si>
  <si>
    <t>Kilima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</si>
  <si>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</si>
  <si>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Five farmers planted in 1993/94 (the planting season extends from December to February); 10 in 1994/95; 8 in 1995/96; and 37 in 1996/97.</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</si>
  <si>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</si>
  <si>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Tanzania</t>
  </si>
  <si>
    <t>JA_Ramad_02_Impro_</t>
  </si>
  <si>
    <t>no yield</t>
  </si>
  <si>
    <t>Maize-fallow system: Maize is cultivated for 2 years followed by 3 years of fallow.</t>
  </si>
  <si>
    <r>
      <t xml:space="preserve">Maize-fallow system: </t>
    </r>
    <r>
      <rPr>
        <b/>
        <sz val="11"/>
        <color theme="1"/>
        <rFont val="Aptos Narrow"/>
        <family val="2"/>
        <scheme val="minor"/>
      </rPr>
      <t>farmers planted woodlots on fields that they indicated would have been used for growing maize for 2 years followed by a 3-year fallow.</t>
    </r>
  </si>
  <si>
    <t>year 2</t>
  </si>
  <si>
    <t>maize grain yield and pruning yield</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</si>
  <si>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</si>
  <si>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t>
  </si>
  <si>
    <t>year 1</t>
  </si>
  <si>
    <t>total labor costs</t>
  </si>
  <si>
    <t>pla</t>
  </si>
  <si>
    <t>Land Preparation..Planting..1</t>
  </si>
  <si>
    <t>study_id_ss</t>
  </si>
  <si>
    <t>varietal_crop_name</t>
  </si>
  <si>
    <t>varietal_animal_name</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</si>
  <si>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</si>
  <si>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</si>
  <si>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</si>
  <si>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</si>
  <si>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</si>
  <si>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</si>
  <si>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</si>
  <si>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</si>
  <si>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</si>
  <si>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</si>
  <si>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</si>
  <si>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Table 12</t>
  </si>
  <si>
    <t>Seeds..Inorganic Fertilizer..Pesticides..Fuel..Labor Cost..Electricity</t>
  </si>
  <si>
    <t>Rice Grain</t>
  </si>
  <si>
    <t>aman rice, potato, maize</t>
  </si>
  <si>
    <t>Treatments referred to as scenarios 1–4 (S1–S4) were assigned to individual plots and replicated thrice in a randomized complete block design. Scenario details involving crop management and various field activities are provided in Tables 2 and 3, respectively.</t>
  </si>
  <si>
    <t>Manually and machine</t>
  </si>
  <si>
    <t>Ground</t>
  </si>
  <si>
    <t>Irrigation (Other)</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</si>
  <si>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</si>
  <si>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cm (depth)</t>
  </si>
  <si>
    <t>In-field</t>
  </si>
  <si>
    <t>Crop Residue Incorporated</t>
  </si>
  <si>
    <t>Incorporated 30-cm standing rice biomass, and full residues of potato, maize, and mungbean retained on surface</t>
  </si>
  <si>
    <t>sulfur</t>
  </si>
  <si>
    <t>see table 3</t>
  </si>
  <si>
    <t>total</t>
  </si>
  <si>
    <t>1 in 2009-2011, 1 in 2010-2011, 2 in 2011-2012</t>
  </si>
  <si>
    <t>boro</t>
  </si>
  <si>
    <t>Crop rotation (seasonal)</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</si>
  <si>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</si>
  <si>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Transplanting</t>
  </si>
  <si>
    <t>Rice transplanted in 2012 by machine and in other years manually Potato, maize, and mungbean planted in line manually</t>
  </si>
  <si>
    <t>Reduced or Minimum Tillage</t>
  </si>
  <si>
    <t>Zero tillage for maize and mungbean RT-nonPd for rice</t>
  </si>
  <si>
    <t>BRRI dhan 56</t>
  </si>
  <si>
    <t>Rice</t>
  </si>
  <si>
    <t>BINA 7</t>
  </si>
  <si>
    <t>BARI mung 6</t>
  </si>
  <si>
    <t>NK 40</t>
  </si>
  <si>
    <t>Diamond</t>
  </si>
  <si>
    <t>Crop production was distributed across the three seasons common in the country: Rabi, also called Boro (November to March); premonsoon Kharif-1, also called Aus (April to June); and monsoon Kharif-2, also called Aman (July to October). The trial began in Boro 2009–2010.</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</si>
  <si>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</si>
  <si>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Bangladesh Agricultural Research Institute (BARI), Gazipur</t>
  </si>
  <si>
    <t>JA_Alam,_15_Impro_FI</t>
  </si>
  <si>
    <t>MJ/kg</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</si>
  <si>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</si>
  <si>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specific energy</t>
  </si>
  <si>
    <t>boro rice, aman rice</t>
  </si>
  <si>
    <t>Manually</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</si>
  <si>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</si>
  <si>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ncorporated 30-cm standing rice biomass</t>
  </si>
  <si>
    <t>cartap</t>
  </si>
  <si>
    <t>3 in 2009-2011, 1 in 2010-2011, 3 in 2011-2012</t>
  </si>
  <si>
    <t>Natural Fallow (&lt;6months)</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</si>
  <si>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</si>
  <si>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Transplanted in Aman by machine and in Boro manually</t>
  </si>
  <si>
    <t>Reduced tillage  non-puddled (RT-nonPd)</t>
  </si>
  <si>
    <t>BRRI dhan 49</t>
  </si>
  <si>
    <t>BRRI dhan 28</t>
  </si>
  <si>
    <t>T1..C3</t>
  </si>
  <si>
    <t>BORO: Irrigated, water applied at 3–4-cm depth following AWD method. AMAN: Supplemental irrigation applied following AWD method. No irrigation required in 2010. In 2011 and 2012, irrigation applied at booting and flowering stage.</t>
  </si>
  <si>
    <t>Incorporated 30-cm standing rice biomass</t>
  </si>
  <si>
    <t>3 in 2009-2011, 1 in 2010-2011, 2 in 2011-2012</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</si>
  <si>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</si>
  <si>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Transplanted  manually</t>
  </si>
  <si>
    <t>Puddling</t>
  </si>
  <si>
    <t>Conventional  tillage–puddling(CTPd)</t>
  </si>
  <si>
    <t>BORO: Irrigated, water applied at  5–6-cm depth when no standing water in the field without any soil crack. AMAN: Rainfed—no irrigation  applied in 2010 and 2012, irrigation applied at booting in 2011.</t>
  </si>
  <si>
    <t>Incorporated 5–10-cm standing rice biomass</t>
  </si>
  <si>
    <t>hand weeding 3 in all years</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</si>
  <si>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</si>
  <si>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BR11</t>
  </si>
  <si>
    <t>chlorpyrifos</t>
  </si>
  <si>
    <t>carbofuran</t>
  </si>
  <si>
    <t>Table 11</t>
  </si>
  <si>
    <t>BC Ratio (GRVC)</t>
  </si>
  <si>
    <t>The benefit–cost ratio (BCR) was calculated by dividing gross returns by TVC (BCR = GR/TVC).</t>
  </si>
  <si>
    <t>BCR</t>
  </si>
  <si>
    <t>net return</t>
  </si>
  <si>
    <t>Gross returns were calculated by multiplying the economic yields of crops by the farm-gate price at harvest time.</t>
  </si>
  <si>
    <t>gross return</t>
  </si>
  <si>
    <t>Table 10</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</si>
  <si>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</si>
  <si>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total variable cost for cropping system</t>
  </si>
  <si>
    <t>table 9</t>
  </si>
  <si>
    <t>The productivity of irrigation (WPI) and total water (WPI+R) was calculated using the following equations: WPI  (kg grain m−3 of irrigation water)  = grain yield (kg ha−1) /irrigation water (mm)  10</t>
  </si>
  <si>
    <t>total water (irrigation + rainfall) productivity (WPI+R) based on rice equivalent yield (REY) of crop and cropping system in different scenarios.</t>
  </si>
  <si>
    <t>table 7</t>
  </si>
  <si>
    <t>Mg/ha</t>
  </si>
  <si>
    <t>Grain yields of Boro rice and Aman rice and rice equivalent yields (REY) of potato, maize, and mungbean, and cropping system in different scenarios.</t>
  </si>
  <si>
    <t>aman</t>
  </si>
  <si>
    <t>Net returns (NR) were calculated as the difference between Gross Revenue and Total Variable Cost (NR = GR − TVC).</t>
  </si>
  <si>
    <t>Net revenue was calculated as gross revenue minus total production costs.</t>
  </si>
  <si>
    <t>JA_Husso_22_Desig_FI</t>
  </si>
  <si>
    <t>Ivory Coast</t>
  </si>
  <si>
    <t>Mbe Africa Rice Center (AfricaRice)</t>
  </si>
  <si>
    <t>Three growing seasons-sowing dates were considered, as a function of the cropping systems: spring (sowing in March), summer (sowing in June), and late summer (sowing in July).</t>
  </si>
  <si>
    <t>Crop rotation and cover crop</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</si>
  <si>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</si>
  <si>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</si>
  <si>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</si>
  <si>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</si>
  <si>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</si>
  <si>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</si>
  <si>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</si>
  <si>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</si>
  <si>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</si>
  <si>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</si>
  <si>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</si>
  <si>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</si>
  <si>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</si>
  <si>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</si>
  <si>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</si>
  <si>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Herbicides..Seeds</t>
  </si>
  <si>
    <t>mean net margin</t>
  </si>
  <si>
    <t>Net margins were calculated as ((the crop harvest × market price) – (herbicide + seed costs))</t>
  </si>
  <si>
    <t>Gross margin</t>
  </si>
  <si>
    <t>CFA/ha</t>
  </si>
  <si>
    <t>Table 8</t>
  </si>
  <si>
    <t>Cover crops - low diversity</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</si>
  <si>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</si>
  <si>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</si>
  <si>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</si>
  <si>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</si>
  <si>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</si>
  <si>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</si>
  <si>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</si>
  <si>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</si>
  <si>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</si>
  <si>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Rotation (N fixing and Non N fixing)</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</si>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</sst>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s>
  <fills count="2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29B95C"/>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rgb="FFFFFD78"/>
        <bgColor indexed="64"/>
      </patternFill>
    </fill>
    <fill>
      <patternFill patternType="solid">
        <fgColor rgb="FFDC3939"/>
        <bgColor indexed="64"/>
      </patternFill>
    </fill>
    <fill>
      <patternFill patternType="solid">
        <fgColor rgb="FFD5FC7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0000"/>
        <bgColor theme="4" tint="0.79998168889431442"/>
      </patternFill>
    </fill>
    <fill>
      <patternFill patternType="solid">
        <fgColor rgb="FFFF8F8F"/>
        <bgColor indexed="64"/>
      </patternFill>
    </fill>
  </fills>
  <borders count="14">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s>
  <cellStyleXfs count="3">
    <xf numFmtId="0" fontId="0" fillId="0" borderId="0"/>
    <xf numFmtId="0" fontId="19" fillId="0" borderId="0" applyNumberFormat="0" applyFill="0" applyBorder="0" applyAlignment="0" applyProtection="0"/>
    <xf numFmtId="0" fontId="29" fillId="0" borderId="0"/>
  </cellStyleXfs>
  <cellXfs count="215">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0" xfId="0" applyFont="1" applyFill="1" applyAlignment="1">
      <alignment vertical="center"/>
    </xf>
    <xf numFmtId="0" fontId="11" fillId="5" borderId="0" xfId="0" applyFont="1" applyFill="1"/>
    <xf numFmtId="0" fontId="10" fillId="4" borderId="4" xfId="0" applyFont="1" applyFill="1" applyBorder="1" applyAlignment="1">
      <alignment vertical="center"/>
    </xf>
    <xf numFmtId="0" fontId="0" fillId="6" borderId="0" xfId="0" applyFill="1"/>
    <xf numFmtId="0" fontId="12" fillId="4" borderId="4" xfId="0" applyFont="1" applyFill="1" applyBorder="1" applyAlignment="1">
      <alignment vertical="center"/>
    </xf>
    <xf numFmtId="0" fontId="0" fillId="7" borderId="0" xfId="0" applyFill="1"/>
    <xf numFmtId="0" fontId="10" fillId="8" borderId="0" xfId="0" applyFont="1" applyFill="1" applyAlignment="1">
      <alignment vertical="center"/>
    </xf>
    <xf numFmtId="0" fontId="9" fillId="9" borderId="0" xfId="0" applyFont="1" applyFill="1"/>
    <xf numFmtId="0" fontId="10" fillId="8" borderId="4" xfId="0" applyFont="1" applyFill="1" applyBorder="1" applyAlignment="1">
      <alignment vertical="center"/>
    </xf>
    <xf numFmtId="0" fontId="10" fillId="6" borderId="4" xfId="0" applyFont="1" applyFill="1" applyBorder="1" applyAlignment="1">
      <alignment vertical="center"/>
    </xf>
    <xf numFmtId="0" fontId="10" fillId="6" borderId="0" xfId="0" applyFont="1" applyFill="1" applyAlignment="1">
      <alignment vertical="center"/>
    </xf>
    <xf numFmtId="0" fontId="10" fillId="10" borderId="4" xfId="0" applyFont="1" applyFill="1" applyBorder="1" applyAlignment="1">
      <alignment vertical="center"/>
    </xf>
    <xf numFmtId="0" fontId="9" fillId="11" borderId="0" xfId="0" applyFont="1" applyFill="1"/>
    <xf numFmtId="0" fontId="1" fillId="8" borderId="0" xfId="0" applyFont="1" applyFill="1"/>
    <xf numFmtId="0" fontId="1" fillId="8" borderId="1" xfId="0" applyFont="1" applyFill="1" applyBorder="1"/>
    <xf numFmtId="0" fontId="1" fillId="12" borderId="1" xfId="0" applyFont="1" applyFill="1" applyBorder="1"/>
    <xf numFmtId="0" fontId="1" fillId="7" borderId="1" xfId="0" applyFont="1" applyFill="1" applyBorder="1"/>
    <xf numFmtId="0" fontId="9" fillId="13" borderId="0" xfId="0" applyFont="1" applyFill="1"/>
    <xf numFmtId="0" fontId="10" fillId="14" borderId="0" xfId="0" applyFont="1" applyFill="1" applyAlignment="1">
      <alignment vertical="center"/>
    </xf>
    <xf numFmtId="0" fontId="9" fillId="15" borderId="0" xfId="0" applyFont="1" applyFill="1"/>
    <xf numFmtId="0" fontId="0" fillId="16" borderId="0" xfId="0" applyFill="1"/>
    <xf numFmtId="0" fontId="9" fillId="17" borderId="0" xfId="0" applyFont="1" applyFill="1"/>
    <xf numFmtId="0" fontId="10" fillId="18" borderId="4" xfId="0" applyFont="1" applyFill="1" applyBorder="1" applyAlignment="1">
      <alignment vertical="center"/>
    </xf>
    <xf numFmtId="0" fontId="13" fillId="19" borderId="0" xfId="0" applyFont="1" applyFill="1"/>
    <xf numFmtId="0" fontId="14" fillId="14" borderId="0" xfId="0" applyFont="1" applyFill="1" applyAlignment="1">
      <alignment vertical="center"/>
    </xf>
    <xf numFmtId="0" fontId="10" fillId="20" borderId="0" xfId="0" applyFont="1" applyFill="1" applyAlignment="1">
      <alignment vertical="center"/>
    </xf>
    <xf numFmtId="0" fontId="10" fillId="4" borderId="4" xfId="0" applyFont="1" applyFill="1" applyBorder="1" applyAlignment="1">
      <alignment vertical="center" wrapText="1"/>
    </xf>
    <xf numFmtId="0" fontId="10" fillId="6"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12" borderId="0" xfId="0" applyFont="1" applyFill="1"/>
    <xf numFmtId="0" fontId="0" fillId="0" borderId="0" xfId="0" applyAlignment="1">
      <alignment vertical="center" wrapText="1"/>
    </xf>
    <xf numFmtId="0" fontId="1" fillId="12" borderId="1" xfId="0" applyFont="1" applyFill="1" applyBorder="1" applyAlignment="1">
      <alignment vertical="center" wrapText="1"/>
    </xf>
    <xf numFmtId="0" fontId="13" fillId="19" borderId="0" xfId="0" applyFont="1" applyFill="1" applyAlignment="1">
      <alignment vertical="center" wrapText="1"/>
    </xf>
    <xf numFmtId="0" fontId="0" fillId="6" borderId="0" xfId="0" applyFill="1" applyAlignment="1">
      <alignment vertical="center" wrapText="1"/>
    </xf>
    <xf numFmtId="1" fontId="4" fillId="0" borderId="0" xfId="0" applyNumberFormat="1" applyFont="1"/>
    <xf numFmtId="0" fontId="0" fillId="8" borderId="0" xfId="0" applyFill="1" applyAlignment="1">
      <alignment horizontal="left"/>
    </xf>
    <xf numFmtId="0" fontId="7" fillId="8" borderId="4" xfId="0" applyFont="1" applyFill="1" applyBorder="1"/>
    <xf numFmtId="0" fontId="17" fillId="21" borderId="5" xfId="0" applyFont="1" applyFill="1" applyBorder="1"/>
    <xf numFmtId="0" fontId="17" fillId="12" borderId="1" xfId="0" applyFont="1" applyFill="1" applyBorder="1"/>
    <xf numFmtId="0" fontId="1" fillId="12"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21" borderId="5" xfId="0" applyFont="1" applyFill="1" applyBorder="1"/>
    <xf numFmtId="0" fontId="0" fillId="16" borderId="0" xfId="0" applyFill="1" applyAlignment="1">
      <alignment wrapText="1"/>
    </xf>
    <xf numFmtId="0" fontId="9" fillId="6" borderId="0" xfId="0" applyFont="1" applyFill="1"/>
    <xf numFmtId="0" fontId="22" fillId="0" borderId="0" xfId="0" applyFont="1"/>
    <xf numFmtId="0" fontId="1" fillId="22"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13" fillId="0" borderId="4"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21" borderId="9" xfId="0" applyFont="1" applyFill="1" applyBorder="1" applyAlignment="1">
      <alignment vertical="center" wrapText="1"/>
    </xf>
    <xf numFmtId="14" fontId="4" fillId="0" borderId="0" xfId="0" applyNumberFormat="1" applyFont="1"/>
    <xf numFmtId="0" fontId="9" fillId="8" borderId="4" xfId="0" applyFont="1" applyFill="1" applyBorder="1"/>
    <xf numFmtId="0" fontId="17" fillId="12"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5" fillId="6" borderId="0" xfId="0" applyFont="1" applyFill="1"/>
    <xf numFmtId="0" fontId="8" fillId="6" borderId="0" xfId="0" applyFont="1" applyFill="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8"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2" fillId="0" borderId="4" xfId="0" applyFont="1" applyBorder="1" applyAlignment="1">
      <alignment vertical="center"/>
    </xf>
    <xf numFmtId="0" fontId="11" fillId="0" borderId="0" xfId="0" applyFont="1"/>
    <xf numFmtId="0" fontId="26" fillId="0" borderId="9" xfId="0" applyFont="1" applyBorder="1" applyAlignment="1">
      <alignment vertical="center" wrapText="1"/>
    </xf>
    <xf numFmtId="0" fontId="26" fillId="0" borderId="1" xfId="0" applyFont="1" applyBorder="1" applyAlignment="1">
      <alignment vertical="center" wrapText="1"/>
    </xf>
    <xf numFmtId="0" fontId="1" fillId="0" borderId="7" xfId="0" applyFont="1" applyBorder="1" applyAlignment="1">
      <alignment vertical="center" wrapText="1"/>
    </xf>
    <xf numFmtId="0" fontId="1" fillId="0" borderId="0" xfId="0" applyFont="1" applyAlignment="1">
      <alignment vertical="center" wrapText="1"/>
    </xf>
    <xf numFmtId="0" fontId="1" fillId="0" borderId="1" xfId="0" applyFont="1" applyBorder="1"/>
    <xf numFmtId="0" fontId="1" fillId="0" borderId="0" xfId="0" applyFont="1"/>
    <xf numFmtId="0" fontId="10" fillId="14" borderId="0" xfId="0" applyFont="1" applyFill="1" applyAlignment="1">
      <alignment vertical="center" wrapText="1"/>
    </xf>
    <xf numFmtId="0" fontId="13" fillId="13" borderId="0" xfId="0" applyFont="1" applyFill="1" applyAlignment="1">
      <alignment wrapText="1"/>
    </xf>
    <xf numFmtId="0" fontId="9" fillId="15" borderId="1" xfId="0" applyFont="1" applyFill="1" applyBorder="1"/>
    <xf numFmtId="0" fontId="2" fillId="0" borderId="0" xfId="2" applyFont="1"/>
    <xf numFmtId="0" fontId="9" fillId="0" borderId="4" xfId="0" applyFont="1" applyBorder="1" applyAlignment="1">
      <alignment vertical="center"/>
    </xf>
    <xf numFmtId="0" fontId="12" fillId="23" borderId="0" xfId="0" applyFont="1" applyFill="1" applyAlignment="1">
      <alignment vertical="center"/>
    </xf>
    <xf numFmtId="0" fontId="0" fillId="0" borderId="0" xfId="0" applyAlignment="1">
      <alignment horizontal="center" vertical="center" wrapText="1"/>
    </xf>
    <xf numFmtId="0" fontId="1" fillId="12" borderId="1" xfId="0" applyFont="1" applyFill="1" applyBorder="1" applyAlignment="1">
      <alignment horizontal="center" vertical="center" wrapText="1"/>
    </xf>
    <xf numFmtId="0" fontId="13" fillId="19" borderId="0" xfId="0" applyFont="1" applyFill="1" applyAlignment="1">
      <alignment horizontal="center" vertical="center" wrapText="1"/>
    </xf>
    <xf numFmtId="0" fontId="10" fillId="6"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4" borderId="0" xfId="0" applyFont="1" applyFill="1" applyAlignment="1">
      <alignment horizontal="center" vertical="center" wrapText="1"/>
    </xf>
    <xf numFmtId="0" fontId="10" fillId="14" borderId="0" xfId="0" applyFont="1" applyFill="1" applyAlignment="1">
      <alignment horizontal="center" vertical="center" wrapText="1"/>
    </xf>
    <xf numFmtId="0" fontId="10" fillId="0" borderId="0" xfId="0" applyFont="1" applyAlignment="1">
      <alignment horizontal="center" vertical="center" wrapText="1"/>
    </xf>
    <xf numFmtId="0" fontId="0" fillId="6" borderId="0" xfId="0"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13"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0" fontId="0" fillId="24" borderId="1" xfId="0" applyFill="1" applyBorder="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8"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8" borderId="2" xfId="0" applyFill="1" applyBorder="1" applyAlignment="1">
      <alignment horizontal="left"/>
    </xf>
    <xf numFmtId="0" fontId="0" fillId="6" borderId="2" xfId="0" applyFill="1" applyBorder="1"/>
    <xf numFmtId="0" fontId="1" fillId="21" borderId="13" xfId="0" applyFont="1" applyFill="1" applyBorder="1" applyAlignment="1">
      <alignment vertical="center" wrapText="1"/>
    </xf>
    <xf numFmtId="0" fontId="1" fillId="21" borderId="2" xfId="0" applyFont="1" applyFill="1" applyBorder="1" applyAlignment="1">
      <alignment vertical="center" wrapText="1"/>
    </xf>
    <xf numFmtId="0" fontId="1" fillId="12" borderId="2" xfId="0" applyFont="1" applyFill="1" applyBorder="1" applyAlignment="1">
      <alignment vertical="center" wrapText="1"/>
    </xf>
    <xf numFmtId="0" fontId="34" fillId="19" borderId="2" xfId="0" applyFont="1" applyFill="1" applyBorder="1" applyAlignment="1">
      <alignment vertical="center" wrapText="1"/>
    </xf>
    <xf numFmtId="0" fontId="33" fillId="6"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4" borderId="1" xfId="0" applyFont="1" applyFill="1" applyBorder="1" applyAlignment="1">
      <alignment horizontal="center" vertical="center" wrapText="1"/>
    </xf>
    <xf numFmtId="0" fontId="34" fillId="13" borderId="1" xfId="0" applyFont="1" applyFill="1" applyBorder="1" applyAlignment="1">
      <alignment horizontal="center" vertical="center" wrapText="1"/>
    </xf>
    <xf numFmtId="0" fontId="33" fillId="21"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21" borderId="9" xfId="0" applyFont="1" applyFill="1" applyBorder="1" applyAlignment="1">
      <alignment horizontal="center" vertical="center" wrapText="1"/>
    </xf>
    <xf numFmtId="0" fontId="26" fillId="21" borderId="1" xfId="0" applyFont="1" applyFill="1" applyBorder="1" applyAlignment="1">
      <alignment horizontal="center" vertical="center" wrapText="1"/>
    </xf>
    <xf numFmtId="0" fontId="1" fillId="21" borderId="7" xfId="0" applyFont="1" applyFill="1" applyBorder="1" applyAlignment="1">
      <alignment horizontal="center" vertical="center" wrapText="1"/>
    </xf>
    <xf numFmtId="0" fontId="6" fillId="3" borderId="2" xfId="0" applyFont="1" applyFill="1" applyBorder="1"/>
    <xf numFmtId="0" fontId="9" fillId="8" borderId="11" xfId="0" applyFont="1" applyFill="1" applyBorder="1"/>
    <xf numFmtId="0" fontId="9" fillId="3" borderId="11" xfId="0" applyFont="1" applyFill="1" applyBorder="1"/>
    <xf numFmtId="0" fontId="0" fillId="3" borderId="13" xfId="0" applyFill="1" applyBorder="1" applyAlignment="1">
      <alignment horizontal="left"/>
    </xf>
    <xf numFmtId="0" fontId="6" fillId="0" borderId="2" xfId="0" applyFont="1" applyBorder="1"/>
    <xf numFmtId="0" fontId="0" fillId="0" borderId="13" xfId="0" applyBorder="1" applyAlignment="1">
      <alignment horizontal="left"/>
    </xf>
    <xf numFmtId="3" fontId="0" fillId="0" borderId="2" xfId="0" applyNumberFormat="1" applyBorder="1"/>
    <xf numFmtId="0" fontId="9" fillId="0" borderId="11" xfId="0" applyFont="1" applyBorder="1"/>
    <xf numFmtId="0" fontId="0" fillId="0" borderId="10" xfId="0" applyBorder="1"/>
    <xf numFmtId="17" fontId="0" fillId="0" borderId="0" xfId="0" applyNumberFormat="1"/>
    <xf numFmtId="0" fontId="0" fillId="25" borderId="0" xfId="0" applyFill="1"/>
  </cellXfs>
  <cellStyles count="3">
    <cellStyle name="Hyperlink" xfId="1" builtinId="8"/>
    <cellStyle name="Normal" xfId="0" builtinId="0"/>
    <cellStyle name="Normal 2" xfId="2" xr:uid="{32479CF1-84BD-4AA2-81B8-3F678C6B99A9}"/>
  </cellStyles>
  <dxfs count="800">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refreshError="1"/>
      <sheetData sheetId="13" refreshError="1"/>
      <sheetData sheetId="14" refreshError="1"/>
      <sheetData sheetId="15" refreshError="1"/>
      <sheetData sheetId="16" refreshError="1"/>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refreshError="1"/>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refreshError="1"/>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OU1125" totalsRowShown="0" headerRowDxfId="799">
  <autoFilter ref="A1:OU1125" xr:uid="{0217B3CA-C858-4B6B-BFA0-ECFB79516A94}"/>
  <tableColumns count="411">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39" xr3:uid="{38276269-A647-458A-AC89-14CC81139D19}" name="subpractice_raw"/>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798"/>
    <tableColumn id="159" xr3:uid="{0321910E-E48E-4AAC-9CD3-6A77D4A10F8C}" name="tree_density02" dataDxfId="797"/>
    <tableColumn id="160" xr3:uid="{FF1A0174-7C22-450F-A789-AAAADE9A74A4}" name="tree_arrangement02" dataDxfId="796"/>
    <tableColumn id="161" xr3:uid="{C0EC0A3F-C938-4443-BF86-FC9B4244DB01}" name="tree03" dataDxfId="795"/>
    <tableColumn id="163" xr3:uid="{6DF4F6FF-1D7C-4FA1-99C9-F7CF69A1BBB3}" name="tree_density_unit03" dataDxfId="794"/>
    <tableColumn id="341" xr3:uid="{ED7654E3-DD55-4A2A-A187-A133397CCAE5}" name="tree_density03" dataDxfId="793"/>
    <tableColumn id="342" xr3:uid="{7DB88D77-C92D-413D-A77C-69EFE6350AA2}" name="tree_arrangement03" dataDxfId="792"/>
    <tableColumn id="343" xr3:uid="{FD3367C7-4C84-4EF8-B6AC-F88FD444AD69}" name="tree04" dataDxfId="791"/>
    <tableColumn id="344" xr3:uid="{07FAD3A1-9249-4B69-B1D3-E19AF8A7E99C}" name="tree_density_unit04" dataDxfId="790"/>
    <tableColumn id="345" xr3:uid="{45CB8A60-5DAE-4F74-B5E9-78D78DBE1535}" name="tree_density04" dataDxfId="789"/>
    <tableColumn id="346" xr3:uid="{D81CA74A-71AC-4AB4-899F-4462ABE950F0}" name="tree_arrangement04" dataDxfId="788"/>
    <tableColumn id="347" xr3:uid="{F20290B1-E7A2-4E30-867E-7AFDDF3EE536}" name="tree05" dataDxfId="787"/>
    <tableColumn id="348" xr3:uid="{45F9A1D4-3408-437A-8152-4758219BE659}" name="tree_density_unit05" dataDxfId="786"/>
    <tableColumn id="349" xr3:uid="{AEB83B46-8A38-471A-A132-BCC8FAA81B69}" name="tree_density05" dataDxfId="785"/>
    <tableColumn id="350" xr3:uid="{C7EEB6CC-AB1F-4AAD-8BA3-8F4FAC1FF4B0}" name="tree_arrangement05" dataDxfId="784"/>
    <tableColumn id="351" xr3:uid="{D5936058-8DBB-4182-A7C6-E5939A10946C}" name="tree06" dataDxfId="783"/>
    <tableColumn id="352" xr3:uid="{DD6F006E-DFAC-4BB0-AAF5-91435C4222F4}" name="tree_density_unit06" dataDxfId="782"/>
    <tableColumn id="353" xr3:uid="{651AF64A-167F-4AD1-BBFF-FCA154A69675}" name="tree_density06" dataDxfId="781"/>
    <tableColumn id="354" xr3:uid="{ED291335-AEAF-455F-82FB-DA21DE128416}" name="tree_arrangement06" dataDxfId="780"/>
    <tableColumn id="355" xr3:uid="{1989D979-2636-4321-89A9-0DB56912062B}" name="tree07" dataDxfId="779"/>
    <tableColumn id="356" xr3:uid="{91D54373-2686-4101-8CF7-E35E2E7915CE}" name="tree_density_unit07" dataDxfId="778"/>
    <tableColumn id="357" xr3:uid="{03425170-6807-4CFD-B921-98522BE53439}" name="tree_density07" dataDxfId="777"/>
    <tableColumn id="358" xr3:uid="{714D6E92-A818-4B45-9948-A652D8B7AC8B}" name="tree_arrangement07" dataDxfId="776"/>
    <tableColumn id="359" xr3:uid="{9B3E0F7F-292C-46BB-B463-9AD791D7E3D3}" name="tree08" dataDxfId="775"/>
    <tableColumn id="360" xr3:uid="{145EF881-B18B-43E4-842E-6D21CCB737E6}" name="tree_density_unit08" dataDxfId="774"/>
    <tableColumn id="361" xr3:uid="{A264EF10-F58B-45FB-81AE-51764C6FE113}" name="tree_density08" dataDxfId="773"/>
    <tableColumn id="362" xr3:uid="{D89DAAD3-E3BD-4598-810E-356038236E61}" name="tree_arrangement08" dataDxfId="772"/>
    <tableColumn id="363" xr3:uid="{6B7D8A8E-467F-432D-B36B-D99C979F05C8}" name="tree09" dataDxfId="771"/>
    <tableColumn id="364" xr3:uid="{E7AED1D8-91A7-4EE2-BCE7-300596E85AD0}" name="tree_density_unit09" dataDxfId="770"/>
    <tableColumn id="365" xr3:uid="{620A20FA-B777-4166-92B7-36DCAA860B9C}" name="tree_density09" dataDxfId="769"/>
    <tableColumn id="366" xr3:uid="{2EE71C52-8756-4FD2-8FF4-61EDCEC1A26F}" name="tree_arrangement09" dataDxfId="768"/>
    <tableColumn id="367" xr3:uid="{EBB65759-792A-42DB-95C4-69473B9AD5CE}" name="tree10" dataDxfId="767"/>
    <tableColumn id="368" xr3:uid="{B00B3FC5-EDC0-4CAA-90EE-0BE717BBECAE}" name="tree_density_unit10" dataDxfId="766"/>
    <tableColumn id="369" xr3:uid="{BB1859C2-D384-4ACD-8F4C-B8F7124F1F7A}" name="tree_density10" dataDxfId="765"/>
    <tableColumn id="370" xr3:uid="{A4CB551B-DD37-4969-ADAA-199B947F76A3}" name="tree_arrangement10" dataDxfId="764"/>
    <tableColumn id="371" xr3:uid="{E6F09058-689E-4A99-B062-B417476C1B92}" name="tree11" dataDxfId="763"/>
    <tableColumn id="372" xr3:uid="{1D1C89EF-ED33-4804-A325-DFE3028A7810}" name="tree_density_unit11" dataDxfId="762"/>
    <tableColumn id="373" xr3:uid="{D86F4952-CF9E-4268-A6F5-0814AEE3AAE0}" name="tree_density11" dataDxfId="761"/>
    <tableColumn id="374" xr3:uid="{3BDEE12F-0A1B-44DC-9B2E-069D92A0BBA3}" name="tree_arrangement11" dataDxfId="760"/>
    <tableColumn id="375" xr3:uid="{55C93E3B-146C-4619-9B8F-18BC4BAC778B}" name="tree12" dataDxfId="759"/>
    <tableColumn id="376" xr3:uid="{F9E3EDC1-C841-40FB-ABB3-C33808C60667}" name="tree_density_unit12" dataDxfId="758"/>
    <tableColumn id="377" xr3:uid="{EED6ADB0-1D9A-45A3-B42D-94C98DB627F9}" name="tree_density12" dataDxfId="757"/>
    <tableColumn id="378" xr3:uid="{014669D2-0F5E-4968-804D-AF52F873233A}" name="tree_arrangement12" dataDxfId="756"/>
    <tableColumn id="379" xr3:uid="{BDE1287B-FCA6-4829-A189-E958764713F2}" name="tree13" dataDxfId="755"/>
    <tableColumn id="380" xr3:uid="{51F57FA1-94C8-4C1F-99BD-FF62A25DC8B0}" name="tree_density_unit13" dataDxfId="754"/>
    <tableColumn id="381" xr3:uid="{2FBAE601-C061-49CD-9F9E-82A0CA361353}" name="tree_density13" dataDxfId="753"/>
    <tableColumn id="382" xr3:uid="{DF5D14C1-9069-426E-9915-51041D65AD4B}" name="tree_arrangement13" dataDxfId="752"/>
    <tableColumn id="383" xr3:uid="{FD6D77A7-0937-405C-BC0A-A1BC4F4817E0}" name="tree14" dataDxfId="751"/>
    <tableColumn id="384" xr3:uid="{7B2D3EB2-A606-47D8-A0AF-FBF62EEC9C21}" name="tree_density_unit14" dataDxfId="750"/>
    <tableColumn id="385" xr3:uid="{A3825A04-630C-4E36-AEB7-755E8FFFBC86}" name="tree_density14" dataDxfId="749"/>
    <tableColumn id="386" xr3:uid="{25BF84F6-72CF-420C-97B6-351007017D84}" name="tree_arrangement14" dataDxfId="748"/>
    <tableColumn id="387" xr3:uid="{96E0AB0E-02ED-4446-97DE-795691A9EECC}" name="tree15" dataDxfId="747"/>
    <tableColumn id="388" xr3:uid="{79CE56B6-CD55-4F3F-AD58-F4CD20DACADE}" name="tree_density_unit15" dataDxfId="746"/>
    <tableColumn id="389" xr3:uid="{F9AC5F0A-015B-4446-90CA-8DD1840DF369}" name="tree_density15" dataDxfId="745"/>
    <tableColumn id="390" xr3:uid="{25F60004-3BB4-457C-AC05-A79003F9E188}" name="tree_arrangement15" dataDxfId="744"/>
    <tableColumn id="391" xr3:uid="{519E05BC-962A-4377-928D-71714092EB4A}" name="animal01" dataDxfId="743"/>
    <tableColumn id="392" xr3:uid="{9E8BC561-A91F-4C84-B359-360BA87F4A30}" name="animal_breed01" dataDxfId="742"/>
    <tableColumn id="164" xr3:uid="{364EBEDB-5E6E-4AA9-ADD5-D96829D18E90}" name="animal_density_unit01" dataDxfId="741"/>
    <tableColumn id="168" xr3:uid="{2868DC60-603A-4777-BCA2-674B94674D1E}" name="animal_density01" dataDxfId="740"/>
    <tableColumn id="169" xr3:uid="{F5D34A2F-27A2-49E6-AA09-FDD3E3E83AAC}" name="animal_arrangement01" dataDxfId="739"/>
    <tableColumn id="173" xr3:uid="{7FFBAC95-5C85-46BF-B668-E34C4320628F}" name="animal02" dataDxfId="738"/>
    <tableColumn id="2" xr3:uid="{B1BD080D-7F71-4205-9D5F-106DC407ADB8}" name="animal_breed02" dataDxfId="737"/>
    <tableColumn id="184" xr3:uid="{32F7EA72-5EEB-4FAD-873E-78FE758EA34E}" name="animal_density_unit02" dataDxfId="736"/>
    <tableColumn id="185" xr3:uid="{17625798-2A82-4581-854E-A3A708139535}" name="animal_density02" dataDxfId="735"/>
    <tableColumn id="186" xr3:uid="{7757E5BF-F4A5-4FC2-ACDC-35CF44B75242}" name="animal_arrangement02" dataDxfId="734"/>
    <tableColumn id="187" xr3:uid="{0DE85C29-3B7C-4160-B792-90A50C4A55E5}" name="animal03" dataDxfId="733"/>
    <tableColumn id="121" xr3:uid="{61070040-F53D-4A6F-AB55-A14F50122C5F}" name="animal_breed03" dataDxfId="732"/>
    <tableColumn id="394" xr3:uid="{FFEC33EE-D05E-46F5-B3D2-C18839DF499D}" name="animal_density_unit03" dataDxfId="731"/>
    <tableColumn id="395" xr3:uid="{25BB282A-44C6-49BD-B913-12F90A239D09}" name="animal_density03" dataDxfId="730"/>
    <tableColumn id="396" xr3:uid="{E33A2945-7697-446B-8493-2A74237BDB4F}" name="animal_arrangement03" dataDxfId="729"/>
    <tableColumn id="397" xr3:uid="{76F70A87-63B1-4FBA-8088-B66FA9B7CDA8}" name="animal04" dataDxfId="728"/>
    <tableColumn id="398" xr3:uid="{28CEF047-4930-4A2F-9138-9F50FF75B498}" name="animal_breed04" dataDxfId="727"/>
    <tableColumn id="399" xr3:uid="{36AC6548-7D81-4EC7-8190-FDAFA37D00F6}" name="animal_density_unit04" dataDxfId="726"/>
    <tableColumn id="400" xr3:uid="{2700FAC8-5222-4F69-B8DE-2592AD0323B6}" name="animal_density04" dataDxfId="725"/>
    <tableColumn id="401" xr3:uid="{7B987B24-4453-442D-970D-814014599D91}" name="animal_arrangement04" dataDxfId="724"/>
    <tableColumn id="402" xr3:uid="{3C3F83F9-47E4-48C0-AA86-B4CCEE4A88BD}" name="animal05" dataDxfId="723"/>
    <tableColumn id="403" xr3:uid="{730709D0-0BE3-4E3E-B097-CA27D253BCF4}" name="animal_breed05" dataDxfId="722"/>
    <tableColumn id="404" xr3:uid="{58CE66C8-F76E-4386-85BC-2CA90F75C8EA}" name="animal_density_unit05" dataDxfId="721"/>
    <tableColumn id="405" xr3:uid="{CCEBE2F8-41C7-486A-A3CD-FC5CA0877CE0}" name="animal_density05" dataDxfId="720"/>
    <tableColumn id="406" xr3:uid="{74D87670-21DF-493F-8E34-FB31006D9ADD}" name="animal_arrangement05" dataDxfId="719"/>
    <tableColumn id="407" xr3:uid="{74C09784-004B-4F46-B880-46A2895C8686}" name="tillage_subpractice_raw" dataDxfId="718"/>
    <tableColumn id="408" xr3:uid="{5B2C3A21-663A-4167-B19A-376B3E94B378}" name="tillage_subpractice" dataDxfId="717"/>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58" xr3:uid="{194FDC9A-A037-482A-AA79-BE762495F5C0}" name="varietal_crop_variety"/>
    <tableColumn id="132" xr3:uid="{4B1D6D9B-8D62-4F13-A622-5418F6AA59A3}" name="varietal_crop_subpractice" dataDxfId="716"/>
    <tableColumn id="36" xr3:uid="{57E4FEE0-C518-4EAD-A038-A01FF0948B47}" name="varietal_crop_type"/>
    <tableColumn id="37" xr3:uid="{0245BC23-8A2C-487C-8CBF-D1EC5332DB11}" name="varietal_crop_trait"/>
    <tableColumn id="38" xr3:uid="{2725F37A-53D6-49A9-9AB2-F25AAEC10B96}" name="varietal_animal_subpractice_raw"/>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715"/>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714"/>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713"/>
    <tableColumn id="265" xr3:uid="{FD1F3321-599E-4C3C-AB7D-0FAEFF17BB1E}" name="chem_name03" dataDxfId="712"/>
    <tableColumn id="266" xr3:uid="{1B11E53A-7535-47EB-93BF-714B7FE7FF11}" name="chem_unit03" dataDxfId="711"/>
    <tableColumn id="267" xr3:uid="{F808183A-533E-4812-B6DD-E59A71739723}" name="chem_amount03" dataDxfId="710"/>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76" xr3:uid="{4999139C-016C-40EE-ACAD-0BE8F5FEA7DD}" name="residues_unit"/>
    <tableColumn id="84" xr3:uid="{57A4FC28-2AB1-4774-8694-C1C4A37CD102}" name="residues_N"/>
    <tableColumn id="86" xr3:uid="{0E614474-D4C5-4436-8FBB-444118F190E5}" name="residues_P"/>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4" xr3:uid="{86204C90-6907-4251-BE29-2725F584E65E}" name="product_component_focal_yield"/>
    <tableColumn id="48" xr3:uid="{5EF40663-F561-43F2-A591-DCF2A6DB4C93}" name="product_component01"/>
    <tableColumn id="250" xr3:uid="{98D125CC-BFB9-4F59-BEFE-17A105B26E92}" name="product_component02"/>
    <tableColumn id="252" xr3:uid="{1A61BB2F-2BB6-42AE-AA27-E0FAC681A4F9}" name="product_component03"/>
    <tableColumn id="261" xr3:uid="{007B18F2-9BEB-43C2-A4C5-E2BE6EE32007}" name="product_component04"/>
    <tableColumn id="263" xr3:uid="{C9C8E50C-EB81-49DA-A6FB-1535B9E1A71F}" name="product_componen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_component01"/>
    <tableColumn id="220" xr3:uid="{4075FE6A-0327-41DF-9823-13BBDEE46D10}" name="out_var_value_product_component01"/>
    <tableColumn id="210" xr3:uid="{F7C9BB1E-2910-48DB-A837-AEF8E25550F4}" name="out_value_product_component02"/>
    <tableColumn id="221" xr3:uid="{7BB5F10F-ADC7-4E93-BB27-039EB82C4A00}" name="out_var_value_product_component02"/>
    <tableColumn id="217" xr3:uid="{AD896618-0FCD-469B-885E-983FF9C644D7}" name="out_value_product_component03"/>
    <tableColumn id="222" xr3:uid="{D182E797-CA29-4E6A-8AD8-BFF077E8D9E4}" name="out_var_value_product_component03"/>
    <tableColumn id="218" xr3:uid="{889E60A0-F4A0-4D1A-9AF6-BE8C91AF85F5}" name="out_value_product_component04"/>
    <tableColumn id="219" xr3:uid="{4CE87424-C59C-4FCA-A5AC-4D23E13D3F70}" name="out_var_value_product_component04"/>
    <tableColumn id="211" xr3:uid="{64EF697B-2A0B-4153-BB94-118B1959066E}" name="out_value_product_component05"/>
    <tableColumn id="212" xr3:uid="{3DA245CB-308A-4B3F-93AB-2DB399851BD0}" name="out_var_value_product_component05"/>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C3" dT="2026-02-20T15:03:48.65" personId="{C40DBF99-73A9-49FC-BB57-336111A2E5F3}" id="{37232256-CEC7-403D-9C45-CE35318A18FB}">
    <text>For me it is not clear what should we put here. Ask Namita or Lolita</text>
  </threadedComment>
  <threadedComment ref="ME3" dT="2026-02-20T20:50:13.23" personId="{C40DBF99-73A9-49FC-BB57-336111A2E5F3}" id="{6FB11702-965D-4E54-B8F6-E54968BD4B24}">
    <text>Not sure what is this</text>
  </threadedComment>
  <threadedComment ref="MM3" dT="2026-02-20T20:51:05.06" personId="{C40DBF99-73A9-49FC-BB57-336111A2E5F3}" id="{A036609E-011B-4E77-8B02-041B17A54C36}">
    <text>Not sure what is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E26" dT="2026-02-20T15:03:48.65" personId="{C40DBF99-73A9-49FC-BB57-336111A2E5F3}" id="{9B3C7EA7-8F90-4BEC-810C-976E2136D7B8}">
    <text>For me it is not clear what should we put here. Ask Namita or Lolita</text>
  </threadedComment>
  <threadedComment ref="E152" dT="2026-02-20T20:50:13.23" personId="{C40DBF99-73A9-49FC-BB57-336111A2E5F3}" id="{1D9EFAA9-A61C-407F-B8A6-BF9A9E12B70A}">
    <text>Not sure what is this</text>
  </threadedComment>
  <threadedComment ref="E157" dT="2026-02-20T20:51:05.06" personId="{C40DBF99-73A9-49FC-BB57-336111A2E5F3}" id="{F8E61BF1-EE90-4D55-ABC7-451C8A7CBA92}">
    <text>Not sure what is this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2.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2.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2.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OU1125"/>
  <sheetViews>
    <sheetView zoomScale="84" zoomScaleNormal="84" workbookViewId="0">
      <pane xSplit="2" ySplit="3" topLeftCell="JW4" activePane="bottomRight" state="frozen"/>
      <selection pane="topRight" activeCell="C1" sqref="C1"/>
      <selection pane="bottomLeft" activeCell="A4" sqref="A4"/>
      <selection pane="bottomRight" activeCell="KL1" sqref="KL1"/>
    </sheetView>
  </sheetViews>
  <sheetFormatPr defaultRowHeight="15"/>
  <cols>
    <col min="1" max="1" width="24.85546875" customWidth="1"/>
    <col min="2" max="2" width="21.5703125" customWidth="1"/>
    <col min="3" max="4" width="10.42578125" customWidth="1"/>
    <col min="5" max="5" width="24.28515625" customWidth="1"/>
    <col min="6" max="10" width="10.42578125" customWidth="1"/>
    <col min="11" max="54" width="11.42578125" customWidth="1"/>
    <col min="55" max="55" width="18.85546875" customWidth="1"/>
    <col min="56" max="56" width="11.42578125" customWidth="1"/>
    <col min="57" max="57" width="73.5703125" customWidth="1"/>
    <col min="58" max="59" width="17.140625" customWidth="1"/>
    <col min="60" max="254" width="11.42578125" customWidth="1"/>
    <col min="255" max="255" width="21" customWidth="1"/>
    <col min="256" max="268" width="11.42578125" customWidth="1"/>
    <col min="269" max="269" width="15.85546875" customWidth="1"/>
    <col min="270" max="272" width="11.42578125" customWidth="1"/>
    <col min="273" max="276" width="16.140625" customWidth="1"/>
    <col min="277" max="282" width="15.85546875" customWidth="1"/>
    <col min="341" max="342" width="10.42578125" bestFit="1" customWidth="1"/>
    <col min="358" max="358" width="19.28515625" customWidth="1"/>
    <col min="361" max="361" width="18.42578125" customWidth="1"/>
    <col min="369" max="369" width="20.7109375" customWidth="1"/>
    <col min="371" max="371" width="12.85546875" customWidth="1"/>
    <col min="380" max="380" width="18.5703125" customWidth="1"/>
    <col min="382" max="382" width="15.7109375" bestFit="1" customWidth="1"/>
    <col min="406" max="406" width="12.28515625" customWidth="1"/>
    <col min="407" max="407" width="10.42578125" customWidth="1"/>
    <col min="409" max="409" width="9.140625" customWidth="1"/>
  </cols>
  <sheetData>
    <row r="1" spans="1:411" s="128" customFormat="1" ht="60.75" thickBot="1">
      <c r="A1" s="140" t="s">
        <v>1412</v>
      </c>
      <c r="B1" s="128" t="s">
        <v>652</v>
      </c>
      <c r="C1" s="129" t="s">
        <v>672</v>
      </c>
      <c r="D1" s="129" t="s">
        <v>651</v>
      </c>
      <c r="E1" s="129" t="s">
        <v>650</v>
      </c>
      <c r="F1" s="129" t="s">
        <v>649</v>
      </c>
      <c r="G1" s="129" t="s">
        <v>682</v>
      </c>
      <c r="H1" s="129" t="s">
        <v>648</v>
      </c>
      <c r="I1" s="129" t="s">
        <v>647</v>
      </c>
      <c r="J1" s="129" t="s">
        <v>646</v>
      </c>
      <c r="K1" s="129" t="s">
        <v>645</v>
      </c>
      <c r="L1" s="129" t="s">
        <v>674</v>
      </c>
      <c r="M1" s="129" t="s">
        <v>675</v>
      </c>
      <c r="N1" s="129" t="s">
        <v>676</v>
      </c>
      <c r="O1" s="129" t="s">
        <v>677</v>
      </c>
      <c r="P1" s="129" t="s">
        <v>678</v>
      </c>
      <c r="Q1" s="129" t="s">
        <v>679</v>
      </c>
      <c r="R1" s="129" t="s">
        <v>680</v>
      </c>
      <c r="S1" s="129" t="s">
        <v>681</v>
      </c>
      <c r="T1" s="129" t="s">
        <v>673</v>
      </c>
      <c r="U1" s="129" t="s">
        <v>1321</v>
      </c>
      <c r="V1" s="129" t="s">
        <v>1322</v>
      </c>
      <c r="W1" s="129" t="s">
        <v>1323</v>
      </c>
      <c r="X1" s="129" t="s">
        <v>1324</v>
      </c>
      <c r="Y1" s="129" t="s">
        <v>1325</v>
      </c>
      <c r="Z1" s="129" t="s">
        <v>1326</v>
      </c>
      <c r="AA1" s="129" t="s">
        <v>1327</v>
      </c>
      <c r="AB1" s="129" t="s">
        <v>1328</v>
      </c>
      <c r="AC1" s="129" t="s">
        <v>1318</v>
      </c>
      <c r="AD1" s="129" t="s">
        <v>1329</v>
      </c>
      <c r="AE1" s="129" t="s">
        <v>1330</v>
      </c>
      <c r="AF1" s="129" t="s">
        <v>1331</v>
      </c>
      <c r="AG1" s="129" t="s">
        <v>1332</v>
      </c>
      <c r="AH1" s="129" t="s">
        <v>1333</v>
      </c>
      <c r="AI1" s="129" t="s">
        <v>1334</v>
      </c>
      <c r="AJ1" s="129" t="s">
        <v>1335</v>
      </c>
      <c r="AK1" s="129" t="s">
        <v>1336</v>
      </c>
      <c r="AL1" s="129" t="s">
        <v>1319</v>
      </c>
      <c r="AM1" s="129" t="s">
        <v>1337</v>
      </c>
      <c r="AN1" s="129" t="s">
        <v>1338</v>
      </c>
      <c r="AO1" s="129" t="s">
        <v>1339</v>
      </c>
      <c r="AP1" s="129" t="s">
        <v>1340</v>
      </c>
      <c r="AQ1" s="129" t="s">
        <v>1341</v>
      </c>
      <c r="AR1" s="129" t="s">
        <v>1342</v>
      </c>
      <c r="AS1" s="129" t="s">
        <v>1343</v>
      </c>
      <c r="AT1" s="129" t="s">
        <v>1344</v>
      </c>
      <c r="AU1" s="129" t="s">
        <v>1320</v>
      </c>
      <c r="AV1" s="130" t="s">
        <v>644</v>
      </c>
      <c r="AW1" s="130" t="s">
        <v>643</v>
      </c>
      <c r="AX1" s="130" t="s">
        <v>642</v>
      </c>
      <c r="AY1" s="130" t="s">
        <v>641</v>
      </c>
      <c r="AZ1" s="131" t="s">
        <v>640</v>
      </c>
      <c r="BA1" s="131" t="s">
        <v>639</v>
      </c>
      <c r="BB1" s="131" t="s">
        <v>638</v>
      </c>
      <c r="BC1" s="131" t="s">
        <v>637</v>
      </c>
      <c r="BD1" s="132" t="s">
        <v>636</v>
      </c>
      <c r="BE1" s="132" t="s">
        <v>635</v>
      </c>
      <c r="BF1" s="132" t="s">
        <v>717</v>
      </c>
      <c r="BG1" s="133" t="s">
        <v>1746</v>
      </c>
      <c r="BH1" s="141" t="s">
        <v>634</v>
      </c>
      <c r="BI1" s="141" t="s">
        <v>633</v>
      </c>
      <c r="BJ1" s="141" t="s">
        <v>632</v>
      </c>
      <c r="BK1" s="141" t="s">
        <v>631</v>
      </c>
      <c r="BL1" s="141" t="s">
        <v>630</v>
      </c>
      <c r="BM1" s="141" t="s">
        <v>629</v>
      </c>
      <c r="BN1" s="141" t="s">
        <v>628</v>
      </c>
      <c r="BO1" s="141" t="s">
        <v>627</v>
      </c>
      <c r="BP1" s="141" t="s">
        <v>626</v>
      </c>
      <c r="BQ1" s="141" t="s">
        <v>625</v>
      </c>
      <c r="BR1" s="141" t="s">
        <v>624</v>
      </c>
      <c r="BS1" s="141" t="s">
        <v>623</v>
      </c>
      <c r="BT1" s="141" t="s">
        <v>622</v>
      </c>
      <c r="BU1" s="141" t="s">
        <v>621</v>
      </c>
      <c r="BV1" s="141" t="s">
        <v>620</v>
      </c>
      <c r="BW1" s="141" t="s">
        <v>1254</v>
      </c>
      <c r="BX1" s="141" t="s">
        <v>1255</v>
      </c>
      <c r="BY1" s="141" t="s">
        <v>1256</v>
      </c>
      <c r="BZ1" s="141" t="s">
        <v>1257</v>
      </c>
      <c r="CA1" s="141" t="s">
        <v>1249</v>
      </c>
      <c r="CB1" s="141" t="s">
        <v>1259</v>
      </c>
      <c r="CC1" s="141" t="s">
        <v>1260</v>
      </c>
      <c r="CD1" s="141" t="s">
        <v>1261</v>
      </c>
      <c r="CE1" s="141" t="s">
        <v>1262</v>
      </c>
      <c r="CF1" s="141" t="s">
        <v>1250</v>
      </c>
      <c r="CG1" s="141" t="s">
        <v>1263</v>
      </c>
      <c r="CH1" s="141" t="s">
        <v>1264</v>
      </c>
      <c r="CI1" s="141" t="s">
        <v>1265</v>
      </c>
      <c r="CJ1" s="141" t="s">
        <v>1266</v>
      </c>
      <c r="CK1" s="141" t="s">
        <v>1251</v>
      </c>
      <c r="CL1" s="141" t="s">
        <v>1267</v>
      </c>
      <c r="CM1" s="141" t="s">
        <v>1268</v>
      </c>
      <c r="CN1" s="141" t="s">
        <v>1269</v>
      </c>
      <c r="CO1" s="141" t="s">
        <v>1270</v>
      </c>
      <c r="CP1" s="141" t="s">
        <v>1252</v>
      </c>
      <c r="CQ1" s="141" t="s">
        <v>1271</v>
      </c>
      <c r="CR1" s="141" t="s">
        <v>1272</v>
      </c>
      <c r="CS1" s="141" t="s">
        <v>1273</v>
      </c>
      <c r="CT1" s="141" t="s">
        <v>1274</v>
      </c>
      <c r="CU1" s="141" t="s">
        <v>1253</v>
      </c>
      <c r="CV1" s="141" t="s">
        <v>1275</v>
      </c>
      <c r="CW1" s="141" t="s">
        <v>1276</v>
      </c>
      <c r="CX1" s="141" t="s">
        <v>1277</v>
      </c>
      <c r="CY1" s="141" t="s">
        <v>1278</v>
      </c>
      <c r="CZ1" s="141" t="s">
        <v>1258</v>
      </c>
      <c r="DA1" s="141" t="s">
        <v>1285</v>
      </c>
      <c r="DB1" s="141" t="s">
        <v>1286</v>
      </c>
      <c r="DC1" s="141" t="s">
        <v>1287</v>
      </c>
      <c r="DD1" s="141" t="s">
        <v>1288</v>
      </c>
      <c r="DE1" s="141" t="s">
        <v>1279</v>
      </c>
      <c r="DF1" s="141" t="s">
        <v>1289</v>
      </c>
      <c r="DG1" s="141" t="s">
        <v>1290</v>
      </c>
      <c r="DH1" s="141" t="s">
        <v>1291</v>
      </c>
      <c r="DI1" s="141" t="s">
        <v>1292</v>
      </c>
      <c r="DJ1" s="141" t="s">
        <v>1280</v>
      </c>
      <c r="DK1" s="141" t="s">
        <v>1293</v>
      </c>
      <c r="DL1" s="141" t="s">
        <v>1294</v>
      </c>
      <c r="DM1" s="141" t="s">
        <v>1295</v>
      </c>
      <c r="DN1" s="141" t="s">
        <v>1296</v>
      </c>
      <c r="DO1" s="141" t="s">
        <v>1281</v>
      </c>
      <c r="DP1" s="141" t="s">
        <v>1297</v>
      </c>
      <c r="DQ1" s="141" t="s">
        <v>1298</v>
      </c>
      <c r="DR1" s="141" t="s">
        <v>1299</v>
      </c>
      <c r="DS1" s="141" t="s">
        <v>1300</v>
      </c>
      <c r="DT1" s="141" t="s">
        <v>1282</v>
      </c>
      <c r="DU1" s="141" t="s">
        <v>1301</v>
      </c>
      <c r="DV1" s="141" t="s">
        <v>1302</v>
      </c>
      <c r="DW1" s="141" t="s">
        <v>1303</v>
      </c>
      <c r="DX1" s="141" t="s">
        <v>1304</v>
      </c>
      <c r="DY1" s="141" t="s">
        <v>1283</v>
      </c>
      <c r="DZ1" s="141" t="s">
        <v>1305</v>
      </c>
      <c r="EA1" s="141" t="s">
        <v>1306</v>
      </c>
      <c r="EB1" s="141" t="s">
        <v>1307</v>
      </c>
      <c r="EC1" s="141" t="s">
        <v>1308</v>
      </c>
      <c r="ED1" s="141" t="s">
        <v>1284</v>
      </c>
      <c r="EE1" s="132" t="s">
        <v>619</v>
      </c>
      <c r="EF1" s="132" t="s">
        <v>618</v>
      </c>
      <c r="EG1" s="132" t="s">
        <v>617</v>
      </c>
      <c r="EH1" s="132" t="s">
        <v>684</v>
      </c>
      <c r="EI1" s="132" t="s">
        <v>685</v>
      </c>
      <c r="EJ1" s="132" t="s">
        <v>686</v>
      </c>
      <c r="EK1" s="132" t="s">
        <v>687</v>
      </c>
      <c r="EL1" s="132" t="s">
        <v>688</v>
      </c>
      <c r="EM1" s="132" t="s">
        <v>1355</v>
      </c>
      <c r="EN1" s="132" t="s">
        <v>1356</v>
      </c>
      <c r="EO1" s="132" t="s">
        <v>1357</v>
      </c>
      <c r="EP1" s="132" t="s">
        <v>1345</v>
      </c>
      <c r="EQ1" s="132" t="s">
        <v>1358</v>
      </c>
      <c r="ER1" s="132" t="s">
        <v>1359</v>
      </c>
      <c r="ES1" s="132" t="s">
        <v>1360</v>
      </c>
      <c r="ET1" s="132" t="s">
        <v>1346</v>
      </c>
      <c r="EU1" s="132" t="s">
        <v>1361</v>
      </c>
      <c r="EV1" s="132" t="s">
        <v>1362</v>
      </c>
      <c r="EW1" s="132" t="s">
        <v>1363</v>
      </c>
      <c r="EX1" s="132" t="s">
        <v>1347</v>
      </c>
      <c r="EY1" s="132" t="s">
        <v>1367</v>
      </c>
      <c r="EZ1" s="132" t="s">
        <v>1368</v>
      </c>
      <c r="FA1" s="132" t="s">
        <v>1369</v>
      </c>
      <c r="FB1" s="132" t="s">
        <v>1348</v>
      </c>
      <c r="FC1" s="132" t="s">
        <v>1370</v>
      </c>
      <c r="FD1" s="132" t="s">
        <v>1371</v>
      </c>
      <c r="FE1" s="132" t="s">
        <v>1372</v>
      </c>
      <c r="FF1" s="132" t="s">
        <v>1349</v>
      </c>
      <c r="FG1" s="132" t="s">
        <v>1373</v>
      </c>
      <c r="FH1" s="132" t="s">
        <v>1374</v>
      </c>
      <c r="FI1" s="132" t="s">
        <v>1375</v>
      </c>
      <c r="FJ1" s="132" t="s">
        <v>1350</v>
      </c>
      <c r="FK1" s="132" t="s">
        <v>1376</v>
      </c>
      <c r="FL1" s="132" t="s">
        <v>1377</v>
      </c>
      <c r="FM1" s="132" t="s">
        <v>1378</v>
      </c>
      <c r="FN1" s="132" t="s">
        <v>1351</v>
      </c>
      <c r="FO1" s="132" t="s">
        <v>1379</v>
      </c>
      <c r="FP1" s="132" t="s">
        <v>1380</v>
      </c>
      <c r="FQ1" s="132" t="s">
        <v>1381</v>
      </c>
      <c r="FR1" s="132" t="s">
        <v>1352</v>
      </c>
      <c r="FS1" s="132" t="s">
        <v>1382</v>
      </c>
      <c r="FT1" s="132" t="s">
        <v>1383</v>
      </c>
      <c r="FU1" s="132" t="s">
        <v>1384</v>
      </c>
      <c r="FV1" s="132" t="s">
        <v>1353</v>
      </c>
      <c r="FW1" s="132" t="s">
        <v>1385</v>
      </c>
      <c r="FX1" s="132" t="s">
        <v>1386</v>
      </c>
      <c r="FY1" s="132" t="s">
        <v>1387</v>
      </c>
      <c r="FZ1" s="132" t="s">
        <v>1354</v>
      </c>
      <c r="GA1" s="132" t="s">
        <v>1388</v>
      </c>
      <c r="GB1" s="132" t="s">
        <v>1389</v>
      </c>
      <c r="GC1" s="132" t="s">
        <v>1390</v>
      </c>
      <c r="GD1" s="132" t="s">
        <v>1364</v>
      </c>
      <c r="GE1" s="132" t="s">
        <v>1391</v>
      </c>
      <c r="GF1" s="132" t="s">
        <v>1392</v>
      </c>
      <c r="GG1" s="132" t="s">
        <v>1393</v>
      </c>
      <c r="GH1" s="132" t="s">
        <v>1365</v>
      </c>
      <c r="GI1" s="132" t="s">
        <v>1394</v>
      </c>
      <c r="GJ1" s="132" t="s">
        <v>1395</v>
      </c>
      <c r="GK1" s="132" t="s">
        <v>1396</v>
      </c>
      <c r="GL1" s="132" t="s">
        <v>1366</v>
      </c>
      <c r="GM1" s="132" t="s">
        <v>691</v>
      </c>
      <c r="GN1" s="132" t="s">
        <v>700</v>
      </c>
      <c r="GO1" s="132" t="s">
        <v>689</v>
      </c>
      <c r="GP1" s="132" t="s">
        <v>690</v>
      </c>
      <c r="GQ1" s="132" t="s">
        <v>1104</v>
      </c>
      <c r="GR1" s="132" t="s">
        <v>693</v>
      </c>
      <c r="GS1" s="132" t="s">
        <v>699</v>
      </c>
      <c r="GT1" s="132" t="s">
        <v>694</v>
      </c>
      <c r="GU1" s="132" t="s">
        <v>692</v>
      </c>
      <c r="GV1" s="132" t="s">
        <v>1105</v>
      </c>
      <c r="GW1" s="132" t="s">
        <v>1400</v>
      </c>
      <c r="GX1" s="132" t="s">
        <v>1401</v>
      </c>
      <c r="GY1" s="132" t="s">
        <v>1402</v>
      </c>
      <c r="GZ1" s="132" t="s">
        <v>1403</v>
      </c>
      <c r="HA1" s="132" t="s">
        <v>1397</v>
      </c>
      <c r="HB1" s="132" t="s">
        <v>1404</v>
      </c>
      <c r="HC1" s="132" t="s">
        <v>1405</v>
      </c>
      <c r="HD1" s="132" t="s">
        <v>1406</v>
      </c>
      <c r="HE1" s="132" t="s">
        <v>1407</v>
      </c>
      <c r="HF1" s="132" t="s">
        <v>1398</v>
      </c>
      <c r="HG1" s="132" t="s">
        <v>1408</v>
      </c>
      <c r="HH1" s="132" t="s">
        <v>1409</v>
      </c>
      <c r="HI1" s="132" t="s">
        <v>1410</v>
      </c>
      <c r="HJ1" s="132" t="s">
        <v>1411</v>
      </c>
      <c r="HK1" s="132" t="s">
        <v>1399</v>
      </c>
      <c r="HL1" s="134" t="s">
        <v>616</v>
      </c>
      <c r="HM1" s="134" t="s">
        <v>615</v>
      </c>
      <c r="HN1" s="134" t="s">
        <v>614</v>
      </c>
      <c r="HO1" s="134" t="s">
        <v>613</v>
      </c>
      <c r="HP1" s="134" t="s">
        <v>612</v>
      </c>
      <c r="HQ1" s="134" t="s">
        <v>611</v>
      </c>
      <c r="HR1" s="132" t="s">
        <v>610</v>
      </c>
      <c r="HS1" s="132" t="s">
        <v>609</v>
      </c>
      <c r="HT1" s="132" t="s">
        <v>608</v>
      </c>
      <c r="HU1" s="132" t="s">
        <v>607</v>
      </c>
      <c r="HV1" s="132" t="s">
        <v>606</v>
      </c>
      <c r="HW1" s="132" t="s">
        <v>1233</v>
      </c>
      <c r="HX1" s="132" t="s">
        <v>695</v>
      </c>
      <c r="HY1" s="132" t="s">
        <v>696</v>
      </c>
      <c r="HZ1" s="132" t="s">
        <v>697</v>
      </c>
      <c r="IA1" s="132" t="s">
        <v>698</v>
      </c>
      <c r="IB1" s="132" t="s">
        <v>725</v>
      </c>
      <c r="IC1" s="132" t="s">
        <v>701</v>
      </c>
      <c r="ID1" s="132" t="s">
        <v>702</v>
      </c>
      <c r="IE1" s="132" t="s">
        <v>703</v>
      </c>
      <c r="IF1" s="132" t="s">
        <v>1752</v>
      </c>
      <c r="IG1" s="132" t="s">
        <v>605</v>
      </c>
      <c r="IH1" s="132" t="s">
        <v>604</v>
      </c>
      <c r="II1" s="132" t="s">
        <v>656</v>
      </c>
      <c r="IJ1" s="132" t="s">
        <v>657</v>
      </c>
      <c r="IK1" s="132" t="s">
        <v>603</v>
      </c>
      <c r="IL1" s="132" t="s">
        <v>602</v>
      </c>
      <c r="IM1" s="132" t="s">
        <v>601</v>
      </c>
      <c r="IN1" s="132" t="s">
        <v>600</v>
      </c>
      <c r="IO1" s="132" t="s">
        <v>599</v>
      </c>
      <c r="IP1" s="132" t="s">
        <v>598</v>
      </c>
      <c r="IQ1" s="132" t="s">
        <v>597</v>
      </c>
      <c r="IR1" s="132" t="s">
        <v>596</v>
      </c>
      <c r="IS1" s="132" t="s">
        <v>595</v>
      </c>
      <c r="IT1" s="132" t="s">
        <v>594</v>
      </c>
      <c r="IU1" s="130" t="s">
        <v>729</v>
      </c>
      <c r="IV1" s="130" t="s">
        <v>593</v>
      </c>
      <c r="IW1" s="130" t="s">
        <v>592</v>
      </c>
      <c r="IX1" s="130" t="s">
        <v>715</v>
      </c>
      <c r="IY1" s="130" t="s">
        <v>1738</v>
      </c>
      <c r="IZ1" s="130" t="s">
        <v>590</v>
      </c>
      <c r="JA1" s="130" t="s">
        <v>589</v>
      </c>
      <c r="JB1" s="130" t="s">
        <v>588</v>
      </c>
      <c r="JC1" s="130" t="s">
        <v>587</v>
      </c>
      <c r="JD1" s="130" t="s">
        <v>586</v>
      </c>
      <c r="JE1" s="130" t="s">
        <v>716</v>
      </c>
      <c r="JF1" s="130" t="s">
        <v>585</v>
      </c>
      <c r="JG1" s="130" t="s">
        <v>584</v>
      </c>
      <c r="JH1" s="130" t="s">
        <v>583</v>
      </c>
      <c r="JI1" s="133" t="s">
        <v>582</v>
      </c>
      <c r="JJ1" s="133" t="s">
        <v>581</v>
      </c>
      <c r="JK1" s="133" t="s">
        <v>580</v>
      </c>
      <c r="JL1" s="132" t="s">
        <v>579</v>
      </c>
      <c r="JM1" s="132" t="s">
        <v>1109</v>
      </c>
      <c r="JN1" s="132" t="s">
        <v>1110</v>
      </c>
      <c r="JO1" s="132" t="s">
        <v>578</v>
      </c>
      <c r="JP1" s="132" t="s">
        <v>577</v>
      </c>
      <c r="JQ1" s="132" t="s">
        <v>576</v>
      </c>
      <c r="JR1" s="132" t="s">
        <v>575</v>
      </c>
      <c r="JS1" s="132" t="s">
        <v>574</v>
      </c>
      <c r="JT1" s="132" t="s">
        <v>573</v>
      </c>
      <c r="JU1" s="132" t="s">
        <v>572</v>
      </c>
      <c r="JV1" s="132" t="s">
        <v>571</v>
      </c>
      <c r="JW1" s="132" t="s">
        <v>570</v>
      </c>
      <c r="JX1" s="132" t="s">
        <v>569</v>
      </c>
      <c r="JY1" s="132" t="s">
        <v>568</v>
      </c>
      <c r="JZ1" s="132" t="s">
        <v>567</v>
      </c>
      <c r="KA1" s="132" t="s">
        <v>566</v>
      </c>
      <c r="KB1" s="132" t="s">
        <v>565</v>
      </c>
      <c r="KC1" s="132" t="s">
        <v>564</v>
      </c>
      <c r="KD1" s="132" t="s">
        <v>748</v>
      </c>
      <c r="KE1" s="132" t="s">
        <v>749</v>
      </c>
      <c r="KF1" s="132" t="s">
        <v>563</v>
      </c>
      <c r="KG1" s="132" t="s">
        <v>562</v>
      </c>
      <c r="KH1" s="132" t="s">
        <v>561</v>
      </c>
      <c r="KI1" s="132" t="s">
        <v>560</v>
      </c>
      <c r="KJ1" s="132" t="s">
        <v>559</v>
      </c>
      <c r="KK1" s="132" t="s">
        <v>558</v>
      </c>
      <c r="KL1" s="132" t="s">
        <v>557</v>
      </c>
      <c r="KM1" s="132" t="s">
        <v>556</v>
      </c>
      <c r="KN1" s="132" t="s">
        <v>555</v>
      </c>
      <c r="KO1" s="132" t="s">
        <v>554</v>
      </c>
      <c r="KP1" s="132" t="s">
        <v>553</v>
      </c>
      <c r="KQ1" s="132" t="s">
        <v>552</v>
      </c>
      <c r="KR1" s="132" t="s">
        <v>551</v>
      </c>
      <c r="KS1" s="132" t="s">
        <v>550</v>
      </c>
      <c r="KT1" s="132" t="s">
        <v>549</v>
      </c>
      <c r="KU1" s="132" t="s">
        <v>548</v>
      </c>
      <c r="KV1" s="132" t="s">
        <v>1120</v>
      </c>
      <c r="KW1" s="132" t="s">
        <v>1117</v>
      </c>
      <c r="KX1" s="132" t="s">
        <v>1118</v>
      </c>
      <c r="KY1" s="132" t="s">
        <v>1119</v>
      </c>
      <c r="KZ1" s="132" t="s">
        <v>546</v>
      </c>
      <c r="LA1" s="132" t="s">
        <v>545</v>
      </c>
      <c r="LB1" s="132" t="s">
        <v>544</v>
      </c>
      <c r="LC1" s="132" t="s">
        <v>543</v>
      </c>
      <c r="LD1" s="132" t="s">
        <v>542</v>
      </c>
      <c r="LE1" s="132" t="s">
        <v>541</v>
      </c>
      <c r="LF1" s="132" t="s">
        <v>540</v>
      </c>
      <c r="LG1" s="132" t="s">
        <v>539</v>
      </c>
      <c r="LH1" s="132" t="s">
        <v>538</v>
      </c>
      <c r="LI1" s="132" t="s">
        <v>537</v>
      </c>
      <c r="LJ1" s="132" t="s">
        <v>536</v>
      </c>
      <c r="LK1" s="132" t="s">
        <v>535</v>
      </c>
      <c r="LL1" s="132" t="s">
        <v>534</v>
      </c>
      <c r="LM1" s="132" t="s">
        <v>1125</v>
      </c>
      <c r="LN1" s="132" t="s">
        <v>1126</v>
      </c>
      <c r="LO1" s="132" t="s">
        <v>533</v>
      </c>
      <c r="LP1" s="132" t="s">
        <v>532</v>
      </c>
      <c r="LQ1" s="133" t="s">
        <v>531</v>
      </c>
      <c r="LR1" s="133" t="s">
        <v>530</v>
      </c>
      <c r="LS1" s="133" t="s">
        <v>529</v>
      </c>
      <c r="LT1" s="133" t="s">
        <v>528</v>
      </c>
      <c r="LU1" s="133" t="s">
        <v>527</v>
      </c>
      <c r="LV1" s="133" t="s">
        <v>526</v>
      </c>
      <c r="LW1" s="133" t="s">
        <v>1099</v>
      </c>
      <c r="LX1" s="133" t="s">
        <v>1096</v>
      </c>
      <c r="LY1" s="133" t="s">
        <v>1097</v>
      </c>
      <c r="LZ1" s="133" t="s">
        <v>1098</v>
      </c>
      <c r="MA1" s="134" t="s">
        <v>524</v>
      </c>
      <c r="MB1" s="134" t="s">
        <v>523</v>
      </c>
      <c r="MC1" s="134" t="s">
        <v>522</v>
      </c>
      <c r="MD1" s="134" t="s">
        <v>521</v>
      </c>
      <c r="ME1" s="134" t="s">
        <v>520</v>
      </c>
      <c r="MF1" s="142" t="s">
        <v>1141</v>
      </c>
      <c r="MG1" s="142" t="s">
        <v>1149</v>
      </c>
      <c r="MH1" s="142" t="s">
        <v>1148</v>
      </c>
      <c r="MI1" s="142" t="s">
        <v>1147</v>
      </c>
      <c r="MJ1" s="142" t="s">
        <v>1146</v>
      </c>
      <c r="MK1" s="142" t="s">
        <v>1143</v>
      </c>
      <c r="ML1" s="142" t="s">
        <v>1144</v>
      </c>
      <c r="MM1" s="142" t="s">
        <v>1145</v>
      </c>
      <c r="MN1" s="135" t="s">
        <v>1726</v>
      </c>
      <c r="MO1" s="135" t="s">
        <v>1727</v>
      </c>
      <c r="MP1" s="135" t="s">
        <v>1728</v>
      </c>
      <c r="MQ1" s="135" t="s">
        <v>1729</v>
      </c>
      <c r="MR1" s="135" t="s">
        <v>1730</v>
      </c>
      <c r="MS1" s="132" t="s">
        <v>519</v>
      </c>
      <c r="MT1" s="131" t="s">
        <v>518</v>
      </c>
      <c r="MU1" s="136" t="s">
        <v>517</v>
      </c>
      <c r="MV1" s="136" t="s">
        <v>1221</v>
      </c>
      <c r="MW1" s="136" t="s">
        <v>516</v>
      </c>
      <c r="MX1" s="136" t="s">
        <v>515</v>
      </c>
      <c r="MY1" s="136" t="s">
        <v>514</v>
      </c>
      <c r="MZ1" s="136" t="s">
        <v>513</v>
      </c>
      <c r="NA1" s="136" t="s">
        <v>512</v>
      </c>
      <c r="NB1" s="136" t="s">
        <v>714</v>
      </c>
      <c r="NC1" s="136" t="s">
        <v>708</v>
      </c>
      <c r="ND1" s="132" t="s">
        <v>713</v>
      </c>
      <c r="NE1" s="132" t="s">
        <v>704</v>
      </c>
      <c r="NF1" s="132" t="s">
        <v>705</v>
      </c>
      <c r="NG1" s="132" t="s">
        <v>706</v>
      </c>
      <c r="NH1" s="132" t="s">
        <v>707</v>
      </c>
      <c r="NI1" s="132" t="s">
        <v>511</v>
      </c>
      <c r="NJ1" s="132" t="s">
        <v>510</v>
      </c>
      <c r="NK1" s="132" t="s">
        <v>509</v>
      </c>
      <c r="NL1" s="132" t="s">
        <v>508</v>
      </c>
      <c r="NM1" s="132" t="s">
        <v>507</v>
      </c>
      <c r="NN1" s="132" t="s">
        <v>506</v>
      </c>
      <c r="NO1" s="132" t="s">
        <v>505</v>
      </c>
      <c r="NP1" s="132" t="s">
        <v>504</v>
      </c>
      <c r="NQ1" s="132" t="s">
        <v>503</v>
      </c>
      <c r="NR1" s="132" t="s">
        <v>502</v>
      </c>
      <c r="NS1" s="132" t="s">
        <v>1192</v>
      </c>
      <c r="NT1" s="132" t="s">
        <v>1193</v>
      </c>
      <c r="NU1" s="132" t="s">
        <v>1194</v>
      </c>
      <c r="NV1" s="132" t="s">
        <v>1195</v>
      </c>
      <c r="NW1" s="132" t="s">
        <v>718</v>
      </c>
      <c r="NX1" s="132" t="s">
        <v>1222</v>
      </c>
      <c r="NY1" s="132" t="s">
        <v>1223</v>
      </c>
      <c r="NZ1" s="132" t="s">
        <v>1224</v>
      </c>
      <c r="OA1" s="132" t="s">
        <v>1225</v>
      </c>
      <c r="OB1" s="132" t="s">
        <v>1226</v>
      </c>
      <c r="OC1" s="132" t="s">
        <v>1227</v>
      </c>
      <c r="OD1" s="132" t="s">
        <v>1228</v>
      </c>
      <c r="OE1" s="132" t="s">
        <v>1229</v>
      </c>
      <c r="OF1" s="132" t="s">
        <v>1230</v>
      </c>
      <c r="OG1" s="132" t="s">
        <v>1231</v>
      </c>
      <c r="OH1" s="132" t="s">
        <v>501</v>
      </c>
      <c r="OI1" s="132" t="s">
        <v>500</v>
      </c>
      <c r="OJ1" s="132" t="s">
        <v>499</v>
      </c>
      <c r="OK1" s="132" t="s">
        <v>498</v>
      </c>
      <c r="OL1" s="132" t="s">
        <v>497</v>
      </c>
      <c r="OM1" s="132" t="s">
        <v>496</v>
      </c>
      <c r="ON1" s="132" t="s">
        <v>495</v>
      </c>
      <c r="OO1" s="137" t="s">
        <v>1173</v>
      </c>
      <c r="OP1" s="137" t="s">
        <v>1174</v>
      </c>
      <c r="OQ1" s="138" t="s">
        <v>1180</v>
      </c>
      <c r="OR1" s="138" t="s">
        <v>1175</v>
      </c>
      <c r="OS1" s="138" t="s">
        <v>1176</v>
      </c>
      <c r="OT1" s="138" t="s">
        <v>1179</v>
      </c>
      <c r="OU1" s="139" t="s">
        <v>1177</v>
      </c>
    </row>
    <row r="2" spans="1:411" ht="15.75" thickBot="1">
      <c r="A2" s="55" t="s">
        <v>494</v>
      </c>
      <c r="B2" s="55" t="s">
        <v>494</v>
      </c>
      <c r="C2" s="56" t="s">
        <v>493</v>
      </c>
      <c r="D2" s="56" t="s">
        <v>493</v>
      </c>
      <c r="E2" s="56" t="s">
        <v>493</v>
      </c>
      <c r="F2" s="56" t="s">
        <v>493</v>
      </c>
      <c r="G2" s="56" t="s">
        <v>493</v>
      </c>
      <c r="H2" s="56" t="s">
        <v>493</v>
      </c>
      <c r="I2" s="56" t="s">
        <v>493</v>
      </c>
      <c r="J2" s="56" t="s">
        <v>493</v>
      </c>
      <c r="K2" s="56" t="s">
        <v>493</v>
      </c>
      <c r="L2" s="56" t="s">
        <v>493</v>
      </c>
      <c r="M2" s="56" t="s">
        <v>493</v>
      </c>
      <c r="N2" s="56" t="s">
        <v>493</v>
      </c>
      <c r="O2" s="56" t="s">
        <v>493</v>
      </c>
      <c r="P2" s="56" t="s">
        <v>493</v>
      </c>
      <c r="Q2" s="56" t="s">
        <v>493</v>
      </c>
      <c r="R2" s="56" t="s">
        <v>493</v>
      </c>
      <c r="S2" s="56" t="s">
        <v>493</v>
      </c>
      <c r="T2" s="56" t="s">
        <v>493</v>
      </c>
      <c r="U2" s="85"/>
      <c r="V2" s="85"/>
      <c r="W2" s="85"/>
      <c r="X2" s="85"/>
      <c r="Y2" s="85"/>
      <c r="Z2" s="85"/>
      <c r="AA2" s="85"/>
      <c r="AB2" s="85"/>
      <c r="AC2" s="85"/>
      <c r="AD2" s="85"/>
      <c r="AE2" s="85"/>
      <c r="AF2" s="85"/>
      <c r="AG2" s="85"/>
      <c r="AH2" s="85"/>
      <c r="AI2" s="85"/>
      <c r="AJ2" s="85"/>
      <c r="AK2" s="85"/>
      <c r="AL2" s="85"/>
      <c r="AM2" s="85"/>
      <c r="AN2" s="85"/>
      <c r="AO2" s="85"/>
      <c r="AP2" s="85"/>
      <c r="AQ2" s="85"/>
      <c r="AR2" s="85"/>
      <c r="AS2" s="85"/>
      <c r="AT2" s="85"/>
      <c r="AU2" s="85"/>
      <c r="AV2" s="39" t="s">
        <v>492</v>
      </c>
      <c r="AW2" s="39" t="s">
        <v>492</v>
      </c>
      <c r="AX2" s="39" t="s">
        <v>492</v>
      </c>
      <c r="AY2" s="39" t="s">
        <v>492</v>
      </c>
      <c r="AZ2" s="34" t="s">
        <v>491</v>
      </c>
      <c r="BA2" s="34" t="s">
        <v>491</v>
      </c>
      <c r="BB2" s="34" t="s">
        <v>491</v>
      </c>
      <c r="BC2" s="34" t="s">
        <v>491</v>
      </c>
      <c r="BD2" s="22" t="s">
        <v>490</v>
      </c>
      <c r="BE2" s="22" t="s">
        <v>490</v>
      </c>
      <c r="BF2" s="22" t="s">
        <v>490</v>
      </c>
      <c r="BG2" s="22" t="s">
        <v>490</v>
      </c>
      <c r="BH2" s="1" t="s">
        <v>1232</v>
      </c>
      <c r="BI2" s="1" t="s">
        <v>489</v>
      </c>
      <c r="BJ2" s="1" t="s">
        <v>489</v>
      </c>
      <c r="BK2" s="1" t="s">
        <v>489</v>
      </c>
      <c r="BL2" s="1" t="s">
        <v>489</v>
      </c>
      <c r="BM2" s="1" t="s">
        <v>489</v>
      </c>
      <c r="BN2" s="1" t="s">
        <v>489</v>
      </c>
      <c r="BO2" s="1" t="s">
        <v>489</v>
      </c>
      <c r="BP2" s="1" t="s">
        <v>489</v>
      </c>
      <c r="BQ2" s="1" t="s">
        <v>489</v>
      </c>
      <c r="BR2" s="1" t="s">
        <v>489</v>
      </c>
      <c r="BS2" s="1" t="s">
        <v>489</v>
      </c>
      <c r="BT2" s="1" t="s">
        <v>489</v>
      </c>
      <c r="BU2" s="1" t="s">
        <v>489</v>
      </c>
      <c r="BV2" s="1" t="s">
        <v>489</v>
      </c>
      <c r="BW2" s="66"/>
      <c r="BX2" s="66"/>
      <c r="BY2" s="66"/>
      <c r="BZ2" s="66"/>
      <c r="CA2" s="66"/>
      <c r="CB2" s="66"/>
      <c r="CC2" s="66"/>
      <c r="CD2" s="66"/>
      <c r="CE2" s="66"/>
      <c r="CF2" s="66"/>
      <c r="CG2" s="66"/>
      <c r="CH2" s="66"/>
      <c r="CI2" s="66"/>
      <c r="CJ2" s="66"/>
      <c r="CK2" s="66"/>
      <c r="CL2" s="66"/>
      <c r="CM2" s="66"/>
      <c r="CN2" s="66"/>
      <c r="CO2" s="66"/>
      <c r="CP2" s="66"/>
      <c r="CQ2" s="66"/>
      <c r="CR2" s="66"/>
      <c r="CS2" s="66"/>
      <c r="CT2" s="66"/>
      <c r="CU2" s="66"/>
      <c r="CV2" s="66"/>
      <c r="CW2" s="66"/>
      <c r="CX2" s="66"/>
      <c r="CY2" s="66"/>
      <c r="CZ2" s="66"/>
      <c r="DA2" s="66"/>
      <c r="DB2" s="66"/>
      <c r="DC2" s="66"/>
      <c r="DD2" s="66"/>
      <c r="DE2" s="66"/>
      <c r="DF2" s="66"/>
      <c r="DG2" s="66"/>
      <c r="DH2" s="66"/>
      <c r="DI2" s="66"/>
      <c r="DJ2" s="66"/>
      <c r="DK2" s="66"/>
      <c r="DL2" s="66"/>
      <c r="DM2" s="66"/>
      <c r="DN2" s="66"/>
      <c r="DO2" s="66"/>
      <c r="DP2" s="66"/>
      <c r="DQ2" s="66"/>
      <c r="DR2" s="66"/>
      <c r="DS2" s="66"/>
      <c r="DT2" s="66"/>
      <c r="DU2" s="66"/>
      <c r="DV2" s="66"/>
      <c r="DW2" s="66"/>
      <c r="DX2" s="66"/>
      <c r="DY2" s="66"/>
      <c r="DZ2" s="66"/>
      <c r="EA2" s="66"/>
      <c r="EB2" s="66"/>
      <c r="EC2" s="66"/>
      <c r="ED2" s="66"/>
      <c r="EE2" s="39" t="s">
        <v>488</v>
      </c>
      <c r="EF2" s="39" t="s">
        <v>488</v>
      </c>
      <c r="EG2" s="39" t="s">
        <v>488</v>
      </c>
      <c r="EH2" s="39" t="s">
        <v>488</v>
      </c>
      <c r="EI2" s="39" t="s">
        <v>488</v>
      </c>
      <c r="EJ2" s="39" t="s">
        <v>488</v>
      </c>
      <c r="EK2" s="39" t="s">
        <v>488</v>
      </c>
      <c r="EL2" s="39" t="s">
        <v>488</v>
      </c>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1" t="s">
        <v>667</v>
      </c>
      <c r="GN2" s="31" t="s">
        <v>667</v>
      </c>
      <c r="GO2" s="31" t="s">
        <v>667</v>
      </c>
      <c r="GP2" s="31" t="s">
        <v>667</v>
      </c>
      <c r="GQ2" s="31"/>
      <c r="GR2" s="31" t="s">
        <v>667</v>
      </c>
      <c r="GS2" s="31" t="s">
        <v>667</v>
      </c>
      <c r="GT2" s="31" t="s">
        <v>667</v>
      </c>
      <c r="GU2" s="31" t="s">
        <v>667</v>
      </c>
      <c r="GV2" s="57"/>
      <c r="GW2" s="57"/>
      <c r="GX2" s="57"/>
      <c r="GY2" s="57"/>
      <c r="GZ2" s="57"/>
      <c r="HA2" s="57"/>
      <c r="HB2" s="57"/>
      <c r="HC2" s="57"/>
      <c r="HD2" s="57"/>
      <c r="HE2" s="57"/>
      <c r="HF2" s="57"/>
      <c r="HG2" s="57"/>
      <c r="HH2" s="57"/>
      <c r="HI2" s="57"/>
      <c r="HJ2" s="57"/>
      <c r="HK2" s="57"/>
      <c r="HL2" s="34" t="s">
        <v>487</v>
      </c>
      <c r="HM2" s="34" t="s">
        <v>487</v>
      </c>
      <c r="HN2" s="34" t="s">
        <v>486</v>
      </c>
      <c r="HO2" s="34" t="s">
        <v>486</v>
      </c>
      <c r="HP2" s="34" t="s">
        <v>486</v>
      </c>
      <c r="HQ2" s="34" t="s">
        <v>486</v>
      </c>
      <c r="HR2" s="39" t="s">
        <v>485</v>
      </c>
      <c r="HS2" s="39" t="s">
        <v>485</v>
      </c>
      <c r="HT2" s="39" t="s">
        <v>484</v>
      </c>
      <c r="HU2" s="39" t="s">
        <v>484</v>
      </c>
      <c r="HV2" s="39" t="s">
        <v>484</v>
      </c>
      <c r="HW2" s="41" t="s">
        <v>483</v>
      </c>
      <c r="HX2" s="41" t="s">
        <v>483</v>
      </c>
      <c r="HY2" s="41" t="s">
        <v>483</v>
      </c>
      <c r="HZ2" s="41" t="s">
        <v>483</v>
      </c>
      <c r="IA2" s="41" t="s">
        <v>483</v>
      </c>
      <c r="IB2" s="47" t="s">
        <v>663</v>
      </c>
      <c r="IC2" s="47" t="s">
        <v>663</v>
      </c>
      <c r="ID2" s="47" t="s">
        <v>663</v>
      </c>
      <c r="IE2" s="47" t="s">
        <v>663</v>
      </c>
      <c r="IF2" s="47"/>
      <c r="IG2" s="38" t="s">
        <v>482</v>
      </c>
      <c r="IH2" s="38" t="s">
        <v>482</v>
      </c>
      <c r="II2" s="38" t="s">
        <v>481</v>
      </c>
      <c r="IJ2" s="38" t="s">
        <v>481</v>
      </c>
      <c r="IK2" s="38" t="s">
        <v>481</v>
      </c>
      <c r="IL2" s="38" t="s">
        <v>481</v>
      </c>
      <c r="IM2" s="38" t="s">
        <v>481</v>
      </c>
      <c r="IN2" s="34" t="s">
        <v>480</v>
      </c>
      <c r="IO2" s="34" t="s">
        <v>480</v>
      </c>
      <c r="IP2" s="34"/>
      <c r="IQ2" s="34"/>
      <c r="IR2" s="40" t="s">
        <v>479</v>
      </c>
      <c r="IS2" s="40" t="s">
        <v>479</v>
      </c>
      <c r="IT2" s="40" t="s">
        <v>479</v>
      </c>
      <c r="IU2" s="39" t="s">
        <v>478</v>
      </c>
      <c r="IV2" s="39" t="s">
        <v>478</v>
      </c>
      <c r="IW2" s="39" t="s">
        <v>478</v>
      </c>
      <c r="IX2" s="39" t="s">
        <v>478</v>
      </c>
      <c r="IY2" s="39"/>
      <c r="IZ2" s="39" t="s">
        <v>477</v>
      </c>
      <c r="JA2" s="39" t="s">
        <v>477</v>
      </c>
      <c r="JB2" s="39" t="s">
        <v>477</v>
      </c>
      <c r="JC2" s="39" t="s">
        <v>477</v>
      </c>
      <c r="JD2" s="39" t="s">
        <v>477</v>
      </c>
      <c r="JE2" s="39" t="s">
        <v>477</v>
      </c>
      <c r="JF2" s="39" t="s">
        <v>477</v>
      </c>
      <c r="JG2" s="39" t="s">
        <v>477</v>
      </c>
      <c r="JH2" s="39" t="s">
        <v>477</v>
      </c>
      <c r="JI2" s="38" t="s">
        <v>476</v>
      </c>
      <c r="JJ2" s="38" t="s">
        <v>476</v>
      </c>
      <c r="JK2" s="38" t="s">
        <v>475</v>
      </c>
      <c r="JL2" s="38" t="s">
        <v>475</v>
      </c>
      <c r="JM2" s="38" t="s">
        <v>475</v>
      </c>
      <c r="JN2" s="38" t="s">
        <v>475</v>
      </c>
      <c r="JO2" s="38" t="s">
        <v>475</v>
      </c>
      <c r="JP2" s="38" t="s">
        <v>475</v>
      </c>
      <c r="JQ2" s="38" t="s">
        <v>475</v>
      </c>
      <c r="JR2" s="38" t="s">
        <v>475</v>
      </c>
      <c r="JS2" s="38" t="s">
        <v>475</v>
      </c>
      <c r="JT2" s="38" t="s">
        <v>475</v>
      </c>
      <c r="JU2" s="34" t="s">
        <v>475</v>
      </c>
      <c r="JV2" s="34" t="s">
        <v>475</v>
      </c>
      <c r="JW2" s="34" t="s">
        <v>475</v>
      </c>
      <c r="JX2" s="34" t="s">
        <v>475</v>
      </c>
      <c r="JY2" s="34" t="s">
        <v>475</v>
      </c>
      <c r="JZ2" s="34" t="s">
        <v>475</v>
      </c>
      <c r="KA2" s="34" t="s">
        <v>475</v>
      </c>
      <c r="KB2" s="34" t="s">
        <v>475</v>
      </c>
      <c r="KC2" s="34" t="s">
        <v>475</v>
      </c>
      <c r="KD2" s="38" t="s">
        <v>474</v>
      </c>
      <c r="KE2" s="38" t="s">
        <v>474</v>
      </c>
      <c r="KF2" s="38" t="s">
        <v>473</v>
      </c>
      <c r="KG2" s="38" t="s">
        <v>473</v>
      </c>
      <c r="KH2" s="34" t="s">
        <v>472</v>
      </c>
      <c r="KI2" s="34" t="s">
        <v>472</v>
      </c>
      <c r="KJ2" s="34" t="s">
        <v>471</v>
      </c>
      <c r="KK2" s="34" t="s">
        <v>471</v>
      </c>
      <c r="KL2" s="34" t="s">
        <v>471</v>
      </c>
      <c r="KM2" s="34" t="s">
        <v>472</v>
      </c>
      <c r="KN2" s="34" t="s">
        <v>471</v>
      </c>
      <c r="KO2" s="34" t="s">
        <v>471</v>
      </c>
      <c r="KP2" s="34" t="s">
        <v>471</v>
      </c>
      <c r="KQ2" s="34"/>
      <c r="KR2" s="34"/>
      <c r="KS2" s="34"/>
      <c r="KT2" s="34"/>
      <c r="KU2" s="38" t="s">
        <v>470</v>
      </c>
      <c r="KV2" s="38" t="s">
        <v>470</v>
      </c>
      <c r="KW2" s="38" t="s">
        <v>470</v>
      </c>
      <c r="KX2" s="38" t="s">
        <v>470</v>
      </c>
      <c r="KY2" s="38" t="s">
        <v>470</v>
      </c>
      <c r="KZ2" s="38" t="s">
        <v>469</v>
      </c>
      <c r="LA2" s="38" t="s">
        <v>469</v>
      </c>
      <c r="LB2" s="38" t="s">
        <v>469</v>
      </c>
      <c r="LC2" s="38" t="s">
        <v>469</v>
      </c>
      <c r="LD2" s="38" t="s">
        <v>469</v>
      </c>
      <c r="LE2" s="38" t="s">
        <v>469</v>
      </c>
      <c r="LF2" s="38" t="s">
        <v>469</v>
      </c>
      <c r="LG2" s="38" t="s">
        <v>469</v>
      </c>
      <c r="LH2" s="38" t="s">
        <v>469</v>
      </c>
      <c r="LI2" s="38" t="s">
        <v>469</v>
      </c>
      <c r="LJ2" s="37" t="s">
        <v>468</v>
      </c>
      <c r="LK2" s="37" t="s">
        <v>468</v>
      </c>
      <c r="LL2" s="37" t="s">
        <v>468</v>
      </c>
      <c r="LM2" s="37" t="s">
        <v>467</v>
      </c>
      <c r="LN2" s="37" t="s">
        <v>467</v>
      </c>
      <c r="LO2" s="36" t="s">
        <v>466</v>
      </c>
      <c r="LP2" s="36" t="s">
        <v>466</v>
      </c>
      <c r="LQ2" s="36" t="s">
        <v>465</v>
      </c>
      <c r="LR2" s="36" t="s">
        <v>465</v>
      </c>
      <c r="LS2" s="36" t="s">
        <v>465</v>
      </c>
      <c r="LT2" s="36" t="s">
        <v>465</v>
      </c>
      <c r="LU2" s="36" t="s">
        <v>465</v>
      </c>
      <c r="LV2" s="35" t="s">
        <v>464</v>
      </c>
      <c r="LW2" s="35" t="s">
        <v>464</v>
      </c>
      <c r="LX2" s="35" t="s">
        <v>464</v>
      </c>
      <c r="LY2" s="35" t="s">
        <v>464</v>
      </c>
      <c r="LZ2" s="35" t="s">
        <v>464</v>
      </c>
      <c r="MA2" s="34" t="s">
        <v>463</v>
      </c>
      <c r="MB2" s="34" t="s">
        <v>463</v>
      </c>
      <c r="MC2" s="34" t="s">
        <v>462</v>
      </c>
      <c r="MD2" s="34" t="s">
        <v>462</v>
      </c>
      <c r="ME2" s="34" t="s">
        <v>462</v>
      </c>
      <c r="MF2" s="33" t="s">
        <v>461</v>
      </c>
      <c r="MG2" s="33" t="s">
        <v>461</v>
      </c>
      <c r="MH2" s="33"/>
      <c r="MI2" s="33"/>
      <c r="MJ2" s="33"/>
      <c r="MK2" s="33" t="s">
        <v>460</v>
      </c>
      <c r="ML2" s="33" t="s">
        <v>460</v>
      </c>
      <c r="MM2" s="33" t="s">
        <v>460</v>
      </c>
      <c r="MN2" s="38" t="s">
        <v>1723</v>
      </c>
      <c r="MO2" s="38" t="s">
        <v>1723</v>
      </c>
      <c r="MP2" s="38" t="s">
        <v>1723</v>
      </c>
      <c r="MQ2" s="38" t="s">
        <v>1723</v>
      </c>
      <c r="MR2" s="38" t="s">
        <v>1723</v>
      </c>
      <c r="MS2" s="32" t="s">
        <v>459</v>
      </c>
      <c r="MT2" s="32" t="s">
        <v>459</v>
      </c>
      <c r="MU2" s="31" t="s">
        <v>458</v>
      </c>
      <c r="MV2" s="31"/>
      <c r="MW2" s="31" t="s">
        <v>458</v>
      </c>
      <c r="MX2" s="31"/>
      <c r="MY2" s="31"/>
      <c r="MZ2" s="31"/>
      <c r="NA2" s="31"/>
      <c r="NB2" s="31" t="s">
        <v>458</v>
      </c>
      <c r="NC2" s="31" t="s">
        <v>458</v>
      </c>
      <c r="ND2" s="1" t="s">
        <v>0</v>
      </c>
      <c r="NE2" s="1" t="s">
        <v>0</v>
      </c>
      <c r="NF2" s="1" t="s">
        <v>0</v>
      </c>
      <c r="NG2" s="1" t="s">
        <v>0</v>
      </c>
      <c r="NH2" s="1" t="s">
        <v>0</v>
      </c>
      <c r="NI2" s="1" t="s">
        <v>0</v>
      </c>
      <c r="NJ2" s="1" t="s">
        <v>0</v>
      </c>
      <c r="NK2" s="1" t="s">
        <v>0</v>
      </c>
      <c r="NL2" s="1" t="s">
        <v>0</v>
      </c>
      <c r="NM2" s="1" t="s">
        <v>0</v>
      </c>
      <c r="NN2" s="1" t="s">
        <v>0</v>
      </c>
      <c r="NO2" s="1" t="s">
        <v>0</v>
      </c>
      <c r="NP2" s="1" t="s">
        <v>0</v>
      </c>
      <c r="NQ2" s="30" t="s">
        <v>457</v>
      </c>
      <c r="NR2" s="30" t="s">
        <v>457</v>
      </c>
      <c r="NS2" s="30" t="s">
        <v>457</v>
      </c>
      <c r="NT2" s="30" t="s">
        <v>457</v>
      </c>
      <c r="NU2" s="30" t="s">
        <v>457</v>
      </c>
      <c r="NV2" s="30" t="s">
        <v>457</v>
      </c>
      <c r="NW2" s="30" t="s">
        <v>457</v>
      </c>
      <c r="NX2" s="30"/>
      <c r="NY2" s="30"/>
      <c r="NZ2" s="30"/>
      <c r="OA2" s="30"/>
      <c r="OB2" s="30"/>
      <c r="OC2" s="30"/>
      <c r="OD2" s="30"/>
      <c r="OE2" s="30"/>
      <c r="OF2" s="30"/>
      <c r="OG2" s="30"/>
      <c r="OH2" s="30" t="s">
        <v>457</v>
      </c>
      <c r="OI2" s="30" t="s">
        <v>457</v>
      </c>
      <c r="OJ2" s="29" t="s">
        <v>456</v>
      </c>
      <c r="OK2" s="29" t="s">
        <v>456</v>
      </c>
      <c r="OL2" s="29" t="s">
        <v>456</v>
      </c>
      <c r="OM2" s="29" t="s">
        <v>456</v>
      </c>
      <c r="ON2" s="29" t="s">
        <v>456</v>
      </c>
    </row>
    <row r="3" spans="1:411" ht="15" customHeight="1" thickBot="1">
      <c r="A3" t="s">
        <v>455</v>
      </c>
      <c r="B3" t="s">
        <v>454</v>
      </c>
      <c r="C3" t="s">
        <v>453</v>
      </c>
      <c r="D3" t="s">
        <v>452</v>
      </c>
      <c r="E3" t="s">
        <v>451</v>
      </c>
      <c r="F3" t="s">
        <v>450</v>
      </c>
      <c r="H3" t="s">
        <v>449</v>
      </c>
      <c r="I3" t="s">
        <v>448</v>
      </c>
      <c r="J3" t="s">
        <v>447</v>
      </c>
      <c r="K3" t="s">
        <v>446</v>
      </c>
      <c r="AV3" s="18" t="s">
        <v>445</v>
      </c>
      <c r="AW3" s="28" t="s">
        <v>723</v>
      </c>
      <c r="AX3" s="18" t="s">
        <v>444</v>
      </c>
      <c r="AY3" s="18" t="s">
        <v>443</v>
      </c>
      <c r="AZ3" s="18" t="s">
        <v>442</v>
      </c>
      <c r="BA3" s="18" t="s">
        <v>441</v>
      </c>
      <c r="BB3" s="18" t="s">
        <v>440</v>
      </c>
      <c r="BC3" s="18" t="s">
        <v>439</v>
      </c>
      <c r="BD3" s="20"/>
      <c r="BE3" s="20"/>
      <c r="BF3" s="20"/>
      <c r="BG3" s="20"/>
      <c r="BH3" s="18" t="s">
        <v>438</v>
      </c>
      <c r="BI3" s="18" t="s">
        <v>437</v>
      </c>
      <c r="BJ3" s="18" t="s">
        <v>433</v>
      </c>
      <c r="BK3" s="18" t="s">
        <v>436</v>
      </c>
      <c r="BL3" s="18" t="s">
        <v>435</v>
      </c>
      <c r="BM3" s="18" t="s">
        <v>438</v>
      </c>
      <c r="BN3" s="18" t="s">
        <v>437</v>
      </c>
      <c r="BO3" s="18" t="s">
        <v>433</v>
      </c>
      <c r="BP3" s="18" t="s">
        <v>436</v>
      </c>
      <c r="BQ3" s="18" t="s">
        <v>435</v>
      </c>
      <c r="BR3" s="18" t="s">
        <v>438</v>
      </c>
      <c r="BS3" s="18" t="s">
        <v>437</v>
      </c>
      <c r="BT3" s="18" t="s">
        <v>433</v>
      </c>
      <c r="BU3" s="18" t="s">
        <v>436</v>
      </c>
      <c r="BV3" s="18" t="s">
        <v>435</v>
      </c>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K3" s="18"/>
      <c r="DL3" s="18"/>
      <c r="DM3" s="18"/>
      <c r="DN3" s="18"/>
      <c r="DO3" s="18"/>
      <c r="DP3" s="18"/>
      <c r="DQ3" s="18"/>
      <c r="DR3" s="18"/>
      <c r="DS3" s="18"/>
      <c r="DT3" s="18"/>
      <c r="DU3" s="18"/>
      <c r="DV3" s="18"/>
      <c r="DW3" s="18"/>
      <c r="DX3" s="18"/>
      <c r="DY3" s="18"/>
      <c r="DZ3" s="18"/>
      <c r="EA3" s="18"/>
      <c r="EB3" s="18"/>
      <c r="EC3" s="18"/>
      <c r="ED3" s="18"/>
      <c r="EE3" s="18" t="s">
        <v>434</v>
      </c>
      <c r="EF3" s="18" t="s">
        <v>433</v>
      </c>
      <c r="EG3" s="18" t="s">
        <v>432</v>
      </c>
      <c r="EH3" s="18" t="s">
        <v>683</v>
      </c>
      <c r="EI3" s="18" t="s">
        <v>434</v>
      </c>
      <c r="EJ3" s="18" t="s">
        <v>433</v>
      </c>
      <c r="EK3" s="18" t="s">
        <v>432</v>
      </c>
      <c r="EL3" s="18" t="s">
        <v>683</v>
      </c>
      <c r="EM3" s="18"/>
      <c r="EN3" s="18"/>
      <c r="EO3" s="18"/>
      <c r="EP3" s="18"/>
      <c r="EQ3" s="18"/>
      <c r="ER3" s="18"/>
      <c r="ES3" s="18"/>
      <c r="ET3" s="18"/>
      <c r="EU3" s="18"/>
      <c r="EV3" s="18"/>
      <c r="EW3" s="18"/>
      <c r="EX3" s="18"/>
      <c r="EY3" s="18"/>
      <c r="EZ3" s="18"/>
      <c r="FA3" s="18"/>
      <c r="FB3" s="18"/>
      <c r="FC3" s="18"/>
      <c r="FD3" s="18"/>
      <c r="FE3" s="18"/>
      <c r="FF3" s="18"/>
      <c r="FG3" s="18"/>
      <c r="FH3" s="18"/>
      <c r="FI3" s="18"/>
      <c r="FJ3" s="18"/>
      <c r="FK3" s="18"/>
      <c r="FL3" s="18"/>
      <c r="FM3" s="18"/>
      <c r="FN3" s="18"/>
      <c r="FO3" s="18"/>
      <c r="FP3" s="18"/>
      <c r="FQ3" s="18"/>
      <c r="FR3" s="18"/>
      <c r="FS3" s="18"/>
      <c r="FT3" s="18"/>
      <c r="FU3" s="18"/>
      <c r="FV3" s="18"/>
      <c r="FW3" s="18"/>
      <c r="FX3" s="18"/>
      <c r="FY3" s="18"/>
      <c r="FZ3" s="18"/>
      <c r="GA3" s="18"/>
      <c r="GB3" s="18"/>
      <c r="GC3" s="18"/>
      <c r="GD3" s="18"/>
      <c r="GE3" s="18"/>
      <c r="GF3" s="18"/>
      <c r="GG3" s="18"/>
      <c r="GH3" s="18"/>
      <c r="GI3" s="18"/>
      <c r="GJ3" s="18"/>
      <c r="GK3" s="18"/>
      <c r="GL3" s="18"/>
      <c r="GM3" s="18" t="s">
        <v>670</v>
      </c>
      <c r="GN3" s="18" t="s">
        <v>669</v>
      </c>
      <c r="GO3" s="18" t="s">
        <v>668</v>
      </c>
      <c r="GP3" s="18" t="s">
        <v>666</v>
      </c>
      <c r="GQ3" s="18"/>
      <c r="GR3" s="18" t="s">
        <v>670</v>
      </c>
      <c r="GS3" s="18" t="s">
        <v>669</v>
      </c>
      <c r="GT3" s="18" t="s">
        <v>668</v>
      </c>
      <c r="GU3" s="18" t="s">
        <v>666</v>
      </c>
      <c r="GV3" s="18"/>
      <c r="GW3" s="18"/>
      <c r="GX3" s="18"/>
      <c r="GY3" s="18"/>
      <c r="GZ3" s="18"/>
      <c r="HA3" s="18"/>
      <c r="HB3" s="18"/>
      <c r="HC3" s="18"/>
      <c r="HD3" s="18"/>
      <c r="HE3" s="18"/>
      <c r="HF3" s="18"/>
      <c r="HG3" s="18"/>
      <c r="HH3" s="18"/>
      <c r="HI3" s="18"/>
      <c r="HJ3" s="18"/>
      <c r="HK3" s="18"/>
      <c r="HL3" s="18" t="s">
        <v>431</v>
      </c>
      <c r="HM3" s="24" t="s">
        <v>430</v>
      </c>
      <c r="HN3" s="18" t="s">
        <v>429</v>
      </c>
      <c r="HO3" s="18" t="s">
        <v>428</v>
      </c>
      <c r="HP3" s="18" t="s">
        <v>427</v>
      </c>
      <c r="HQ3" s="18" t="s">
        <v>426</v>
      </c>
      <c r="HR3" s="18" t="s">
        <v>425</v>
      </c>
      <c r="HS3" s="24" t="s">
        <v>424</v>
      </c>
      <c r="HT3" s="18" t="s">
        <v>423</v>
      </c>
      <c r="HU3" s="23" t="s">
        <v>1131</v>
      </c>
      <c r="HV3" s="23" t="s">
        <v>1132</v>
      </c>
      <c r="HW3" s="18" t="s">
        <v>724</v>
      </c>
      <c r="HX3" s="18" t="s">
        <v>422</v>
      </c>
      <c r="HY3" s="24" t="s">
        <v>421</v>
      </c>
      <c r="HZ3" s="18" t="s">
        <v>420</v>
      </c>
      <c r="IA3" s="18" t="s">
        <v>419</v>
      </c>
      <c r="IB3" s="18" t="s">
        <v>726</v>
      </c>
      <c r="IC3" s="18" t="s">
        <v>665</v>
      </c>
      <c r="ID3" s="24" t="s">
        <v>664</v>
      </c>
      <c r="IE3" s="18" t="s">
        <v>662</v>
      </c>
      <c r="IF3" s="18"/>
      <c r="IG3" s="18" t="s">
        <v>417</v>
      </c>
      <c r="IH3" s="24" t="s">
        <v>418</v>
      </c>
      <c r="II3" s="24" t="s">
        <v>658</v>
      </c>
      <c r="IJ3" s="24" t="s">
        <v>659</v>
      </c>
      <c r="IK3" s="24" t="s">
        <v>727</v>
      </c>
      <c r="IL3" s="24" t="s">
        <v>1116</v>
      </c>
      <c r="IM3" s="24" t="s">
        <v>415</v>
      </c>
      <c r="IN3" s="18" t="s">
        <v>417</v>
      </c>
      <c r="IO3" s="24" t="s">
        <v>416</v>
      </c>
      <c r="IP3" s="24"/>
      <c r="IQ3" s="24"/>
      <c r="IR3" s="27"/>
      <c r="IS3" s="27"/>
      <c r="IT3" s="27" t="s">
        <v>415</v>
      </c>
      <c r="IU3" s="18" t="s">
        <v>414</v>
      </c>
      <c r="IV3" s="24" t="s">
        <v>413</v>
      </c>
      <c r="IW3" s="22" t="s">
        <v>412</v>
      </c>
      <c r="IX3" s="22"/>
      <c r="IY3" s="22"/>
      <c r="IZ3" s="16" t="s">
        <v>411</v>
      </c>
      <c r="JA3" s="16" t="s">
        <v>410</v>
      </c>
      <c r="JB3" s="16" t="s">
        <v>409</v>
      </c>
      <c r="JC3" s="16" t="s">
        <v>408</v>
      </c>
      <c r="JD3" s="16" t="s">
        <v>407</v>
      </c>
      <c r="JE3" s="16" t="s">
        <v>406</v>
      </c>
      <c r="JF3" s="26" t="s">
        <v>405</v>
      </c>
      <c r="JG3" s="26" t="s">
        <v>404</v>
      </c>
      <c r="JH3" s="26" t="s">
        <v>403</v>
      </c>
      <c r="JI3" s="18" t="s">
        <v>402</v>
      </c>
      <c r="JJ3" s="18" t="s">
        <v>401</v>
      </c>
      <c r="JK3" s="18" t="s">
        <v>400</v>
      </c>
      <c r="JL3" s="18" t="s">
        <v>399</v>
      </c>
      <c r="JM3" s="18" t="s">
        <v>398</v>
      </c>
      <c r="JN3" s="18" t="s">
        <v>397</v>
      </c>
      <c r="JO3" s="18"/>
      <c r="JP3" s="18" t="s">
        <v>396</v>
      </c>
      <c r="JQ3" s="18" t="s">
        <v>395</v>
      </c>
      <c r="JR3" s="18" t="s">
        <v>394</v>
      </c>
      <c r="JS3" s="18" t="s">
        <v>393</v>
      </c>
      <c r="JT3" s="18" t="s">
        <v>392</v>
      </c>
      <c r="JU3" s="18" t="s">
        <v>391</v>
      </c>
      <c r="JV3" s="18" t="s">
        <v>390</v>
      </c>
      <c r="JW3" s="18" t="s">
        <v>374</v>
      </c>
      <c r="JX3" s="18" t="s">
        <v>389</v>
      </c>
      <c r="JY3" s="18"/>
      <c r="JZ3" s="18" t="s">
        <v>388</v>
      </c>
      <c r="KA3" s="18" t="s">
        <v>387</v>
      </c>
      <c r="KB3" s="18" t="s">
        <v>386</v>
      </c>
      <c r="KC3" s="18" t="s">
        <v>385</v>
      </c>
      <c r="KD3" s="18" t="s">
        <v>384</v>
      </c>
      <c r="KE3" s="13" t="s">
        <v>383</v>
      </c>
      <c r="KF3" s="13" t="s">
        <v>382</v>
      </c>
      <c r="KG3" s="13" t="s">
        <v>381</v>
      </c>
      <c r="KH3" s="13" t="s">
        <v>380</v>
      </c>
      <c r="KI3" s="13" t="s">
        <v>379</v>
      </c>
      <c r="KJ3" s="13" t="s">
        <v>378</v>
      </c>
      <c r="KK3" s="13" t="s">
        <v>377</v>
      </c>
      <c r="KL3" s="13" t="s">
        <v>376</v>
      </c>
      <c r="KM3" s="13" t="s">
        <v>379</v>
      </c>
      <c r="KN3" s="13" t="s">
        <v>378</v>
      </c>
      <c r="KO3" s="13" t="s">
        <v>377</v>
      </c>
      <c r="KP3" s="13" t="s">
        <v>376</v>
      </c>
      <c r="KQ3" s="13"/>
      <c r="KR3" s="13"/>
      <c r="KS3" s="13"/>
      <c r="KT3" s="13"/>
      <c r="KU3" s="13" t="s">
        <v>350</v>
      </c>
      <c r="KV3" s="13" t="s">
        <v>375</v>
      </c>
      <c r="KW3" s="13"/>
      <c r="KX3" s="13"/>
      <c r="KY3" s="13"/>
      <c r="KZ3" s="13" t="s">
        <v>374</v>
      </c>
      <c r="LA3" s="13" t="s">
        <v>373</v>
      </c>
      <c r="LB3" s="18" t="s">
        <v>372</v>
      </c>
      <c r="LC3" s="18" t="s">
        <v>371</v>
      </c>
      <c r="LD3" s="18" t="s">
        <v>370</v>
      </c>
      <c r="LE3" s="18" t="s">
        <v>369</v>
      </c>
      <c r="LF3" s="18" t="s">
        <v>368</v>
      </c>
      <c r="LG3" s="18" t="s">
        <v>367</v>
      </c>
      <c r="LH3" s="18" t="s">
        <v>363</v>
      </c>
      <c r="LI3" s="18" t="s">
        <v>366</v>
      </c>
      <c r="LJ3" s="18" t="s">
        <v>350</v>
      </c>
      <c r="LK3" s="24" t="s">
        <v>365</v>
      </c>
      <c r="LL3" s="18" t="s">
        <v>364</v>
      </c>
      <c r="LM3" s="18" t="s">
        <v>363</v>
      </c>
      <c r="LN3" s="18" t="s">
        <v>362</v>
      </c>
      <c r="LO3" s="18" t="s">
        <v>350</v>
      </c>
      <c r="LP3" s="25" t="s">
        <v>361</v>
      </c>
      <c r="LQ3" s="16" t="s">
        <v>360</v>
      </c>
      <c r="LR3" s="16" t="s">
        <v>359</v>
      </c>
      <c r="LS3" s="16" t="s">
        <v>358</v>
      </c>
      <c r="LT3" s="16" t="s">
        <v>357</v>
      </c>
      <c r="LU3" s="16" t="s">
        <v>356</v>
      </c>
      <c r="LV3" s="16" t="s">
        <v>350</v>
      </c>
      <c r="LW3" s="22" t="s">
        <v>355</v>
      </c>
      <c r="LX3" s="22" t="s">
        <v>355</v>
      </c>
      <c r="LY3" s="22" t="s">
        <v>355</v>
      </c>
      <c r="LZ3" s="22" t="s">
        <v>355</v>
      </c>
      <c r="MA3" s="18" t="s">
        <v>350</v>
      </c>
      <c r="MB3" s="24" t="s">
        <v>354</v>
      </c>
      <c r="MC3" s="18" t="s">
        <v>353</v>
      </c>
      <c r="MD3" s="18" t="s">
        <v>352</v>
      </c>
      <c r="ME3" s="18" t="s">
        <v>351</v>
      </c>
      <c r="MF3" s="16" t="s">
        <v>350</v>
      </c>
      <c r="MG3" s="22" t="s">
        <v>349</v>
      </c>
      <c r="MH3" s="22"/>
      <c r="MI3" s="22"/>
      <c r="MJ3" s="22"/>
      <c r="MK3" s="23" t="s">
        <v>348</v>
      </c>
      <c r="ML3" s="23" t="s">
        <v>347</v>
      </c>
      <c r="MM3" s="22" t="s">
        <v>346</v>
      </c>
      <c r="MN3" s="22"/>
      <c r="MO3" s="22"/>
      <c r="MP3" s="22"/>
      <c r="MQ3" s="22"/>
      <c r="MR3" s="22"/>
      <c r="MS3" s="21" t="s">
        <v>345</v>
      </c>
      <c r="MT3" s="20" t="s">
        <v>344</v>
      </c>
      <c r="MU3" s="19" t="s">
        <v>343</v>
      </c>
      <c r="MV3" s="19"/>
      <c r="MW3" s="19" t="s">
        <v>342</v>
      </c>
      <c r="MX3" s="19"/>
      <c r="MY3" s="19"/>
      <c r="MZ3" s="19"/>
      <c r="NA3" s="19"/>
      <c r="NB3" s="19" t="s">
        <v>341</v>
      </c>
      <c r="NC3" s="18" t="s">
        <v>336</v>
      </c>
      <c r="ND3" s="18" t="s">
        <v>328</v>
      </c>
      <c r="NE3" s="18" t="s">
        <v>340</v>
      </c>
      <c r="NF3" s="18" t="s">
        <v>339</v>
      </c>
      <c r="NG3" s="18" t="s">
        <v>338</v>
      </c>
      <c r="NH3" s="18" t="s">
        <v>337</v>
      </c>
      <c r="NI3" s="18" t="s">
        <v>335</v>
      </c>
      <c r="NJ3" s="18" t="s">
        <v>334</v>
      </c>
      <c r="NK3" s="18" t="s">
        <v>333</v>
      </c>
      <c r="NL3" s="18" t="s">
        <v>332</v>
      </c>
      <c r="NM3" s="18" t="s">
        <v>331</v>
      </c>
      <c r="NN3" s="18" t="s">
        <v>330</v>
      </c>
      <c r="NO3" s="18" t="s">
        <v>329</v>
      </c>
      <c r="NP3" s="18" t="s">
        <v>327</v>
      </c>
      <c r="NQ3" s="18" t="s">
        <v>326</v>
      </c>
      <c r="NR3" s="18" t="s">
        <v>325</v>
      </c>
      <c r="NS3" s="18" t="s">
        <v>324</v>
      </c>
      <c r="NT3" s="18" t="s">
        <v>323</v>
      </c>
      <c r="NU3" s="18" t="s">
        <v>322</v>
      </c>
      <c r="NV3" s="18" t="s">
        <v>321</v>
      </c>
      <c r="NW3" s="18" t="s">
        <v>320</v>
      </c>
      <c r="NX3" s="18"/>
      <c r="NY3" s="18"/>
      <c r="NZ3" s="18"/>
      <c r="OA3" s="18"/>
      <c r="OB3" s="18"/>
      <c r="OC3" s="18"/>
      <c r="OD3" s="18"/>
      <c r="OE3" s="18"/>
      <c r="OF3" s="18"/>
      <c r="OG3" s="18"/>
      <c r="OH3" s="18" t="s">
        <v>319</v>
      </c>
      <c r="OI3" s="18" t="s">
        <v>318</v>
      </c>
      <c r="OJ3" s="16" t="s">
        <v>317</v>
      </c>
      <c r="OK3" s="17" t="s">
        <v>316</v>
      </c>
      <c r="OL3" s="17" t="s">
        <v>315</v>
      </c>
      <c r="OM3" s="16" t="s">
        <v>314</v>
      </c>
      <c r="ON3" s="16" t="s">
        <v>313</v>
      </c>
    </row>
    <row r="4" spans="1:411" s="3" customFormat="1" ht="14.45" customHeight="1" thickBot="1">
      <c r="A4" s="3" t="s">
        <v>248</v>
      </c>
      <c r="B4" s="3" t="s">
        <v>247</v>
      </c>
      <c r="C4" s="3" t="s">
        <v>246</v>
      </c>
      <c r="D4" s="67" t="s">
        <v>245</v>
      </c>
      <c r="E4" s="3" t="s">
        <v>244</v>
      </c>
      <c r="F4" s="67" t="s">
        <v>243</v>
      </c>
      <c r="G4" s="3" t="s">
        <v>2</v>
      </c>
      <c r="H4" s="3" t="s">
        <v>30</v>
      </c>
      <c r="I4" s="3" t="s">
        <v>242</v>
      </c>
      <c r="J4" s="3" t="s">
        <v>241</v>
      </c>
      <c r="K4" s="3" t="s">
        <v>29</v>
      </c>
      <c r="AV4" s="3" t="s">
        <v>240</v>
      </c>
      <c r="AW4" s="3">
        <v>400</v>
      </c>
      <c r="AX4" s="3" t="s">
        <v>29</v>
      </c>
      <c r="AY4" s="3">
        <v>3</v>
      </c>
      <c r="AZ4" s="3" t="s">
        <v>259</v>
      </c>
      <c r="BA4" s="3">
        <v>2012</v>
      </c>
      <c r="BB4" s="3">
        <v>2015</v>
      </c>
      <c r="BC4" s="3" t="s">
        <v>29</v>
      </c>
      <c r="BD4" s="3" t="s">
        <v>19</v>
      </c>
      <c r="BE4" s="3" t="s">
        <v>261</v>
      </c>
      <c r="BF4" s="3" t="s">
        <v>24</v>
      </c>
      <c r="BG4" s="3" t="s">
        <v>1243</v>
      </c>
      <c r="BH4" s="3" t="s">
        <v>23</v>
      </c>
      <c r="BI4" s="3" t="s">
        <v>29</v>
      </c>
      <c r="BJ4" s="67" t="s">
        <v>22</v>
      </c>
      <c r="BK4" s="68">
        <v>44000</v>
      </c>
      <c r="HL4" s="3" t="s">
        <v>233</v>
      </c>
      <c r="HM4" s="3" t="s">
        <v>232</v>
      </c>
      <c r="HR4" s="3" t="s">
        <v>231</v>
      </c>
      <c r="HT4" s="67" t="s">
        <v>20</v>
      </c>
      <c r="HU4" s="3" t="s">
        <v>29</v>
      </c>
      <c r="HV4" s="3" t="s">
        <v>29</v>
      </c>
      <c r="IG4" s="3" t="s">
        <v>255</v>
      </c>
      <c r="IH4" s="54" t="s">
        <v>19</v>
      </c>
      <c r="II4" s="70"/>
      <c r="IJ4" s="70"/>
      <c r="IN4" s="3" t="s">
        <v>255</v>
      </c>
      <c r="IO4" s="54" t="s">
        <v>19</v>
      </c>
      <c r="JI4" s="3" t="s">
        <v>228</v>
      </c>
      <c r="JJ4" s="3" t="s">
        <v>15</v>
      </c>
      <c r="JK4" s="71" t="s">
        <v>14</v>
      </c>
      <c r="JL4" s="71" t="s">
        <v>730</v>
      </c>
      <c r="JM4" s="67" t="s">
        <v>13</v>
      </c>
      <c r="JN4" s="3" t="s">
        <v>731</v>
      </c>
      <c r="JU4" s="67"/>
      <c r="JV4" s="67"/>
      <c r="JW4" s="67"/>
      <c r="JX4" s="67"/>
      <c r="JY4" s="67"/>
      <c r="JZ4" s="67"/>
      <c r="KA4" s="67"/>
      <c r="KB4" s="67"/>
      <c r="KC4" s="67"/>
      <c r="KD4" s="3" t="s">
        <v>223</v>
      </c>
      <c r="KE4" s="69" t="s">
        <v>12</v>
      </c>
      <c r="KF4" s="69" t="s">
        <v>29</v>
      </c>
      <c r="KG4" s="3" t="s">
        <v>29</v>
      </c>
      <c r="KH4" s="3" t="s">
        <v>223</v>
      </c>
      <c r="KI4" s="3" t="s">
        <v>222</v>
      </c>
      <c r="KJ4" s="3" t="s">
        <v>221</v>
      </c>
      <c r="KK4" s="67" t="s">
        <v>220</v>
      </c>
      <c r="KL4" s="3">
        <v>2.5</v>
      </c>
      <c r="KM4" s="72"/>
      <c r="KN4" s="72"/>
      <c r="KO4" s="72"/>
      <c r="KP4" s="69"/>
      <c r="KQ4" s="72" t="s">
        <v>722</v>
      </c>
      <c r="KR4" s="72"/>
      <c r="KS4" s="72"/>
      <c r="KT4" s="69"/>
      <c r="KU4" s="3" t="s">
        <v>217</v>
      </c>
      <c r="KV4" s="3" t="s">
        <v>216</v>
      </c>
      <c r="KZ4" s="67"/>
      <c r="LA4" s="67" t="s">
        <v>29</v>
      </c>
      <c r="LB4" s="67" t="s">
        <v>29</v>
      </c>
      <c r="LC4" s="67" t="s">
        <v>29</v>
      </c>
      <c r="LD4" s="67"/>
      <c r="LE4" s="3" t="s">
        <v>215</v>
      </c>
      <c r="LF4" s="67" t="s">
        <v>29</v>
      </c>
      <c r="LG4" s="67" t="s">
        <v>29</v>
      </c>
      <c r="LH4" s="67" t="s">
        <v>13</v>
      </c>
      <c r="LI4" s="3">
        <v>2500</v>
      </c>
      <c r="MS4" s="3" t="s">
        <v>214</v>
      </c>
      <c r="MT4" s="3">
        <v>30</v>
      </c>
      <c r="MU4" s="3" t="s">
        <v>293</v>
      </c>
      <c r="MV4" s="3" t="s">
        <v>1163</v>
      </c>
      <c r="MW4" s="67" t="s">
        <v>10</v>
      </c>
      <c r="ND4" s="3" t="s">
        <v>734</v>
      </c>
      <c r="NE4" s="3" t="s">
        <v>310</v>
      </c>
      <c r="NF4" s="3" t="s">
        <v>267</v>
      </c>
      <c r="NG4" s="67" t="s">
        <v>266</v>
      </c>
      <c r="NH4" s="73" t="s">
        <v>265</v>
      </c>
      <c r="NP4" s="3" t="s">
        <v>735</v>
      </c>
      <c r="NQ4" s="3" t="s">
        <v>6</v>
      </c>
      <c r="NR4" s="74" t="s">
        <v>1167</v>
      </c>
      <c r="NS4" s="67" t="s">
        <v>4</v>
      </c>
      <c r="NT4" s="75">
        <v>147.20812182741099</v>
      </c>
      <c r="NW4" s="3">
        <v>8</v>
      </c>
      <c r="OH4" s="3" t="s">
        <v>1166</v>
      </c>
      <c r="OI4" s="3" t="s">
        <v>6</v>
      </c>
      <c r="OK4" s="76">
        <v>2012</v>
      </c>
      <c r="OL4" s="76">
        <v>2015</v>
      </c>
      <c r="OM4" s="76"/>
      <c r="OO4" s="3" t="s">
        <v>1178</v>
      </c>
      <c r="OP4" s="83">
        <v>46094</v>
      </c>
      <c r="OQ4" s="83"/>
    </row>
    <row r="5" spans="1:411" s="3" customFormat="1" ht="15.75" thickBot="1">
      <c r="A5" s="3" t="s">
        <v>248</v>
      </c>
      <c r="B5" s="3" t="s">
        <v>247</v>
      </c>
      <c r="C5" s="3" t="s">
        <v>246</v>
      </c>
      <c r="D5" s="67" t="s">
        <v>245</v>
      </c>
      <c r="E5" s="3" t="s">
        <v>244</v>
      </c>
      <c r="F5" s="67" t="s">
        <v>243</v>
      </c>
      <c r="G5" s="3" t="s">
        <v>2</v>
      </c>
      <c r="H5" s="3" t="s">
        <v>30</v>
      </c>
      <c r="I5" s="3" t="s">
        <v>242</v>
      </c>
      <c r="J5" s="3" t="s">
        <v>241</v>
      </c>
      <c r="K5" s="3" t="s">
        <v>29</v>
      </c>
      <c r="AV5" s="3" t="s">
        <v>240</v>
      </c>
      <c r="AW5" s="3">
        <v>400</v>
      </c>
      <c r="AX5" s="3" t="s">
        <v>29</v>
      </c>
      <c r="AY5" s="3">
        <v>3</v>
      </c>
      <c r="AZ5" s="3" t="s">
        <v>259</v>
      </c>
      <c r="BA5" s="3">
        <v>2012</v>
      </c>
      <c r="BB5" s="3">
        <v>2015</v>
      </c>
      <c r="BC5" s="3" t="s">
        <v>29</v>
      </c>
      <c r="BD5" s="3" t="s">
        <v>19</v>
      </c>
      <c r="BE5" s="3" t="s">
        <v>311</v>
      </c>
      <c r="BF5" s="3" t="s">
        <v>39</v>
      </c>
      <c r="BG5" s="3" t="s">
        <v>1243</v>
      </c>
      <c r="BH5" s="3" t="s">
        <v>23</v>
      </c>
      <c r="BI5" s="3" t="s">
        <v>29</v>
      </c>
      <c r="BJ5" s="67" t="s">
        <v>22</v>
      </c>
      <c r="BK5" s="68">
        <v>44000</v>
      </c>
      <c r="HL5" s="3" t="s">
        <v>298</v>
      </c>
      <c r="HM5" s="3" t="s">
        <v>297</v>
      </c>
      <c r="HN5" s="3" t="s">
        <v>296</v>
      </c>
      <c r="HP5" s="3" t="s">
        <v>29</v>
      </c>
      <c r="HQ5" s="3">
        <v>1</v>
      </c>
      <c r="HR5" s="3" t="s">
        <v>231</v>
      </c>
      <c r="HT5" s="67" t="s">
        <v>20</v>
      </c>
      <c r="HU5" s="3" t="s">
        <v>29</v>
      </c>
      <c r="HV5" s="3" t="s">
        <v>29</v>
      </c>
      <c r="IG5" s="3" t="s">
        <v>255</v>
      </c>
      <c r="IH5" s="54" t="s">
        <v>19</v>
      </c>
      <c r="II5" s="70"/>
      <c r="IJ5" s="70"/>
      <c r="IN5" s="3" t="s">
        <v>255</v>
      </c>
      <c r="IO5" s="54" t="s">
        <v>19</v>
      </c>
      <c r="JI5" s="3" t="s">
        <v>228</v>
      </c>
      <c r="JJ5" s="3" t="s">
        <v>15</v>
      </c>
      <c r="JK5" s="71" t="s">
        <v>14</v>
      </c>
      <c r="JL5" s="71" t="s">
        <v>730</v>
      </c>
      <c r="JM5" s="67" t="s">
        <v>13</v>
      </c>
      <c r="JN5" s="3" t="s">
        <v>731</v>
      </c>
      <c r="JU5" s="67"/>
      <c r="JV5" s="67"/>
      <c r="JW5" s="67"/>
      <c r="JX5" s="67"/>
      <c r="JY5" s="67"/>
      <c r="JZ5" s="67"/>
      <c r="KA5" s="67"/>
      <c r="KB5" s="67"/>
      <c r="KC5" s="67"/>
      <c r="KD5" s="67" t="s">
        <v>295</v>
      </c>
      <c r="KE5" s="69" t="s">
        <v>12</v>
      </c>
      <c r="KF5" s="69" t="s">
        <v>29</v>
      </c>
      <c r="KG5" s="3" t="s">
        <v>29</v>
      </c>
      <c r="KH5" s="3" t="s">
        <v>294</v>
      </c>
      <c r="KI5" s="69" t="s">
        <v>12</v>
      </c>
      <c r="KK5" s="67"/>
      <c r="KM5" s="72"/>
      <c r="KN5" s="72"/>
      <c r="KO5" s="72"/>
      <c r="KP5" s="69"/>
      <c r="KQ5" s="72" t="s">
        <v>722</v>
      </c>
      <c r="KR5" s="72"/>
      <c r="KS5" s="72"/>
      <c r="KT5" s="69"/>
      <c r="KV5" s="69" t="s">
        <v>1124</v>
      </c>
      <c r="KZ5" s="67"/>
      <c r="LA5" s="69"/>
      <c r="LB5" s="69"/>
      <c r="LC5" s="69"/>
      <c r="LD5" s="67"/>
      <c r="LE5" s="67"/>
      <c r="LF5" s="67"/>
      <c r="LG5" s="67"/>
      <c r="LH5" s="67"/>
      <c r="MS5" s="3" t="s">
        <v>214</v>
      </c>
      <c r="MT5" s="3">
        <v>30</v>
      </c>
      <c r="MU5" s="3" t="s">
        <v>293</v>
      </c>
      <c r="MV5" s="3" t="s">
        <v>1163</v>
      </c>
      <c r="MW5" s="67" t="s">
        <v>10</v>
      </c>
      <c r="ND5" s="3" t="s">
        <v>732</v>
      </c>
      <c r="NE5" s="3" t="s">
        <v>310</v>
      </c>
      <c r="NF5" s="3" t="s">
        <v>267</v>
      </c>
      <c r="NG5" s="67" t="s">
        <v>266</v>
      </c>
      <c r="NH5" s="73" t="s">
        <v>265</v>
      </c>
      <c r="NP5" s="3" t="s">
        <v>733</v>
      </c>
      <c r="NQ5" s="3" t="s">
        <v>6</v>
      </c>
      <c r="NR5" s="74" t="s">
        <v>1168</v>
      </c>
      <c r="NS5" s="67" t="s">
        <v>4</v>
      </c>
      <c r="NT5" s="75">
        <v>172.58883248730911</v>
      </c>
      <c r="NW5" s="3">
        <v>8</v>
      </c>
      <c r="OH5" s="3" t="s">
        <v>1166</v>
      </c>
      <c r="OI5" t="s">
        <v>6</v>
      </c>
      <c r="OK5" s="76">
        <v>2012</v>
      </c>
      <c r="OL5" s="76">
        <v>2015</v>
      </c>
      <c r="OO5" s="3" t="s">
        <v>1178</v>
      </c>
      <c r="OP5" s="83">
        <v>46094</v>
      </c>
      <c r="OQ5" s="83"/>
    </row>
    <row r="6" spans="1:411" s="3" customFormat="1" ht="15.75" thickBot="1">
      <c r="A6" s="3" t="s">
        <v>248</v>
      </c>
      <c r="B6" s="3" t="s">
        <v>247</v>
      </c>
      <c r="C6" s="3" t="s">
        <v>246</v>
      </c>
      <c r="D6" s="67" t="s">
        <v>245</v>
      </c>
      <c r="E6" s="3" t="s">
        <v>244</v>
      </c>
      <c r="F6" s="67" t="s">
        <v>243</v>
      </c>
      <c r="G6" s="3" t="s">
        <v>2</v>
      </c>
      <c r="H6" s="3" t="s">
        <v>30</v>
      </c>
      <c r="I6" s="3" t="s">
        <v>242</v>
      </c>
      <c r="J6" s="3" t="s">
        <v>241</v>
      </c>
      <c r="K6" s="3" t="s">
        <v>29</v>
      </c>
      <c r="AV6" s="3" t="s">
        <v>240</v>
      </c>
      <c r="AW6" s="3">
        <v>400</v>
      </c>
      <c r="AX6" s="3" t="s">
        <v>29</v>
      </c>
      <c r="AY6" s="3">
        <v>3</v>
      </c>
      <c r="AZ6" s="3" t="s">
        <v>259</v>
      </c>
      <c r="BA6" s="3">
        <v>2012</v>
      </c>
      <c r="BB6" s="3">
        <v>2015</v>
      </c>
      <c r="BC6" s="3" t="s">
        <v>29</v>
      </c>
      <c r="BD6" s="3" t="s">
        <v>238</v>
      </c>
      <c r="BE6" s="3" t="s">
        <v>260</v>
      </c>
      <c r="BF6" s="3" t="s">
        <v>64</v>
      </c>
      <c r="BG6" s="3" t="s">
        <v>1243</v>
      </c>
      <c r="BH6" s="3" t="s">
        <v>23</v>
      </c>
      <c r="BI6" s="3" t="s">
        <v>29</v>
      </c>
      <c r="BJ6" s="67" t="s">
        <v>22</v>
      </c>
      <c r="BK6" s="68">
        <v>44000</v>
      </c>
      <c r="BL6" s="3" t="s">
        <v>56</v>
      </c>
      <c r="BM6" s="3" t="s">
        <v>250</v>
      </c>
      <c r="BN6" s="3" t="s">
        <v>29</v>
      </c>
      <c r="BO6" s="67" t="s">
        <v>22</v>
      </c>
      <c r="BP6" s="68">
        <v>44444</v>
      </c>
      <c r="HL6" s="3" t="s">
        <v>233</v>
      </c>
      <c r="HM6" s="3" t="s">
        <v>232</v>
      </c>
      <c r="HR6" s="3" t="s">
        <v>231</v>
      </c>
      <c r="HT6" s="67" t="s">
        <v>736</v>
      </c>
      <c r="HU6" s="3" t="s">
        <v>29</v>
      </c>
      <c r="HV6" s="3" t="s">
        <v>29</v>
      </c>
      <c r="IG6" s="3" t="s">
        <v>251</v>
      </c>
      <c r="IH6" s="77" t="s">
        <v>229</v>
      </c>
      <c r="II6" s="67" t="s">
        <v>660</v>
      </c>
      <c r="IJ6" s="67" t="s">
        <v>661</v>
      </c>
      <c r="IK6" s="3">
        <v>2012</v>
      </c>
      <c r="IL6" s="78" t="s">
        <v>29</v>
      </c>
      <c r="IM6" s="67" t="s">
        <v>18</v>
      </c>
      <c r="JI6" s="3" t="s">
        <v>228</v>
      </c>
      <c r="JJ6" s="3" t="s">
        <v>15</v>
      </c>
      <c r="JK6" s="71" t="s">
        <v>14</v>
      </c>
      <c r="JL6" s="71" t="s">
        <v>730</v>
      </c>
      <c r="JM6" s="67" t="s">
        <v>13</v>
      </c>
      <c r="JN6" s="3" t="s">
        <v>731</v>
      </c>
      <c r="JU6" s="67"/>
      <c r="JV6" s="67"/>
      <c r="JW6" s="67"/>
      <c r="JX6" s="67"/>
      <c r="JY6" s="67"/>
      <c r="JZ6" s="67"/>
      <c r="KA6" s="67"/>
      <c r="KB6" s="67"/>
      <c r="KC6" s="67"/>
      <c r="KD6" s="3" t="s">
        <v>223</v>
      </c>
      <c r="KE6" s="69" t="s">
        <v>12</v>
      </c>
      <c r="KF6" s="69" t="s">
        <v>29</v>
      </c>
      <c r="KG6" s="3" t="s">
        <v>29</v>
      </c>
      <c r="KH6" s="3" t="s">
        <v>223</v>
      </c>
      <c r="KI6" s="3" t="s">
        <v>222</v>
      </c>
      <c r="KJ6" s="3" t="s">
        <v>221</v>
      </c>
      <c r="KK6" s="67" t="s">
        <v>220</v>
      </c>
      <c r="KL6" s="3">
        <v>2.5</v>
      </c>
      <c r="KM6" s="72"/>
      <c r="KN6" s="72"/>
      <c r="KO6" s="72"/>
      <c r="KP6" s="69"/>
      <c r="KQ6" s="72" t="s">
        <v>219</v>
      </c>
      <c r="KR6" s="72" t="s">
        <v>218</v>
      </c>
      <c r="KS6" s="72"/>
      <c r="KT6" s="3" t="s">
        <v>29</v>
      </c>
      <c r="KU6" s="3" t="s">
        <v>217</v>
      </c>
      <c r="KV6" s="3" t="s">
        <v>216</v>
      </c>
      <c r="KZ6" s="67"/>
      <c r="LA6" s="67" t="s">
        <v>29</v>
      </c>
      <c r="LB6" s="67" t="s">
        <v>29</v>
      </c>
      <c r="LC6" s="67" t="s">
        <v>29</v>
      </c>
      <c r="LD6" s="67"/>
      <c r="LE6" s="3" t="s">
        <v>215</v>
      </c>
      <c r="LF6" s="67" t="s">
        <v>29</v>
      </c>
      <c r="LG6" s="67" t="s">
        <v>29</v>
      </c>
      <c r="LH6" s="67" t="s">
        <v>13</v>
      </c>
      <c r="LI6" s="3">
        <v>2500</v>
      </c>
      <c r="MS6" s="3" t="s">
        <v>214</v>
      </c>
      <c r="MT6" s="3">
        <v>30</v>
      </c>
      <c r="MU6" s="3" t="s">
        <v>272</v>
      </c>
      <c r="MW6" s="67" t="s">
        <v>10</v>
      </c>
      <c r="MX6" s="67" t="s">
        <v>168</v>
      </c>
      <c r="MY6" s="3" t="s">
        <v>249</v>
      </c>
      <c r="ND6" s="3" t="s">
        <v>737</v>
      </c>
      <c r="NE6" s="3" t="s">
        <v>310</v>
      </c>
      <c r="NF6" s="3" t="s">
        <v>267</v>
      </c>
      <c r="NG6" s="67" t="s">
        <v>266</v>
      </c>
      <c r="NH6" s="73" t="s">
        <v>265</v>
      </c>
      <c r="NQ6" s="3" t="s">
        <v>6</v>
      </c>
      <c r="NR6" s="74" t="s">
        <v>1169</v>
      </c>
      <c r="NS6" s="67" t="s">
        <v>4</v>
      </c>
      <c r="NT6" s="75">
        <v>91.370558375635028</v>
      </c>
      <c r="NW6" s="3">
        <v>8</v>
      </c>
      <c r="OH6" s="3" t="s">
        <v>1166</v>
      </c>
      <c r="OI6" t="s">
        <v>6</v>
      </c>
      <c r="OK6" s="76">
        <v>2012</v>
      </c>
      <c r="OL6" s="76">
        <v>2015</v>
      </c>
      <c r="OM6" s="76"/>
      <c r="OO6" s="3" t="s">
        <v>1178</v>
      </c>
      <c r="OP6" s="83">
        <v>46094</v>
      </c>
      <c r="OQ6" s="83"/>
    </row>
    <row r="7" spans="1:411" s="3" customFormat="1" ht="15.75" thickBot="1">
      <c r="A7" s="3" t="s">
        <v>248</v>
      </c>
      <c r="B7" s="3" t="s">
        <v>247</v>
      </c>
      <c r="C7" s="3" t="s">
        <v>246</v>
      </c>
      <c r="D7" s="67" t="s">
        <v>245</v>
      </c>
      <c r="E7" s="3" t="s">
        <v>244</v>
      </c>
      <c r="F7" s="67" t="s">
        <v>243</v>
      </c>
      <c r="G7" s="3" t="s">
        <v>2</v>
      </c>
      <c r="H7" s="3" t="s">
        <v>30</v>
      </c>
      <c r="I7" s="3" t="s">
        <v>242</v>
      </c>
      <c r="J7" s="3" t="s">
        <v>241</v>
      </c>
      <c r="K7" s="3" t="s">
        <v>29</v>
      </c>
      <c r="AV7" s="3" t="s">
        <v>240</v>
      </c>
      <c r="AW7" s="3">
        <v>400</v>
      </c>
      <c r="AX7" s="3" t="s">
        <v>29</v>
      </c>
      <c r="AY7" s="3">
        <v>3</v>
      </c>
      <c r="AZ7" s="3" t="s">
        <v>259</v>
      </c>
      <c r="BA7" s="3">
        <v>2012</v>
      </c>
      <c r="BB7" s="3">
        <v>2015</v>
      </c>
      <c r="BC7" s="3" t="s">
        <v>29</v>
      </c>
      <c r="BD7" s="3" t="s">
        <v>274</v>
      </c>
      <c r="BE7" s="3" t="s">
        <v>302</v>
      </c>
      <c r="BF7" s="3" t="s">
        <v>43</v>
      </c>
      <c r="BG7" s="3" t="s">
        <v>1243</v>
      </c>
      <c r="BH7" s="3" t="s">
        <v>271</v>
      </c>
      <c r="BI7" s="3" t="s">
        <v>29</v>
      </c>
      <c r="BJ7" s="67" t="s">
        <v>22</v>
      </c>
      <c r="BK7" s="68">
        <v>44444</v>
      </c>
      <c r="BL7" s="3" t="s">
        <v>275</v>
      </c>
      <c r="BM7" s="3" t="s">
        <v>276</v>
      </c>
      <c r="BN7" s="3" t="s">
        <v>29</v>
      </c>
      <c r="BO7" s="67" t="s">
        <v>22</v>
      </c>
      <c r="BP7" s="68">
        <v>148000</v>
      </c>
      <c r="BQ7" s="3" t="s">
        <v>275</v>
      </c>
      <c r="BR7" s="3" t="s">
        <v>23</v>
      </c>
      <c r="BS7" s="3" t="s">
        <v>29</v>
      </c>
      <c r="BT7" s="67" t="s">
        <v>22</v>
      </c>
      <c r="BU7" s="3">
        <v>44000</v>
      </c>
      <c r="HL7" s="3" t="s">
        <v>233</v>
      </c>
      <c r="HM7" s="3" t="s">
        <v>232</v>
      </c>
      <c r="HR7" s="3" t="s">
        <v>231</v>
      </c>
      <c r="HT7" s="67" t="s">
        <v>20</v>
      </c>
      <c r="HU7" s="3" t="s">
        <v>29</v>
      </c>
      <c r="HV7" s="3" t="s">
        <v>29</v>
      </c>
      <c r="IN7" s="3" t="s">
        <v>274</v>
      </c>
      <c r="IO7" s="3" t="s">
        <v>273</v>
      </c>
      <c r="IR7" s="3" t="s">
        <v>29</v>
      </c>
      <c r="IS7" s="3" t="s">
        <v>29</v>
      </c>
      <c r="IT7" s="67" t="s">
        <v>18</v>
      </c>
      <c r="JI7" s="3" t="s">
        <v>228</v>
      </c>
      <c r="JJ7" s="3" t="s">
        <v>15</v>
      </c>
      <c r="JK7" s="71" t="s">
        <v>14</v>
      </c>
      <c r="JL7" s="71" t="s">
        <v>738</v>
      </c>
      <c r="JM7" s="67" t="s">
        <v>13</v>
      </c>
      <c r="JN7" s="3" t="s">
        <v>739</v>
      </c>
      <c r="JU7" s="67"/>
      <c r="JV7" s="67"/>
      <c r="JW7" s="67"/>
      <c r="JX7" s="67"/>
      <c r="JY7" s="67"/>
      <c r="JZ7" s="67"/>
      <c r="KA7" s="67"/>
      <c r="KB7" s="67"/>
      <c r="KC7" s="67"/>
      <c r="KD7" s="3" t="s">
        <v>223</v>
      </c>
      <c r="KE7" s="69" t="s">
        <v>12</v>
      </c>
      <c r="KF7" s="69" t="s">
        <v>29</v>
      </c>
      <c r="KG7" s="3" t="s">
        <v>29</v>
      </c>
      <c r="KH7" s="3" t="s">
        <v>223</v>
      </c>
      <c r="KI7" s="3" t="s">
        <v>222</v>
      </c>
      <c r="KJ7" s="3" t="s">
        <v>221</v>
      </c>
      <c r="KK7" s="67" t="s">
        <v>220</v>
      </c>
      <c r="KL7" s="3">
        <v>2.5</v>
      </c>
      <c r="KM7" s="72"/>
      <c r="KN7" s="72" t="s">
        <v>51</v>
      </c>
      <c r="KO7" s="72"/>
      <c r="KP7" s="72" t="s">
        <v>29</v>
      </c>
      <c r="KQ7" s="72" t="s">
        <v>722</v>
      </c>
      <c r="KR7" s="72"/>
      <c r="KS7" s="72"/>
      <c r="KT7" s="69"/>
      <c r="KU7" s="3" t="s">
        <v>217</v>
      </c>
      <c r="KV7" s="3" t="s">
        <v>216</v>
      </c>
      <c r="KZ7" s="67"/>
      <c r="LA7" s="67" t="s">
        <v>29</v>
      </c>
      <c r="LB7" s="67" t="s">
        <v>29</v>
      </c>
      <c r="LC7" s="67" t="s">
        <v>29</v>
      </c>
      <c r="LD7" s="67"/>
      <c r="LE7" s="3" t="s">
        <v>215</v>
      </c>
      <c r="LF7" s="67" t="s">
        <v>29</v>
      </c>
      <c r="LG7" s="67" t="s">
        <v>29</v>
      </c>
      <c r="LH7" s="67" t="s">
        <v>13</v>
      </c>
      <c r="LI7" s="3">
        <v>2500</v>
      </c>
      <c r="MS7" s="3" t="s">
        <v>214</v>
      </c>
      <c r="MT7" s="3">
        <v>30</v>
      </c>
      <c r="MU7" s="3" t="s">
        <v>293</v>
      </c>
      <c r="MW7" s="67" t="s">
        <v>10</v>
      </c>
      <c r="MX7" s="67" t="s">
        <v>168</v>
      </c>
      <c r="MY7" s="3" t="s">
        <v>270</v>
      </c>
      <c r="ND7" s="3" t="s">
        <v>734</v>
      </c>
      <c r="NE7" s="3" t="s">
        <v>310</v>
      </c>
      <c r="NF7" s="3" t="s">
        <v>267</v>
      </c>
      <c r="NG7" s="67" t="s">
        <v>266</v>
      </c>
      <c r="NH7" s="73" t="s">
        <v>265</v>
      </c>
      <c r="NQ7" s="3" t="s">
        <v>6</v>
      </c>
      <c r="NR7" s="74" t="s">
        <v>1170</v>
      </c>
      <c r="NS7" s="67" t="s">
        <v>4</v>
      </c>
      <c r="NT7" s="75">
        <v>81.218274111674987</v>
      </c>
      <c r="NW7" s="3">
        <v>8</v>
      </c>
      <c r="OH7" s="3" t="s">
        <v>1166</v>
      </c>
      <c r="OI7" t="s">
        <v>6</v>
      </c>
      <c r="OK7" s="76">
        <v>2012</v>
      </c>
      <c r="OL7" s="76">
        <v>2015</v>
      </c>
      <c r="OO7" s="3" t="s">
        <v>1178</v>
      </c>
      <c r="OP7" s="83">
        <v>46094</v>
      </c>
      <c r="OQ7" s="83"/>
    </row>
    <row r="8" spans="1:411" s="3" customFormat="1" ht="15.75" thickBot="1">
      <c r="A8" s="3" t="s">
        <v>248</v>
      </c>
      <c r="B8" s="3" t="s">
        <v>247</v>
      </c>
      <c r="C8" s="3" t="s">
        <v>246</v>
      </c>
      <c r="D8" s="67" t="s">
        <v>245</v>
      </c>
      <c r="E8" s="3" t="s">
        <v>244</v>
      </c>
      <c r="F8" s="67" t="s">
        <v>243</v>
      </c>
      <c r="G8" s="3" t="s">
        <v>2</v>
      </c>
      <c r="H8" s="3" t="s">
        <v>30</v>
      </c>
      <c r="I8" s="3" t="s">
        <v>242</v>
      </c>
      <c r="J8" s="3" t="s">
        <v>241</v>
      </c>
      <c r="K8" s="3" t="s">
        <v>29</v>
      </c>
      <c r="AV8" s="3" t="s">
        <v>240</v>
      </c>
      <c r="AW8" s="3">
        <v>400</v>
      </c>
      <c r="AX8" s="3" t="s">
        <v>29</v>
      </c>
      <c r="AY8" s="3">
        <v>3</v>
      </c>
      <c r="AZ8" s="3" t="s">
        <v>259</v>
      </c>
      <c r="BA8" s="3">
        <v>2012</v>
      </c>
      <c r="BB8" s="3">
        <v>2015</v>
      </c>
      <c r="BC8" s="3" t="s">
        <v>29</v>
      </c>
      <c r="BD8" s="3" t="s">
        <v>238</v>
      </c>
      <c r="BE8" s="3" t="s">
        <v>258</v>
      </c>
      <c r="BF8" s="3" t="s">
        <v>57</v>
      </c>
      <c r="BG8" s="3" t="s">
        <v>1243</v>
      </c>
      <c r="BH8" s="3" t="s">
        <v>23</v>
      </c>
      <c r="BI8" s="3" t="s">
        <v>29</v>
      </c>
      <c r="BJ8" s="67" t="s">
        <v>22</v>
      </c>
      <c r="BK8" s="68">
        <v>44000</v>
      </c>
      <c r="BL8" s="3" t="s">
        <v>56</v>
      </c>
      <c r="BM8" s="3" t="s">
        <v>235</v>
      </c>
      <c r="BN8" s="3" t="s">
        <v>29</v>
      </c>
      <c r="BO8" s="67" t="s">
        <v>22</v>
      </c>
      <c r="BP8" s="68">
        <v>44444</v>
      </c>
      <c r="HL8" s="3" t="s">
        <v>233</v>
      </c>
      <c r="HM8" s="3" t="s">
        <v>232</v>
      </c>
      <c r="HR8" s="3" t="s">
        <v>231</v>
      </c>
      <c r="HT8" s="67" t="s">
        <v>736</v>
      </c>
      <c r="HU8" s="3" t="s">
        <v>29</v>
      </c>
      <c r="HV8" s="3" t="s">
        <v>29</v>
      </c>
      <c r="IG8" s="3" t="s">
        <v>230</v>
      </c>
      <c r="IH8" s="77" t="s">
        <v>229</v>
      </c>
      <c r="II8" s="67" t="s">
        <v>660</v>
      </c>
      <c r="IJ8" s="67" t="s">
        <v>661</v>
      </c>
      <c r="IK8" s="3">
        <v>2012</v>
      </c>
      <c r="IL8" s="78" t="s">
        <v>29</v>
      </c>
      <c r="IM8" s="67" t="s">
        <v>18</v>
      </c>
      <c r="JI8" s="3" t="s">
        <v>228</v>
      </c>
      <c r="JJ8" s="3" t="s">
        <v>15</v>
      </c>
      <c r="JK8" s="71" t="s">
        <v>14</v>
      </c>
      <c r="JL8" s="71" t="s">
        <v>730</v>
      </c>
      <c r="JM8" s="67" t="s">
        <v>13</v>
      </c>
      <c r="JN8" s="3" t="s">
        <v>731</v>
      </c>
      <c r="JU8" s="67"/>
      <c r="JV8" s="67"/>
      <c r="JW8" s="67"/>
      <c r="JX8" s="67"/>
      <c r="JY8" s="67"/>
      <c r="JZ8" s="67"/>
      <c r="KA8" s="67"/>
      <c r="KB8" s="67"/>
      <c r="KC8" s="67"/>
      <c r="KD8" s="3" t="s">
        <v>223</v>
      </c>
      <c r="KE8" s="69" t="s">
        <v>12</v>
      </c>
      <c r="KF8" s="69" t="s">
        <v>29</v>
      </c>
      <c r="KG8" s="3" t="s">
        <v>29</v>
      </c>
      <c r="KH8" s="3" t="s">
        <v>223</v>
      </c>
      <c r="KI8" s="3" t="s">
        <v>222</v>
      </c>
      <c r="KJ8" s="3" t="s">
        <v>221</v>
      </c>
      <c r="KK8" s="67" t="s">
        <v>220</v>
      </c>
      <c r="KL8" s="3">
        <v>2.5</v>
      </c>
      <c r="KM8" s="72"/>
      <c r="KN8" s="72"/>
      <c r="KO8" s="72"/>
      <c r="KP8" s="69"/>
      <c r="KQ8" s="72" t="s">
        <v>219</v>
      </c>
      <c r="KR8" s="72" t="s">
        <v>218</v>
      </c>
      <c r="KS8" s="72"/>
      <c r="KT8" s="3" t="s">
        <v>29</v>
      </c>
      <c r="KU8" s="3" t="s">
        <v>217</v>
      </c>
      <c r="KV8" s="3" t="s">
        <v>216</v>
      </c>
      <c r="KZ8" s="67"/>
      <c r="LA8" s="67" t="s">
        <v>29</v>
      </c>
      <c r="LB8" s="67" t="s">
        <v>29</v>
      </c>
      <c r="LC8" s="67" t="s">
        <v>29</v>
      </c>
      <c r="LD8" s="67"/>
      <c r="LE8" s="3" t="s">
        <v>215</v>
      </c>
      <c r="LF8" s="67" t="s">
        <v>29</v>
      </c>
      <c r="LG8" s="67" t="s">
        <v>29</v>
      </c>
      <c r="LH8" s="67" t="s">
        <v>13</v>
      </c>
      <c r="LI8" s="3">
        <v>2500</v>
      </c>
      <c r="MS8" s="3" t="s">
        <v>214</v>
      </c>
      <c r="MT8" s="3">
        <v>30</v>
      </c>
      <c r="MU8" s="3" t="s">
        <v>272</v>
      </c>
      <c r="MW8" s="67" t="s">
        <v>10</v>
      </c>
      <c r="MX8" s="67" t="s">
        <v>168</v>
      </c>
      <c r="MY8" s="3" t="s">
        <v>213</v>
      </c>
      <c r="ND8" s="3" t="s">
        <v>734</v>
      </c>
      <c r="NE8" s="3" t="s">
        <v>310</v>
      </c>
      <c r="NF8" s="3" t="s">
        <v>267</v>
      </c>
      <c r="NG8" s="67" t="s">
        <v>266</v>
      </c>
      <c r="NH8" s="73" t="s">
        <v>265</v>
      </c>
      <c r="NQ8" s="3" t="s">
        <v>6</v>
      </c>
      <c r="NR8" s="74" t="s">
        <v>1171</v>
      </c>
      <c r="NS8" s="67" t="s">
        <v>4</v>
      </c>
      <c r="NT8" s="75">
        <v>461.92893401014999</v>
      </c>
      <c r="NW8" s="3">
        <v>8</v>
      </c>
      <c r="OH8" s="3" t="s">
        <v>1166</v>
      </c>
      <c r="OI8" t="s">
        <v>6</v>
      </c>
      <c r="OK8" s="76">
        <v>2012</v>
      </c>
      <c r="OL8" s="76">
        <v>2015</v>
      </c>
      <c r="OM8" s="76"/>
      <c r="OO8" s="3" t="s">
        <v>1178</v>
      </c>
      <c r="OP8" s="83">
        <v>46094</v>
      </c>
      <c r="OQ8" s="83"/>
    </row>
    <row r="9" spans="1:411" s="3" customFormat="1" ht="15.75" thickBot="1">
      <c r="A9" s="3" t="s">
        <v>248</v>
      </c>
      <c r="B9" s="3" t="s">
        <v>247</v>
      </c>
      <c r="C9" s="3" t="s">
        <v>246</v>
      </c>
      <c r="D9" s="67" t="s">
        <v>245</v>
      </c>
      <c r="E9" s="3" t="s">
        <v>244</v>
      </c>
      <c r="F9" s="67" t="s">
        <v>243</v>
      </c>
      <c r="G9" s="3" t="s">
        <v>2</v>
      </c>
      <c r="H9" s="3" t="s">
        <v>30</v>
      </c>
      <c r="I9" s="3" t="s">
        <v>242</v>
      </c>
      <c r="J9" s="3" t="s">
        <v>241</v>
      </c>
      <c r="K9" s="3" t="s">
        <v>29</v>
      </c>
      <c r="AV9" s="3" t="s">
        <v>240</v>
      </c>
      <c r="AW9" s="3">
        <v>400</v>
      </c>
      <c r="AX9" s="3" t="s">
        <v>29</v>
      </c>
      <c r="AY9" s="3">
        <v>3</v>
      </c>
      <c r="AZ9" s="3" t="s">
        <v>259</v>
      </c>
      <c r="BA9" s="3">
        <v>2012</v>
      </c>
      <c r="BB9" s="3">
        <v>2015</v>
      </c>
      <c r="BC9" s="3" t="s">
        <v>29</v>
      </c>
      <c r="BD9" s="3" t="s">
        <v>274</v>
      </c>
      <c r="BE9" s="3" t="s">
        <v>304</v>
      </c>
      <c r="BF9" s="3" t="s">
        <v>48</v>
      </c>
      <c r="BG9" s="3" t="s">
        <v>1243</v>
      </c>
      <c r="BH9" s="3" t="s">
        <v>23</v>
      </c>
      <c r="BI9" s="3" t="s">
        <v>29</v>
      </c>
      <c r="BJ9" s="67" t="s">
        <v>22</v>
      </c>
      <c r="BK9" s="68">
        <v>44000</v>
      </c>
      <c r="BL9" s="3" t="s">
        <v>275</v>
      </c>
      <c r="BM9" s="3" t="s">
        <v>271</v>
      </c>
      <c r="BN9" s="3" t="s">
        <v>29</v>
      </c>
      <c r="BO9" s="67" t="s">
        <v>22</v>
      </c>
      <c r="BP9" s="68">
        <v>444444</v>
      </c>
      <c r="BQ9" s="3" t="s">
        <v>275</v>
      </c>
      <c r="BR9" s="3" t="s">
        <v>276</v>
      </c>
      <c r="BS9" s="3" t="s">
        <v>29</v>
      </c>
      <c r="BT9" s="67" t="s">
        <v>22</v>
      </c>
      <c r="BU9" s="68">
        <v>148000</v>
      </c>
      <c r="HL9" s="3" t="s">
        <v>233</v>
      </c>
      <c r="HM9" s="3" t="s">
        <v>232</v>
      </c>
      <c r="HR9" s="3" t="s">
        <v>231</v>
      </c>
      <c r="HT9" s="67" t="s">
        <v>20</v>
      </c>
      <c r="HU9" s="3" t="s">
        <v>29</v>
      </c>
      <c r="HV9" s="3" t="s">
        <v>29</v>
      </c>
      <c r="IN9" s="3" t="s">
        <v>274</v>
      </c>
      <c r="IO9" s="3" t="s">
        <v>283</v>
      </c>
      <c r="IR9" s="3" t="s">
        <v>29</v>
      </c>
      <c r="IS9" s="3" t="s">
        <v>29</v>
      </c>
      <c r="IT9" s="67" t="s">
        <v>18</v>
      </c>
      <c r="JI9" s="3" t="s">
        <v>282</v>
      </c>
      <c r="JJ9" s="3" t="s">
        <v>15</v>
      </c>
      <c r="JK9" s="71" t="s">
        <v>14</v>
      </c>
      <c r="JL9" s="71" t="s">
        <v>738</v>
      </c>
      <c r="JM9" s="67" t="s">
        <v>13</v>
      </c>
      <c r="JN9" s="3" t="s">
        <v>739</v>
      </c>
      <c r="JU9" s="67"/>
      <c r="JV9" s="67"/>
      <c r="JW9" s="67"/>
      <c r="JX9" s="67"/>
      <c r="JY9" s="67"/>
      <c r="JZ9" s="67"/>
      <c r="KA9" s="67"/>
      <c r="KB9" s="67"/>
      <c r="KC9" s="67"/>
      <c r="KD9" s="3" t="s">
        <v>223</v>
      </c>
      <c r="KE9" s="69" t="s">
        <v>12</v>
      </c>
      <c r="KF9" s="69" t="s">
        <v>29</v>
      </c>
      <c r="KG9" s="3" t="s">
        <v>29</v>
      </c>
      <c r="KH9" s="3" t="s">
        <v>223</v>
      </c>
      <c r="KI9" s="3" t="s">
        <v>222</v>
      </c>
      <c r="KJ9" s="3" t="s">
        <v>221</v>
      </c>
      <c r="KK9" s="67" t="s">
        <v>220</v>
      </c>
      <c r="KL9" s="3">
        <v>2.5</v>
      </c>
      <c r="KM9" s="72"/>
      <c r="KN9" s="72" t="s">
        <v>51</v>
      </c>
      <c r="KO9" s="72"/>
      <c r="KP9" s="72" t="s">
        <v>29</v>
      </c>
      <c r="KQ9" s="72" t="s">
        <v>722</v>
      </c>
      <c r="KR9" s="72"/>
      <c r="KS9" s="72"/>
      <c r="KT9" s="69"/>
      <c r="KU9" s="3" t="s">
        <v>217</v>
      </c>
      <c r="KV9" s="3" t="s">
        <v>216</v>
      </c>
      <c r="KZ9" s="67"/>
      <c r="LA9" s="67" t="s">
        <v>29</v>
      </c>
      <c r="LB9" s="67" t="s">
        <v>29</v>
      </c>
      <c r="LC9" s="67" t="s">
        <v>29</v>
      </c>
      <c r="LD9" s="67"/>
      <c r="LE9" s="3" t="s">
        <v>215</v>
      </c>
      <c r="LF9" s="67" t="s">
        <v>29</v>
      </c>
      <c r="LG9" s="67" t="s">
        <v>29</v>
      </c>
      <c r="LH9" s="67" t="s">
        <v>13</v>
      </c>
      <c r="LI9" s="3">
        <v>2500</v>
      </c>
      <c r="MS9" s="3" t="s">
        <v>214</v>
      </c>
      <c r="MT9" s="3">
        <v>30</v>
      </c>
      <c r="MU9" s="3" t="s">
        <v>293</v>
      </c>
      <c r="MW9" s="67" t="s">
        <v>10</v>
      </c>
      <c r="MX9" s="67" t="s">
        <v>168</v>
      </c>
      <c r="MY9" s="3" t="s">
        <v>270</v>
      </c>
      <c r="ND9" s="3" t="s">
        <v>734</v>
      </c>
      <c r="NE9" s="3" t="s">
        <v>310</v>
      </c>
      <c r="NF9" s="3" t="s">
        <v>267</v>
      </c>
      <c r="NG9" s="67" t="s">
        <v>266</v>
      </c>
      <c r="NH9" s="73" t="s">
        <v>265</v>
      </c>
      <c r="NQ9" s="3" t="s">
        <v>6</v>
      </c>
      <c r="NR9" s="74" t="s">
        <v>1172</v>
      </c>
      <c r="NS9" s="67" t="s">
        <v>4</v>
      </c>
      <c r="NT9" s="75">
        <v>50.76142131979708</v>
      </c>
      <c r="NW9" s="3">
        <v>8</v>
      </c>
      <c r="OH9" s="3" t="s">
        <v>1166</v>
      </c>
      <c r="OI9" t="s">
        <v>6</v>
      </c>
      <c r="OK9" s="76">
        <v>2012</v>
      </c>
      <c r="OL9" s="76">
        <v>2015</v>
      </c>
      <c r="OO9" s="3" t="s">
        <v>1178</v>
      </c>
      <c r="OP9" s="83">
        <v>46094</v>
      </c>
      <c r="OQ9" s="83"/>
    </row>
    <row r="10" spans="1:411" ht="15.75" thickBot="1">
      <c r="A10" t="s">
        <v>248</v>
      </c>
      <c r="B10" t="s">
        <v>247</v>
      </c>
      <c r="C10" t="s">
        <v>246</v>
      </c>
      <c r="D10" s="4" t="s">
        <v>245</v>
      </c>
      <c r="E10" t="s">
        <v>244</v>
      </c>
      <c r="F10" s="4" t="s">
        <v>243</v>
      </c>
      <c r="G10" t="s">
        <v>2</v>
      </c>
      <c r="H10" t="s">
        <v>30</v>
      </c>
      <c r="I10" t="s">
        <v>242</v>
      </c>
      <c r="J10" t="s">
        <v>241</v>
      </c>
      <c r="K10" t="s">
        <v>29</v>
      </c>
      <c r="AV10" t="s">
        <v>240</v>
      </c>
      <c r="AW10">
        <v>200</v>
      </c>
      <c r="AX10" t="s">
        <v>29</v>
      </c>
      <c r="AY10">
        <v>1</v>
      </c>
      <c r="AZ10" t="s">
        <v>279</v>
      </c>
      <c r="BA10">
        <v>2014</v>
      </c>
      <c r="BB10">
        <v>2015</v>
      </c>
      <c r="BC10" t="s">
        <v>29</v>
      </c>
      <c r="BD10" t="s">
        <v>19</v>
      </c>
      <c r="BE10" t="s">
        <v>311</v>
      </c>
      <c r="BF10" t="s">
        <v>39</v>
      </c>
      <c r="BG10" s="3" t="s">
        <v>1243</v>
      </c>
      <c r="BH10" t="s">
        <v>23</v>
      </c>
      <c r="BI10" t="s">
        <v>29</v>
      </c>
      <c r="BJ10" s="4" t="s">
        <v>22</v>
      </c>
      <c r="BK10" s="9">
        <v>44000</v>
      </c>
      <c r="HL10" t="s">
        <v>298</v>
      </c>
      <c r="HM10" t="s">
        <v>297</v>
      </c>
      <c r="HN10" t="s">
        <v>296</v>
      </c>
      <c r="HP10" t="s">
        <v>29</v>
      </c>
      <c r="HQ10">
        <v>1</v>
      </c>
      <c r="HR10" t="s">
        <v>231</v>
      </c>
      <c r="HT10" s="4" t="s">
        <v>20</v>
      </c>
      <c r="HU10" t="s">
        <v>29</v>
      </c>
      <c r="HV10" t="s">
        <v>29</v>
      </c>
      <c r="IG10" t="s">
        <v>255</v>
      </c>
      <c r="IH10" s="54" t="s">
        <v>19</v>
      </c>
      <c r="II10" s="46"/>
      <c r="IJ10" s="46"/>
      <c r="IN10" t="s">
        <v>255</v>
      </c>
      <c r="IO10" s="54" t="s">
        <v>19</v>
      </c>
      <c r="JI10" t="s">
        <v>228</v>
      </c>
      <c r="JJ10" s="3" t="s">
        <v>15</v>
      </c>
      <c r="JK10" s="8" t="s">
        <v>14</v>
      </c>
      <c r="JL10" s="8" t="s">
        <v>730</v>
      </c>
      <c r="JM10" s="4" t="s">
        <v>13</v>
      </c>
      <c r="JN10" t="s">
        <v>731</v>
      </c>
      <c r="JU10" s="8"/>
      <c r="JW10" s="4"/>
      <c r="JY10" s="4"/>
      <c r="JZ10" s="4"/>
      <c r="KA10" s="4"/>
      <c r="KB10" s="4"/>
      <c r="KC10" s="4"/>
      <c r="KD10" s="4" t="s">
        <v>295</v>
      </c>
      <c r="KE10" s="13" t="s">
        <v>12</v>
      </c>
      <c r="KF10" s="13" t="s">
        <v>29</v>
      </c>
      <c r="KG10" s="13" t="s">
        <v>29</v>
      </c>
      <c r="KH10" s="13" t="s">
        <v>294</v>
      </c>
      <c r="KI10" s="13" t="s">
        <v>12</v>
      </c>
      <c r="KJ10" s="13"/>
      <c r="KK10" s="4"/>
      <c r="KL10" s="13"/>
      <c r="KM10" s="13"/>
      <c r="KN10" s="13"/>
      <c r="KO10" s="13"/>
      <c r="KP10" s="13"/>
      <c r="KQ10" s="13" t="s">
        <v>722</v>
      </c>
      <c r="KR10" s="13"/>
      <c r="KS10" s="13"/>
      <c r="KT10" s="13"/>
      <c r="KU10" s="13"/>
      <c r="KV10" s="13" t="s">
        <v>1124</v>
      </c>
      <c r="KW10" s="13"/>
      <c r="KX10" s="13"/>
      <c r="KY10" s="13"/>
      <c r="KZ10" s="13"/>
      <c r="LA10" s="13"/>
      <c r="LB10" s="13"/>
      <c r="LC10" s="13"/>
      <c r="LD10" s="4"/>
      <c r="LE10" s="4"/>
      <c r="LF10" s="4"/>
      <c r="LG10" s="4"/>
      <c r="LH10" s="4"/>
      <c r="MU10" t="s">
        <v>293</v>
      </c>
      <c r="MW10" s="4" t="s">
        <v>10</v>
      </c>
      <c r="MX10" s="4" t="s">
        <v>168</v>
      </c>
      <c r="ND10" t="s">
        <v>732</v>
      </c>
      <c r="NE10" t="s">
        <v>310</v>
      </c>
      <c r="NF10" t="s">
        <v>267</v>
      </c>
      <c r="NG10" s="4" t="s">
        <v>266</v>
      </c>
      <c r="NH10" s="6" t="s">
        <v>265</v>
      </c>
      <c r="NP10" t="s">
        <v>733</v>
      </c>
      <c r="NQ10" t="s">
        <v>6</v>
      </c>
      <c r="NR10" t="s">
        <v>309</v>
      </c>
      <c r="NS10" s="4" t="s">
        <v>4</v>
      </c>
      <c r="NT10" t="s">
        <v>308</v>
      </c>
      <c r="NW10">
        <v>8</v>
      </c>
      <c r="OH10" t="s">
        <v>262</v>
      </c>
      <c r="OI10" t="s">
        <v>6</v>
      </c>
      <c r="OK10">
        <v>2014</v>
      </c>
      <c r="OL10">
        <v>2015</v>
      </c>
      <c r="OO10" s="3" t="s">
        <v>1178</v>
      </c>
      <c r="OP10" s="83">
        <v>46094</v>
      </c>
      <c r="OQ10" s="83"/>
    </row>
    <row r="11" spans="1:411" ht="15.75" thickBot="1">
      <c r="A11" t="s">
        <v>248</v>
      </c>
      <c r="B11" t="s">
        <v>247</v>
      </c>
      <c r="C11" t="s">
        <v>246</v>
      </c>
      <c r="D11" s="4" t="s">
        <v>245</v>
      </c>
      <c r="E11" t="s">
        <v>244</v>
      </c>
      <c r="F11" s="4" t="s">
        <v>243</v>
      </c>
      <c r="G11" t="s">
        <v>2</v>
      </c>
      <c r="H11" t="s">
        <v>30</v>
      </c>
      <c r="I11" t="s">
        <v>242</v>
      </c>
      <c r="J11" t="s">
        <v>241</v>
      </c>
      <c r="K11" t="s">
        <v>29</v>
      </c>
      <c r="AV11" t="s">
        <v>240</v>
      </c>
      <c r="AW11">
        <v>200</v>
      </c>
      <c r="AX11" t="s">
        <v>29</v>
      </c>
      <c r="AY11">
        <v>1</v>
      </c>
      <c r="AZ11" t="s">
        <v>279</v>
      </c>
      <c r="BA11">
        <v>2014</v>
      </c>
      <c r="BB11">
        <v>2015</v>
      </c>
      <c r="BC11" t="s">
        <v>29</v>
      </c>
      <c r="BD11" t="s">
        <v>19</v>
      </c>
      <c r="BE11" t="s">
        <v>261</v>
      </c>
      <c r="BF11" t="s">
        <v>24</v>
      </c>
      <c r="BG11" s="3" t="s">
        <v>1243</v>
      </c>
      <c r="BH11" t="s">
        <v>23</v>
      </c>
      <c r="BI11" t="s">
        <v>29</v>
      </c>
      <c r="BJ11" s="4" t="s">
        <v>22</v>
      </c>
      <c r="BK11" s="9">
        <v>44000</v>
      </c>
      <c r="HL11" t="s">
        <v>233</v>
      </c>
      <c r="HM11" t="s">
        <v>232</v>
      </c>
      <c r="HR11" t="s">
        <v>231</v>
      </c>
      <c r="HT11" s="4" t="s">
        <v>20</v>
      </c>
      <c r="HU11" t="s">
        <v>29</v>
      </c>
      <c r="HV11" t="s">
        <v>29</v>
      </c>
      <c r="IG11" t="s">
        <v>255</v>
      </c>
      <c r="IH11" s="54" t="s">
        <v>19</v>
      </c>
      <c r="II11" s="46"/>
      <c r="IJ11" s="46"/>
      <c r="IN11" t="s">
        <v>255</v>
      </c>
      <c r="IO11" s="54" t="s">
        <v>19</v>
      </c>
      <c r="JI11" t="s">
        <v>228</v>
      </c>
      <c r="JJ11" s="3" t="s">
        <v>15</v>
      </c>
      <c r="JK11" s="8" t="s">
        <v>14</v>
      </c>
      <c r="JL11" s="8" t="s">
        <v>730</v>
      </c>
      <c r="JM11" s="4" t="s">
        <v>13</v>
      </c>
      <c r="JN11" t="s">
        <v>731</v>
      </c>
      <c r="JU11" s="8"/>
      <c r="JW11" s="4"/>
      <c r="JY11" s="4"/>
      <c r="JZ11" s="4"/>
      <c r="KA11" s="4"/>
      <c r="KB11" s="4"/>
      <c r="KC11" s="4"/>
      <c r="KD11" t="s">
        <v>223</v>
      </c>
      <c r="KE11" s="13" t="s">
        <v>12</v>
      </c>
      <c r="KF11" s="13" t="s">
        <v>29</v>
      </c>
      <c r="KG11" s="13" t="s">
        <v>29</v>
      </c>
      <c r="KH11" s="13" t="s">
        <v>223</v>
      </c>
      <c r="KI11" s="13" t="s">
        <v>222</v>
      </c>
      <c r="KJ11" s="13" t="s">
        <v>221</v>
      </c>
      <c r="KK11" s="13" t="s">
        <v>220</v>
      </c>
      <c r="KL11" s="13">
        <v>2.5</v>
      </c>
      <c r="KM11" s="13"/>
      <c r="KN11" s="13"/>
      <c r="KO11" s="13"/>
      <c r="KP11" s="13"/>
      <c r="KQ11" s="13" t="s">
        <v>722</v>
      </c>
      <c r="KR11" s="13"/>
      <c r="KS11" s="13"/>
      <c r="KT11" s="13"/>
      <c r="KU11" s="13" t="s">
        <v>217</v>
      </c>
      <c r="KV11" s="13" t="s">
        <v>216</v>
      </c>
      <c r="KW11" s="13"/>
      <c r="KX11" s="13"/>
      <c r="KY11" s="13"/>
      <c r="KZ11" s="13"/>
      <c r="LA11" s="13" t="s">
        <v>29</v>
      </c>
      <c r="LB11" s="4" t="s">
        <v>29</v>
      </c>
      <c r="LC11" s="4" t="s">
        <v>29</v>
      </c>
      <c r="LD11" s="4"/>
      <c r="LE11" t="s">
        <v>215</v>
      </c>
      <c r="LF11" s="4" t="s">
        <v>29</v>
      </c>
      <c r="LG11" s="4" t="s">
        <v>29</v>
      </c>
      <c r="LH11" s="4" t="s">
        <v>13</v>
      </c>
      <c r="LI11">
        <v>2500</v>
      </c>
      <c r="MU11" t="s">
        <v>290</v>
      </c>
      <c r="MW11" s="4" t="s">
        <v>10</v>
      </c>
      <c r="MX11" s="4" t="s">
        <v>168</v>
      </c>
      <c r="ND11" t="s">
        <v>734</v>
      </c>
      <c r="NE11" t="s">
        <v>268</v>
      </c>
      <c r="NF11" t="s">
        <v>267</v>
      </c>
      <c r="NG11" s="4" t="s">
        <v>266</v>
      </c>
      <c r="NH11" s="6" t="s">
        <v>265</v>
      </c>
      <c r="NP11" t="s">
        <v>735</v>
      </c>
      <c r="NQ11" t="s">
        <v>6</v>
      </c>
      <c r="NR11" t="s">
        <v>307</v>
      </c>
      <c r="NS11" s="4" t="s">
        <v>4</v>
      </c>
      <c r="NT11" t="s">
        <v>292</v>
      </c>
      <c r="NW11">
        <v>8</v>
      </c>
      <c r="OH11" t="s">
        <v>262</v>
      </c>
      <c r="OI11" t="s">
        <v>6</v>
      </c>
      <c r="OK11">
        <v>2014</v>
      </c>
      <c r="OL11">
        <v>2015</v>
      </c>
      <c r="OO11" s="3" t="s">
        <v>1178</v>
      </c>
      <c r="OP11" s="83">
        <v>46094</v>
      </c>
      <c r="OQ11" s="83"/>
    </row>
    <row r="12" spans="1:411" ht="15.75" thickBot="1">
      <c r="A12" t="s">
        <v>248</v>
      </c>
      <c r="B12" t="s">
        <v>247</v>
      </c>
      <c r="C12" t="s">
        <v>246</v>
      </c>
      <c r="D12" s="4" t="s">
        <v>245</v>
      </c>
      <c r="E12" t="s">
        <v>244</v>
      </c>
      <c r="F12" s="4" t="s">
        <v>243</v>
      </c>
      <c r="G12" t="s">
        <v>2</v>
      </c>
      <c r="H12" t="s">
        <v>30</v>
      </c>
      <c r="I12" t="s">
        <v>242</v>
      </c>
      <c r="J12" t="s">
        <v>241</v>
      </c>
      <c r="K12" t="s">
        <v>29</v>
      </c>
      <c r="AV12" t="s">
        <v>240</v>
      </c>
      <c r="AW12">
        <v>200</v>
      </c>
      <c r="AX12" t="s">
        <v>29</v>
      </c>
      <c r="AY12">
        <v>1</v>
      </c>
      <c r="AZ12" t="s">
        <v>279</v>
      </c>
      <c r="BA12">
        <v>2014</v>
      </c>
      <c r="BB12">
        <v>2015</v>
      </c>
      <c r="BC12" t="s">
        <v>29</v>
      </c>
      <c r="BD12" t="s">
        <v>238</v>
      </c>
      <c r="BE12" t="s">
        <v>260</v>
      </c>
      <c r="BF12" t="s">
        <v>64</v>
      </c>
      <c r="BG12" s="3" t="s">
        <v>1243</v>
      </c>
      <c r="BH12" t="s">
        <v>23</v>
      </c>
      <c r="BI12" t="s">
        <v>29</v>
      </c>
      <c r="BJ12" s="4" t="s">
        <v>22</v>
      </c>
      <c r="BK12" s="9">
        <v>44000</v>
      </c>
      <c r="BL12" t="s">
        <v>56</v>
      </c>
      <c r="BM12" t="s">
        <v>250</v>
      </c>
      <c r="BN12" t="s">
        <v>29</v>
      </c>
      <c r="BO12" s="4" t="s">
        <v>22</v>
      </c>
      <c r="BP12" s="9">
        <v>44444</v>
      </c>
      <c r="HL12" t="s">
        <v>233</v>
      </c>
      <c r="HM12" t="s">
        <v>232</v>
      </c>
      <c r="HR12" t="s">
        <v>231</v>
      </c>
      <c r="HT12" s="4" t="s">
        <v>736</v>
      </c>
      <c r="HU12" t="s">
        <v>29</v>
      </c>
      <c r="HV12" t="s">
        <v>29</v>
      </c>
      <c r="IG12" t="s">
        <v>251</v>
      </c>
      <c r="IH12" s="12" t="s">
        <v>229</v>
      </c>
      <c r="II12" s="45" t="s">
        <v>660</v>
      </c>
      <c r="IJ12" s="45" t="s">
        <v>661</v>
      </c>
      <c r="IK12">
        <v>2012</v>
      </c>
      <c r="IL12" t="s">
        <v>29</v>
      </c>
      <c r="IM12" s="4" t="s">
        <v>18</v>
      </c>
      <c r="JI12" t="s">
        <v>228</v>
      </c>
      <c r="JJ12" s="3" t="s">
        <v>15</v>
      </c>
      <c r="JK12" s="8" t="s">
        <v>14</v>
      </c>
      <c r="JL12" s="8" t="s">
        <v>730</v>
      </c>
      <c r="JM12" s="4" t="s">
        <v>13</v>
      </c>
      <c r="JN12" t="s">
        <v>731</v>
      </c>
      <c r="JU12" s="8"/>
      <c r="JW12" s="4"/>
      <c r="JY12" s="4"/>
      <c r="JZ12" s="4"/>
      <c r="KA12" s="4"/>
      <c r="KB12" s="4"/>
      <c r="KC12" s="4"/>
      <c r="KD12" t="s">
        <v>223</v>
      </c>
      <c r="KE12" s="13" t="s">
        <v>12</v>
      </c>
      <c r="KF12" s="13" t="s">
        <v>29</v>
      </c>
      <c r="KG12" t="s">
        <v>29</v>
      </c>
      <c r="KH12" t="s">
        <v>223</v>
      </c>
      <c r="KI12" t="s">
        <v>222</v>
      </c>
      <c r="KJ12" t="s">
        <v>221</v>
      </c>
      <c r="KK12" s="4" t="s">
        <v>220</v>
      </c>
      <c r="KL12">
        <v>2.5</v>
      </c>
      <c r="KM12" s="7"/>
      <c r="KN12" s="7"/>
      <c r="KO12" s="7"/>
      <c r="KP12" s="13"/>
      <c r="KQ12" s="7" t="s">
        <v>219</v>
      </c>
      <c r="KR12" s="7" t="s">
        <v>218</v>
      </c>
      <c r="KS12" s="7"/>
      <c r="KT12" t="s">
        <v>29</v>
      </c>
      <c r="KU12" t="s">
        <v>217</v>
      </c>
      <c r="KV12" t="s">
        <v>216</v>
      </c>
      <c r="KZ12" s="4"/>
      <c r="LA12" s="4" t="s">
        <v>29</v>
      </c>
      <c r="LB12" s="4" t="s">
        <v>29</v>
      </c>
      <c r="LC12" s="4" t="s">
        <v>29</v>
      </c>
      <c r="LD12" s="4"/>
      <c r="LE12" t="s">
        <v>215</v>
      </c>
      <c r="LF12" s="4" t="s">
        <v>29</v>
      </c>
      <c r="LG12" s="4" t="s">
        <v>29</v>
      </c>
      <c r="LH12" s="4" t="s">
        <v>13</v>
      </c>
      <c r="LI12">
        <v>2500</v>
      </c>
      <c r="MU12" t="s">
        <v>272</v>
      </c>
      <c r="MW12" s="4" t="s">
        <v>10</v>
      </c>
      <c r="MX12" s="4" t="s">
        <v>168</v>
      </c>
      <c r="MY12" t="s">
        <v>249</v>
      </c>
      <c r="NA12" t="s">
        <v>269</v>
      </c>
      <c r="ND12" t="s">
        <v>737</v>
      </c>
      <c r="NE12" t="s">
        <v>268</v>
      </c>
      <c r="NF12" t="s">
        <v>267</v>
      </c>
      <c r="NG12" s="4" t="s">
        <v>266</v>
      </c>
      <c r="NH12" s="6" t="s">
        <v>265</v>
      </c>
      <c r="NQ12" t="s">
        <v>6</v>
      </c>
      <c r="NR12" t="s">
        <v>306</v>
      </c>
      <c r="NS12" s="4" t="s">
        <v>4</v>
      </c>
      <c r="NT12" t="s">
        <v>291</v>
      </c>
      <c r="NW12">
        <v>8</v>
      </c>
      <c r="OH12" t="s">
        <v>262</v>
      </c>
      <c r="OI12" t="s">
        <v>6</v>
      </c>
      <c r="OK12">
        <v>2014</v>
      </c>
      <c r="OL12">
        <v>2015</v>
      </c>
      <c r="OO12" s="3" t="s">
        <v>1178</v>
      </c>
      <c r="OP12" s="83">
        <v>46094</v>
      </c>
      <c r="OQ12" s="83"/>
    </row>
    <row r="13" spans="1:411" ht="15.75" thickBot="1">
      <c r="A13" t="s">
        <v>248</v>
      </c>
      <c r="B13" t="s">
        <v>247</v>
      </c>
      <c r="C13" t="s">
        <v>246</v>
      </c>
      <c r="D13" s="4" t="s">
        <v>245</v>
      </c>
      <c r="E13" t="s">
        <v>244</v>
      </c>
      <c r="F13" s="4" t="s">
        <v>243</v>
      </c>
      <c r="G13" t="s">
        <v>2</v>
      </c>
      <c r="H13" t="s">
        <v>30</v>
      </c>
      <c r="I13" t="s">
        <v>242</v>
      </c>
      <c r="J13" t="s">
        <v>241</v>
      </c>
      <c r="K13" t="s">
        <v>29</v>
      </c>
      <c r="AV13" t="s">
        <v>240</v>
      </c>
      <c r="AW13">
        <v>200</v>
      </c>
      <c r="AX13" t="s">
        <v>29</v>
      </c>
      <c r="AY13">
        <v>1</v>
      </c>
      <c r="AZ13" t="s">
        <v>279</v>
      </c>
      <c r="BA13">
        <v>2014</v>
      </c>
      <c r="BB13">
        <v>2015</v>
      </c>
      <c r="BC13" t="s">
        <v>29</v>
      </c>
      <c r="BD13" t="s">
        <v>238</v>
      </c>
      <c r="BE13" t="s">
        <v>258</v>
      </c>
      <c r="BF13" t="s">
        <v>57</v>
      </c>
      <c r="BG13" s="3" t="s">
        <v>1243</v>
      </c>
      <c r="BH13" t="s">
        <v>23</v>
      </c>
      <c r="BI13" t="s">
        <v>29</v>
      </c>
      <c r="BJ13" s="4" t="s">
        <v>22</v>
      </c>
      <c r="BK13" s="9">
        <v>44000</v>
      </c>
      <c r="BL13" t="s">
        <v>56</v>
      </c>
      <c r="BM13" t="s">
        <v>235</v>
      </c>
      <c r="BN13" t="s">
        <v>29</v>
      </c>
      <c r="BO13" s="4" t="s">
        <v>22</v>
      </c>
      <c r="BP13" s="9">
        <v>44444</v>
      </c>
      <c r="HL13" t="s">
        <v>233</v>
      </c>
      <c r="HM13" t="s">
        <v>232</v>
      </c>
      <c r="HR13" t="s">
        <v>231</v>
      </c>
      <c r="HT13" s="4" t="s">
        <v>736</v>
      </c>
      <c r="HU13" t="s">
        <v>29</v>
      </c>
      <c r="HV13" t="s">
        <v>29</v>
      </c>
      <c r="IG13" t="s">
        <v>230</v>
      </c>
      <c r="IH13" s="12" t="s">
        <v>229</v>
      </c>
      <c r="II13" s="45" t="s">
        <v>660</v>
      </c>
      <c r="IJ13" s="45" t="s">
        <v>661</v>
      </c>
      <c r="IK13">
        <v>2012</v>
      </c>
      <c r="IL13" t="s">
        <v>29</v>
      </c>
      <c r="IM13" s="4" t="s">
        <v>18</v>
      </c>
      <c r="JI13" t="s">
        <v>228</v>
      </c>
      <c r="JJ13" s="3" t="s">
        <v>15</v>
      </c>
      <c r="JK13" s="8" t="s">
        <v>14</v>
      </c>
      <c r="JL13" s="8" t="s">
        <v>730</v>
      </c>
      <c r="JM13" s="4" t="s">
        <v>13</v>
      </c>
      <c r="JN13" t="s">
        <v>731</v>
      </c>
      <c r="JU13" s="8"/>
      <c r="JW13" s="4"/>
      <c r="JY13" s="4"/>
      <c r="JZ13" s="4"/>
      <c r="KA13" s="4"/>
      <c r="KB13" s="4"/>
      <c r="KC13" s="4"/>
      <c r="KD13" t="s">
        <v>223</v>
      </c>
      <c r="KE13" s="13" t="s">
        <v>12</v>
      </c>
      <c r="KF13" s="13" t="s">
        <v>29</v>
      </c>
      <c r="KG13" t="s">
        <v>29</v>
      </c>
      <c r="KH13" t="s">
        <v>223</v>
      </c>
      <c r="KI13" t="s">
        <v>222</v>
      </c>
      <c r="KJ13" t="s">
        <v>221</v>
      </c>
      <c r="KK13" s="4" t="s">
        <v>220</v>
      </c>
      <c r="KL13">
        <v>2.5</v>
      </c>
      <c r="KM13" s="7"/>
      <c r="KN13" s="7"/>
      <c r="KO13" s="7"/>
      <c r="KP13" s="13"/>
      <c r="KQ13" s="7" t="s">
        <v>219</v>
      </c>
      <c r="KR13" s="7" t="s">
        <v>218</v>
      </c>
      <c r="KS13" s="7"/>
      <c r="KT13" t="s">
        <v>29</v>
      </c>
      <c r="KU13" t="s">
        <v>217</v>
      </c>
      <c r="KV13" t="s">
        <v>216</v>
      </c>
      <c r="KZ13" s="4"/>
      <c r="LA13" s="4" t="s">
        <v>29</v>
      </c>
      <c r="LB13" s="4" t="s">
        <v>29</v>
      </c>
      <c r="LC13" s="4" t="s">
        <v>29</v>
      </c>
      <c r="LD13" s="4"/>
      <c r="LE13" t="s">
        <v>215</v>
      </c>
      <c r="LF13" s="4" t="s">
        <v>29</v>
      </c>
      <c r="LG13" s="4" t="s">
        <v>29</v>
      </c>
      <c r="LH13" s="4" t="s">
        <v>13</v>
      </c>
      <c r="LI13">
        <v>2500</v>
      </c>
      <c r="MU13" t="s">
        <v>272</v>
      </c>
      <c r="MW13" s="4" t="s">
        <v>10</v>
      </c>
      <c r="MX13" s="4" t="s">
        <v>168</v>
      </c>
      <c r="MY13" t="s">
        <v>213</v>
      </c>
      <c r="NA13" t="s">
        <v>269</v>
      </c>
      <c r="ND13" t="s">
        <v>737</v>
      </c>
      <c r="NE13" t="s">
        <v>268</v>
      </c>
      <c r="NF13" t="s">
        <v>267</v>
      </c>
      <c r="NG13" s="4" t="s">
        <v>266</v>
      </c>
      <c r="NH13" s="6" t="s">
        <v>265</v>
      </c>
      <c r="NQ13" t="s">
        <v>6</v>
      </c>
      <c r="NR13" t="s">
        <v>305</v>
      </c>
      <c r="NS13" s="4" t="s">
        <v>4</v>
      </c>
      <c r="NT13" t="s">
        <v>281</v>
      </c>
      <c r="NW13">
        <v>8</v>
      </c>
      <c r="OH13" t="s">
        <v>262</v>
      </c>
      <c r="OI13" t="s">
        <v>6</v>
      </c>
      <c r="OK13">
        <v>2014</v>
      </c>
      <c r="OL13">
        <v>2015</v>
      </c>
      <c r="OO13" s="3" t="s">
        <v>1178</v>
      </c>
      <c r="OP13" s="83">
        <v>46094</v>
      </c>
      <c r="OQ13" s="83"/>
    </row>
    <row r="14" spans="1:411" ht="15.75" thickBot="1">
      <c r="A14" t="s">
        <v>248</v>
      </c>
      <c r="B14" t="s">
        <v>247</v>
      </c>
      <c r="C14" t="s">
        <v>246</v>
      </c>
      <c r="D14" s="4" t="s">
        <v>245</v>
      </c>
      <c r="E14" t="s">
        <v>244</v>
      </c>
      <c r="F14" s="4" t="s">
        <v>243</v>
      </c>
      <c r="G14" t="s">
        <v>2</v>
      </c>
      <c r="H14" t="s">
        <v>30</v>
      </c>
      <c r="I14" t="s">
        <v>242</v>
      </c>
      <c r="J14" t="s">
        <v>241</v>
      </c>
      <c r="K14" t="s">
        <v>29</v>
      </c>
      <c r="AV14" t="s">
        <v>240</v>
      </c>
      <c r="AW14">
        <v>200</v>
      </c>
      <c r="AX14" t="s">
        <v>29</v>
      </c>
      <c r="AY14">
        <v>1</v>
      </c>
      <c r="AZ14" t="s">
        <v>279</v>
      </c>
      <c r="BA14">
        <v>2014</v>
      </c>
      <c r="BB14">
        <v>2015</v>
      </c>
      <c r="BC14" t="s">
        <v>29</v>
      </c>
      <c r="BD14" t="s">
        <v>274</v>
      </c>
      <c r="BE14" t="s">
        <v>304</v>
      </c>
      <c r="BF14" t="s">
        <v>48</v>
      </c>
      <c r="BG14" s="3" t="s">
        <v>1243</v>
      </c>
      <c r="BH14" t="s">
        <v>23</v>
      </c>
      <c r="BI14" t="s">
        <v>29</v>
      </c>
      <c r="BJ14" s="4" t="s">
        <v>22</v>
      </c>
      <c r="BK14" s="9">
        <v>44000</v>
      </c>
      <c r="BL14" t="s">
        <v>275</v>
      </c>
      <c r="BM14" t="s">
        <v>271</v>
      </c>
      <c r="BN14" t="s">
        <v>29</v>
      </c>
      <c r="BO14" s="4" t="s">
        <v>22</v>
      </c>
      <c r="BP14" s="9">
        <v>444444</v>
      </c>
      <c r="BQ14" t="s">
        <v>275</v>
      </c>
      <c r="BR14" t="s">
        <v>276</v>
      </c>
      <c r="BS14" t="s">
        <v>29</v>
      </c>
      <c r="BT14" s="4" t="s">
        <v>22</v>
      </c>
      <c r="BU14" s="9">
        <v>148000</v>
      </c>
      <c r="HL14" t="s">
        <v>233</v>
      </c>
      <c r="HM14" t="s">
        <v>232</v>
      </c>
      <c r="HR14" t="s">
        <v>231</v>
      </c>
      <c r="HT14" s="4" t="s">
        <v>20</v>
      </c>
      <c r="HU14" t="s">
        <v>29</v>
      </c>
      <c r="HV14" t="s">
        <v>29</v>
      </c>
      <c r="IN14" t="s">
        <v>274</v>
      </c>
      <c r="IO14" t="s">
        <v>283</v>
      </c>
      <c r="IR14" t="s">
        <v>29</v>
      </c>
      <c r="IS14" t="s">
        <v>29</v>
      </c>
      <c r="IT14" s="4" t="s">
        <v>18</v>
      </c>
      <c r="JI14" t="s">
        <v>282</v>
      </c>
      <c r="JJ14" s="3" t="s">
        <v>15</v>
      </c>
      <c r="JK14" s="8" t="s">
        <v>14</v>
      </c>
      <c r="JL14" s="8" t="s">
        <v>738</v>
      </c>
      <c r="JM14" s="4" t="s">
        <v>13</v>
      </c>
      <c r="JN14" t="s">
        <v>739</v>
      </c>
      <c r="JU14" s="4"/>
      <c r="JV14" s="4"/>
      <c r="JW14" s="4"/>
      <c r="JX14" s="4"/>
      <c r="JY14" s="4"/>
      <c r="JZ14" s="4"/>
      <c r="KA14" s="4"/>
      <c r="KB14" s="4"/>
      <c r="KC14" s="4"/>
      <c r="KD14" t="s">
        <v>223</v>
      </c>
      <c r="KE14" s="13" t="s">
        <v>12</v>
      </c>
      <c r="KF14" s="13" t="s">
        <v>29</v>
      </c>
      <c r="KG14" t="s">
        <v>29</v>
      </c>
      <c r="KH14" t="s">
        <v>223</v>
      </c>
      <c r="KI14" t="s">
        <v>222</v>
      </c>
      <c r="KJ14" t="s">
        <v>221</v>
      </c>
      <c r="KK14" s="4" t="s">
        <v>220</v>
      </c>
      <c r="KL14">
        <v>2.5</v>
      </c>
      <c r="KM14" s="7"/>
      <c r="KN14" s="7" t="s">
        <v>51</v>
      </c>
      <c r="KO14" s="7"/>
      <c r="KP14" s="7" t="s">
        <v>29</v>
      </c>
      <c r="KQ14" s="7" t="s">
        <v>722</v>
      </c>
      <c r="KR14" s="7"/>
      <c r="KS14" s="7"/>
      <c r="KT14" s="13"/>
      <c r="KU14" t="s">
        <v>217</v>
      </c>
      <c r="KV14" t="s">
        <v>216</v>
      </c>
      <c r="KZ14" s="4"/>
      <c r="LA14" s="4" t="s">
        <v>29</v>
      </c>
      <c r="LB14" s="4" t="s">
        <v>29</v>
      </c>
      <c r="LC14" s="4" t="s">
        <v>29</v>
      </c>
      <c r="LD14" s="4"/>
      <c r="LE14" t="s">
        <v>215</v>
      </c>
      <c r="LF14" s="4" t="s">
        <v>29</v>
      </c>
      <c r="LG14" s="4" t="s">
        <v>29</v>
      </c>
      <c r="LH14" s="4" t="s">
        <v>13</v>
      </c>
      <c r="LI14">
        <v>2500</v>
      </c>
      <c r="MU14" t="s">
        <v>272</v>
      </c>
      <c r="MW14" s="4" t="s">
        <v>10</v>
      </c>
      <c r="MX14" s="4" t="s">
        <v>168</v>
      </c>
      <c r="MY14" t="s">
        <v>270</v>
      </c>
      <c r="NA14" t="s">
        <v>269</v>
      </c>
      <c r="ND14" t="s">
        <v>734</v>
      </c>
      <c r="NE14" t="s">
        <v>268</v>
      </c>
      <c r="NF14" t="s">
        <v>267</v>
      </c>
      <c r="NG14" s="4" t="s">
        <v>266</v>
      </c>
      <c r="NH14" s="6" t="s">
        <v>265</v>
      </c>
      <c r="NQ14" t="s">
        <v>6</v>
      </c>
      <c r="NR14" t="s">
        <v>303</v>
      </c>
      <c r="NS14" s="4" t="s">
        <v>4</v>
      </c>
      <c r="NT14" t="s">
        <v>280</v>
      </c>
      <c r="NW14">
        <v>8</v>
      </c>
      <c r="OH14" t="s">
        <v>262</v>
      </c>
      <c r="OI14" t="s">
        <v>6</v>
      </c>
      <c r="OK14">
        <v>2014</v>
      </c>
      <c r="OL14">
        <v>2015</v>
      </c>
      <c r="OO14" s="3" t="s">
        <v>1178</v>
      </c>
      <c r="OP14" s="83">
        <v>46094</v>
      </c>
      <c r="OQ14" s="83"/>
    </row>
    <row r="15" spans="1:411" ht="15.75" thickBot="1">
      <c r="A15" t="s">
        <v>248</v>
      </c>
      <c r="B15" t="s">
        <v>247</v>
      </c>
      <c r="C15" t="s">
        <v>246</v>
      </c>
      <c r="D15" s="4" t="s">
        <v>245</v>
      </c>
      <c r="E15" t="s">
        <v>244</v>
      </c>
      <c r="F15" s="4" t="s">
        <v>243</v>
      </c>
      <c r="G15" t="s">
        <v>2</v>
      </c>
      <c r="H15" t="s">
        <v>30</v>
      </c>
      <c r="I15" t="s">
        <v>242</v>
      </c>
      <c r="J15" t="s">
        <v>241</v>
      </c>
      <c r="K15" t="s">
        <v>29</v>
      </c>
      <c r="AV15" t="s">
        <v>240</v>
      </c>
      <c r="AW15">
        <v>200</v>
      </c>
      <c r="AX15" t="s">
        <v>29</v>
      </c>
      <c r="AY15">
        <v>1</v>
      </c>
      <c r="AZ15" t="s">
        <v>279</v>
      </c>
      <c r="BA15">
        <v>2014</v>
      </c>
      <c r="BB15">
        <v>2015</v>
      </c>
      <c r="BC15" t="s">
        <v>29</v>
      </c>
      <c r="BD15" t="s">
        <v>274</v>
      </c>
      <c r="BE15" t="s">
        <v>302</v>
      </c>
      <c r="BF15" t="s">
        <v>43</v>
      </c>
      <c r="BG15" s="3" t="s">
        <v>1243</v>
      </c>
      <c r="BH15" t="s">
        <v>271</v>
      </c>
      <c r="BI15" t="s">
        <v>29</v>
      </c>
      <c r="BJ15" s="4" t="s">
        <v>22</v>
      </c>
      <c r="BK15" s="9">
        <v>44444</v>
      </c>
      <c r="BL15" t="s">
        <v>275</v>
      </c>
      <c r="BM15" t="s">
        <v>276</v>
      </c>
      <c r="BN15" t="s">
        <v>29</v>
      </c>
      <c r="BO15" s="4" t="s">
        <v>22</v>
      </c>
      <c r="BP15" s="9">
        <v>148000</v>
      </c>
      <c r="BQ15" t="s">
        <v>275</v>
      </c>
      <c r="BR15" t="s">
        <v>23</v>
      </c>
      <c r="BS15" t="s">
        <v>29</v>
      </c>
      <c r="BT15" s="4" t="s">
        <v>22</v>
      </c>
      <c r="BU15">
        <v>44000</v>
      </c>
      <c r="HL15" t="s">
        <v>233</v>
      </c>
      <c r="HM15" t="s">
        <v>232</v>
      </c>
      <c r="HR15" t="s">
        <v>231</v>
      </c>
      <c r="HT15" s="4" t="s">
        <v>20</v>
      </c>
      <c r="HU15" t="s">
        <v>29</v>
      </c>
      <c r="HV15" t="s">
        <v>29</v>
      </c>
      <c r="IN15" t="s">
        <v>274</v>
      </c>
      <c r="IO15" t="s">
        <v>273</v>
      </c>
      <c r="IR15" t="s">
        <v>29</v>
      </c>
      <c r="IS15" t="s">
        <v>29</v>
      </c>
      <c r="IT15" s="4" t="s">
        <v>18</v>
      </c>
      <c r="JI15" t="s">
        <v>228</v>
      </c>
      <c r="JJ15" s="3" t="s">
        <v>15</v>
      </c>
      <c r="JK15" s="8" t="s">
        <v>14</v>
      </c>
      <c r="JL15" s="8" t="s">
        <v>738</v>
      </c>
      <c r="JM15" s="4" t="s">
        <v>13</v>
      </c>
      <c r="JN15" t="s">
        <v>739</v>
      </c>
      <c r="JU15" s="4"/>
      <c r="JV15" s="4"/>
      <c r="JW15" s="4"/>
      <c r="JX15" s="4"/>
      <c r="JY15" s="4"/>
      <c r="JZ15" s="4"/>
      <c r="KA15" s="4"/>
      <c r="KB15" s="4"/>
      <c r="KC15" s="4"/>
      <c r="KD15" t="s">
        <v>223</v>
      </c>
      <c r="KE15" s="13" t="s">
        <v>12</v>
      </c>
      <c r="KF15" s="13" t="s">
        <v>29</v>
      </c>
      <c r="KG15" t="s">
        <v>29</v>
      </c>
      <c r="KH15" t="s">
        <v>223</v>
      </c>
      <c r="KI15" t="s">
        <v>222</v>
      </c>
      <c r="KJ15" t="s">
        <v>221</v>
      </c>
      <c r="KK15" s="4" t="s">
        <v>220</v>
      </c>
      <c r="KL15">
        <v>2.5</v>
      </c>
      <c r="KM15" s="7"/>
      <c r="KN15" s="7" t="s">
        <v>51</v>
      </c>
      <c r="KO15" s="7"/>
      <c r="KP15" s="7" t="s">
        <v>29</v>
      </c>
      <c r="KQ15" s="7" t="s">
        <v>722</v>
      </c>
      <c r="KR15" s="7"/>
      <c r="KS15" s="7"/>
      <c r="KT15" s="13"/>
      <c r="KU15" t="s">
        <v>217</v>
      </c>
      <c r="KV15" t="s">
        <v>216</v>
      </c>
      <c r="KZ15" s="4"/>
      <c r="LA15" s="4" t="s">
        <v>29</v>
      </c>
      <c r="LB15" s="4" t="s">
        <v>29</v>
      </c>
      <c r="LC15" s="4" t="s">
        <v>29</v>
      </c>
      <c r="LD15" s="4"/>
      <c r="LE15" t="s">
        <v>215</v>
      </c>
      <c r="LF15" s="4" t="s">
        <v>29</v>
      </c>
      <c r="LG15" s="4" t="s">
        <v>29</v>
      </c>
      <c r="LH15" s="4" t="s">
        <v>13</v>
      </c>
      <c r="LI15">
        <v>2500</v>
      </c>
      <c r="MU15" t="s">
        <v>272</v>
      </c>
      <c r="MW15" s="4" t="s">
        <v>10</v>
      </c>
      <c r="MX15" s="4" t="s">
        <v>168</v>
      </c>
      <c r="MY15" t="s">
        <v>270</v>
      </c>
      <c r="NA15" t="s">
        <v>269</v>
      </c>
      <c r="ND15" t="s">
        <v>734</v>
      </c>
      <c r="NE15" t="s">
        <v>268</v>
      </c>
      <c r="NF15" t="s">
        <v>267</v>
      </c>
      <c r="NG15" s="4" t="s">
        <v>266</v>
      </c>
      <c r="NH15" s="6" t="s">
        <v>265</v>
      </c>
      <c r="NQ15" t="s">
        <v>6</v>
      </c>
      <c r="NR15" t="s">
        <v>301</v>
      </c>
      <c r="NS15" s="4" t="s">
        <v>4</v>
      </c>
      <c r="NT15" t="s">
        <v>291</v>
      </c>
      <c r="NW15">
        <v>8</v>
      </c>
      <c r="OH15" t="s">
        <v>262</v>
      </c>
      <c r="OI15" t="s">
        <v>6</v>
      </c>
      <c r="OK15">
        <v>2014</v>
      </c>
      <c r="OL15">
        <v>2015</v>
      </c>
      <c r="OO15" s="3" t="s">
        <v>1178</v>
      </c>
      <c r="OP15" s="83">
        <v>46094</v>
      </c>
      <c r="OQ15" s="83"/>
    </row>
    <row r="16" spans="1:411" ht="15.75" thickBot="1">
      <c r="A16" t="s">
        <v>248</v>
      </c>
      <c r="B16" t="s">
        <v>247</v>
      </c>
      <c r="C16" t="s">
        <v>246</v>
      </c>
      <c r="D16" s="4" t="s">
        <v>245</v>
      </c>
      <c r="E16" t="s">
        <v>244</v>
      </c>
      <c r="F16" s="4" t="s">
        <v>243</v>
      </c>
      <c r="G16" t="s">
        <v>2</v>
      </c>
      <c r="H16" t="s">
        <v>30</v>
      </c>
      <c r="I16" t="s">
        <v>242</v>
      </c>
      <c r="J16" t="s">
        <v>241</v>
      </c>
      <c r="K16" t="s">
        <v>29</v>
      </c>
      <c r="AV16" t="s">
        <v>240</v>
      </c>
      <c r="AW16">
        <v>200</v>
      </c>
      <c r="AX16" t="s">
        <v>29</v>
      </c>
      <c r="AY16">
        <v>1</v>
      </c>
      <c r="AZ16" t="s">
        <v>279</v>
      </c>
      <c r="BA16">
        <v>2014</v>
      </c>
      <c r="BB16">
        <v>2015</v>
      </c>
      <c r="BC16" t="s">
        <v>29</v>
      </c>
      <c r="BD16" t="s">
        <v>19</v>
      </c>
      <c r="BE16" t="s">
        <v>300</v>
      </c>
      <c r="BF16" t="s">
        <v>299</v>
      </c>
      <c r="BG16" s="3" t="s">
        <v>1243</v>
      </c>
      <c r="BH16" t="s">
        <v>23</v>
      </c>
      <c r="BI16" t="s">
        <v>29</v>
      </c>
      <c r="BJ16" s="4" t="s">
        <v>22</v>
      </c>
      <c r="BK16" s="9">
        <v>44000</v>
      </c>
      <c r="HL16" t="s">
        <v>298</v>
      </c>
      <c r="HM16" t="s">
        <v>297</v>
      </c>
      <c r="HN16" t="s">
        <v>296</v>
      </c>
      <c r="HP16" t="s">
        <v>29</v>
      </c>
      <c r="HQ16">
        <v>1</v>
      </c>
      <c r="HR16" t="s">
        <v>231</v>
      </c>
      <c r="HT16" s="4" t="s">
        <v>20</v>
      </c>
      <c r="HU16" t="s">
        <v>29</v>
      </c>
      <c r="HV16" t="s">
        <v>29</v>
      </c>
      <c r="IG16" t="s">
        <v>255</v>
      </c>
      <c r="IH16" s="54" t="s">
        <v>19</v>
      </c>
      <c r="II16" s="46"/>
      <c r="IJ16" s="46"/>
      <c r="IN16" t="s">
        <v>255</v>
      </c>
      <c r="IO16" s="54" t="s">
        <v>19</v>
      </c>
      <c r="JI16" t="s">
        <v>228</v>
      </c>
      <c r="JJ16" s="54" t="s">
        <v>1565</v>
      </c>
      <c r="JK16" s="8" t="s">
        <v>14</v>
      </c>
      <c r="JL16" s="8" t="s">
        <v>730</v>
      </c>
      <c r="JM16" s="4" t="s">
        <v>13</v>
      </c>
      <c r="JN16" t="s">
        <v>731</v>
      </c>
      <c r="JU16" s="4" t="s">
        <v>227</v>
      </c>
      <c r="JV16" s="4" t="s">
        <v>226</v>
      </c>
      <c r="JW16" s="4" t="s">
        <v>13</v>
      </c>
      <c r="JX16" s="4">
        <v>5000</v>
      </c>
      <c r="JY16" s="4" t="s">
        <v>225</v>
      </c>
      <c r="JZ16" s="4">
        <v>0.74</v>
      </c>
      <c r="KA16">
        <v>0.12</v>
      </c>
      <c r="KB16">
        <v>0.69</v>
      </c>
      <c r="KC16" s="4" t="s">
        <v>224</v>
      </c>
      <c r="KD16" s="4" t="s">
        <v>295</v>
      </c>
      <c r="KE16" s="13" t="s">
        <v>12</v>
      </c>
      <c r="KF16" s="13" t="s">
        <v>29</v>
      </c>
      <c r="KG16" t="s">
        <v>29</v>
      </c>
      <c r="KH16" t="s">
        <v>294</v>
      </c>
      <c r="KI16" s="13" t="s">
        <v>12</v>
      </c>
      <c r="KK16" s="4"/>
      <c r="KM16" s="7"/>
      <c r="KN16" s="7"/>
      <c r="KO16" s="7"/>
      <c r="KP16" s="13"/>
      <c r="KQ16" s="7" t="s">
        <v>722</v>
      </c>
      <c r="KR16" s="7"/>
      <c r="KS16" s="7"/>
      <c r="KT16" s="13"/>
      <c r="KV16" s="13" t="s">
        <v>1124</v>
      </c>
      <c r="KZ16" s="4"/>
      <c r="LA16" s="13"/>
      <c r="LB16" s="13"/>
      <c r="LC16" s="13"/>
      <c r="LD16" s="4"/>
      <c r="LE16" s="4"/>
      <c r="LF16" s="4"/>
      <c r="LG16" s="4"/>
      <c r="LH16" s="4"/>
      <c r="MU16" t="s">
        <v>293</v>
      </c>
      <c r="MW16" s="4" t="s">
        <v>10</v>
      </c>
      <c r="MX16" s="4" t="s">
        <v>168</v>
      </c>
      <c r="ND16" t="s">
        <v>740</v>
      </c>
      <c r="NE16" t="s">
        <v>268</v>
      </c>
      <c r="NF16" t="s">
        <v>267</v>
      </c>
      <c r="NG16" s="4" t="s">
        <v>266</v>
      </c>
      <c r="NH16" s="6" t="s">
        <v>265</v>
      </c>
      <c r="NP16" t="s">
        <v>741</v>
      </c>
      <c r="NQ16" t="s">
        <v>6</v>
      </c>
      <c r="NR16" t="s">
        <v>292</v>
      </c>
      <c r="NS16" s="4" t="s">
        <v>4</v>
      </c>
      <c r="NT16" t="s">
        <v>291</v>
      </c>
      <c r="NW16">
        <v>8</v>
      </c>
      <c r="OH16" t="s">
        <v>262</v>
      </c>
      <c r="OI16" t="s">
        <v>6</v>
      </c>
      <c r="OK16">
        <v>2014</v>
      </c>
      <c r="OL16">
        <v>2015</v>
      </c>
      <c r="OO16" s="3" t="s">
        <v>1178</v>
      </c>
      <c r="OP16" s="83">
        <v>46094</v>
      </c>
      <c r="OQ16" s="83"/>
    </row>
    <row r="17" spans="1:407" ht="15.75" thickBot="1">
      <c r="A17" t="s">
        <v>248</v>
      </c>
      <c r="B17" t="s">
        <v>247</v>
      </c>
      <c r="C17" t="s">
        <v>246</v>
      </c>
      <c r="D17" s="4" t="s">
        <v>245</v>
      </c>
      <c r="E17" t="s">
        <v>244</v>
      </c>
      <c r="F17" s="4" t="s">
        <v>243</v>
      </c>
      <c r="G17" t="s">
        <v>2</v>
      </c>
      <c r="H17" t="s">
        <v>30</v>
      </c>
      <c r="I17" t="s">
        <v>242</v>
      </c>
      <c r="J17" t="s">
        <v>241</v>
      </c>
      <c r="K17" t="s">
        <v>29</v>
      </c>
      <c r="AV17" t="s">
        <v>240</v>
      </c>
      <c r="AW17">
        <v>200</v>
      </c>
      <c r="AX17" t="s">
        <v>29</v>
      </c>
      <c r="AY17">
        <v>1</v>
      </c>
      <c r="AZ17" t="s">
        <v>279</v>
      </c>
      <c r="BA17">
        <v>2014</v>
      </c>
      <c r="BB17">
        <v>2015</v>
      </c>
      <c r="BC17" t="s">
        <v>29</v>
      </c>
      <c r="BD17" t="s">
        <v>19</v>
      </c>
      <c r="BE17" t="s">
        <v>257</v>
      </c>
      <c r="BF17" t="s">
        <v>256</v>
      </c>
      <c r="BG17" s="3" t="s">
        <v>1243</v>
      </c>
      <c r="BH17" t="s">
        <v>23</v>
      </c>
      <c r="BI17" t="s">
        <v>29</v>
      </c>
      <c r="BJ17" s="4" t="s">
        <v>22</v>
      </c>
      <c r="BK17" s="9">
        <v>44000</v>
      </c>
      <c r="HL17" t="s">
        <v>233</v>
      </c>
      <c r="HM17" t="s">
        <v>232</v>
      </c>
      <c r="HR17" t="s">
        <v>231</v>
      </c>
      <c r="HT17" s="4" t="s">
        <v>20</v>
      </c>
      <c r="HU17" t="s">
        <v>29</v>
      </c>
      <c r="HV17" t="s">
        <v>29</v>
      </c>
      <c r="IG17" t="s">
        <v>255</v>
      </c>
      <c r="IH17" s="54" t="s">
        <v>19</v>
      </c>
      <c r="II17" s="46"/>
      <c r="IJ17" s="46"/>
      <c r="IN17" s="15" t="s">
        <v>255</v>
      </c>
      <c r="IO17" s="54" t="s">
        <v>19</v>
      </c>
      <c r="JI17" t="s">
        <v>228</v>
      </c>
      <c r="JJ17" s="54" t="s">
        <v>1565</v>
      </c>
      <c r="JK17" s="8" t="s">
        <v>14</v>
      </c>
      <c r="JL17" s="8" t="s">
        <v>730</v>
      </c>
      <c r="JM17" s="4" t="s">
        <v>13</v>
      </c>
      <c r="JN17" t="s">
        <v>731</v>
      </c>
      <c r="JU17" s="4" t="s">
        <v>227</v>
      </c>
      <c r="JV17" s="4" t="s">
        <v>226</v>
      </c>
      <c r="JW17" s="4" t="s">
        <v>13</v>
      </c>
      <c r="JX17" s="4">
        <v>5000</v>
      </c>
      <c r="JY17" s="4" t="s">
        <v>225</v>
      </c>
      <c r="JZ17" s="4">
        <v>0.74</v>
      </c>
      <c r="KA17">
        <v>0.12</v>
      </c>
      <c r="KB17">
        <v>0.69</v>
      </c>
      <c r="KC17" s="4" t="s">
        <v>224</v>
      </c>
      <c r="KD17" t="s">
        <v>223</v>
      </c>
      <c r="KE17" s="13" t="s">
        <v>12</v>
      </c>
      <c r="KF17" s="13" t="s">
        <v>29</v>
      </c>
      <c r="KG17" t="s">
        <v>29</v>
      </c>
      <c r="KH17" t="s">
        <v>223</v>
      </c>
      <c r="KI17" t="s">
        <v>222</v>
      </c>
      <c r="KJ17" t="s">
        <v>221</v>
      </c>
      <c r="KK17" s="4" t="s">
        <v>220</v>
      </c>
      <c r="KL17">
        <v>2.5</v>
      </c>
      <c r="KM17" s="7"/>
      <c r="KN17" s="7"/>
      <c r="KO17" s="7"/>
      <c r="KP17" s="13"/>
      <c r="KQ17" s="7" t="s">
        <v>722</v>
      </c>
      <c r="KR17" s="7"/>
      <c r="KS17" s="7"/>
      <c r="KT17" s="13"/>
      <c r="KU17" t="s">
        <v>217</v>
      </c>
      <c r="KV17" t="s">
        <v>216</v>
      </c>
      <c r="KZ17" s="4"/>
      <c r="LA17" s="4" t="s">
        <v>29</v>
      </c>
      <c r="LB17" s="4" t="s">
        <v>29</v>
      </c>
      <c r="LC17" s="4" t="s">
        <v>29</v>
      </c>
      <c r="LD17" s="4"/>
      <c r="LE17" t="s">
        <v>215</v>
      </c>
      <c r="LF17" s="4" t="s">
        <v>29</v>
      </c>
      <c r="LG17" s="4" t="s">
        <v>29</v>
      </c>
      <c r="LH17" s="4" t="s">
        <v>13</v>
      </c>
      <c r="LI17">
        <v>2500</v>
      </c>
      <c r="MU17" t="s">
        <v>290</v>
      </c>
      <c r="MW17" s="4" t="s">
        <v>10</v>
      </c>
      <c r="MX17" s="4" t="s">
        <v>168</v>
      </c>
      <c r="ND17" t="s">
        <v>742</v>
      </c>
      <c r="NE17" t="s">
        <v>268</v>
      </c>
      <c r="NF17" t="s">
        <v>267</v>
      </c>
      <c r="NG17" s="4" t="s">
        <v>266</v>
      </c>
      <c r="NH17" s="6" t="s">
        <v>265</v>
      </c>
      <c r="NP17" t="s">
        <v>743</v>
      </c>
      <c r="NQ17" t="s">
        <v>6</v>
      </c>
      <c r="NR17" t="s">
        <v>289</v>
      </c>
      <c r="NS17" s="4" t="s">
        <v>4</v>
      </c>
      <c r="NT17" t="s">
        <v>280</v>
      </c>
      <c r="NW17">
        <v>8</v>
      </c>
      <c r="OH17" t="s">
        <v>262</v>
      </c>
      <c r="OI17" t="s">
        <v>6</v>
      </c>
      <c r="OK17">
        <v>2014</v>
      </c>
      <c r="OL17">
        <v>2015</v>
      </c>
      <c r="OO17" s="3" t="s">
        <v>1178</v>
      </c>
      <c r="OP17" s="83">
        <v>46094</v>
      </c>
      <c r="OQ17" s="83"/>
    </row>
    <row r="18" spans="1:407" ht="15.75" thickBot="1">
      <c r="A18" t="s">
        <v>248</v>
      </c>
      <c r="B18" t="s">
        <v>247</v>
      </c>
      <c r="C18" t="s">
        <v>246</v>
      </c>
      <c r="D18" s="4" t="s">
        <v>245</v>
      </c>
      <c r="E18" t="s">
        <v>244</v>
      </c>
      <c r="F18" s="4" t="s">
        <v>243</v>
      </c>
      <c r="G18" t="s">
        <v>2</v>
      </c>
      <c r="H18" t="s">
        <v>30</v>
      </c>
      <c r="I18" t="s">
        <v>242</v>
      </c>
      <c r="J18" t="s">
        <v>241</v>
      </c>
      <c r="K18" t="s">
        <v>29</v>
      </c>
      <c r="AV18" t="s">
        <v>240</v>
      </c>
      <c r="AW18">
        <v>200</v>
      </c>
      <c r="AX18" t="s">
        <v>29</v>
      </c>
      <c r="AY18">
        <v>1</v>
      </c>
      <c r="AZ18" t="s">
        <v>279</v>
      </c>
      <c r="BA18">
        <v>2014</v>
      </c>
      <c r="BB18">
        <v>2015</v>
      </c>
      <c r="BC18" t="s">
        <v>29</v>
      </c>
      <c r="BD18" t="s">
        <v>238</v>
      </c>
      <c r="BE18" t="s">
        <v>253</v>
      </c>
      <c r="BF18" t="s">
        <v>252</v>
      </c>
      <c r="BG18" s="3" t="s">
        <v>1243</v>
      </c>
      <c r="BH18" t="s">
        <v>23</v>
      </c>
      <c r="BI18" t="s">
        <v>29</v>
      </c>
      <c r="BJ18" s="4" t="s">
        <v>22</v>
      </c>
      <c r="BK18" s="9">
        <v>44000</v>
      </c>
      <c r="BL18" t="s">
        <v>56</v>
      </c>
      <c r="BM18" t="s">
        <v>250</v>
      </c>
      <c r="BN18" t="s">
        <v>29</v>
      </c>
      <c r="BO18" s="4" t="s">
        <v>22</v>
      </c>
      <c r="BP18" s="9">
        <v>44444</v>
      </c>
      <c r="HL18" t="s">
        <v>233</v>
      </c>
      <c r="HM18" t="s">
        <v>232</v>
      </c>
      <c r="HR18" t="s">
        <v>231</v>
      </c>
      <c r="HT18" s="4" t="s">
        <v>736</v>
      </c>
      <c r="HU18" t="s">
        <v>29</v>
      </c>
      <c r="HV18" t="s">
        <v>29</v>
      </c>
      <c r="IG18" t="s">
        <v>251</v>
      </c>
      <c r="IH18" s="12" t="s">
        <v>229</v>
      </c>
      <c r="II18" s="45" t="s">
        <v>660</v>
      </c>
      <c r="IJ18" s="45" t="s">
        <v>661</v>
      </c>
      <c r="IK18">
        <v>2012</v>
      </c>
      <c r="IL18" t="s">
        <v>29</v>
      </c>
      <c r="IM18" s="4" t="s">
        <v>18</v>
      </c>
      <c r="JI18" t="s">
        <v>228</v>
      </c>
      <c r="JJ18" s="54" t="s">
        <v>1565</v>
      </c>
      <c r="JK18" s="8" t="s">
        <v>14</v>
      </c>
      <c r="JL18" s="8" t="s">
        <v>730</v>
      </c>
      <c r="JM18" s="4" t="s">
        <v>13</v>
      </c>
      <c r="JN18" t="s">
        <v>731</v>
      </c>
      <c r="JU18" s="4" t="s">
        <v>227</v>
      </c>
      <c r="JV18" s="4" t="s">
        <v>226</v>
      </c>
      <c r="JW18" s="4" t="s">
        <v>13</v>
      </c>
      <c r="JX18" s="4">
        <v>5000</v>
      </c>
      <c r="JY18" s="4" t="s">
        <v>225</v>
      </c>
      <c r="JZ18" s="4">
        <v>0.74</v>
      </c>
      <c r="KA18">
        <v>0.12</v>
      </c>
      <c r="KB18">
        <v>0.69</v>
      </c>
      <c r="KC18" s="4" t="s">
        <v>224</v>
      </c>
      <c r="KD18" t="s">
        <v>223</v>
      </c>
      <c r="KE18" s="13" t="s">
        <v>12</v>
      </c>
      <c r="KF18" s="13" t="s">
        <v>29</v>
      </c>
      <c r="KG18" t="s">
        <v>29</v>
      </c>
      <c r="KH18" t="s">
        <v>223</v>
      </c>
      <c r="KI18" t="s">
        <v>222</v>
      </c>
      <c r="KJ18" t="s">
        <v>221</v>
      </c>
      <c r="KK18" s="4" t="s">
        <v>220</v>
      </c>
      <c r="KL18">
        <v>2.5</v>
      </c>
      <c r="KM18" s="7"/>
      <c r="KN18" s="7"/>
      <c r="KO18" s="7"/>
      <c r="KP18" s="13"/>
      <c r="KQ18" s="7" t="s">
        <v>219</v>
      </c>
      <c r="KR18" s="7" t="s">
        <v>218</v>
      </c>
      <c r="KS18" s="7"/>
      <c r="KT18" t="s">
        <v>29</v>
      </c>
      <c r="KU18" t="s">
        <v>217</v>
      </c>
      <c r="KV18" t="s">
        <v>216</v>
      </c>
      <c r="KZ18" s="4"/>
      <c r="LA18" s="4" t="s">
        <v>29</v>
      </c>
      <c r="LB18" s="4" t="s">
        <v>29</v>
      </c>
      <c r="LC18" s="4" t="s">
        <v>29</v>
      </c>
      <c r="LD18" s="4"/>
      <c r="LE18" t="s">
        <v>215</v>
      </c>
      <c r="LF18" s="4" t="s">
        <v>29</v>
      </c>
      <c r="LG18" s="4" t="s">
        <v>29</v>
      </c>
      <c r="LH18" s="4" t="s">
        <v>13</v>
      </c>
      <c r="LI18">
        <v>2500</v>
      </c>
      <c r="MU18" t="s">
        <v>272</v>
      </c>
      <c r="MW18" s="4" t="s">
        <v>10</v>
      </c>
      <c r="MX18" s="4" t="s">
        <v>168</v>
      </c>
      <c r="MY18" t="s">
        <v>249</v>
      </c>
      <c r="NA18" t="s">
        <v>269</v>
      </c>
      <c r="ND18" t="s">
        <v>744</v>
      </c>
      <c r="NE18" t="s">
        <v>268</v>
      </c>
      <c r="NF18" t="s">
        <v>267</v>
      </c>
      <c r="NG18" s="4" t="s">
        <v>266</v>
      </c>
      <c r="NH18" s="6" t="s">
        <v>265</v>
      </c>
      <c r="NQ18" t="s">
        <v>6</v>
      </c>
      <c r="NR18" t="s">
        <v>288</v>
      </c>
      <c r="NS18" s="4" t="s">
        <v>4</v>
      </c>
      <c r="NT18" t="s">
        <v>280</v>
      </c>
      <c r="NW18">
        <v>8</v>
      </c>
      <c r="OH18" t="s">
        <v>262</v>
      </c>
      <c r="OI18" t="s">
        <v>6</v>
      </c>
      <c r="OK18">
        <v>2014</v>
      </c>
      <c r="OL18">
        <v>2015</v>
      </c>
      <c r="OO18" s="3" t="s">
        <v>1178</v>
      </c>
      <c r="OP18" s="83">
        <v>46094</v>
      </c>
      <c r="OQ18" s="83"/>
    </row>
    <row r="19" spans="1:407" ht="15.75" thickBot="1">
      <c r="A19" t="s">
        <v>248</v>
      </c>
      <c r="B19" t="s">
        <v>247</v>
      </c>
      <c r="C19" t="s">
        <v>246</v>
      </c>
      <c r="D19" s="4" t="s">
        <v>245</v>
      </c>
      <c r="E19" t="s">
        <v>244</v>
      </c>
      <c r="F19" s="4" t="s">
        <v>243</v>
      </c>
      <c r="G19" t="s">
        <v>2</v>
      </c>
      <c r="H19" t="s">
        <v>30</v>
      </c>
      <c r="I19" t="s">
        <v>242</v>
      </c>
      <c r="J19" t="s">
        <v>241</v>
      </c>
      <c r="K19" t="s">
        <v>29</v>
      </c>
      <c r="AV19" t="s">
        <v>240</v>
      </c>
      <c r="AW19">
        <v>200</v>
      </c>
      <c r="AX19" t="s">
        <v>29</v>
      </c>
      <c r="AY19">
        <v>1</v>
      </c>
      <c r="AZ19" t="s">
        <v>279</v>
      </c>
      <c r="BA19">
        <v>2014</v>
      </c>
      <c r="BB19">
        <v>2015</v>
      </c>
      <c r="BC19" t="s">
        <v>29</v>
      </c>
      <c r="BD19" t="s">
        <v>238</v>
      </c>
      <c r="BE19" t="s">
        <v>237</v>
      </c>
      <c r="BF19" t="s">
        <v>236</v>
      </c>
      <c r="BG19" s="3" t="s">
        <v>1243</v>
      </c>
      <c r="BH19" t="s">
        <v>23</v>
      </c>
      <c r="BI19" t="s">
        <v>29</v>
      </c>
      <c r="BJ19" s="4" t="s">
        <v>22</v>
      </c>
      <c r="BK19" s="9">
        <v>44000</v>
      </c>
      <c r="BL19" t="s">
        <v>56</v>
      </c>
      <c r="BM19" t="s">
        <v>235</v>
      </c>
      <c r="BN19" t="s">
        <v>29</v>
      </c>
      <c r="BO19" s="4" t="s">
        <v>22</v>
      </c>
      <c r="BP19" s="9">
        <v>44444</v>
      </c>
      <c r="HL19" t="s">
        <v>233</v>
      </c>
      <c r="HM19" t="s">
        <v>232</v>
      </c>
      <c r="HR19" t="s">
        <v>231</v>
      </c>
      <c r="HT19" s="4" t="s">
        <v>736</v>
      </c>
      <c r="HU19" t="s">
        <v>29</v>
      </c>
      <c r="HV19" t="s">
        <v>29</v>
      </c>
      <c r="IG19" t="s">
        <v>230</v>
      </c>
      <c r="IH19" s="12" t="s">
        <v>229</v>
      </c>
      <c r="II19" s="45" t="s">
        <v>660</v>
      </c>
      <c r="IJ19" s="45" t="s">
        <v>661</v>
      </c>
      <c r="IK19">
        <v>2012</v>
      </c>
      <c r="IL19" t="s">
        <v>29</v>
      </c>
      <c r="IM19" s="4" t="s">
        <v>18</v>
      </c>
      <c r="JI19" t="s">
        <v>228</v>
      </c>
      <c r="JJ19" s="54" t="s">
        <v>1565</v>
      </c>
      <c r="JK19" s="8" t="s">
        <v>14</v>
      </c>
      <c r="JL19" s="8" t="s">
        <v>730</v>
      </c>
      <c r="JM19" s="4" t="s">
        <v>13</v>
      </c>
      <c r="JN19" t="s">
        <v>731</v>
      </c>
      <c r="JU19" s="4" t="s">
        <v>227</v>
      </c>
      <c r="JV19" s="4" t="s">
        <v>226</v>
      </c>
      <c r="JW19" s="4" t="s">
        <v>13</v>
      </c>
      <c r="JX19" s="4">
        <v>5000</v>
      </c>
      <c r="JY19" s="4" t="s">
        <v>225</v>
      </c>
      <c r="JZ19" s="4">
        <v>0.74</v>
      </c>
      <c r="KA19">
        <v>0.12</v>
      </c>
      <c r="KB19">
        <v>0.69</v>
      </c>
      <c r="KC19" s="4" t="s">
        <v>224</v>
      </c>
      <c r="KD19" t="s">
        <v>223</v>
      </c>
      <c r="KE19" s="13" t="s">
        <v>12</v>
      </c>
      <c r="KF19" s="13" t="s">
        <v>29</v>
      </c>
      <c r="KG19" t="s">
        <v>29</v>
      </c>
      <c r="KH19" t="s">
        <v>223</v>
      </c>
      <c r="KI19" t="s">
        <v>222</v>
      </c>
      <c r="KJ19" t="s">
        <v>221</v>
      </c>
      <c r="KK19" s="4" t="s">
        <v>220</v>
      </c>
      <c r="KL19">
        <v>2.5</v>
      </c>
      <c r="KM19" s="7"/>
      <c r="KN19" s="7"/>
      <c r="KO19" s="7"/>
      <c r="KP19" s="13"/>
      <c r="KQ19" s="7" t="s">
        <v>219</v>
      </c>
      <c r="KR19" s="7" t="s">
        <v>218</v>
      </c>
      <c r="KS19" s="7"/>
      <c r="KT19" t="s">
        <v>29</v>
      </c>
      <c r="KU19" t="s">
        <v>217</v>
      </c>
      <c r="KV19" t="s">
        <v>216</v>
      </c>
      <c r="KZ19" s="4"/>
      <c r="LA19" s="4" t="s">
        <v>29</v>
      </c>
      <c r="LB19" s="4" t="s">
        <v>29</v>
      </c>
      <c r="LC19" s="4" t="s">
        <v>29</v>
      </c>
      <c r="LD19" s="4"/>
      <c r="LE19" t="s">
        <v>215</v>
      </c>
      <c r="LF19" s="4" t="s">
        <v>29</v>
      </c>
      <c r="LG19" s="4" t="s">
        <v>29</v>
      </c>
      <c r="LH19" s="4" t="s">
        <v>13</v>
      </c>
      <c r="LI19">
        <v>2500</v>
      </c>
      <c r="MU19" t="s">
        <v>272</v>
      </c>
      <c r="MW19" s="4" t="s">
        <v>10</v>
      </c>
      <c r="MX19" s="4" t="s">
        <v>168</v>
      </c>
      <c r="MY19" t="s">
        <v>213</v>
      </c>
      <c r="NA19" t="s">
        <v>269</v>
      </c>
      <c r="ND19" t="s">
        <v>744</v>
      </c>
      <c r="NE19" t="s">
        <v>268</v>
      </c>
      <c r="NF19" t="s">
        <v>267</v>
      </c>
      <c r="NG19" s="4" t="s">
        <v>266</v>
      </c>
      <c r="NH19" s="6" t="s">
        <v>265</v>
      </c>
      <c r="NQ19" t="s">
        <v>6</v>
      </c>
      <c r="NR19" t="s">
        <v>287</v>
      </c>
      <c r="NS19" s="4" t="s">
        <v>4</v>
      </c>
      <c r="NT19" t="s">
        <v>286</v>
      </c>
      <c r="NW19">
        <v>8</v>
      </c>
      <c r="OH19" t="s">
        <v>262</v>
      </c>
      <c r="OI19" t="s">
        <v>6</v>
      </c>
      <c r="OK19">
        <v>2014</v>
      </c>
      <c r="OL19">
        <v>2015</v>
      </c>
      <c r="OO19" s="3" t="s">
        <v>1178</v>
      </c>
      <c r="OP19" s="83">
        <v>46094</v>
      </c>
      <c r="OQ19" s="83"/>
    </row>
    <row r="20" spans="1:407" ht="15.75" thickBot="1">
      <c r="A20" t="s">
        <v>248</v>
      </c>
      <c r="B20" t="s">
        <v>247</v>
      </c>
      <c r="C20" t="s">
        <v>246</v>
      </c>
      <c r="D20" s="4" t="s">
        <v>245</v>
      </c>
      <c r="E20" t="s">
        <v>244</v>
      </c>
      <c r="F20" s="4" t="s">
        <v>243</v>
      </c>
      <c r="G20" t="s">
        <v>2</v>
      </c>
      <c r="H20" t="s">
        <v>30</v>
      </c>
      <c r="I20" t="s">
        <v>242</v>
      </c>
      <c r="J20" t="s">
        <v>241</v>
      </c>
      <c r="K20" t="s">
        <v>29</v>
      </c>
      <c r="AV20" t="s">
        <v>240</v>
      </c>
      <c r="AW20">
        <v>200</v>
      </c>
      <c r="AX20" t="s">
        <v>29</v>
      </c>
      <c r="AY20">
        <v>1</v>
      </c>
      <c r="AZ20" t="s">
        <v>279</v>
      </c>
      <c r="BA20">
        <v>2014</v>
      </c>
      <c r="BB20">
        <v>2015</v>
      </c>
      <c r="BC20" t="s">
        <v>29</v>
      </c>
      <c r="BD20" t="s">
        <v>274</v>
      </c>
      <c r="BE20" t="s">
        <v>285</v>
      </c>
      <c r="BF20" t="s">
        <v>284</v>
      </c>
      <c r="BG20" s="3" t="s">
        <v>1243</v>
      </c>
      <c r="BH20" t="s">
        <v>23</v>
      </c>
      <c r="BI20" t="s">
        <v>29</v>
      </c>
      <c r="BJ20" s="4" t="s">
        <v>22</v>
      </c>
      <c r="BK20" s="9">
        <v>44000</v>
      </c>
      <c r="BL20" t="s">
        <v>275</v>
      </c>
      <c r="BM20" t="s">
        <v>271</v>
      </c>
      <c r="BN20" t="s">
        <v>29</v>
      </c>
      <c r="BO20" s="4" t="s">
        <v>22</v>
      </c>
      <c r="BP20" s="9">
        <v>444444</v>
      </c>
      <c r="BQ20" t="s">
        <v>275</v>
      </c>
      <c r="BR20" t="s">
        <v>276</v>
      </c>
      <c r="BS20" t="s">
        <v>29</v>
      </c>
      <c r="BT20" s="4" t="s">
        <v>22</v>
      </c>
      <c r="BU20" s="9">
        <v>148000</v>
      </c>
      <c r="HL20" t="s">
        <v>233</v>
      </c>
      <c r="HM20" t="s">
        <v>232</v>
      </c>
      <c r="HR20" t="s">
        <v>231</v>
      </c>
      <c r="HT20" s="4" t="s">
        <v>20</v>
      </c>
      <c r="HU20" t="s">
        <v>29</v>
      </c>
      <c r="HV20" t="s">
        <v>29</v>
      </c>
      <c r="IN20" t="s">
        <v>274</v>
      </c>
      <c r="IO20" t="s">
        <v>283</v>
      </c>
      <c r="IR20" t="s">
        <v>29</v>
      </c>
      <c r="IS20" t="s">
        <v>29</v>
      </c>
      <c r="IT20" s="4" t="s">
        <v>18</v>
      </c>
      <c r="JI20" t="s">
        <v>282</v>
      </c>
      <c r="JJ20" s="54" t="s">
        <v>1565</v>
      </c>
      <c r="JK20" s="8" t="s">
        <v>14</v>
      </c>
      <c r="JL20" s="8" t="s">
        <v>738</v>
      </c>
      <c r="JM20" s="4" t="s">
        <v>13</v>
      </c>
      <c r="JN20" t="s">
        <v>739</v>
      </c>
      <c r="JU20" s="4" t="s">
        <v>227</v>
      </c>
      <c r="JV20" s="4" t="s">
        <v>226</v>
      </c>
      <c r="JW20" s="4" t="s">
        <v>13</v>
      </c>
      <c r="JX20" s="4">
        <v>5000</v>
      </c>
      <c r="JY20" s="4" t="s">
        <v>225</v>
      </c>
      <c r="JZ20" s="4">
        <v>0.74</v>
      </c>
      <c r="KA20">
        <v>0.12</v>
      </c>
      <c r="KB20">
        <v>0.69</v>
      </c>
      <c r="KC20" s="4" t="s">
        <v>224</v>
      </c>
      <c r="KD20" t="s">
        <v>223</v>
      </c>
      <c r="KE20" s="13" t="s">
        <v>12</v>
      </c>
      <c r="KF20" s="13" t="s">
        <v>29</v>
      </c>
      <c r="KG20" t="s">
        <v>29</v>
      </c>
      <c r="KH20" t="s">
        <v>223</v>
      </c>
      <c r="KI20" t="s">
        <v>222</v>
      </c>
      <c r="KJ20" t="s">
        <v>221</v>
      </c>
      <c r="KK20" s="4" t="s">
        <v>220</v>
      </c>
      <c r="KL20">
        <v>2.5</v>
      </c>
      <c r="KM20" s="7"/>
      <c r="KN20" s="7" t="s">
        <v>51</v>
      </c>
      <c r="KO20" s="7"/>
      <c r="KP20" s="7" t="s">
        <v>29</v>
      </c>
      <c r="KQ20" s="7" t="s">
        <v>722</v>
      </c>
      <c r="KR20" s="7"/>
      <c r="KS20" s="7"/>
      <c r="KT20" s="13"/>
      <c r="KU20" t="s">
        <v>217</v>
      </c>
      <c r="KV20" t="s">
        <v>216</v>
      </c>
      <c r="KZ20" s="4"/>
      <c r="LA20" s="4" t="s">
        <v>29</v>
      </c>
      <c r="LB20" s="4" t="s">
        <v>29</v>
      </c>
      <c r="LC20" s="4" t="s">
        <v>29</v>
      </c>
      <c r="LD20" s="4"/>
      <c r="LE20" t="s">
        <v>215</v>
      </c>
      <c r="LF20" s="4" t="s">
        <v>29</v>
      </c>
      <c r="LG20" s="4" t="s">
        <v>29</v>
      </c>
      <c r="LH20" s="4" t="s">
        <v>13</v>
      </c>
      <c r="LI20">
        <v>2500</v>
      </c>
      <c r="MU20" t="s">
        <v>272</v>
      </c>
      <c r="MW20" s="4" t="s">
        <v>10</v>
      </c>
      <c r="MX20" s="4" t="s">
        <v>168</v>
      </c>
      <c r="MY20" t="s">
        <v>270</v>
      </c>
      <c r="NA20" t="s">
        <v>269</v>
      </c>
      <c r="ND20" t="s">
        <v>742</v>
      </c>
      <c r="NE20" t="s">
        <v>268</v>
      </c>
      <c r="NF20" t="s">
        <v>267</v>
      </c>
      <c r="NG20" s="4" t="s">
        <v>266</v>
      </c>
      <c r="NH20" s="6" t="s">
        <v>265</v>
      </c>
      <c r="NQ20" t="s">
        <v>6</v>
      </c>
      <c r="NR20" t="s">
        <v>281</v>
      </c>
      <c r="NS20" s="4" t="s">
        <v>4</v>
      </c>
      <c r="NT20" t="s">
        <v>280</v>
      </c>
      <c r="NW20">
        <v>8</v>
      </c>
      <c r="OH20" t="s">
        <v>262</v>
      </c>
      <c r="OI20" t="s">
        <v>6</v>
      </c>
      <c r="OK20">
        <v>2014</v>
      </c>
      <c r="OL20">
        <v>2015</v>
      </c>
      <c r="OO20" s="3" t="s">
        <v>1178</v>
      </c>
      <c r="OP20" s="83">
        <v>46094</v>
      </c>
      <c r="OQ20" s="83"/>
    </row>
    <row r="21" spans="1:407" ht="15.75" thickBot="1">
      <c r="A21" t="s">
        <v>248</v>
      </c>
      <c r="B21" t="s">
        <v>247</v>
      </c>
      <c r="C21" t="s">
        <v>246</v>
      </c>
      <c r="D21" s="4" t="s">
        <v>245</v>
      </c>
      <c r="E21" t="s">
        <v>244</v>
      </c>
      <c r="F21" s="4" t="s">
        <v>243</v>
      </c>
      <c r="G21" t="s">
        <v>2</v>
      </c>
      <c r="H21" t="s">
        <v>30</v>
      </c>
      <c r="I21" t="s">
        <v>242</v>
      </c>
      <c r="J21" t="s">
        <v>241</v>
      </c>
      <c r="K21" t="s">
        <v>29</v>
      </c>
      <c r="AV21" t="s">
        <v>240</v>
      </c>
      <c r="AW21">
        <v>200</v>
      </c>
      <c r="AX21" t="s">
        <v>29</v>
      </c>
      <c r="AY21">
        <v>1</v>
      </c>
      <c r="AZ21" t="s">
        <v>279</v>
      </c>
      <c r="BA21">
        <v>2014</v>
      </c>
      <c r="BB21">
        <v>2015</v>
      </c>
      <c r="BC21" t="s">
        <v>29</v>
      </c>
      <c r="BD21" t="s">
        <v>274</v>
      </c>
      <c r="BE21" t="s">
        <v>278</v>
      </c>
      <c r="BF21" t="s">
        <v>277</v>
      </c>
      <c r="BG21" s="3" t="s">
        <v>1243</v>
      </c>
      <c r="BH21" t="s">
        <v>271</v>
      </c>
      <c r="BI21" t="s">
        <v>29</v>
      </c>
      <c r="BJ21" s="4" t="s">
        <v>22</v>
      </c>
      <c r="BK21" s="9">
        <v>44444</v>
      </c>
      <c r="BL21" t="s">
        <v>275</v>
      </c>
      <c r="BM21" t="s">
        <v>276</v>
      </c>
      <c r="BN21" t="s">
        <v>29</v>
      </c>
      <c r="BO21" s="4" t="s">
        <v>22</v>
      </c>
      <c r="BP21" s="9">
        <v>148000</v>
      </c>
      <c r="BQ21" t="s">
        <v>275</v>
      </c>
      <c r="BR21" t="s">
        <v>23</v>
      </c>
      <c r="BS21" t="s">
        <v>29</v>
      </c>
      <c r="BT21" s="4" t="s">
        <v>22</v>
      </c>
      <c r="BU21">
        <v>44000</v>
      </c>
      <c r="HL21" t="s">
        <v>233</v>
      </c>
      <c r="HM21" t="s">
        <v>232</v>
      </c>
      <c r="HR21" t="s">
        <v>231</v>
      </c>
      <c r="HT21" s="4" t="s">
        <v>20</v>
      </c>
      <c r="HU21" t="s">
        <v>29</v>
      </c>
      <c r="HV21" t="s">
        <v>29</v>
      </c>
      <c r="IN21" t="s">
        <v>274</v>
      </c>
      <c r="IO21" t="s">
        <v>273</v>
      </c>
      <c r="IR21" t="s">
        <v>29</v>
      </c>
      <c r="IS21" t="s">
        <v>29</v>
      </c>
      <c r="IT21" s="4" t="s">
        <v>18</v>
      </c>
      <c r="JI21" t="s">
        <v>228</v>
      </c>
      <c r="JJ21" s="54" t="s">
        <v>1565</v>
      </c>
      <c r="JK21" s="8" t="s">
        <v>14</v>
      </c>
      <c r="JL21" s="8" t="s">
        <v>738</v>
      </c>
      <c r="JM21" s="4" t="s">
        <v>13</v>
      </c>
      <c r="JN21" t="s">
        <v>739</v>
      </c>
      <c r="JU21" s="4" t="s">
        <v>227</v>
      </c>
      <c r="JV21" s="4" t="s">
        <v>226</v>
      </c>
      <c r="JW21" s="4" t="s">
        <v>13</v>
      </c>
      <c r="JX21" s="4">
        <v>5000</v>
      </c>
      <c r="JY21" s="4" t="s">
        <v>225</v>
      </c>
      <c r="JZ21" s="4">
        <v>0.74</v>
      </c>
      <c r="KA21">
        <v>0.12</v>
      </c>
      <c r="KB21">
        <v>0.69</v>
      </c>
      <c r="KC21" s="4" t="s">
        <v>224</v>
      </c>
      <c r="KD21" t="s">
        <v>223</v>
      </c>
      <c r="KE21" s="13" t="s">
        <v>12</v>
      </c>
      <c r="KF21" s="13" t="s">
        <v>29</v>
      </c>
      <c r="KG21" t="s">
        <v>29</v>
      </c>
      <c r="KH21" t="s">
        <v>223</v>
      </c>
      <c r="KI21" t="s">
        <v>222</v>
      </c>
      <c r="KJ21" t="s">
        <v>221</v>
      </c>
      <c r="KK21" s="4" t="s">
        <v>220</v>
      </c>
      <c r="KL21">
        <v>2.5</v>
      </c>
      <c r="KM21" s="7"/>
      <c r="KN21" s="7" t="s">
        <v>51</v>
      </c>
      <c r="KO21" s="7"/>
      <c r="KP21" s="7" t="s">
        <v>29</v>
      </c>
      <c r="KQ21" s="7" t="s">
        <v>722</v>
      </c>
      <c r="KR21" s="7"/>
      <c r="KS21" s="7"/>
      <c r="KT21" s="13"/>
      <c r="KU21" t="s">
        <v>217</v>
      </c>
      <c r="KV21" t="s">
        <v>216</v>
      </c>
      <c r="KZ21" s="4"/>
      <c r="LA21" s="4" t="s">
        <v>29</v>
      </c>
      <c r="LB21" s="4" t="s">
        <v>29</v>
      </c>
      <c r="LC21" s="4" t="s">
        <v>29</v>
      </c>
      <c r="LD21" s="4"/>
      <c r="LE21" t="s">
        <v>215</v>
      </c>
      <c r="LF21" s="4" t="s">
        <v>29</v>
      </c>
      <c r="LG21" s="4" t="s">
        <v>29</v>
      </c>
      <c r="LH21" s="4" t="s">
        <v>13</v>
      </c>
      <c r="LI21">
        <v>2500</v>
      </c>
      <c r="MU21" t="s">
        <v>272</v>
      </c>
      <c r="MW21" s="4" t="s">
        <v>10</v>
      </c>
      <c r="MX21" s="4" t="s">
        <v>168</v>
      </c>
      <c r="MY21" t="s">
        <v>270</v>
      </c>
      <c r="NA21" t="s">
        <v>269</v>
      </c>
      <c r="ND21" t="s">
        <v>742</v>
      </c>
      <c r="NE21" t="s">
        <v>268</v>
      </c>
      <c r="NF21" t="s">
        <v>267</v>
      </c>
      <c r="NG21" s="4" t="s">
        <v>266</v>
      </c>
      <c r="NH21" s="6" t="s">
        <v>265</v>
      </c>
      <c r="NQ21" t="s">
        <v>6</v>
      </c>
      <c r="NR21" t="s">
        <v>264</v>
      </c>
      <c r="NS21" s="4" t="s">
        <v>4</v>
      </c>
      <c r="NT21" t="s">
        <v>263</v>
      </c>
      <c r="NW21">
        <v>8</v>
      </c>
      <c r="OH21" t="s">
        <v>262</v>
      </c>
      <c r="OI21" t="s">
        <v>6</v>
      </c>
      <c r="OK21">
        <v>2014</v>
      </c>
      <c r="OL21">
        <v>2015</v>
      </c>
      <c r="OO21" s="3" t="s">
        <v>1178</v>
      </c>
      <c r="OP21" s="83">
        <v>46094</v>
      </c>
      <c r="OQ21" s="83"/>
    </row>
    <row r="22" spans="1:407" ht="15.75" thickBot="1">
      <c r="A22" t="s">
        <v>248</v>
      </c>
      <c r="B22" t="s">
        <v>247</v>
      </c>
      <c r="C22" t="s">
        <v>246</v>
      </c>
      <c r="D22" s="4" t="s">
        <v>245</v>
      </c>
      <c r="E22" t="s">
        <v>244</v>
      </c>
      <c r="F22" s="4" t="s">
        <v>243</v>
      </c>
      <c r="G22" t="s">
        <v>2</v>
      </c>
      <c r="H22" t="s">
        <v>30</v>
      </c>
      <c r="I22" t="s">
        <v>242</v>
      </c>
      <c r="J22" t="s">
        <v>241</v>
      </c>
      <c r="K22" t="s">
        <v>29</v>
      </c>
      <c r="AV22" t="s">
        <v>240</v>
      </c>
      <c r="AW22">
        <v>200</v>
      </c>
      <c r="AX22" t="s">
        <v>29</v>
      </c>
      <c r="AY22">
        <v>1</v>
      </c>
      <c r="AZ22" t="s">
        <v>279</v>
      </c>
      <c r="BA22">
        <v>2014</v>
      </c>
      <c r="BB22">
        <v>2015</v>
      </c>
      <c r="BC22" t="s">
        <v>29</v>
      </c>
      <c r="BD22" t="s">
        <v>19</v>
      </c>
      <c r="BE22" t="s">
        <v>1501</v>
      </c>
      <c r="BF22" t="s">
        <v>1467</v>
      </c>
      <c r="BG22" s="3" t="s">
        <v>1243</v>
      </c>
      <c r="BH22" t="s">
        <v>23</v>
      </c>
      <c r="BI22" t="s">
        <v>29</v>
      </c>
      <c r="BJ22" s="4" t="s">
        <v>22</v>
      </c>
      <c r="BK22" s="9">
        <v>44000</v>
      </c>
      <c r="HL22" t="s">
        <v>298</v>
      </c>
      <c r="HM22" t="s">
        <v>297</v>
      </c>
      <c r="HN22" t="s">
        <v>296</v>
      </c>
      <c r="HP22" t="s">
        <v>29</v>
      </c>
      <c r="HQ22">
        <v>1</v>
      </c>
      <c r="HR22" t="s">
        <v>231</v>
      </c>
      <c r="HT22" s="4" t="s">
        <v>20</v>
      </c>
      <c r="HU22" t="s">
        <v>29</v>
      </c>
      <c r="HV22" t="s">
        <v>29</v>
      </c>
      <c r="IG22" t="s">
        <v>255</v>
      </c>
      <c r="IH22" s="54" t="s">
        <v>19</v>
      </c>
      <c r="II22" s="46"/>
      <c r="IJ22" s="46"/>
      <c r="IN22" t="s">
        <v>255</v>
      </c>
      <c r="IO22" s="54" t="s">
        <v>19</v>
      </c>
      <c r="JI22" t="s">
        <v>228</v>
      </c>
      <c r="JJ22" s="54" t="s">
        <v>1565</v>
      </c>
      <c r="JK22" s="8" t="s">
        <v>14</v>
      </c>
      <c r="JL22" s="8" t="s">
        <v>730</v>
      </c>
      <c r="JM22" s="4" t="s">
        <v>13</v>
      </c>
      <c r="JN22" t="s">
        <v>731</v>
      </c>
      <c r="JU22" s="4" t="s">
        <v>227</v>
      </c>
      <c r="JV22" s="4" t="s">
        <v>226</v>
      </c>
      <c r="JW22" s="4" t="s">
        <v>13</v>
      </c>
      <c r="JX22" s="4">
        <v>5000</v>
      </c>
      <c r="JY22" s="4" t="s">
        <v>225</v>
      </c>
      <c r="JZ22" s="4">
        <v>0.74</v>
      </c>
      <c r="KA22">
        <v>0.12</v>
      </c>
      <c r="KB22">
        <v>0.69</v>
      </c>
      <c r="KC22" s="4" t="s">
        <v>224</v>
      </c>
      <c r="KD22" s="4" t="s">
        <v>295</v>
      </c>
      <c r="KE22" s="13" t="s">
        <v>12</v>
      </c>
      <c r="KF22" s="13" t="s">
        <v>29</v>
      </c>
      <c r="KG22" t="s">
        <v>29</v>
      </c>
      <c r="KH22" t="s">
        <v>294</v>
      </c>
      <c r="KI22" s="13" t="s">
        <v>12</v>
      </c>
      <c r="KK22" s="4"/>
      <c r="KM22" s="7"/>
      <c r="KN22" s="7"/>
      <c r="KO22" s="7"/>
      <c r="KP22" s="13"/>
      <c r="KQ22" s="7" t="s">
        <v>722</v>
      </c>
      <c r="KR22" s="7"/>
      <c r="KS22" s="7"/>
      <c r="KT22" s="13"/>
      <c r="KV22" s="13" t="s">
        <v>1124</v>
      </c>
      <c r="KZ22" s="4"/>
      <c r="LA22" s="13"/>
      <c r="LB22" s="13"/>
      <c r="LC22" s="13"/>
      <c r="LD22" s="4"/>
      <c r="LE22" s="4"/>
      <c r="LF22" s="4"/>
      <c r="LG22" s="4"/>
      <c r="LH22" s="4"/>
      <c r="MW22" s="4"/>
      <c r="MX22" s="4"/>
      <c r="ND22" t="s">
        <v>1516</v>
      </c>
      <c r="NE22" t="s">
        <v>1515</v>
      </c>
      <c r="NF22" t="s">
        <v>1513</v>
      </c>
      <c r="NG22" s="4" t="s">
        <v>671</v>
      </c>
      <c r="NH22" s="6" t="s">
        <v>1514</v>
      </c>
      <c r="NP22" t="s">
        <v>1524</v>
      </c>
      <c r="NQ22" t="s">
        <v>6</v>
      </c>
      <c r="NR22">
        <v>109.95</v>
      </c>
      <c r="NS22" t="s">
        <v>29</v>
      </c>
      <c r="NT22" t="s">
        <v>29</v>
      </c>
      <c r="NW22">
        <v>8</v>
      </c>
      <c r="OH22" t="s">
        <v>312</v>
      </c>
      <c r="OI22" t="s">
        <v>6</v>
      </c>
      <c r="OK22">
        <v>2012</v>
      </c>
      <c r="OL22">
        <v>2015</v>
      </c>
      <c r="OO22" s="3" t="s">
        <v>1178</v>
      </c>
      <c r="OP22" s="83">
        <v>46105</v>
      </c>
      <c r="OQ22" s="83"/>
    </row>
    <row r="23" spans="1:407" ht="15.75" thickBot="1">
      <c r="A23" t="s">
        <v>248</v>
      </c>
      <c r="B23" t="s">
        <v>247</v>
      </c>
      <c r="C23" t="s">
        <v>246</v>
      </c>
      <c r="D23" s="4" t="s">
        <v>245</v>
      </c>
      <c r="E23" t="s">
        <v>244</v>
      </c>
      <c r="F23" s="4" t="s">
        <v>243</v>
      </c>
      <c r="G23" t="s">
        <v>2</v>
      </c>
      <c r="H23" t="s">
        <v>30</v>
      </c>
      <c r="I23" t="s">
        <v>242</v>
      </c>
      <c r="J23" t="s">
        <v>241</v>
      </c>
      <c r="K23" t="s">
        <v>29</v>
      </c>
      <c r="AV23" t="s">
        <v>240</v>
      </c>
      <c r="AW23">
        <v>200</v>
      </c>
      <c r="AX23" t="s">
        <v>29</v>
      </c>
      <c r="AY23">
        <v>1</v>
      </c>
      <c r="AZ23" t="s">
        <v>279</v>
      </c>
      <c r="BA23">
        <v>2014</v>
      </c>
      <c r="BB23">
        <v>2015</v>
      </c>
      <c r="BC23" t="s">
        <v>29</v>
      </c>
      <c r="BD23" t="s">
        <v>19</v>
      </c>
      <c r="BE23" t="s">
        <v>1502</v>
      </c>
      <c r="BF23" t="s">
        <v>1469</v>
      </c>
      <c r="BG23" s="3" t="s">
        <v>1243</v>
      </c>
      <c r="BH23" t="s">
        <v>23</v>
      </c>
      <c r="BI23" t="s">
        <v>29</v>
      </c>
      <c r="BJ23" s="4" t="s">
        <v>22</v>
      </c>
      <c r="BK23" s="9">
        <v>44000</v>
      </c>
      <c r="HL23" t="s">
        <v>233</v>
      </c>
      <c r="HM23" t="s">
        <v>232</v>
      </c>
      <c r="HR23" t="s">
        <v>231</v>
      </c>
      <c r="HT23" s="4" t="s">
        <v>20</v>
      </c>
      <c r="HU23" t="s">
        <v>29</v>
      </c>
      <c r="HV23" t="s">
        <v>29</v>
      </c>
      <c r="IG23" t="s">
        <v>255</v>
      </c>
      <c r="IH23" s="54" t="s">
        <v>19</v>
      </c>
      <c r="II23" s="46"/>
      <c r="IJ23" s="46"/>
      <c r="IN23" s="15" t="s">
        <v>255</v>
      </c>
      <c r="IO23" s="54" t="s">
        <v>19</v>
      </c>
      <c r="JI23" t="s">
        <v>1521</v>
      </c>
      <c r="JJ23" s="54" t="s">
        <v>1565</v>
      </c>
      <c r="JK23" s="8" t="s">
        <v>14</v>
      </c>
      <c r="JL23" s="8" t="s">
        <v>1520</v>
      </c>
      <c r="JM23" s="4" t="s">
        <v>13</v>
      </c>
      <c r="JN23">
        <v>200</v>
      </c>
      <c r="JU23" s="4" t="s">
        <v>227</v>
      </c>
      <c r="JV23" s="4" t="s">
        <v>226</v>
      </c>
      <c r="JW23" s="4" t="s">
        <v>13</v>
      </c>
      <c r="JX23" s="4">
        <v>5000</v>
      </c>
      <c r="JY23" s="4" t="s">
        <v>225</v>
      </c>
      <c r="JZ23" s="4">
        <v>0.74</v>
      </c>
      <c r="KA23">
        <v>0.12</v>
      </c>
      <c r="KB23">
        <v>0.69</v>
      </c>
      <c r="KC23" s="4" t="s">
        <v>224</v>
      </c>
      <c r="KD23" t="s">
        <v>223</v>
      </c>
      <c r="KE23" s="13" t="s">
        <v>12</v>
      </c>
      <c r="KF23" s="13" t="s">
        <v>29</v>
      </c>
      <c r="KG23" t="s">
        <v>29</v>
      </c>
      <c r="KH23" t="s">
        <v>223</v>
      </c>
      <c r="KI23" t="s">
        <v>222</v>
      </c>
      <c r="KJ23" t="s">
        <v>221</v>
      </c>
      <c r="KK23" s="4" t="s">
        <v>220</v>
      </c>
      <c r="KL23">
        <v>2.5</v>
      </c>
      <c r="KM23" s="7"/>
      <c r="KN23" s="7"/>
      <c r="KO23" s="7"/>
      <c r="KP23" s="13"/>
      <c r="KQ23" s="7" t="s">
        <v>722</v>
      </c>
      <c r="KR23" s="7"/>
      <c r="KS23" s="7"/>
      <c r="KT23" s="13"/>
      <c r="KU23" t="s">
        <v>217</v>
      </c>
      <c r="KV23" t="s">
        <v>216</v>
      </c>
      <c r="KZ23" s="4"/>
      <c r="LA23" s="4" t="s">
        <v>29</v>
      </c>
      <c r="LB23" s="4" t="s">
        <v>29</v>
      </c>
      <c r="LC23" s="4" t="s">
        <v>29</v>
      </c>
      <c r="LD23" s="4"/>
      <c r="LE23" t="s">
        <v>215</v>
      </c>
      <c r="LF23" s="4" t="s">
        <v>29</v>
      </c>
      <c r="LG23" s="4" t="s">
        <v>29</v>
      </c>
      <c r="LH23" s="4" t="s">
        <v>13</v>
      </c>
      <c r="LI23">
        <v>2500</v>
      </c>
      <c r="MW23" s="4"/>
      <c r="MX23" s="4"/>
      <c r="ND23" t="s">
        <v>1517</v>
      </c>
      <c r="NE23" t="s">
        <v>1515</v>
      </c>
      <c r="NF23" t="s">
        <v>1513</v>
      </c>
      <c r="NG23" s="4" t="s">
        <v>671</v>
      </c>
      <c r="NH23" s="6" t="s">
        <v>1514</v>
      </c>
      <c r="NP23" t="s">
        <v>1525</v>
      </c>
      <c r="NQ23" t="s">
        <v>6</v>
      </c>
      <c r="NR23">
        <v>102.9</v>
      </c>
      <c r="NS23" t="s">
        <v>29</v>
      </c>
      <c r="NT23" t="s">
        <v>29</v>
      </c>
      <c r="NW23">
        <v>8</v>
      </c>
      <c r="OH23" t="s">
        <v>312</v>
      </c>
      <c r="OI23" t="s">
        <v>6</v>
      </c>
      <c r="OK23">
        <v>2012</v>
      </c>
      <c r="OL23">
        <v>2015</v>
      </c>
      <c r="OO23" s="3" t="s">
        <v>1178</v>
      </c>
      <c r="OP23" s="83">
        <v>46105</v>
      </c>
      <c r="OQ23" s="83"/>
    </row>
    <row r="24" spans="1:407" ht="15.75" thickBot="1">
      <c r="A24" t="s">
        <v>248</v>
      </c>
      <c r="B24" t="s">
        <v>247</v>
      </c>
      <c r="C24" t="s">
        <v>246</v>
      </c>
      <c r="D24" s="4" t="s">
        <v>245</v>
      </c>
      <c r="E24" t="s">
        <v>244</v>
      </c>
      <c r="F24" s="4" t="s">
        <v>243</v>
      </c>
      <c r="G24" t="s">
        <v>2</v>
      </c>
      <c r="H24" t="s">
        <v>30</v>
      </c>
      <c r="I24" t="s">
        <v>242</v>
      </c>
      <c r="J24" t="s">
        <v>241</v>
      </c>
      <c r="K24" t="s">
        <v>29</v>
      </c>
      <c r="AV24" t="s">
        <v>240</v>
      </c>
      <c r="AW24">
        <v>200</v>
      </c>
      <c r="AX24" t="s">
        <v>29</v>
      </c>
      <c r="AY24">
        <v>1</v>
      </c>
      <c r="AZ24" t="s">
        <v>279</v>
      </c>
      <c r="BA24">
        <v>2014</v>
      </c>
      <c r="BB24">
        <v>2015</v>
      </c>
      <c r="BC24" t="s">
        <v>29</v>
      </c>
      <c r="BD24" t="s">
        <v>238</v>
      </c>
      <c r="BE24" t="s">
        <v>1503</v>
      </c>
      <c r="BF24" t="s">
        <v>1509</v>
      </c>
      <c r="BG24" s="3" t="s">
        <v>1243</v>
      </c>
      <c r="BH24" t="s">
        <v>23</v>
      </c>
      <c r="BI24" t="s">
        <v>29</v>
      </c>
      <c r="BJ24" s="4" t="s">
        <v>22</v>
      </c>
      <c r="BK24" s="9">
        <v>44000</v>
      </c>
      <c r="BL24" t="s">
        <v>56</v>
      </c>
      <c r="BM24" t="s">
        <v>250</v>
      </c>
      <c r="BN24" t="s">
        <v>29</v>
      </c>
      <c r="BO24" s="4" t="s">
        <v>22</v>
      </c>
      <c r="BP24" s="9">
        <v>44444</v>
      </c>
      <c r="HL24" t="s">
        <v>233</v>
      </c>
      <c r="HM24" t="s">
        <v>232</v>
      </c>
      <c r="HR24" t="s">
        <v>231</v>
      </c>
      <c r="HT24" s="4" t="s">
        <v>736</v>
      </c>
      <c r="HU24" t="s">
        <v>29</v>
      </c>
      <c r="HV24" t="s">
        <v>29</v>
      </c>
      <c r="IG24" t="s">
        <v>251</v>
      </c>
      <c r="IH24" s="12" t="s">
        <v>229</v>
      </c>
      <c r="II24" s="45" t="s">
        <v>660</v>
      </c>
      <c r="IJ24" s="45" t="s">
        <v>661</v>
      </c>
      <c r="IK24">
        <v>2012</v>
      </c>
      <c r="IL24" t="s">
        <v>29</v>
      </c>
      <c r="IM24" s="4" t="s">
        <v>18</v>
      </c>
      <c r="JI24" t="s">
        <v>1521</v>
      </c>
      <c r="JJ24" s="54" t="s">
        <v>1565</v>
      </c>
      <c r="JK24" s="8" t="s">
        <v>14</v>
      </c>
      <c r="JL24" s="8" t="s">
        <v>1520</v>
      </c>
      <c r="JM24" s="4" t="s">
        <v>13</v>
      </c>
      <c r="JN24">
        <v>200</v>
      </c>
      <c r="JU24" s="4" t="s">
        <v>227</v>
      </c>
      <c r="JV24" s="4" t="s">
        <v>226</v>
      </c>
      <c r="JW24" s="4" t="s">
        <v>13</v>
      </c>
      <c r="JX24" s="4">
        <v>5000</v>
      </c>
      <c r="JY24" s="4" t="s">
        <v>225</v>
      </c>
      <c r="JZ24" s="4">
        <v>0.74</v>
      </c>
      <c r="KA24">
        <v>0.12</v>
      </c>
      <c r="KB24">
        <v>0.69</v>
      </c>
      <c r="KC24" s="4" t="s">
        <v>224</v>
      </c>
      <c r="KD24" t="s">
        <v>223</v>
      </c>
      <c r="KE24" s="13" t="s">
        <v>12</v>
      </c>
      <c r="KF24" s="13" t="s">
        <v>29</v>
      </c>
      <c r="KG24" t="s">
        <v>29</v>
      </c>
      <c r="KH24" t="s">
        <v>223</v>
      </c>
      <c r="KI24" t="s">
        <v>222</v>
      </c>
      <c r="KJ24" t="s">
        <v>221</v>
      </c>
      <c r="KK24" s="4" t="s">
        <v>220</v>
      </c>
      <c r="KL24">
        <v>2.5</v>
      </c>
      <c r="KM24" s="7"/>
      <c r="KN24" s="7"/>
      <c r="KO24" s="7"/>
      <c r="KP24" s="13"/>
      <c r="KQ24" s="7" t="s">
        <v>219</v>
      </c>
      <c r="KR24" s="7" t="s">
        <v>218</v>
      </c>
      <c r="KS24" s="7"/>
      <c r="KT24" t="s">
        <v>29</v>
      </c>
      <c r="KU24" t="s">
        <v>217</v>
      </c>
      <c r="KV24" t="s">
        <v>216</v>
      </c>
      <c r="KZ24" s="4"/>
      <c r="LA24" s="4" t="s">
        <v>29</v>
      </c>
      <c r="LB24" s="4" t="s">
        <v>29</v>
      </c>
      <c r="LC24" s="4" t="s">
        <v>29</v>
      </c>
      <c r="LD24" s="4"/>
      <c r="LE24" t="s">
        <v>215</v>
      </c>
      <c r="LF24" s="4" t="s">
        <v>29</v>
      </c>
      <c r="LG24" s="4" t="s">
        <v>29</v>
      </c>
      <c r="LH24" s="4" t="s">
        <v>13</v>
      </c>
      <c r="LI24">
        <v>2500</v>
      </c>
      <c r="MW24" s="4"/>
      <c r="MX24" s="4"/>
      <c r="ND24" t="s">
        <v>1518</v>
      </c>
      <c r="NE24" t="s">
        <v>1515</v>
      </c>
      <c r="NF24" t="s">
        <v>1513</v>
      </c>
      <c r="NG24" s="4" t="s">
        <v>671</v>
      </c>
      <c r="NH24" s="6" t="s">
        <v>1514</v>
      </c>
      <c r="NQ24" t="s">
        <v>6</v>
      </c>
      <c r="NR24">
        <v>113.76</v>
      </c>
      <c r="NS24" t="s">
        <v>29</v>
      </c>
      <c r="NT24" t="s">
        <v>29</v>
      </c>
      <c r="NW24">
        <v>8</v>
      </c>
      <c r="OH24" t="s">
        <v>312</v>
      </c>
      <c r="OI24" t="s">
        <v>6</v>
      </c>
      <c r="OK24">
        <v>2012</v>
      </c>
      <c r="OL24">
        <v>2015</v>
      </c>
      <c r="OO24" s="3" t="s">
        <v>1178</v>
      </c>
      <c r="OP24" s="83">
        <v>46105</v>
      </c>
      <c r="OQ24" s="83"/>
    </row>
    <row r="25" spans="1:407" ht="15.75" thickBot="1">
      <c r="A25" t="s">
        <v>248</v>
      </c>
      <c r="B25" t="s">
        <v>247</v>
      </c>
      <c r="C25" t="s">
        <v>246</v>
      </c>
      <c r="D25" s="4" t="s">
        <v>245</v>
      </c>
      <c r="E25" t="s">
        <v>244</v>
      </c>
      <c r="F25" s="4" t="s">
        <v>243</v>
      </c>
      <c r="G25" t="s">
        <v>2</v>
      </c>
      <c r="H25" t="s">
        <v>30</v>
      </c>
      <c r="I25" t="s">
        <v>242</v>
      </c>
      <c r="J25" t="s">
        <v>241</v>
      </c>
      <c r="K25" t="s">
        <v>29</v>
      </c>
      <c r="AV25" t="s">
        <v>240</v>
      </c>
      <c r="AW25">
        <v>200</v>
      </c>
      <c r="AX25" t="s">
        <v>29</v>
      </c>
      <c r="AY25">
        <v>1</v>
      </c>
      <c r="AZ25" t="s">
        <v>279</v>
      </c>
      <c r="BA25">
        <v>2014</v>
      </c>
      <c r="BB25">
        <v>2015</v>
      </c>
      <c r="BC25" t="s">
        <v>29</v>
      </c>
      <c r="BD25" t="s">
        <v>238</v>
      </c>
      <c r="BE25" t="s">
        <v>1504</v>
      </c>
      <c r="BF25" t="s">
        <v>1510</v>
      </c>
      <c r="BG25" s="3" t="s">
        <v>1243</v>
      </c>
      <c r="BH25" t="s">
        <v>23</v>
      </c>
      <c r="BI25" t="s">
        <v>29</v>
      </c>
      <c r="BJ25" s="4" t="s">
        <v>22</v>
      </c>
      <c r="BK25" s="9">
        <v>44000</v>
      </c>
      <c r="BL25" t="s">
        <v>56</v>
      </c>
      <c r="BM25" t="s">
        <v>235</v>
      </c>
      <c r="BN25" t="s">
        <v>29</v>
      </c>
      <c r="BO25" s="4" t="s">
        <v>22</v>
      </c>
      <c r="BP25" s="9">
        <v>44444</v>
      </c>
      <c r="HL25" t="s">
        <v>233</v>
      </c>
      <c r="HM25" t="s">
        <v>232</v>
      </c>
      <c r="HR25" t="s">
        <v>231</v>
      </c>
      <c r="HT25" s="4" t="s">
        <v>736</v>
      </c>
      <c r="HU25" t="s">
        <v>29</v>
      </c>
      <c r="HV25" t="s">
        <v>29</v>
      </c>
      <c r="IG25" t="s">
        <v>230</v>
      </c>
      <c r="IH25" s="12" t="s">
        <v>229</v>
      </c>
      <c r="II25" s="45" t="s">
        <v>660</v>
      </c>
      <c r="IJ25" s="45" t="s">
        <v>661</v>
      </c>
      <c r="IK25">
        <v>2012</v>
      </c>
      <c r="IL25" t="s">
        <v>29</v>
      </c>
      <c r="IM25" s="4" t="s">
        <v>18</v>
      </c>
      <c r="JI25" t="s">
        <v>1521</v>
      </c>
      <c r="JJ25" s="54" t="s">
        <v>1565</v>
      </c>
      <c r="JK25" s="8" t="s">
        <v>14</v>
      </c>
      <c r="JL25" s="8" t="s">
        <v>1520</v>
      </c>
      <c r="JM25" s="4" t="s">
        <v>13</v>
      </c>
      <c r="JN25">
        <v>200</v>
      </c>
      <c r="JU25" s="4" t="s">
        <v>227</v>
      </c>
      <c r="JV25" s="4" t="s">
        <v>226</v>
      </c>
      <c r="JW25" s="4" t="s">
        <v>13</v>
      </c>
      <c r="JX25" s="4">
        <v>5000</v>
      </c>
      <c r="JY25" s="4" t="s">
        <v>225</v>
      </c>
      <c r="JZ25" s="4">
        <v>0.74</v>
      </c>
      <c r="KA25">
        <v>0.12</v>
      </c>
      <c r="KB25">
        <v>0.69</v>
      </c>
      <c r="KC25" s="4" t="s">
        <v>224</v>
      </c>
      <c r="KD25" t="s">
        <v>223</v>
      </c>
      <c r="KE25" s="13" t="s">
        <v>12</v>
      </c>
      <c r="KF25" s="13" t="s">
        <v>29</v>
      </c>
      <c r="KG25" t="s">
        <v>29</v>
      </c>
      <c r="KH25" t="s">
        <v>223</v>
      </c>
      <c r="KI25" t="s">
        <v>222</v>
      </c>
      <c r="KJ25" t="s">
        <v>221</v>
      </c>
      <c r="KK25" s="4" t="s">
        <v>220</v>
      </c>
      <c r="KL25">
        <v>2.5</v>
      </c>
      <c r="KM25" s="7"/>
      <c r="KN25" s="7"/>
      <c r="KO25" s="7"/>
      <c r="KP25" s="13"/>
      <c r="KQ25" s="7" t="s">
        <v>219</v>
      </c>
      <c r="KR25" s="7" t="s">
        <v>218</v>
      </c>
      <c r="KS25" s="7"/>
      <c r="KT25" t="s">
        <v>29</v>
      </c>
      <c r="KU25" t="s">
        <v>217</v>
      </c>
      <c r="KV25" t="s">
        <v>216</v>
      </c>
      <c r="KZ25" s="4"/>
      <c r="LA25" s="4" t="s">
        <v>29</v>
      </c>
      <c r="LB25" s="4" t="s">
        <v>29</v>
      </c>
      <c r="LC25" s="4" t="s">
        <v>29</v>
      </c>
      <c r="LD25" s="4"/>
      <c r="LE25" t="s">
        <v>215</v>
      </c>
      <c r="LF25" s="4" t="s">
        <v>29</v>
      </c>
      <c r="LG25" s="4" t="s">
        <v>29</v>
      </c>
      <c r="LH25" s="4" t="s">
        <v>13</v>
      </c>
      <c r="LI25">
        <v>2500</v>
      </c>
      <c r="MW25" s="4"/>
      <c r="MX25" s="4"/>
      <c r="ND25" t="s">
        <v>1518</v>
      </c>
      <c r="NE25" t="s">
        <v>1515</v>
      </c>
      <c r="NF25" t="s">
        <v>1513</v>
      </c>
      <c r="NG25" s="4" t="s">
        <v>671</v>
      </c>
      <c r="NH25" s="6" t="s">
        <v>1514</v>
      </c>
      <c r="NQ25" t="s">
        <v>6</v>
      </c>
      <c r="NR25">
        <v>118.62</v>
      </c>
      <c r="NS25" t="s">
        <v>29</v>
      </c>
      <c r="NT25" t="s">
        <v>29</v>
      </c>
      <c r="NW25">
        <v>8</v>
      </c>
      <c r="OH25" t="s">
        <v>312</v>
      </c>
      <c r="OI25" t="s">
        <v>6</v>
      </c>
      <c r="OK25">
        <v>2012</v>
      </c>
      <c r="OL25">
        <v>2015</v>
      </c>
      <c r="OO25" s="3" t="s">
        <v>1178</v>
      </c>
      <c r="OP25" s="83">
        <v>46105</v>
      </c>
      <c r="OQ25" s="83"/>
    </row>
    <row r="26" spans="1:407" ht="15.75" thickBot="1">
      <c r="A26" t="s">
        <v>248</v>
      </c>
      <c r="B26" t="s">
        <v>247</v>
      </c>
      <c r="C26" t="s">
        <v>246</v>
      </c>
      <c r="D26" s="4" t="s">
        <v>245</v>
      </c>
      <c r="E26" t="s">
        <v>244</v>
      </c>
      <c r="F26" s="4" t="s">
        <v>243</v>
      </c>
      <c r="G26" t="s">
        <v>2</v>
      </c>
      <c r="H26" t="s">
        <v>30</v>
      </c>
      <c r="I26" t="s">
        <v>242</v>
      </c>
      <c r="J26" t="s">
        <v>241</v>
      </c>
      <c r="K26" t="s">
        <v>29</v>
      </c>
      <c r="AV26" t="s">
        <v>240</v>
      </c>
      <c r="AW26">
        <v>200</v>
      </c>
      <c r="AX26" t="s">
        <v>29</v>
      </c>
      <c r="AY26">
        <v>1</v>
      </c>
      <c r="AZ26" t="s">
        <v>279</v>
      </c>
      <c r="BA26">
        <v>2014</v>
      </c>
      <c r="BB26">
        <v>2015</v>
      </c>
      <c r="BC26" t="s">
        <v>29</v>
      </c>
      <c r="BD26" t="s">
        <v>274</v>
      </c>
      <c r="BE26" t="s">
        <v>1505</v>
      </c>
      <c r="BF26" t="s">
        <v>1511</v>
      </c>
      <c r="BG26" s="3" t="s">
        <v>1243</v>
      </c>
      <c r="BH26" t="s">
        <v>23</v>
      </c>
      <c r="BI26" t="s">
        <v>29</v>
      </c>
      <c r="BJ26" s="4" t="s">
        <v>22</v>
      </c>
      <c r="BK26" s="9">
        <v>44000</v>
      </c>
      <c r="BL26" t="s">
        <v>275</v>
      </c>
      <c r="BM26" t="s">
        <v>271</v>
      </c>
      <c r="BN26" t="s">
        <v>29</v>
      </c>
      <c r="BO26" s="4" t="s">
        <v>22</v>
      </c>
      <c r="BP26" s="9">
        <v>444444</v>
      </c>
      <c r="BT26" s="4"/>
      <c r="BU26" s="9"/>
      <c r="HL26" t="s">
        <v>233</v>
      </c>
      <c r="HM26" t="s">
        <v>232</v>
      </c>
      <c r="HR26" t="s">
        <v>231</v>
      </c>
      <c r="HT26" s="4" t="s">
        <v>20</v>
      </c>
      <c r="HU26" t="s">
        <v>29</v>
      </c>
      <c r="HV26" t="s">
        <v>29</v>
      </c>
      <c r="IN26" t="s">
        <v>274</v>
      </c>
      <c r="IO26" t="s">
        <v>283</v>
      </c>
      <c r="IR26" t="s">
        <v>29</v>
      </c>
      <c r="IS26" t="s">
        <v>29</v>
      </c>
      <c r="IT26" s="4" t="s">
        <v>18</v>
      </c>
      <c r="JI26" t="s">
        <v>1521</v>
      </c>
      <c r="JJ26" s="54" t="s">
        <v>1565</v>
      </c>
      <c r="JK26" s="8" t="s">
        <v>14</v>
      </c>
      <c r="JL26" s="8" t="s">
        <v>1520</v>
      </c>
      <c r="JM26" s="4" t="s">
        <v>13</v>
      </c>
      <c r="JN26">
        <v>200</v>
      </c>
      <c r="JU26" s="4" t="s">
        <v>227</v>
      </c>
      <c r="JV26" s="4" t="s">
        <v>226</v>
      </c>
      <c r="JW26" s="4" t="s">
        <v>13</v>
      </c>
      <c r="JX26" s="4">
        <v>5000</v>
      </c>
      <c r="JY26" s="4" t="s">
        <v>225</v>
      </c>
      <c r="JZ26" s="4">
        <v>0.74</v>
      </c>
      <c r="KA26">
        <v>0.12</v>
      </c>
      <c r="KB26">
        <v>0.69</v>
      </c>
      <c r="KC26" s="4" t="s">
        <v>224</v>
      </c>
      <c r="KD26" t="s">
        <v>223</v>
      </c>
      <c r="KE26" s="13" t="s">
        <v>12</v>
      </c>
      <c r="KF26" s="13" t="s">
        <v>29</v>
      </c>
      <c r="KG26" t="s">
        <v>29</v>
      </c>
      <c r="KH26" t="s">
        <v>223</v>
      </c>
      <c r="KI26" t="s">
        <v>222</v>
      </c>
      <c r="KJ26" t="s">
        <v>221</v>
      </c>
      <c r="KK26" s="4" t="s">
        <v>220</v>
      </c>
      <c r="KL26">
        <v>2.5</v>
      </c>
      <c r="KM26" s="7"/>
      <c r="KN26" s="7" t="s">
        <v>51</v>
      </c>
      <c r="KO26" s="7"/>
      <c r="KP26" s="7" t="s">
        <v>29</v>
      </c>
      <c r="KQ26" s="7" t="s">
        <v>722</v>
      </c>
      <c r="KR26" s="7"/>
      <c r="KS26" s="7"/>
      <c r="KT26" s="13"/>
      <c r="KU26" t="s">
        <v>217</v>
      </c>
      <c r="KV26" t="s">
        <v>216</v>
      </c>
      <c r="KZ26" s="4"/>
      <c r="LA26" s="4" t="s">
        <v>29</v>
      </c>
      <c r="LB26" s="4" t="s">
        <v>29</v>
      </c>
      <c r="LC26" s="4" t="s">
        <v>29</v>
      </c>
      <c r="LD26" s="4"/>
      <c r="LE26" t="s">
        <v>215</v>
      </c>
      <c r="LF26" s="4" t="s">
        <v>29</v>
      </c>
      <c r="LG26" s="4" t="s">
        <v>29</v>
      </c>
      <c r="LH26" s="4" t="s">
        <v>13</v>
      </c>
      <c r="LI26">
        <v>2500</v>
      </c>
      <c r="MW26" s="4"/>
      <c r="MX26" s="4"/>
      <c r="ND26" t="s">
        <v>1517</v>
      </c>
      <c r="NE26" t="s">
        <v>1515</v>
      </c>
      <c r="NF26" t="s">
        <v>1513</v>
      </c>
      <c r="NG26" s="4" t="s">
        <v>671</v>
      </c>
      <c r="NH26" s="6" t="s">
        <v>1514</v>
      </c>
      <c r="NQ26" t="s">
        <v>6</v>
      </c>
      <c r="NR26">
        <v>102.6</v>
      </c>
      <c r="NS26" t="s">
        <v>29</v>
      </c>
      <c r="NT26" t="s">
        <v>29</v>
      </c>
      <c r="NW26">
        <v>8</v>
      </c>
      <c r="OH26" t="s">
        <v>312</v>
      </c>
      <c r="OI26" t="s">
        <v>6</v>
      </c>
      <c r="OK26">
        <v>2012</v>
      </c>
      <c r="OL26">
        <v>2015</v>
      </c>
      <c r="OO26" s="3" t="s">
        <v>1178</v>
      </c>
      <c r="OP26" s="83">
        <v>46105</v>
      </c>
      <c r="OQ26" s="83"/>
    </row>
    <row r="27" spans="1:407" ht="15.75" thickBot="1">
      <c r="A27" t="s">
        <v>248</v>
      </c>
      <c r="B27" t="s">
        <v>247</v>
      </c>
      <c r="C27" t="s">
        <v>246</v>
      </c>
      <c r="D27" s="4" t="s">
        <v>245</v>
      </c>
      <c r="E27" t="s">
        <v>244</v>
      </c>
      <c r="F27" s="4" t="s">
        <v>243</v>
      </c>
      <c r="G27" t="s">
        <v>2</v>
      </c>
      <c r="H27" t="s">
        <v>30</v>
      </c>
      <c r="I27" t="s">
        <v>242</v>
      </c>
      <c r="J27" t="s">
        <v>241</v>
      </c>
      <c r="K27" t="s">
        <v>29</v>
      </c>
      <c r="AV27" t="s">
        <v>240</v>
      </c>
      <c r="AW27">
        <v>200</v>
      </c>
      <c r="AX27" t="s">
        <v>29</v>
      </c>
      <c r="AY27">
        <v>1</v>
      </c>
      <c r="AZ27" t="s">
        <v>279</v>
      </c>
      <c r="BA27">
        <v>2014</v>
      </c>
      <c r="BB27">
        <v>2015</v>
      </c>
      <c r="BC27" t="s">
        <v>29</v>
      </c>
      <c r="BD27" t="s">
        <v>274</v>
      </c>
      <c r="BE27" t="s">
        <v>1506</v>
      </c>
      <c r="BF27" t="s">
        <v>1512</v>
      </c>
      <c r="BG27" s="3" t="s">
        <v>1243</v>
      </c>
      <c r="BH27" t="s">
        <v>271</v>
      </c>
      <c r="BI27" t="s">
        <v>29</v>
      </c>
      <c r="BJ27" s="4" t="s">
        <v>22</v>
      </c>
      <c r="BK27" s="9">
        <v>44000</v>
      </c>
      <c r="BL27" t="s">
        <v>275</v>
      </c>
      <c r="BM27" t="s">
        <v>23</v>
      </c>
      <c r="BN27" t="s">
        <v>29</v>
      </c>
      <c r="BO27" s="4" t="s">
        <v>22</v>
      </c>
      <c r="BP27" s="9">
        <v>444444</v>
      </c>
      <c r="BT27" s="4"/>
      <c r="BU27" s="9"/>
      <c r="HL27" t="s">
        <v>233</v>
      </c>
      <c r="HM27" t="s">
        <v>232</v>
      </c>
      <c r="HR27" t="s">
        <v>231</v>
      </c>
      <c r="HT27" s="4" t="s">
        <v>20</v>
      </c>
      <c r="HU27" t="s">
        <v>29</v>
      </c>
      <c r="HV27" t="s">
        <v>29</v>
      </c>
      <c r="IN27" t="s">
        <v>274</v>
      </c>
      <c r="IO27" t="s">
        <v>283</v>
      </c>
      <c r="IR27" t="s">
        <v>29</v>
      </c>
      <c r="IS27" t="s">
        <v>29</v>
      </c>
      <c r="IT27" s="4" t="s">
        <v>18</v>
      </c>
      <c r="JI27" t="s">
        <v>1521</v>
      </c>
      <c r="JJ27" s="54" t="s">
        <v>1565</v>
      </c>
      <c r="JK27" s="8" t="s">
        <v>14</v>
      </c>
      <c r="JL27" s="8" t="s">
        <v>1520</v>
      </c>
      <c r="JM27" s="4" t="s">
        <v>13</v>
      </c>
      <c r="JN27">
        <v>200</v>
      </c>
      <c r="JU27" s="4" t="s">
        <v>227</v>
      </c>
      <c r="JV27" s="4" t="s">
        <v>226</v>
      </c>
      <c r="JW27" s="4" t="s">
        <v>13</v>
      </c>
      <c r="JX27" s="4">
        <v>5000</v>
      </c>
      <c r="JY27" s="4" t="s">
        <v>225</v>
      </c>
      <c r="JZ27" s="4">
        <v>0.74</v>
      </c>
      <c r="KA27">
        <v>0.12</v>
      </c>
      <c r="KB27">
        <v>0.69</v>
      </c>
      <c r="KC27" s="4" t="s">
        <v>224</v>
      </c>
      <c r="KD27" t="s">
        <v>223</v>
      </c>
      <c r="KE27" s="13" t="s">
        <v>12</v>
      </c>
      <c r="KF27" s="13" t="s">
        <v>29</v>
      </c>
      <c r="KG27" t="s">
        <v>29</v>
      </c>
      <c r="KH27" t="s">
        <v>223</v>
      </c>
      <c r="KI27" t="s">
        <v>222</v>
      </c>
      <c r="KJ27" t="s">
        <v>221</v>
      </c>
      <c r="KK27" s="4" t="s">
        <v>220</v>
      </c>
      <c r="KL27">
        <v>2.5</v>
      </c>
      <c r="KM27" s="7"/>
      <c r="KN27" s="7" t="s">
        <v>51</v>
      </c>
      <c r="KO27" s="7"/>
      <c r="KP27" s="7" t="s">
        <v>29</v>
      </c>
      <c r="KQ27" s="7" t="s">
        <v>722</v>
      </c>
      <c r="KR27" s="7"/>
      <c r="KS27" s="7"/>
      <c r="KT27" s="13"/>
      <c r="KU27" t="s">
        <v>217</v>
      </c>
      <c r="KV27" t="s">
        <v>216</v>
      </c>
      <c r="KZ27" s="4"/>
      <c r="LA27" s="4" t="s">
        <v>29</v>
      </c>
      <c r="LB27" s="4" t="s">
        <v>29</v>
      </c>
      <c r="LC27" s="4" t="s">
        <v>29</v>
      </c>
      <c r="LD27" s="4"/>
      <c r="LE27" t="s">
        <v>215</v>
      </c>
      <c r="LF27" s="4" t="s">
        <v>29</v>
      </c>
      <c r="LG27" s="4" t="s">
        <v>29</v>
      </c>
      <c r="LH27" s="4" t="s">
        <v>13</v>
      </c>
      <c r="LI27">
        <v>2500</v>
      </c>
      <c r="MW27" s="4"/>
      <c r="MX27" s="4"/>
      <c r="ND27" t="s">
        <v>1519</v>
      </c>
      <c r="NE27" t="s">
        <v>1515</v>
      </c>
      <c r="NF27" t="s">
        <v>1513</v>
      </c>
      <c r="NG27" s="4" t="s">
        <v>671</v>
      </c>
      <c r="NH27" s="6" t="s">
        <v>1514</v>
      </c>
      <c r="NQ27" t="s">
        <v>6</v>
      </c>
      <c r="NR27">
        <v>79.83</v>
      </c>
      <c r="NS27" t="s">
        <v>29</v>
      </c>
      <c r="NT27" t="s">
        <v>29</v>
      </c>
      <c r="NW27">
        <v>8</v>
      </c>
      <c r="OH27" t="s">
        <v>312</v>
      </c>
      <c r="OI27" t="s">
        <v>6</v>
      </c>
      <c r="OK27">
        <v>2012</v>
      </c>
      <c r="OL27">
        <v>2015</v>
      </c>
      <c r="OO27" s="3" t="s">
        <v>1178</v>
      </c>
      <c r="OP27" s="83">
        <v>46105</v>
      </c>
      <c r="OQ27" s="83"/>
    </row>
    <row r="28" spans="1:407" ht="15.75" thickBot="1">
      <c r="A28" t="s">
        <v>248</v>
      </c>
      <c r="B28" t="s">
        <v>247</v>
      </c>
      <c r="C28" t="s">
        <v>246</v>
      </c>
      <c r="D28" s="4" t="s">
        <v>245</v>
      </c>
      <c r="E28" t="s">
        <v>244</v>
      </c>
      <c r="F28" s="4" t="s">
        <v>243</v>
      </c>
      <c r="G28" t="s">
        <v>2</v>
      </c>
      <c r="H28" t="s">
        <v>30</v>
      </c>
      <c r="I28" t="s">
        <v>242</v>
      </c>
      <c r="J28" t="s">
        <v>241</v>
      </c>
      <c r="K28" t="s">
        <v>29</v>
      </c>
      <c r="AV28" t="s">
        <v>240</v>
      </c>
      <c r="AW28">
        <v>200</v>
      </c>
      <c r="AX28" t="s">
        <v>29</v>
      </c>
      <c r="AY28">
        <v>1</v>
      </c>
      <c r="AZ28" t="s">
        <v>279</v>
      </c>
      <c r="BA28">
        <v>2014</v>
      </c>
      <c r="BB28">
        <v>2015</v>
      </c>
      <c r="BC28" t="s">
        <v>29</v>
      </c>
      <c r="BD28" t="s">
        <v>274</v>
      </c>
      <c r="BE28" t="s">
        <v>1507</v>
      </c>
      <c r="BF28" t="s">
        <v>1522</v>
      </c>
      <c r="BG28" s="3" t="s">
        <v>1243</v>
      </c>
      <c r="BH28" t="s">
        <v>23</v>
      </c>
      <c r="BI28" t="s">
        <v>29</v>
      </c>
      <c r="BJ28" s="4" t="s">
        <v>22</v>
      </c>
      <c r="BK28" s="9">
        <v>44444</v>
      </c>
      <c r="BL28" t="s">
        <v>275</v>
      </c>
      <c r="BM28" t="s">
        <v>276</v>
      </c>
      <c r="BN28" t="s">
        <v>29</v>
      </c>
      <c r="BO28" s="4" t="s">
        <v>22</v>
      </c>
      <c r="BP28" s="9">
        <v>148000</v>
      </c>
      <c r="BT28" s="4"/>
      <c r="HL28" t="s">
        <v>233</v>
      </c>
      <c r="HM28" t="s">
        <v>232</v>
      </c>
      <c r="HR28" t="s">
        <v>231</v>
      </c>
      <c r="HT28" s="4" t="s">
        <v>20</v>
      </c>
      <c r="HU28" t="s">
        <v>29</v>
      </c>
      <c r="HV28" t="s">
        <v>29</v>
      </c>
      <c r="IN28" t="s">
        <v>274</v>
      </c>
      <c r="IO28" t="s">
        <v>273</v>
      </c>
      <c r="IR28" t="s">
        <v>29</v>
      </c>
      <c r="IS28" t="s">
        <v>29</v>
      </c>
      <c r="IT28" s="4" t="s">
        <v>18</v>
      </c>
      <c r="JI28" t="s">
        <v>1521</v>
      </c>
      <c r="JJ28" s="54" t="s">
        <v>1565</v>
      </c>
      <c r="JK28" s="8" t="s">
        <v>14</v>
      </c>
      <c r="JL28" s="8" t="s">
        <v>1520</v>
      </c>
      <c r="JM28" s="4" t="s">
        <v>13</v>
      </c>
      <c r="JN28">
        <v>200</v>
      </c>
      <c r="JU28" s="4" t="s">
        <v>227</v>
      </c>
      <c r="JV28" s="4" t="s">
        <v>226</v>
      </c>
      <c r="JW28" s="4" t="s">
        <v>13</v>
      </c>
      <c r="JX28" s="4">
        <v>5000</v>
      </c>
      <c r="JY28" s="4" t="s">
        <v>225</v>
      </c>
      <c r="JZ28" s="4">
        <v>0.74</v>
      </c>
      <c r="KA28">
        <v>0.12</v>
      </c>
      <c r="KB28">
        <v>0.69</v>
      </c>
      <c r="KC28" s="4" t="s">
        <v>224</v>
      </c>
      <c r="KD28" t="s">
        <v>223</v>
      </c>
      <c r="KE28" s="13" t="s">
        <v>12</v>
      </c>
      <c r="KF28" s="13" t="s">
        <v>29</v>
      </c>
      <c r="KG28" t="s">
        <v>29</v>
      </c>
      <c r="KH28" t="s">
        <v>223</v>
      </c>
      <c r="KI28" t="s">
        <v>222</v>
      </c>
      <c r="KJ28" t="s">
        <v>221</v>
      </c>
      <c r="KK28" s="4" t="s">
        <v>220</v>
      </c>
      <c r="KL28">
        <v>2.5</v>
      </c>
      <c r="KM28" s="7"/>
      <c r="KN28" s="7"/>
      <c r="KO28" s="7"/>
      <c r="KP28" s="7"/>
      <c r="KQ28" s="7" t="s">
        <v>722</v>
      </c>
      <c r="KR28" s="7"/>
      <c r="KS28" s="7"/>
      <c r="KT28" s="13"/>
      <c r="KU28" t="s">
        <v>217</v>
      </c>
      <c r="KV28" t="s">
        <v>216</v>
      </c>
      <c r="KZ28" s="4"/>
      <c r="LA28" s="4" t="s">
        <v>29</v>
      </c>
      <c r="LB28" s="4" t="s">
        <v>29</v>
      </c>
      <c r="LC28" s="4" t="s">
        <v>29</v>
      </c>
      <c r="LD28" s="4"/>
      <c r="LE28" t="s">
        <v>215</v>
      </c>
      <c r="LF28" s="4" t="s">
        <v>29</v>
      </c>
      <c r="LG28" s="4" t="s">
        <v>29</v>
      </c>
      <c r="LH28" s="4" t="s">
        <v>13</v>
      </c>
      <c r="LI28">
        <v>2500</v>
      </c>
      <c r="MW28" s="4"/>
      <c r="MX28" s="4"/>
      <c r="ND28" t="s">
        <v>1517</v>
      </c>
      <c r="NE28" t="s">
        <v>1515</v>
      </c>
      <c r="NF28" t="s">
        <v>1513</v>
      </c>
      <c r="NG28" s="4" t="s">
        <v>671</v>
      </c>
      <c r="NH28" s="6" t="s">
        <v>1514</v>
      </c>
      <c r="NQ28" t="s">
        <v>6</v>
      </c>
      <c r="NR28">
        <v>99.48</v>
      </c>
      <c r="NS28" t="s">
        <v>29</v>
      </c>
      <c r="NT28" t="s">
        <v>29</v>
      </c>
      <c r="NW28">
        <v>8</v>
      </c>
      <c r="OH28" t="s">
        <v>312</v>
      </c>
      <c r="OI28" t="s">
        <v>6</v>
      </c>
      <c r="OK28">
        <v>2012</v>
      </c>
      <c r="OL28">
        <v>2015</v>
      </c>
      <c r="OO28" s="3" t="s">
        <v>1178</v>
      </c>
      <c r="OP28" s="83">
        <v>46105</v>
      </c>
      <c r="OQ28" s="83"/>
    </row>
    <row r="29" spans="1:407" ht="15.75" thickBot="1">
      <c r="A29" t="s">
        <v>248</v>
      </c>
      <c r="B29" t="s">
        <v>247</v>
      </c>
      <c r="C29" t="s">
        <v>246</v>
      </c>
      <c r="D29" s="4" t="s">
        <v>245</v>
      </c>
      <c r="E29" t="s">
        <v>244</v>
      </c>
      <c r="F29" s="4" t="s">
        <v>243</v>
      </c>
      <c r="G29" t="s">
        <v>2</v>
      </c>
      <c r="H29" t="s">
        <v>30</v>
      </c>
      <c r="I29" t="s">
        <v>242</v>
      </c>
      <c r="J29" t="s">
        <v>241</v>
      </c>
      <c r="K29" t="s">
        <v>29</v>
      </c>
      <c r="AV29" t="s">
        <v>240</v>
      </c>
      <c r="AW29">
        <v>200</v>
      </c>
      <c r="AX29" t="s">
        <v>29</v>
      </c>
      <c r="AY29">
        <v>1</v>
      </c>
      <c r="AZ29" t="s">
        <v>279</v>
      </c>
      <c r="BA29">
        <v>2014</v>
      </c>
      <c r="BB29">
        <v>2015</v>
      </c>
      <c r="BC29" t="s">
        <v>29</v>
      </c>
      <c r="BD29" t="s">
        <v>274</v>
      </c>
      <c r="BE29" t="s">
        <v>1508</v>
      </c>
      <c r="BF29" t="s">
        <v>1523</v>
      </c>
      <c r="BG29" s="3" t="s">
        <v>1243</v>
      </c>
      <c r="BH29" t="s">
        <v>276</v>
      </c>
      <c r="BI29" t="s">
        <v>29</v>
      </c>
      <c r="BJ29" s="4" t="s">
        <v>22</v>
      </c>
      <c r="BK29" s="9">
        <v>148000</v>
      </c>
      <c r="BL29" t="s">
        <v>275</v>
      </c>
      <c r="BM29" t="s">
        <v>23</v>
      </c>
      <c r="BN29" t="s">
        <v>29</v>
      </c>
      <c r="BO29" s="4" t="s">
        <v>22</v>
      </c>
      <c r="BP29" s="9">
        <v>44444</v>
      </c>
      <c r="BT29" s="4"/>
      <c r="HL29" t="s">
        <v>233</v>
      </c>
      <c r="HM29" t="s">
        <v>232</v>
      </c>
      <c r="HR29" t="s">
        <v>231</v>
      </c>
      <c r="HT29" s="4" t="s">
        <v>20</v>
      </c>
      <c r="HU29" t="s">
        <v>29</v>
      </c>
      <c r="HV29" t="s">
        <v>29</v>
      </c>
      <c r="IN29" t="s">
        <v>274</v>
      </c>
      <c r="IO29" t="s">
        <v>273</v>
      </c>
      <c r="IR29" t="s">
        <v>29</v>
      </c>
      <c r="IS29" t="s">
        <v>29</v>
      </c>
      <c r="IT29" s="4" t="s">
        <v>18</v>
      </c>
      <c r="JI29" s="19"/>
      <c r="JJ29" s="19"/>
      <c r="JK29" s="92"/>
      <c r="JL29" s="92"/>
      <c r="JM29" s="91"/>
      <c r="JN29" s="19"/>
      <c r="JU29" s="4" t="s">
        <v>227</v>
      </c>
      <c r="JV29" s="4" t="s">
        <v>226</v>
      </c>
      <c r="JW29" s="4" t="s">
        <v>13</v>
      </c>
      <c r="JX29" s="4">
        <v>5000</v>
      </c>
      <c r="JY29" s="4" t="s">
        <v>225</v>
      </c>
      <c r="JZ29" s="4">
        <v>0.74</v>
      </c>
      <c r="KA29">
        <v>0.12</v>
      </c>
      <c r="KB29">
        <v>0.69</v>
      </c>
      <c r="KC29" s="4" t="s">
        <v>224</v>
      </c>
      <c r="KD29" t="s">
        <v>223</v>
      </c>
      <c r="KE29" s="13" t="s">
        <v>12</v>
      </c>
      <c r="KF29" s="13" t="s">
        <v>29</v>
      </c>
      <c r="KG29" t="s">
        <v>29</v>
      </c>
      <c r="KH29" t="s">
        <v>223</v>
      </c>
      <c r="KI29" t="s">
        <v>222</v>
      </c>
      <c r="KJ29" t="s">
        <v>221</v>
      </c>
      <c r="KK29" s="4" t="s">
        <v>220</v>
      </c>
      <c r="KL29">
        <v>2.5</v>
      </c>
      <c r="KM29" s="7"/>
      <c r="KN29" s="7"/>
      <c r="KO29" s="7"/>
      <c r="KP29" s="7"/>
      <c r="KQ29" s="7" t="s">
        <v>722</v>
      </c>
      <c r="KR29" s="7"/>
      <c r="KS29" s="7"/>
      <c r="KT29" s="13"/>
      <c r="KU29" t="s">
        <v>217</v>
      </c>
      <c r="KV29" t="s">
        <v>216</v>
      </c>
      <c r="KZ29" s="4"/>
      <c r="LA29" s="4" t="s">
        <v>29</v>
      </c>
      <c r="LB29" s="4" t="s">
        <v>29</v>
      </c>
      <c r="LC29" s="4" t="s">
        <v>29</v>
      </c>
      <c r="LD29" s="4"/>
      <c r="LE29" t="s">
        <v>215</v>
      </c>
      <c r="LF29" s="4" t="s">
        <v>29</v>
      </c>
      <c r="LG29" s="4" t="s">
        <v>29</v>
      </c>
      <c r="LH29" s="4" t="s">
        <v>13</v>
      </c>
      <c r="LI29">
        <v>2500</v>
      </c>
      <c r="MW29" s="4"/>
      <c r="MX29" s="4"/>
      <c r="ND29" t="s">
        <v>1519</v>
      </c>
      <c r="NE29" t="s">
        <v>1515</v>
      </c>
      <c r="NF29" t="s">
        <v>1513</v>
      </c>
      <c r="NG29" s="4" t="s">
        <v>671</v>
      </c>
      <c r="NH29" s="6" t="s">
        <v>1514</v>
      </c>
      <c r="NQ29" t="s">
        <v>6</v>
      </c>
      <c r="NR29">
        <v>85.17</v>
      </c>
      <c r="NS29" t="s">
        <v>29</v>
      </c>
      <c r="NT29" t="s">
        <v>29</v>
      </c>
      <c r="NW29">
        <v>8</v>
      </c>
      <c r="OH29" t="s">
        <v>312</v>
      </c>
      <c r="OI29" t="s">
        <v>6</v>
      </c>
      <c r="OK29">
        <v>2012</v>
      </c>
      <c r="OL29">
        <v>2015</v>
      </c>
      <c r="OO29" s="3" t="s">
        <v>1178</v>
      </c>
      <c r="OP29" s="83">
        <v>46105</v>
      </c>
      <c r="OQ29" s="83"/>
    </row>
    <row r="30" spans="1:407" ht="15.75" thickBot="1">
      <c r="A30" t="s">
        <v>248</v>
      </c>
      <c r="B30" t="s">
        <v>247</v>
      </c>
      <c r="C30" t="s">
        <v>246</v>
      </c>
      <c r="D30" s="4" t="s">
        <v>245</v>
      </c>
      <c r="E30" t="s">
        <v>244</v>
      </c>
      <c r="F30" s="4" t="s">
        <v>243</v>
      </c>
      <c r="G30" t="s">
        <v>2</v>
      </c>
      <c r="H30" t="s">
        <v>30</v>
      </c>
      <c r="I30" t="s">
        <v>242</v>
      </c>
      <c r="J30" t="s">
        <v>241</v>
      </c>
      <c r="K30" t="s">
        <v>29</v>
      </c>
      <c r="AV30" t="s">
        <v>240</v>
      </c>
      <c r="AW30">
        <v>400</v>
      </c>
      <c r="AX30" t="s">
        <v>29</v>
      </c>
      <c r="AY30">
        <v>3</v>
      </c>
      <c r="AZ30" t="s">
        <v>259</v>
      </c>
      <c r="BA30">
        <v>2012</v>
      </c>
      <c r="BB30">
        <v>2015</v>
      </c>
      <c r="BC30" t="s">
        <v>29</v>
      </c>
      <c r="BD30" t="s">
        <v>19</v>
      </c>
      <c r="BE30" t="s">
        <v>311</v>
      </c>
      <c r="BF30" t="s">
        <v>39</v>
      </c>
      <c r="BG30" s="3" t="s">
        <v>1243</v>
      </c>
      <c r="BH30" t="s">
        <v>23</v>
      </c>
      <c r="BI30" t="s">
        <v>29</v>
      </c>
      <c r="BJ30" s="4" t="s">
        <v>22</v>
      </c>
      <c r="BK30" s="9">
        <v>44000</v>
      </c>
      <c r="HL30" t="s">
        <v>298</v>
      </c>
      <c r="HM30" t="s">
        <v>297</v>
      </c>
      <c r="HN30" t="s">
        <v>296</v>
      </c>
      <c r="HP30" t="s">
        <v>29</v>
      </c>
      <c r="HQ30">
        <v>1</v>
      </c>
      <c r="HR30" t="s">
        <v>231</v>
      </c>
      <c r="HT30" s="4" t="s">
        <v>20</v>
      </c>
      <c r="HU30" t="s">
        <v>29</v>
      </c>
      <c r="HV30" t="s">
        <v>29</v>
      </c>
      <c r="IG30" t="s">
        <v>255</v>
      </c>
      <c r="IH30" s="13" t="s">
        <v>19</v>
      </c>
      <c r="II30" s="46"/>
      <c r="IJ30" s="46"/>
      <c r="JI30" t="s">
        <v>228</v>
      </c>
      <c r="JJ30" s="3" t="s">
        <v>15</v>
      </c>
      <c r="JK30" s="8" t="s">
        <v>14</v>
      </c>
      <c r="JL30" s="8" t="s">
        <v>730</v>
      </c>
      <c r="JM30" s="4" t="s">
        <v>13</v>
      </c>
      <c r="JN30" t="s">
        <v>731</v>
      </c>
      <c r="JU30" s="4"/>
      <c r="JV30" s="4"/>
      <c r="JW30" s="4"/>
      <c r="JX30" s="4"/>
      <c r="JY30" s="4"/>
      <c r="JZ30" s="4"/>
      <c r="KA30" s="4"/>
      <c r="KB30" s="4"/>
      <c r="KC30" s="4"/>
      <c r="KD30" s="4" t="s">
        <v>295</v>
      </c>
      <c r="KE30" s="13" t="s">
        <v>12</v>
      </c>
      <c r="KF30" s="13" t="s">
        <v>29</v>
      </c>
      <c r="KG30" t="s">
        <v>29</v>
      </c>
      <c r="KH30" t="s">
        <v>294</v>
      </c>
      <c r="KI30" s="13" t="s">
        <v>12</v>
      </c>
      <c r="KK30" s="4"/>
      <c r="KM30" s="7" t="s">
        <v>720</v>
      </c>
      <c r="KN30" s="7"/>
      <c r="KO30" s="7"/>
      <c r="KP30" s="13"/>
      <c r="KQ30" s="7" t="s">
        <v>722</v>
      </c>
      <c r="KR30" s="7"/>
      <c r="KS30" s="7"/>
      <c r="KT30" s="13"/>
      <c r="KV30" s="13" t="s">
        <v>1124</v>
      </c>
      <c r="KZ30" s="4"/>
      <c r="LA30" s="13"/>
      <c r="LB30" s="13"/>
      <c r="LC30" s="13"/>
      <c r="LD30" s="4"/>
      <c r="LE30" s="4"/>
      <c r="LF30" s="4"/>
      <c r="LG30" s="4"/>
      <c r="LH30" s="4"/>
      <c r="MS30" t="s">
        <v>214</v>
      </c>
      <c r="MT30">
        <v>30</v>
      </c>
      <c r="MU30" t="s">
        <v>1162</v>
      </c>
      <c r="MV30" t="s">
        <v>1163</v>
      </c>
      <c r="MW30" s="4" t="s">
        <v>10</v>
      </c>
      <c r="NE30" t="s">
        <v>654</v>
      </c>
      <c r="NF30" t="s">
        <v>653</v>
      </c>
      <c r="NG30" s="4" t="s">
        <v>1165</v>
      </c>
      <c r="NH30" s="6" t="s">
        <v>13</v>
      </c>
      <c r="NP30" t="s">
        <v>1158</v>
      </c>
      <c r="NQ30" t="s">
        <v>6</v>
      </c>
      <c r="NR30">
        <v>3076</v>
      </c>
      <c r="NS30" t="s">
        <v>29</v>
      </c>
      <c r="NT30" t="s">
        <v>29</v>
      </c>
      <c r="NW30">
        <v>8</v>
      </c>
      <c r="OH30" t="s">
        <v>212</v>
      </c>
      <c r="OI30" t="s">
        <v>6</v>
      </c>
      <c r="OK30" s="88">
        <v>2012</v>
      </c>
      <c r="OL30" s="88">
        <v>2015</v>
      </c>
      <c r="OO30" s="3" t="s">
        <v>1178</v>
      </c>
      <c r="OP30" s="83">
        <v>46094</v>
      </c>
      <c r="OQ30" s="83"/>
    </row>
    <row r="31" spans="1:407" ht="14.45" customHeight="1" thickBot="1">
      <c r="A31" t="s">
        <v>248</v>
      </c>
      <c r="B31" t="s">
        <v>247</v>
      </c>
      <c r="C31" t="s">
        <v>246</v>
      </c>
      <c r="D31" s="4" t="s">
        <v>245</v>
      </c>
      <c r="E31" t="s">
        <v>244</v>
      </c>
      <c r="F31" s="4" t="s">
        <v>243</v>
      </c>
      <c r="G31" t="s">
        <v>2</v>
      </c>
      <c r="H31" t="s">
        <v>30</v>
      </c>
      <c r="I31" t="s">
        <v>242</v>
      </c>
      <c r="J31" t="s">
        <v>241</v>
      </c>
      <c r="K31" t="s">
        <v>29</v>
      </c>
      <c r="AV31" t="s">
        <v>240</v>
      </c>
      <c r="AW31">
        <v>400</v>
      </c>
      <c r="AX31" t="s">
        <v>29</v>
      </c>
      <c r="AY31">
        <v>3</v>
      </c>
      <c r="AZ31" t="s">
        <v>259</v>
      </c>
      <c r="BA31">
        <v>2012</v>
      </c>
      <c r="BB31">
        <v>2015</v>
      </c>
      <c r="BC31" t="s">
        <v>29</v>
      </c>
      <c r="BD31" t="s">
        <v>19</v>
      </c>
      <c r="BE31" t="s">
        <v>261</v>
      </c>
      <c r="BF31" t="s">
        <v>24</v>
      </c>
      <c r="BG31" s="3" t="s">
        <v>1243</v>
      </c>
      <c r="BH31" t="s">
        <v>23</v>
      </c>
      <c r="BI31" t="s">
        <v>29</v>
      </c>
      <c r="BJ31" s="4" t="s">
        <v>22</v>
      </c>
      <c r="BK31" s="9">
        <v>44000</v>
      </c>
      <c r="HL31" t="s">
        <v>233</v>
      </c>
      <c r="HM31" t="s">
        <v>232</v>
      </c>
      <c r="HR31" t="s">
        <v>231</v>
      </c>
      <c r="HT31" s="4" t="s">
        <v>20</v>
      </c>
      <c r="HU31" t="s">
        <v>29</v>
      </c>
      <c r="HV31" t="s">
        <v>29</v>
      </c>
      <c r="IG31" t="s">
        <v>255</v>
      </c>
      <c r="IH31" s="13" t="s">
        <v>19</v>
      </c>
      <c r="II31" s="46"/>
      <c r="IJ31" s="46"/>
      <c r="IO31" s="13"/>
      <c r="JI31" t="s">
        <v>228</v>
      </c>
      <c r="JJ31" s="3" t="s">
        <v>15</v>
      </c>
      <c r="JK31" s="8" t="s">
        <v>14</v>
      </c>
      <c r="JL31" s="8" t="s">
        <v>730</v>
      </c>
      <c r="JM31" s="4" t="s">
        <v>13</v>
      </c>
      <c r="JN31" t="s">
        <v>731</v>
      </c>
      <c r="JU31" s="4"/>
      <c r="JV31" s="4"/>
      <c r="JW31" s="4"/>
      <c r="JX31" s="4"/>
      <c r="JY31" s="4"/>
      <c r="JZ31" s="4"/>
      <c r="KA31" s="4"/>
      <c r="KB31" s="4"/>
      <c r="KC31" s="4"/>
      <c r="KD31" t="s">
        <v>223</v>
      </c>
      <c r="KE31" s="13" t="s">
        <v>12</v>
      </c>
      <c r="KF31" s="13" t="s">
        <v>29</v>
      </c>
      <c r="KG31" t="s">
        <v>29</v>
      </c>
      <c r="KH31" t="s">
        <v>223</v>
      </c>
      <c r="KI31" t="s">
        <v>222</v>
      </c>
      <c r="KJ31" t="s">
        <v>221</v>
      </c>
      <c r="KK31" s="4" t="s">
        <v>220</v>
      </c>
      <c r="KL31">
        <v>2.5</v>
      </c>
      <c r="KM31" s="7" t="s">
        <v>720</v>
      </c>
      <c r="KN31" s="7"/>
      <c r="KO31" s="7"/>
      <c r="KP31" s="13"/>
      <c r="KQ31" s="7" t="s">
        <v>722</v>
      </c>
      <c r="KR31" s="7"/>
      <c r="KS31" s="7"/>
      <c r="KT31" s="13"/>
      <c r="KU31" t="s">
        <v>217</v>
      </c>
      <c r="KV31" t="s">
        <v>216</v>
      </c>
      <c r="KZ31" s="4"/>
      <c r="LA31" s="4" t="s">
        <v>29</v>
      </c>
      <c r="LB31" s="4" t="s">
        <v>29</v>
      </c>
      <c r="LC31" s="4" t="s">
        <v>29</v>
      </c>
      <c r="LD31" s="4"/>
      <c r="LE31" t="s">
        <v>215</v>
      </c>
      <c r="LF31" s="4" t="s">
        <v>29</v>
      </c>
      <c r="LG31" s="4" t="s">
        <v>29</v>
      </c>
      <c r="LH31" s="4" t="s">
        <v>13</v>
      </c>
      <c r="LI31">
        <v>2500</v>
      </c>
      <c r="MS31" t="s">
        <v>214</v>
      </c>
      <c r="MT31">
        <v>30</v>
      </c>
      <c r="MU31" t="s">
        <v>1162</v>
      </c>
      <c r="MV31" t="s">
        <v>1163</v>
      </c>
      <c r="MW31" s="4" t="s">
        <v>10</v>
      </c>
      <c r="NE31" t="s">
        <v>654</v>
      </c>
      <c r="NF31" t="s">
        <v>653</v>
      </c>
      <c r="NG31" s="4" t="s">
        <v>1165</v>
      </c>
      <c r="NH31" s="6" t="s">
        <v>13</v>
      </c>
      <c r="NP31" t="s">
        <v>745</v>
      </c>
      <c r="NQ31" t="s">
        <v>6</v>
      </c>
      <c r="NR31">
        <v>3646</v>
      </c>
      <c r="NS31" t="s">
        <v>29</v>
      </c>
      <c r="NT31" t="s">
        <v>29</v>
      </c>
      <c r="NW31">
        <v>8</v>
      </c>
      <c r="OH31" t="s">
        <v>212</v>
      </c>
      <c r="OI31" t="s">
        <v>6</v>
      </c>
      <c r="OK31" s="88">
        <v>2012</v>
      </c>
      <c r="OL31" s="88">
        <v>2015</v>
      </c>
      <c r="OM31" s="88"/>
      <c r="OO31" s="3" t="s">
        <v>1178</v>
      </c>
      <c r="OP31" s="83">
        <v>46094</v>
      </c>
      <c r="OQ31" s="83"/>
    </row>
    <row r="32" spans="1:407" ht="15.75" thickBot="1">
      <c r="A32" t="s">
        <v>248</v>
      </c>
      <c r="B32" t="s">
        <v>247</v>
      </c>
      <c r="C32" t="s">
        <v>246</v>
      </c>
      <c r="D32" s="4" t="s">
        <v>245</v>
      </c>
      <c r="E32" t="s">
        <v>244</v>
      </c>
      <c r="F32" s="4" t="s">
        <v>243</v>
      </c>
      <c r="G32" t="s">
        <v>2</v>
      </c>
      <c r="H32" t="s">
        <v>30</v>
      </c>
      <c r="I32" t="s">
        <v>242</v>
      </c>
      <c r="J32" t="s">
        <v>241</v>
      </c>
      <c r="K32" t="s">
        <v>29</v>
      </c>
      <c r="AV32" t="s">
        <v>240</v>
      </c>
      <c r="AW32">
        <v>400</v>
      </c>
      <c r="AX32" t="s">
        <v>29</v>
      </c>
      <c r="AY32">
        <v>3</v>
      </c>
      <c r="AZ32" t="s">
        <v>259</v>
      </c>
      <c r="BA32">
        <v>2012</v>
      </c>
      <c r="BB32">
        <v>2015</v>
      </c>
      <c r="BC32" t="s">
        <v>29</v>
      </c>
      <c r="BD32" t="s">
        <v>238</v>
      </c>
      <c r="BE32" t="s">
        <v>260</v>
      </c>
      <c r="BF32" t="s">
        <v>64</v>
      </c>
      <c r="BG32" s="3" t="s">
        <v>1243</v>
      </c>
      <c r="BH32" t="s">
        <v>23</v>
      </c>
      <c r="BI32" t="s">
        <v>29</v>
      </c>
      <c r="BJ32" s="4" t="s">
        <v>22</v>
      </c>
      <c r="BK32" s="9">
        <v>44000</v>
      </c>
      <c r="BL32" t="s">
        <v>56</v>
      </c>
      <c r="BM32" t="s">
        <v>250</v>
      </c>
      <c r="BN32" t="s">
        <v>29</v>
      </c>
      <c r="BO32" s="4" t="s">
        <v>22</v>
      </c>
      <c r="BP32" s="9">
        <v>44444</v>
      </c>
      <c r="HL32" t="s">
        <v>233</v>
      </c>
      <c r="HM32" t="s">
        <v>232</v>
      </c>
      <c r="HR32" t="s">
        <v>231</v>
      </c>
      <c r="HT32" s="4" t="s">
        <v>736</v>
      </c>
      <c r="HU32" t="s">
        <v>29</v>
      </c>
      <c r="HV32" t="s">
        <v>29</v>
      </c>
      <c r="IG32" t="s">
        <v>251</v>
      </c>
      <c r="IH32" s="12" t="s">
        <v>229</v>
      </c>
      <c r="II32" s="45" t="s">
        <v>660</v>
      </c>
      <c r="IJ32" s="45" t="s">
        <v>661</v>
      </c>
      <c r="IK32">
        <v>2012</v>
      </c>
      <c r="IL32" s="88" t="s">
        <v>29</v>
      </c>
      <c r="IM32" s="4" t="s">
        <v>18</v>
      </c>
      <c r="JI32" t="s">
        <v>228</v>
      </c>
      <c r="JJ32" s="3" t="s">
        <v>15</v>
      </c>
      <c r="JK32" s="8" t="s">
        <v>14</v>
      </c>
      <c r="JL32" s="8" t="s">
        <v>730</v>
      </c>
      <c r="JM32" s="4" t="s">
        <v>13</v>
      </c>
      <c r="JN32" t="s">
        <v>731</v>
      </c>
      <c r="JU32" s="4"/>
      <c r="JV32" s="4"/>
      <c r="JW32" s="4"/>
      <c r="JX32" s="4"/>
      <c r="JY32" s="4"/>
      <c r="JZ32" s="4"/>
      <c r="KA32" s="4"/>
      <c r="KB32" s="4"/>
      <c r="KC32" s="4"/>
      <c r="KD32" t="s">
        <v>223</v>
      </c>
      <c r="KE32" s="13" t="s">
        <v>12</v>
      </c>
      <c r="KF32" s="13" t="s">
        <v>29</v>
      </c>
      <c r="KG32" t="s">
        <v>29</v>
      </c>
      <c r="KH32" t="s">
        <v>223</v>
      </c>
      <c r="KI32" t="s">
        <v>222</v>
      </c>
      <c r="KJ32" t="s">
        <v>221</v>
      </c>
      <c r="KK32" s="4" t="s">
        <v>220</v>
      </c>
      <c r="KL32">
        <v>2.5</v>
      </c>
      <c r="KM32" s="7" t="s">
        <v>720</v>
      </c>
      <c r="KN32" s="7"/>
      <c r="KO32" s="7"/>
      <c r="KP32" s="13"/>
      <c r="KQ32" s="7" t="s">
        <v>219</v>
      </c>
      <c r="KR32" s="7" t="s">
        <v>218</v>
      </c>
      <c r="KS32" s="7"/>
      <c r="KT32" t="s">
        <v>29</v>
      </c>
      <c r="KU32" t="s">
        <v>217</v>
      </c>
      <c r="KV32" t="s">
        <v>216</v>
      </c>
      <c r="KZ32" s="4"/>
      <c r="LA32" s="4" t="s">
        <v>29</v>
      </c>
      <c r="LB32" s="4" t="s">
        <v>29</v>
      </c>
      <c r="LC32" s="4" t="s">
        <v>29</v>
      </c>
      <c r="LD32" s="4"/>
      <c r="LE32" t="s">
        <v>215</v>
      </c>
      <c r="LF32" s="4" t="s">
        <v>29</v>
      </c>
      <c r="LG32" s="4" t="s">
        <v>29</v>
      </c>
      <c r="LH32" s="4" t="s">
        <v>13</v>
      </c>
      <c r="LI32">
        <v>2500</v>
      </c>
      <c r="MS32" t="s">
        <v>214</v>
      </c>
      <c r="MT32">
        <v>30</v>
      </c>
      <c r="MU32" t="s">
        <v>1161</v>
      </c>
      <c r="MV32" t="s">
        <v>1163</v>
      </c>
      <c r="MW32" s="4" t="s">
        <v>10</v>
      </c>
      <c r="MX32" t="s">
        <v>249</v>
      </c>
      <c r="NE32" t="s">
        <v>654</v>
      </c>
      <c r="NF32" t="s">
        <v>653</v>
      </c>
      <c r="NG32" s="4" t="s">
        <v>1165</v>
      </c>
      <c r="NH32" s="6" t="s">
        <v>13</v>
      </c>
      <c r="NQ32" t="s">
        <v>6</v>
      </c>
      <c r="NR32">
        <v>4134</v>
      </c>
      <c r="NS32" t="s">
        <v>29</v>
      </c>
      <c r="NT32" t="s">
        <v>29</v>
      </c>
      <c r="NW32">
        <v>8</v>
      </c>
      <c r="OH32" t="s">
        <v>212</v>
      </c>
      <c r="OI32" t="s">
        <v>6</v>
      </c>
      <c r="OK32" s="88">
        <v>2012</v>
      </c>
      <c r="OL32" s="88">
        <v>2015</v>
      </c>
      <c r="OM32" s="88"/>
      <c r="OO32" s="3" t="s">
        <v>1178</v>
      </c>
      <c r="OP32" s="83">
        <v>46094</v>
      </c>
      <c r="OQ32" s="83"/>
    </row>
    <row r="33" spans="1:407" ht="15.75" thickBot="1">
      <c r="A33" t="s">
        <v>248</v>
      </c>
      <c r="B33" t="s">
        <v>247</v>
      </c>
      <c r="C33" t="s">
        <v>246</v>
      </c>
      <c r="D33" s="4" t="s">
        <v>245</v>
      </c>
      <c r="E33" t="s">
        <v>244</v>
      </c>
      <c r="F33" s="4" t="s">
        <v>243</v>
      </c>
      <c r="G33" t="s">
        <v>2</v>
      </c>
      <c r="H33" t="s">
        <v>30</v>
      </c>
      <c r="I33" t="s">
        <v>242</v>
      </c>
      <c r="J33" t="s">
        <v>241</v>
      </c>
      <c r="K33" t="s">
        <v>29</v>
      </c>
      <c r="AV33" t="s">
        <v>240</v>
      </c>
      <c r="AW33">
        <v>400</v>
      </c>
      <c r="AX33" t="s">
        <v>29</v>
      </c>
      <c r="AY33">
        <v>3</v>
      </c>
      <c r="AZ33" t="s">
        <v>259</v>
      </c>
      <c r="BA33">
        <v>2012</v>
      </c>
      <c r="BB33">
        <v>2015</v>
      </c>
      <c r="BC33" t="s">
        <v>29</v>
      </c>
      <c r="BD33" t="s">
        <v>238</v>
      </c>
      <c r="BE33" t="s">
        <v>258</v>
      </c>
      <c r="BF33" t="s">
        <v>57</v>
      </c>
      <c r="BG33" s="3" t="s">
        <v>1243</v>
      </c>
      <c r="BH33" t="s">
        <v>23</v>
      </c>
      <c r="BI33" t="s">
        <v>29</v>
      </c>
      <c r="BJ33" s="4" t="s">
        <v>22</v>
      </c>
      <c r="BK33" s="9">
        <v>44000</v>
      </c>
      <c r="BL33" t="s">
        <v>56</v>
      </c>
      <c r="BM33" t="s">
        <v>235</v>
      </c>
      <c r="BN33" t="s">
        <v>29</v>
      </c>
      <c r="BO33" s="4" t="s">
        <v>22</v>
      </c>
      <c r="BP33" s="9">
        <v>44444</v>
      </c>
      <c r="HL33" t="s">
        <v>233</v>
      </c>
      <c r="HM33" t="s">
        <v>232</v>
      </c>
      <c r="HR33" t="s">
        <v>231</v>
      </c>
      <c r="HT33" s="4" t="s">
        <v>736</v>
      </c>
      <c r="HU33" t="s">
        <v>29</v>
      </c>
      <c r="HV33" t="s">
        <v>29</v>
      </c>
      <c r="IG33" t="s">
        <v>230</v>
      </c>
      <c r="IH33" s="12" t="s">
        <v>229</v>
      </c>
      <c r="II33" s="45" t="s">
        <v>660</v>
      </c>
      <c r="IJ33" s="45" t="s">
        <v>661</v>
      </c>
      <c r="IK33">
        <v>2012</v>
      </c>
      <c r="IL33" s="88" t="s">
        <v>29</v>
      </c>
      <c r="IM33" s="4" t="s">
        <v>18</v>
      </c>
      <c r="JI33" t="s">
        <v>228</v>
      </c>
      <c r="JJ33" s="3" t="s">
        <v>15</v>
      </c>
      <c r="JK33" s="8" t="s">
        <v>14</v>
      </c>
      <c r="JL33" s="8" t="s">
        <v>730</v>
      </c>
      <c r="JM33" s="4" t="s">
        <v>13</v>
      </c>
      <c r="JN33" t="s">
        <v>731</v>
      </c>
      <c r="JU33" s="4"/>
      <c r="JV33" s="4"/>
      <c r="JW33" s="4"/>
      <c r="JX33" s="4"/>
      <c r="JY33" s="4"/>
      <c r="JZ33" s="4"/>
      <c r="KA33" s="4"/>
      <c r="KB33" s="4"/>
      <c r="KC33" s="4"/>
      <c r="KD33" t="s">
        <v>223</v>
      </c>
      <c r="KE33" s="13" t="s">
        <v>12</v>
      </c>
      <c r="KF33" s="13" t="s">
        <v>29</v>
      </c>
      <c r="KG33" t="s">
        <v>29</v>
      </c>
      <c r="KH33" t="s">
        <v>223</v>
      </c>
      <c r="KI33" t="s">
        <v>222</v>
      </c>
      <c r="KJ33" t="s">
        <v>221</v>
      </c>
      <c r="KK33" s="4" t="s">
        <v>220</v>
      </c>
      <c r="KL33">
        <v>2.5</v>
      </c>
      <c r="KM33" s="7" t="s">
        <v>720</v>
      </c>
      <c r="KN33" s="7"/>
      <c r="KO33" s="7"/>
      <c r="KP33" s="13"/>
      <c r="KQ33" s="7" t="s">
        <v>219</v>
      </c>
      <c r="KR33" s="7" t="s">
        <v>218</v>
      </c>
      <c r="KS33" s="7"/>
      <c r="KT33" t="s">
        <v>29</v>
      </c>
      <c r="KU33" t="s">
        <v>217</v>
      </c>
      <c r="KV33" t="s">
        <v>216</v>
      </c>
      <c r="KZ33" s="4"/>
      <c r="LA33" s="4" t="s">
        <v>29</v>
      </c>
      <c r="LB33" s="4" t="s">
        <v>29</v>
      </c>
      <c r="LC33" s="4" t="s">
        <v>29</v>
      </c>
      <c r="LD33" s="4"/>
      <c r="LE33" t="s">
        <v>215</v>
      </c>
      <c r="LF33" s="4" t="s">
        <v>29</v>
      </c>
      <c r="LG33" s="4" t="s">
        <v>29</v>
      </c>
      <c r="LH33" s="4" t="s">
        <v>13</v>
      </c>
      <c r="LI33">
        <v>2500</v>
      </c>
      <c r="MS33" t="s">
        <v>214</v>
      </c>
      <c r="MT33">
        <v>30</v>
      </c>
      <c r="MU33" t="s">
        <v>1161</v>
      </c>
      <c r="MV33" t="s">
        <v>1163</v>
      </c>
      <c r="MW33" s="4" t="s">
        <v>10</v>
      </c>
      <c r="MX33" t="s">
        <v>213</v>
      </c>
      <c r="NE33" t="s">
        <v>654</v>
      </c>
      <c r="NF33" t="s">
        <v>653</v>
      </c>
      <c r="NG33" s="4" t="s">
        <v>1165</v>
      </c>
      <c r="NH33" s="6" t="s">
        <v>13</v>
      </c>
      <c r="NQ33" t="s">
        <v>6</v>
      </c>
      <c r="NR33">
        <v>3999</v>
      </c>
      <c r="NS33" t="s">
        <v>29</v>
      </c>
      <c r="NT33" t="s">
        <v>29</v>
      </c>
      <c r="NW33">
        <v>8</v>
      </c>
      <c r="OH33" t="s">
        <v>212</v>
      </c>
      <c r="OI33" t="s">
        <v>6</v>
      </c>
      <c r="OK33" s="88">
        <v>2012</v>
      </c>
      <c r="OL33" s="88">
        <v>2015</v>
      </c>
      <c r="OM33" s="88"/>
      <c r="OO33" s="3" t="s">
        <v>1178</v>
      </c>
      <c r="OP33" s="83">
        <v>46094</v>
      </c>
      <c r="OQ33" s="83"/>
    </row>
    <row r="34" spans="1:407" ht="15.75" thickBot="1">
      <c r="A34" t="s">
        <v>248</v>
      </c>
      <c r="B34" t="s">
        <v>247</v>
      </c>
      <c r="C34" t="s">
        <v>246</v>
      </c>
      <c r="D34" s="4" t="s">
        <v>245</v>
      </c>
      <c r="E34" t="s">
        <v>244</v>
      </c>
      <c r="F34" s="4" t="s">
        <v>243</v>
      </c>
      <c r="G34" t="s">
        <v>2</v>
      </c>
      <c r="H34" t="s">
        <v>30</v>
      </c>
      <c r="I34" t="s">
        <v>242</v>
      </c>
      <c r="J34" t="s">
        <v>241</v>
      </c>
      <c r="K34" t="s">
        <v>29</v>
      </c>
      <c r="AV34" t="s">
        <v>240</v>
      </c>
      <c r="AW34">
        <v>400</v>
      </c>
      <c r="AX34" t="s">
        <v>29</v>
      </c>
      <c r="AY34">
        <v>3</v>
      </c>
      <c r="AZ34" t="s">
        <v>259</v>
      </c>
      <c r="BA34">
        <v>2012</v>
      </c>
      <c r="BB34">
        <v>2015</v>
      </c>
      <c r="BC34" t="s">
        <v>29</v>
      </c>
      <c r="BD34" t="s">
        <v>19</v>
      </c>
      <c r="BE34" t="s">
        <v>311</v>
      </c>
      <c r="BF34" t="s">
        <v>39</v>
      </c>
      <c r="BG34" s="3" t="s">
        <v>1243</v>
      </c>
      <c r="BH34" t="s">
        <v>23</v>
      </c>
      <c r="BI34" t="s">
        <v>29</v>
      </c>
      <c r="BJ34" s="4" t="s">
        <v>22</v>
      </c>
      <c r="BK34" s="9">
        <v>44000</v>
      </c>
      <c r="HL34" t="s">
        <v>298</v>
      </c>
      <c r="HM34" t="s">
        <v>297</v>
      </c>
      <c r="HN34" t="s">
        <v>296</v>
      </c>
      <c r="HP34" t="s">
        <v>29</v>
      </c>
      <c r="HQ34">
        <v>1</v>
      </c>
      <c r="HR34" t="s">
        <v>231</v>
      </c>
      <c r="HT34" s="4" t="s">
        <v>20</v>
      </c>
      <c r="HU34" t="s">
        <v>29</v>
      </c>
      <c r="HV34" t="s">
        <v>29</v>
      </c>
      <c r="IG34" t="s">
        <v>255</v>
      </c>
      <c r="IH34" s="13" t="s">
        <v>19</v>
      </c>
      <c r="II34" s="46"/>
      <c r="IJ34" s="46"/>
      <c r="JI34" t="s">
        <v>228</v>
      </c>
      <c r="JJ34" s="3" t="s">
        <v>15</v>
      </c>
      <c r="JK34" s="8" t="s">
        <v>14</v>
      </c>
      <c r="JL34" s="8" t="s">
        <v>730</v>
      </c>
      <c r="JM34" s="4" t="s">
        <v>13</v>
      </c>
      <c r="JN34" t="s">
        <v>731</v>
      </c>
      <c r="JU34" s="4"/>
      <c r="JV34" s="4"/>
      <c r="JW34" s="4"/>
      <c r="JX34" s="4"/>
      <c r="JY34" s="4"/>
      <c r="JZ34" s="4"/>
      <c r="KA34" s="4"/>
      <c r="KB34" s="4"/>
      <c r="KC34" s="4"/>
      <c r="KD34" s="4" t="s">
        <v>295</v>
      </c>
      <c r="KE34" s="13" t="s">
        <v>12</v>
      </c>
      <c r="KF34" s="13" t="s">
        <v>29</v>
      </c>
      <c r="KG34" t="s">
        <v>29</v>
      </c>
      <c r="KH34" t="s">
        <v>294</v>
      </c>
      <c r="KI34" s="13" t="s">
        <v>12</v>
      </c>
      <c r="KK34" s="4"/>
      <c r="KM34" s="7" t="s">
        <v>720</v>
      </c>
      <c r="KN34" s="7"/>
      <c r="KO34" s="7"/>
      <c r="KP34" s="13"/>
      <c r="KQ34" s="7" t="s">
        <v>722</v>
      </c>
      <c r="KR34" s="7"/>
      <c r="KS34" s="7"/>
      <c r="KT34" s="13"/>
      <c r="KV34" s="13" t="s">
        <v>1124</v>
      </c>
      <c r="KZ34" s="4"/>
      <c r="LA34" s="13"/>
      <c r="LB34" s="13"/>
      <c r="LC34" s="13"/>
      <c r="LD34" s="4"/>
      <c r="LE34" s="4"/>
      <c r="LF34" s="4"/>
      <c r="LG34" s="4"/>
      <c r="LH34" s="4"/>
      <c r="MS34" t="s">
        <v>214</v>
      </c>
      <c r="MT34">
        <v>30</v>
      </c>
      <c r="MU34" t="s">
        <v>655</v>
      </c>
      <c r="MW34" s="4" t="s">
        <v>168</v>
      </c>
      <c r="NE34" t="s">
        <v>655</v>
      </c>
      <c r="NF34" t="s">
        <v>655</v>
      </c>
      <c r="NG34" s="4" t="s">
        <v>8</v>
      </c>
      <c r="NH34" s="6" t="s">
        <v>13</v>
      </c>
      <c r="NP34" t="s">
        <v>1158</v>
      </c>
      <c r="NQ34" t="s">
        <v>6</v>
      </c>
      <c r="NR34">
        <v>2670</v>
      </c>
      <c r="NS34" t="s">
        <v>29</v>
      </c>
      <c r="NT34" t="s">
        <v>29</v>
      </c>
      <c r="NW34">
        <v>8</v>
      </c>
      <c r="OH34" t="s">
        <v>212</v>
      </c>
      <c r="OI34" t="s">
        <v>6</v>
      </c>
      <c r="OK34" s="88">
        <v>2012</v>
      </c>
      <c r="OL34" s="88">
        <v>2015</v>
      </c>
      <c r="OO34" s="3" t="s">
        <v>1178</v>
      </c>
      <c r="OP34" s="83">
        <v>46094</v>
      </c>
      <c r="OQ34" s="83"/>
    </row>
    <row r="35" spans="1:407" ht="14.45" customHeight="1" thickBot="1">
      <c r="A35" t="s">
        <v>248</v>
      </c>
      <c r="B35" t="s">
        <v>247</v>
      </c>
      <c r="C35" t="s">
        <v>246</v>
      </c>
      <c r="D35" s="4" t="s">
        <v>245</v>
      </c>
      <c r="E35" t="s">
        <v>244</v>
      </c>
      <c r="F35" s="4" t="s">
        <v>243</v>
      </c>
      <c r="G35" t="s">
        <v>2</v>
      </c>
      <c r="H35" t="s">
        <v>30</v>
      </c>
      <c r="I35" t="s">
        <v>242</v>
      </c>
      <c r="J35" t="s">
        <v>241</v>
      </c>
      <c r="K35" t="s">
        <v>29</v>
      </c>
      <c r="AV35" t="s">
        <v>240</v>
      </c>
      <c r="AW35">
        <v>400</v>
      </c>
      <c r="AX35" t="s">
        <v>29</v>
      </c>
      <c r="AY35">
        <v>3</v>
      </c>
      <c r="AZ35" t="s">
        <v>259</v>
      </c>
      <c r="BA35">
        <v>2012</v>
      </c>
      <c r="BB35">
        <v>2015</v>
      </c>
      <c r="BC35" t="s">
        <v>29</v>
      </c>
      <c r="BD35" t="s">
        <v>19</v>
      </c>
      <c r="BE35" t="s">
        <v>261</v>
      </c>
      <c r="BF35" t="s">
        <v>24</v>
      </c>
      <c r="BG35" s="3" t="s">
        <v>1243</v>
      </c>
      <c r="BH35" t="s">
        <v>23</v>
      </c>
      <c r="BI35" t="s">
        <v>29</v>
      </c>
      <c r="BJ35" s="4" t="s">
        <v>22</v>
      </c>
      <c r="BK35" s="9">
        <v>44000</v>
      </c>
      <c r="HL35" t="s">
        <v>233</v>
      </c>
      <c r="HM35" t="s">
        <v>232</v>
      </c>
      <c r="HR35" t="s">
        <v>231</v>
      </c>
      <c r="HT35" s="4" t="s">
        <v>20</v>
      </c>
      <c r="HU35" t="s">
        <v>29</v>
      </c>
      <c r="HV35" t="s">
        <v>29</v>
      </c>
      <c r="IG35" t="s">
        <v>255</v>
      </c>
      <c r="IH35" s="13" t="s">
        <v>19</v>
      </c>
      <c r="II35" s="46"/>
      <c r="IJ35" s="46"/>
      <c r="IO35" s="13"/>
      <c r="JI35" t="s">
        <v>228</v>
      </c>
      <c r="JJ35" s="3" t="s">
        <v>15</v>
      </c>
      <c r="JK35" s="8" t="s">
        <v>14</v>
      </c>
      <c r="JL35" s="8" t="s">
        <v>730</v>
      </c>
      <c r="JM35" s="4" t="s">
        <v>13</v>
      </c>
      <c r="JN35" t="s">
        <v>731</v>
      </c>
      <c r="JU35" s="4"/>
      <c r="JV35" s="4"/>
      <c r="JW35" s="4"/>
      <c r="JX35" s="4"/>
      <c r="JY35" s="4"/>
      <c r="JZ35" s="4"/>
      <c r="KA35" s="4"/>
      <c r="KB35" s="4"/>
      <c r="KC35" s="4"/>
      <c r="KD35" t="s">
        <v>223</v>
      </c>
      <c r="KE35" s="13" t="s">
        <v>12</v>
      </c>
      <c r="KF35" s="13" t="s">
        <v>29</v>
      </c>
      <c r="KG35" t="s">
        <v>29</v>
      </c>
      <c r="KH35" t="s">
        <v>223</v>
      </c>
      <c r="KI35" t="s">
        <v>222</v>
      </c>
      <c r="KJ35" t="s">
        <v>221</v>
      </c>
      <c r="KK35" s="4" t="s">
        <v>220</v>
      </c>
      <c r="KL35">
        <v>2.5</v>
      </c>
      <c r="KM35" s="7" t="s">
        <v>720</v>
      </c>
      <c r="KN35" s="7"/>
      <c r="KO35" s="7"/>
      <c r="KP35" s="13"/>
      <c r="KQ35" s="7" t="s">
        <v>722</v>
      </c>
      <c r="KR35" s="7"/>
      <c r="KS35" s="7"/>
      <c r="KT35" s="13"/>
      <c r="KU35" t="s">
        <v>217</v>
      </c>
      <c r="KV35" t="s">
        <v>216</v>
      </c>
      <c r="KZ35" s="4"/>
      <c r="LA35" s="4" t="s">
        <v>29</v>
      </c>
      <c r="LB35" s="4" t="s">
        <v>29</v>
      </c>
      <c r="LC35" s="4" t="s">
        <v>29</v>
      </c>
      <c r="LD35" s="4"/>
      <c r="LE35" t="s">
        <v>215</v>
      </c>
      <c r="LF35" s="4" t="s">
        <v>29</v>
      </c>
      <c r="LG35" s="4" t="s">
        <v>29</v>
      </c>
      <c r="LH35" s="4" t="s">
        <v>13</v>
      </c>
      <c r="LI35">
        <v>2500</v>
      </c>
      <c r="MS35" t="s">
        <v>214</v>
      </c>
      <c r="MT35">
        <v>30</v>
      </c>
      <c r="MU35" t="s">
        <v>655</v>
      </c>
      <c r="MW35" s="4" t="s">
        <v>168</v>
      </c>
      <c r="NE35" t="s">
        <v>655</v>
      </c>
      <c r="NF35" t="s">
        <v>655</v>
      </c>
      <c r="NG35" s="4" t="s">
        <v>8</v>
      </c>
      <c r="NH35" s="6" t="s">
        <v>13</v>
      </c>
      <c r="NP35" t="s">
        <v>745</v>
      </c>
      <c r="NQ35" t="s">
        <v>6</v>
      </c>
      <c r="NR35">
        <v>2729</v>
      </c>
      <c r="NS35" t="s">
        <v>29</v>
      </c>
      <c r="NT35" t="s">
        <v>29</v>
      </c>
      <c r="NW35">
        <v>8</v>
      </c>
      <c r="OH35" t="s">
        <v>212</v>
      </c>
      <c r="OI35" t="s">
        <v>6</v>
      </c>
      <c r="OK35" s="88">
        <v>2012</v>
      </c>
      <c r="OL35" s="88">
        <v>2015</v>
      </c>
      <c r="OM35" s="88"/>
      <c r="OO35" s="3" t="s">
        <v>1178</v>
      </c>
      <c r="OP35" s="83">
        <v>46094</v>
      </c>
      <c r="OQ35" s="83"/>
    </row>
    <row r="36" spans="1:407" ht="15.75" thickBot="1">
      <c r="A36" t="s">
        <v>248</v>
      </c>
      <c r="B36" t="s">
        <v>247</v>
      </c>
      <c r="C36" t="s">
        <v>246</v>
      </c>
      <c r="D36" s="4" t="s">
        <v>245</v>
      </c>
      <c r="E36" t="s">
        <v>244</v>
      </c>
      <c r="F36" s="4" t="s">
        <v>243</v>
      </c>
      <c r="G36" t="s">
        <v>2</v>
      </c>
      <c r="H36" t="s">
        <v>30</v>
      </c>
      <c r="I36" t="s">
        <v>242</v>
      </c>
      <c r="J36" t="s">
        <v>241</v>
      </c>
      <c r="K36" t="s">
        <v>29</v>
      </c>
      <c r="AV36" t="s">
        <v>240</v>
      </c>
      <c r="AW36">
        <v>400</v>
      </c>
      <c r="AX36" t="s">
        <v>29</v>
      </c>
      <c r="AY36">
        <v>3</v>
      </c>
      <c r="AZ36" t="s">
        <v>259</v>
      </c>
      <c r="BA36">
        <v>2012</v>
      </c>
      <c r="BB36">
        <v>2015</v>
      </c>
      <c r="BC36" t="s">
        <v>29</v>
      </c>
      <c r="BD36" t="s">
        <v>238</v>
      </c>
      <c r="BE36" t="s">
        <v>260</v>
      </c>
      <c r="BF36" t="s">
        <v>64</v>
      </c>
      <c r="BG36" s="3" t="s">
        <v>1243</v>
      </c>
      <c r="BH36" t="s">
        <v>23</v>
      </c>
      <c r="BI36" t="s">
        <v>29</v>
      </c>
      <c r="BJ36" s="4" t="s">
        <v>22</v>
      </c>
      <c r="BK36" s="9">
        <v>44000</v>
      </c>
      <c r="BL36" t="s">
        <v>56</v>
      </c>
      <c r="BM36" t="s">
        <v>250</v>
      </c>
      <c r="BN36" t="s">
        <v>29</v>
      </c>
      <c r="BO36" s="4" t="s">
        <v>22</v>
      </c>
      <c r="BP36" s="9">
        <v>44444</v>
      </c>
      <c r="HL36" t="s">
        <v>233</v>
      </c>
      <c r="HM36" t="s">
        <v>232</v>
      </c>
      <c r="HR36" t="s">
        <v>231</v>
      </c>
      <c r="HT36" s="4" t="s">
        <v>736</v>
      </c>
      <c r="HU36" t="s">
        <v>29</v>
      </c>
      <c r="HV36" t="s">
        <v>29</v>
      </c>
      <c r="IG36" t="s">
        <v>251</v>
      </c>
      <c r="IH36" s="12" t="s">
        <v>229</v>
      </c>
      <c r="II36" s="45" t="s">
        <v>660</v>
      </c>
      <c r="IJ36" s="45" t="s">
        <v>661</v>
      </c>
      <c r="IK36">
        <v>2012</v>
      </c>
      <c r="IL36" s="88" t="s">
        <v>29</v>
      </c>
      <c r="IM36" s="4" t="s">
        <v>18</v>
      </c>
      <c r="JI36" t="s">
        <v>228</v>
      </c>
      <c r="JJ36" s="3" t="s">
        <v>15</v>
      </c>
      <c r="JK36" s="8" t="s">
        <v>14</v>
      </c>
      <c r="JL36" s="8" t="s">
        <v>730</v>
      </c>
      <c r="JM36" s="4" t="s">
        <v>13</v>
      </c>
      <c r="JN36" t="s">
        <v>731</v>
      </c>
      <c r="JU36" s="4"/>
      <c r="JV36" s="4"/>
      <c r="JW36" s="4"/>
      <c r="JX36" s="4"/>
      <c r="JY36" s="4"/>
      <c r="JZ36" s="4"/>
      <c r="KA36" s="4"/>
      <c r="KB36" s="4"/>
      <c r="KC36" s="4"/>
      <c r="KD36" t="s">
        <v>223</v>
      </c>
      <c r="KE36" s="13" t="s">
        <v>12</v>
      </c>
      <c r="KF36" s="13" t="s">
        <v>29</v>
      </c>
      <c r="KG36" t="s">
        <v>29</v>
      </c>
      <c r="KH36" t="s">
        <v>223</v>
      </c>
      <c r="KI36" t="s">
        <v>222</v>
      </c>
      <c r="KJ36" t="s">
        <v>221</v>
      </c>
      <c r="KK36" s="4" t="s">
        <v>220</v>
      </c>
      <c r="KL36">
        <v>2.5</v>
      </c>
      <c r="KM36" s="7" t="s">
        <v>720</v>
      </c>
      <c r="KN36" s="7"/>
      <c r="KO36" s="7"/>
      <c r="KP36" s="13"/>
      <c r="KQ36" s="7" t="s">
        <v>219</v>
      </c>
      <c r="KR36" s="7" t="s">
        <v>218</v>
      </c>
      <c r="KS36" s="7"/>
      <c r="KT36" t="s">
        <v>29</v>
      </c>
      <c r="KU36" t="s">
        <v>217</v>
      </c>
      <c r="KV36" t="s">
        <v>216</v>
      </c>
      <c r="KZ36" s="4"/>
      <c r="LA36" s="4" t="s">
        <v>29</v>
      </c>
      <c r="LB36" s="4" t="s">
        <v>29</v>
      </c>
      <c r="LC36" s="4" t="s">
        <v>29</v>
      </c>
      <c r="LD36" s="4"/>
      <c r="LE36" t="s">
        <v>215</v>
      </c>
      <c r="LF36" s="4" t="s">
        <v>29</v>
      </c>
      <c r="LG36" s="4" t="s">
        <v>29</v>
      </c>
      <c r="LH36" s="4" t="s">
        <v>13</v>
      </c>
      <c r="LI36">
        <v>2500</v>
      </c>
      <c r="MS36" t="s">
        <v>214</v>
      </c>
      <c r="MT36">
        <v>30</v>
      </c>
      <c r="MU36" t="s">
        <v>655</v>
      </c>
      <c r="MW36" s="4" t="s">
        <v>168</v>
      </c>
      <c r="NE36" t="s">
        <v>655</v>
      </c>
      <c r="NF36" t="s">
        <v>655</v>
      </c>
      <c r="NG36" s="4" t="s">
        <v>8</v>
      </c>
      <c r="NH36" s="6" t="s">
        <v>13</v>
      </c>
      <c r="NQ36" t="s">
        <v>6</v>
      </c>
      <c r="NR36">
        <v>2565</v>
      </c>
      <c r="NS36" t="s">
        <v>29</v>
      </c>
      <c r="NT36" t="s">
        <v>29</v>
      </c>
      <c r="NW36">
        <v>8</v>
      </c>
      <c r="OH36" t="s">
        <v>212</v>
      </c>
      <c r="OI36" t="s">
        <v>6</v>
      </c>
      <c r="OK36" s="88">
        <v>2012</v>
      </c>
      <c r="OL36" s="88">
        <v>2015</v>
      </c>
      <c r="OM36" s="88"/>
      <c r="OO36" s="3" t="s">
        <v>1178</v>
      </c>
      <c r="OP36" s="83">
        <v>46094</v>
      </c>
      <c r="OQ36" s="83"/>
    </row>
    <row r="37" spans="1:407" ht="15.75" thickBot="1">
      <c r="A37" t="s">
        <v>248</v>
      </c>
      <c r="B37" t="s">
        <v>247</v>
      </c>
      <c r="C37" t="s">
        <v>246</v>
      </c>
      <c r="D37" s="4" t="s">
        <v>245</v>
      </c>
      <c r="E37" t="s">
        <v>244</v>
      </c>
      <c r="F37" s="4" t="s">
        <v>243</v>
      </c>
      <c r="G37" t="s">
        <v>2</v>
      </c>
      <c r="H37" t="s">
        <v>30</v>
      </c>
      <c r="I37" t="s">
        <v>242</v>
      </c>
      <c r="J37" t="s">
        <v>241</v>
      </c>
      <c r="K37" t="s">
        <v>29</v>
      </c>
      <c r="AV37" t="s">
        <v>240</v>
      </c>
      <c r="AW37">
        <v>400</v>
      </c>
      <c r="AX37" t="s">
        <v>29</v>
      </c>
      <c r="AY37">
        <v>3</v>
      </c>
      <c r="AZ37" t="s">
        <v>259</v>
      </c>
      <c r="BA37">
        <v>2012</v>
      </c>
      <c r="BB37">
        <v>2015</v>
      </c>
      <c r="BC37" t="s">
        <v>29</v>
      </c>
      <c r="BD37" t="s">
        <v>238</v>
      </c>
      <c r="BE37" t="s">
        <v>258</v>
      </c>
      <c r="BF37" t="s">
        <v>57</v>
      </c>
      <c r="BG37" s="3" t="s">
        <v>1243</v>
      </c>
      <c r="BH37" t="s">
        <v>23</v>
      </c>
      <c r="BI37" t="s">
        <v>29</v>
      </c>
      <c r="BJ37" s="4" t="s">
        <v>22</v>
      </c>
      <c r="BK37" s="9">
        <v>44000</v>
      </c>
      <c r="BL37" t="s">
        <v>56</v>
      </c>
      <c r="BM37" t="s">
        <v>235</v>
      </c>
      <c r="BN37" t="s">
        <v>29</v>
      </c>
      <c r="BO37" s="4" t="s">
        <v>22</v>
      </c>
      <c r="BP37" s="9">
        <v>44444</v>
      </c>
      <c r="HL37" t="s">
        <v>233</v>
      </c>
      <c r="HM37" t="s">
        <v>232</v>
      </c>
      <c r="HR37" t="s">
        <v>231</v>
      </c>
      <c r="HT37" s="4" t="s">
        <v>736</v>
      </c>
      <c r="HU37" t="s">
        <v>29</v>
      </c>
      <c r="HV37" t="s">
        <v>29</v>
      </c>
      <c r="IG37" t="s">
        <v>230</v>
      </c>
      <c r="IH37" s="12" t="s">
        <v>229</v>
      </c>
      <c r="II37" s="45" t="s">
        <v>660</v>
      </c>
      <c r="IJ37" s="45" t="s">
        <v>661</v>
      </c>
      <c r="IK37">
        <v>2012</v>
      </c>
      <c r="IL37" s="88" t="s">
        <v>29</v>
      </c>
      <c r="IM37" s="4" t="s">
        <v>18</v>
      </c>
      <c r="JI37" t="s">
        <v>228</v>
      </c>
      <c r="JJ37" s="3" t="s">
        <v>15</v>
      </c>
      <c r="JK37" s="8" t="s">
        <v>14</v>
      </c>
      <c r="JL37" s="8" t="s">
        <v>730</v>
      </c>
      <c r="JM37" s="4" t="s">
        <v>13</v>
      </c>
      <c r="JN37" t="s">
        <v>731</v>
      </c>
      <c r="JU37" s="4"/>
      <c r="JV37" s="4"/>
      <c r="JW37" s="4"/>
      <c r="JX37" s="4"/>
      <c r="JY37" s="4"/>
      <c r="JZ37" s="4"/>
      <c r="KA37" s="4"/>
      <c r="KB37" s="4"/>
      <c r="KC37" s="4"/>
      <c r="KD37" t="s">
        <v>223</v>
      </c>
      <c r="KE37" s="13" t="s">
        <v>12</v>
      </c>
      <c r="KF37" s="13" t="s">
        <v>29</v>
      </c>
      <c r="KG37" t="s">
        <v>29</v>
      </c>
      <c r="KH37" t="s">
        <v>223</v>
      </c>
      <c r="KI37" t="s">
        <v>222</v>
      </c>
      <c r="KJ37" t="s">
        <v>221</v>
      </c>
      <c r="KK37" s="4" t="s">
        <v>220</v>
      </c>
      <c r="KL37">
        <v>2.5</v>
      </c>
      <c r="KM37" s="7" t="s">
        <v>720</v>
      </c>
      <c r="KN37" s="7"/>
      <c r="KO37" s="7"/>
      <c r="KP37" s="13"/>
      <c r="KQ37" s="7" t="s">
        <v>219</v>
      </c>
      <c r="KR37" s="7" t="s">
        <v>218</v>
      </c>
      <c r="KS37" s="7"/>
      <c r="KT37" t="s">
        <v>29</v>
      </c>
      <c r="KU37" t="s">
        <v>217</v>
      </c>
      <c r="KV37" t="s">
        <v>216</v>
      </c>
      <c r="KZ37" s="4"/>
      <c r="LA37" s="4" t="s">
        <v>29</v>
      </c>
      <c r="LB37" s="4" t="s">
        <v>29</v>
      </c>
      <c r="LC37" s="4" t="s">
        <v>29</v>
      </c>
      <c r="LD37" s="4"/>
      <c r="LE37" t="s">
        <v>215</v>
      </c>
      <c r="LF37" s="4" t="s">
        <v>29</v>
      </c>
      <c r="LG37" s="4" t="s">
        <v>29</v>
      </c>
      <c r="LH37" s="4" t="s">
        <v>13</v>
      </c>
      <c r="LI37">
        <v>2500</v>
      </c>
      <c r="MS37" t="s">
        <v>214</v>
      </c>
      <c r="MT37">
        <v>30</v>
      </c>
      <c r="MU37" t="s">
        <v>655</v>
      </c>
      <c r="MW37" s="4" t="s">
        <v>168</v>
      </c>
      <c r="NE37" t="s">
        <v>655</v>
      </c>
      <c r="NF37" t="s">
        <v>655</v>
      </c>
      <c r="NG37" s="4" t="s">
        <v>8</v>
      </c>
      <c r="NH37" s="6" t="s">
        <v>13</v>
      </c>
      <c r="NQ37" t="s">
        <v>6</v>
      </c>
      <c r="NR37">
        <v>2623</v>
      </c>
      <c r="NS37" t="s">
        <v>29</v>
      </c>
      <c r="NT37" t="s">
        <v>29</v>
      </c>
      <c r="NW37">
        <v>8</v>
      </c>
      <c r="OH37" t="s">
        <v>212</v>
      </c>
      <c r="OI37" t="s">
        <v>6</v>
      </c>
      <c r="OK37" s="88">
        <v>2012</v>
      </c>
      <c r="OL37" s="88">
        <v>2015</v>
      </c>
      <c r="OM37" s="88"/>
      <c r="OO37" s="3" t="s">
        <v>1178</v>
      </c>
      <c r="OP37" s="83">
        <v>46094</v>
      </c>
      <c r="OQ37" s="83"/>
    </row>
    <row r="38" spans="1:407" ht="15.75" thickBot="1">
      <c r="A38" t="s">
        <v>248</v>
      </c>
      <c r="B38" t="s">
        <v>247</v>
      </c>
      <c r="C38" t="s">
        <v>246</v>
      </c>
      <c r="D38" s="4" t="s">
        <v>245</v>
      </c>
      <c r="E38" t="s">
        <v>244</v>
      </c>
      <c r="F38" s="4" t="s">
        <v>243</v>
      </c>
      <c r="G38" t="s">
        <v>2</v>
      </c>
      <c r="H38" t="s">
        <v>30</v>
      </c>
      <c r="I38" t="s">
        <v>242</v>
      </c>
      <c r="J38" t="s">
        <v>241</v>
      </c>
      <c r="K38" t="s">
        <v>29</v>
      </c>
      <c r="AV38" t="s">
        <v>240</v>
      </c>
      <c r="AW38">
        <v>200</v>
      </c>
      <c r="AX38" t="s">
        <v>29</v>
      </c>
      <c r="AY38">
        <v>1</v>
      </c>
      <c r="AZ38" t="s">
        <v>239</v>
      </c>
      <c r="BA38">
        <v>2014</v>
      </c>
      <c r="BB38">
        <v>2015</v>
      </c>
      <c r="BC38" t="s">
        <v>29</v>
      </c>
      <c r="BD38" t="s">
        <v>19</v>
      </c>
      <c r="BE38" t="s">
        <v>300</v>
      </c>
      <c r="BF38" t="s">
        <v>299</v>
      </c>
      <c r="BG38" s="3" t="s">
        <v>1243</v>
      </c>
      <c r="BH38" t="s">
        <v>23</v>
      </c>
      <c r="BI38" t="s">
        <v>29</v>
      </c>
      <c r="BJ38" s="4" t="s">
        <v>22</v>
      </c>
      <c r="BK38" s="9">
        <v>44000</v>
      </c>
      <c r="HL38" t="s">
        <v>298</v>
      </c>
      <c r="HM38" t="s">
        <v>297</v>
      </c>
      <c r="HN38" t="s">
        <v>296</v>
      </c>
      <c r="HP38" t="s">
        <v>29</v>
      </c>
      <c r="HQ38">
        <v>1</v>
      </c>
      <c r="HR38" t="s">
        <v>231</v>
      </c>
      <c r="HT38" s="4" t="s">
        <v>20</v>
      </c>
      <c r="HU38" t="s">
        <v>29</v>
      </c>
      <c r="HV38" t="s">
        <v>29</v>
      </c>
      <c r="IG38" t="s">
        <v>255</v>
      </c>
      <c r="IH38" s="13" t="s">
        <v>19</v>
      </c>
      <c r="II38" s="46"/>
      <c r="IJ38" s="46"/>
      <c r="JI38" t="s">
        <v>228</v>
      </c>
      <c r="JJ38" s="54" t="s">
        <v>1565</v>
      </c>
      <c r="JK38" s="8" t="s">
        <v>14</v>
      </c>
      <c r="JL38" s="8" t="s">
        <v>730</v>
      </c>
      <c r="JM38" s="4" t="s">
        <v>13</v>
      </c>
      <c r="JN38" t="s">
        <v>731</v>
      </c>
      <c r="JU38" s="4" t="s">
        <v>227</v>
      </c>
      <c r="JV38" s="4" t="s">
        <v>226</v>
      </c>
      <c r="JW38" s="4" t="s">
        <v>13</v>
      </c>
      <c r="JX38" s="4">
        <v>5000</v>
      </c>
      <c r="JY38" s="4" t="s">
        <v>225</v>
      </c>
      <c r="JZ38" s="4">
        <v>0.74</v>
      </c>
      <c r="KA38">
        <v>0.12</v>
      </c>
      <c r="KB38">
        <v>0.69</v>
      </c>
      <c r="KC38" s="4" t="s">
        <v>224</v>
      </c>
      <c r="KD38" s="4" t="s">
        <v>295</v>
      </c>
      <c r="KE38" s="13" t="s">
        <v>12</v>
      </c>
      <c r="KF38" s="13" t="s">
        <v>29</v>
      </c>
      <c r="KG38" t="s">
        <v>29</v>
      </c>
      <c r="KH38" t="s">
        <v>294</v>
      </c>
      <c r="KI38" s="13" t="s">
        <v>12</v>
      </c>
      <c r="KK38" s="4"/>
      <c r="KM38" s="7" t="s">
        <v>720</v>
      </c>
      <c r="KN38" s="7"/>
      <c r="KO38" s="7"/>
      <c r="KP38" s="13"/>
      <c r="KQ38" s="7" t="s">
        <v>722</v>
      </c>
      <c r="KR38" s="7"/>
      <c r="KS38" s="7"/>
      <c r="KT38" s="13"/>
      <c r="KV38" s="13" t="s">
        <v>1124</v>
      </c>
      <c r="KZ38" s="4"/>
      <c r="LA38" s="13"/>
      <c r="LB38" s="13"/>
      <c r="LC38" s="13"/>
      <c r="LD38" s="4"/>
      <c r="LE38" s="4"/>
      <c r="LF38" s="4"/>
      <c r="LG38" s="4"/>
      <c r="LH38" s="4"/>
      <c r="MS38" t="s">
        <v>214</v>
      </c>
      <c r="MT38">
        <v>30</v>
      </c>
      <c r="MU38" t="s">
        <v>1160</v>
      </c>
      <c r="MV38" t="s">
        <v>1163</v>
      </c>
      <c r="MW38" s="4" t="s">
        <v>10</v>
      </c>
      <c r="NE38" t="s">
        <v>654</v>
      </c>
      <c r="NF38" t="s">
        <v>653</v>
      </c>
      <c r="NG38" s="4" t="s">
        <v>1165</v>
      </c>
      <c r="NH38" s="6" t="s">
        <v>13</v>
      </c>
      <c r="NP38" t="s">
        <v>1159</v>
      </c>
      <c r="NQ38" t="s">
        <v>6</v>
      </c>
      <c r="NR38">
        <v>3565</v>
      </c>
      <c r="NS38" t="s">
        <v>29</v>
      </c>
      <c r="NT38" t="s">
        <v>29</v>
      </c>
      <c r="NW38">
        <v>8</v>
      </c>
      <c r="OH38" t="s">
        <v>212</v>
      </c>
      <c r="OI38" t="s">
        <v>6</v>
      </c>
      <c r="OK38">
        <v>2014</v>
      </c>
      <c r="OL38">
        <v>2015</v>
      </c>
      <c r="OO38" s="3" t="s">
        <v>1178</v>
      </c>
      <c r="OP38" s="83">
        <v>46094</v>
      </c>
      <c r="OQ38" s="83"/>
    </row>
    <row r="39" spans="1:407" ht="15.75" thickBot="1">
      <c r="A39" t="s">
        <v>248</v>
      </c>
      <c r="B39" t="s">
        <v>247</v>
      </c>
      <c r="C39" t="s">
        <v>246</v>
      </c>
      <c r="D39" s="4" t="s">
        <v>245</v>
      </c>
      <c r="E39" t="s">
        <v>244</v>
      </c>
      <c r="F39" s="4" t="s">
        <v>243</v>
      </c>
      <c r="G39" t="s">
        <v>2</v>
      </c>
      <c r="H39" t="s">
        <v>30</v>
      </c>
      <c r="I39" t="s">
        <v>242</v>
      </c>
      <c r="J39" t="s">
        <v>241</v>
      </c>
      <c r="K39" t="s">
        <v>29</v>
      </c>
      <c r="AV39" t="s">
        <v>240</v>
      </c>
      <c r="AW39">
        <v>200</v>
      </c>
      <c r="AX39" t="s">
        <v>29</v>
      </c>
      <c r="AY39">
        <v>1</v>
      </c>
      <c r="AZ39" t="s">
        <v>239</v>
      </c>
      <c r="BA39">
        <v>2014</v>
      </c>
      <c r="BB39">
        <v>2015</v>
      </c>
      <c r="BC39" t="s">
        <v>29</v>
      </c>
      <c r="BD39" t="s">
        <v>19</v>
      </c>
      <c r="BE39" t="s">
        <v>257</v>
      </c>
      <c r="BF39" t="s">
        <v>256</v>
      </c>
      <c r="BG39" s="3" t="s">
        <v>1243</v>
      </c>
      <c r="BH39" t="s">
        <v>23</v>
      </c>
      <c r="BI39" t="s">
        <v>29</v>
      </c>
      <c r="BJ39" s="4" t="s">
        <v>22</v>
      </c>
      <c r="BK39" s="9">
        <v>44000</v>
      </c>
      <c r="HL39" t="s">
        <v>233</v>
      </c>
      <c r="HM39" t="s">
        <v>232</v>
      </c>
      <c r="HR39" t="s">
        <v>231</v>
      </c>
      <c r="HT39" s="4" t="s">
        <v>20</v>
      </c>
      <c r="HU39" t="s">
        <v>29</v>
      </c>
      <c r="HV39" t="s">
        <v>29</v>
      </c>
      <c r="IG39" t="s">
        <v>255</v>
      </c>
      <c r="IH39" s="13" t="s">
        <v>19</v>
      </c>
      <c r="II39" s="46"/>
      <c r="IJ39" s="46"/>
      <c r="IK39" s="88"/>
      <c r="IL39" s="88"/>
      <c r="IM39" s="4"/>
      <c r="IO39" s="13"/>
      <c r="JI39" t="s">
        <v>228</v>
      </c>
      <c r="JJ39" s="54" t="s">
        <v>1565</v>
      </c>
      <c r="JK39" s="8" t="s">
        <v>14</v>
      </c>
      <c r="JL39" s="8" t="s">
        <v>730</v>
      </c>
      <c r="JM39" s="4" t="s">
        <v>13</v>
      </c>
      <c r="JN39" t="s">
        <v>731</v>
      </c>
      <c r="JU39" s="4" t="s">
        <v>227</v>
      </c>
      <c r="JV39" s="4" t="s">
        <v>226</v>
      </c>
      <c r="JW39" s="4" t="s">
        <v>13</v>
      </c>
      <c r="JX39" s="4">
        <v>5000</v>
      </c>
      <c r="JY39" s="4" t="s">
        <v>225</v>
      </c>
      <c r="JZ39" s="4">
        <v>0.74</v>
      </c>
      <c r="KA39">
        <v>0.12</v>
      </c>
      <c r="KB39">
        <v>0.69</v>
      </c>
      <c r="KC39" s="4" t="s">
        <v>224</v>
      </c>
      <c r="KD39" t="s">
        <v>223</v>
      </c>
      <c r="KE39" s="13" t="s">
        <v>12</v>
      </c>
      <c r="KF39" s="13" t="s">
        <v>29</v>
      </c>
      <c r="KG39" t="s">
        <v>29</v>
      </c>
      <c r="KH39" t="s">
        <v>223</v>
      </c>
      <c r="KI39" t="s">
        <v>222</v>
      </c>
      <c r="KJ39" t="s">
        <v>221</v>
      </c>
      <c r="KK39" s="4" t="s">
        <v>220</v>
      </c>
      <c r="KL39">
        <v>2.5</v>
      </c>
      <c r="KM39" s="7" t="s">
        <v>720</v>
      </c>
      <c r="KN39" s="7"/>
      <c r="KO39" s="7"/>
      <c r="KP39" s="13"/>
      <c r="KQ39" s="7" t="s">
        <v>722</v>
      </c>
      <c r="KR39" s="7"/>
      <c r="KS39" s="7"/>
      <c r="KT39" s="13"/>
      <c r="KU39" t="s">
        <v>217</v>
      </c>
      <c r="KV39" t="s">
        <v>216</v>
      </c>
      <c r="KZ39" s="4"/>
      <c r="LA39" s="4" t="s">
        <v>29</v>
      </c>
      <c r="LB39" s="4" t="s">
        <v>29</v>
      </c>
      <c r="LC39" s="4" t="s">
        <v>29</v>
      </c>
      <c r="LD39" s="4"/>
      <c r="LE39" t="s">
        <v>215</v>
      </c>
      <c r="LF39" s="4" t="s">
        <v>29</v>
      </c>
      <c r="LG39" s="4" t="s">
        <v>29</v>
      </c>
      <c r="LH39" s="4" t="s">
        <v>13</v>
      </c>
      <c r="LI39">
        <v>2500</v>
      </c>
      <c r="MS39" t="s">
        <v>214</v>
      </c>
      <c r="MT39">
        <v>30</v>
      </c>
      <c r="MU39" t="s">
        <v>1162</v>
      </c>
      <c r="MV39" t="s">
        <v>1163</v>
      </c>
      <c r="MW39" s="4" t="s">
        <v>10</v>
      </c>
      <c r="NE39" t="s">
        <v>654</v>
      </c>
      <c r="NF39" t="s">
        <v>653</v>
      </c>
      <c r="NG39" s="4" t="s">
        <v>1165</v>
      </c>
      <c r="NH39" s="6" t="s">
        <v>13</v>
      </c>
      <c r="NP39" t="s">
        <v>746</v>
      </c>
      <c r="NQ39" t="s">
        <v>6</v>
      </c>
      <c r="NR39">
        <v>4115</v>
      </c>
      <c r="NS39" t="s">
        <v>29</v>
      </c>
      <c r="NT39" t="s">
        <v>29</v>
      </c>
      <c r="NW39">
        <v>8</v>
      </c>
      <c r="OH39" t="s">
        <v>212</v>
      </c>
      <c r="OI39" t="s">
        <v>6</v>
      </c>
      <c r="OK39" s="88">
        <v>2014</v>
      </c>
      <c r="OL39" s="88">
        <v>2015</v>
      </c>
      <c r="OM39" s="88"/>
      <c r="OO39" s="3" t="s">
        <v>1178</v>
      </c>
      <c r="OP39" s="83">
        <v>46094</v>
      </c>
      <c r="OQ39" s="83"/>
    </row>
    <row r="40" spans="1:407" ht="15.75" thickBot="1">
      <c r="A40" t="s">
        <v>248</v>
      </c>
      <c r="B40" t="s">
        <v>247</v>
      </c>
      <c r="C40" t="s">
        <v>246</v>
      </c>
      <c r="D40" s="4" t="s">
        <v>245</v>
      </c>
      <c r="E40" t="s">
        <v>244</v>
      </c>
      <c r="F40" s="4" t="s">
        <v>243</v>
      </c>
      <c r="G40" t="s">
        <v>2</v>
      </c>
      <c r="H40" t="s">
        <v>30</v>
      </c>
      <c r="I40" t="s">
        <v>242</v>
      </c>
      <c r="J40" t="s">
        <v>241</v>
      </c>
      <c r="K40" t="s">
        <v>29</v>
      </c>
      <c r="AV40" t="s">
        <v>240</v>
      </c>
      <c r="AW40">
        <v>200</v>
      </c>
      <c r="AX40" t="s">
        <v>29</v>
      </c>
      <c r="AY40">
        <v>1</v>
      </c>
      <c r="AZ40" t="s">
        <v>239</v>
      </c>
      <c r="BA40">
        <v>2014</v>
      </c>
      <c r="BB40">
        <v>2015</v>
      </c>
      <c r="BC40" t="s">
        <v>29</v>
      </c>
      <c r="BD40" t="s">
        <v>238</v>
      </c>
      <c r="BE40" t="s">
        <v>253</v>
      </c>
      <c r="BF40" t="s">
        <v>252</v>
      </c>
      <c r="BG40" s="3" t="s">
        <v>1243</v>
      </c>
      <c r="BH40" t="s">
        <v>23</v>
      </c>
      <c r="BI40" t="s">
        <v>29</v>
      </c>
      <c r="BJ40" s="4" t="s">
        <v>22</v>
      </c>
      <c r="BK40" s="9">
        <v>44000</v>
      </c>
      <c r="BL40" t="s">
        <v>56</v>
      </c>
      <c r="BM40" t="s">
        <v>250</v>
      </c>
      <c r="BN40" t="s">
        <v>29</v>
      </c>
      <c r="BO40" s="4" t="s">
        <v>22</v>
      </c>
      <c r="BP40" s="9">
        <v>44444</v>
      </c>
      <c r="HL40" t="s">
        <v>233</v>
      </c>
      <c r="HM40" t="s">
        <v>232</v>
      </c>
      <c r="HR40" t="s">
        <v>231</v>
      </c>
      <c r="HT40" s="4" t="s">
        <v>736</v>
      </c>
      <c r="HU40" t="s">
        <v>29</v>
      </c>
      <c r="HV40" t="s">
        <v>29</v>
      </c>
      <c r="IG40" t="s">
        <v>251</v>
      </c>
      <c r="IH40" s="12" t="s">
        <v>229</v>
      </c>
      <c r="II40" s="45" t="s">
        <v>660</v>
      </c>
      <c r="IJ40" s="45" t="s">
        <v>661</v>
      </c>
      <c r="IK40">
        <v>2012</v>
      </c>
      <c r="IL40" s="88" t="s">
        <v>29</v>
      </c>
      <c r="IM40" s="4" t="s">
        <v>18</v>
      </c>
      <c r="JI40" t="s">
        <v>228</v>
      </c>
      <c r="JJ40" s="54" t="s">
        <v>1565</v>
      </c>
      <c r="JK40" s="8" t="s">
        <v>14</v>
      </c>
      <c r="JL40" s="8" t="s">
        <v>730</v>
      </c>
      <c r="JM40" s="4" t="s">
        <v>13</v>
      </c>
      <c r="JN40" t="s">
        <v>731</v>
      </c>
      <c r="JU40" s="4" t="s">
        <v>227</v>
      </c>
      <c r="JV40" s="4" t="s">
        <v>226</v>
      </c>
      <c r="JW40" s="4" t="s">
        <v>13</v>
      </c>
      <c r="JX40" s="4">
        <v>5000</v>
      </c>
      <c r="JY40" s="4" t="s">
        <v>225</v>
      </c>
      <c r="JZ40" s="4">
        <v>0.74</v>
      </c>
      <c r="KA40">
        <v>0.12</v>
      </c>
      <c r="KB40">
        <v>0.69</v>
      </c>
      <c r="KC40" s="4" t="s">
        <v>224</v>
      </c>
      <c r="KD40" t="s">
        <v>223</v>
      </c>
      <c r="KE40" s="13" t="s">
        <v>12</v>
      </c>
      <c r="KF40" s="13" t="s">
        <v>29</v>
      </c>
      <c r="KG40" t="s">
        <v>29</v>
      </c>
      <c r="KH40" t="s">
        <v>223</v>
      </c>
      <c r="KI40" t="s">
        <v>222</v>
      </c>
      <c r="KJ40" t="s">
        <v>221</v>
      </c>
      <c r="KK40" s="4" t="s">
        <v>220</v>
      </c>
      <c r="KL40">
        <v>2.5</v>
      </c>
      <c r="KM40" s="7" t="s">
        <v>720</v>
      </c>
      <c r="KN40" s="7"/>
      <c r="KO40" s="7"/>
      <c r="KP40" s="13"/>
      <c r="KQ40" s="7" t="s">
        <v>219</v>
      </c>
      <c r="KR40" s="7" t="s">
        <v>218</v>
      </c>
      <c r="KS40" s="7"/>
      <c r="KT40" t="s">
        <v>29</v>
      </c>
      <c r="KU40" t="s">
        <v>217</v>
      </c>
      <c r="KV40" t="s">
        <v>216</v>
      </c>
      <c r="KZ40" s="4"/>
      <c r="LA40" s="4" t="s">
        <v>29</v>
      </c>
      <c r="LB40" s="4" t="s">
        <v>29</v>
      </c>
      <c r="LC40" s="4" t="s">
        <v>29</v>
      </c>
      <c r="LD40" s="4"/>
      <c r="LE40" t="s">
        <v>215</v>
      </c>
      <c r="LF40" s="4" t="s">
        <v>29</v>
      </c>
      <c r="LG40" s="4" t="s">
        <v>29</v>
      </c>
      <c r="LH40" s="4" t="s">
        <v>13</v>
      </c>
      <c r="LI40">
        <v>2500</v>
      </c>
      <c r="MS40" t="s">
        <v>214</v>
      </c>
      <c r="MT40">
        <v>30</v>
      </c>
      <c r="MU40" t="s">
        <v>1161</v>
      </c>
      <c r="MV40" t="s">
        <v>1163</v>
      </c>
      <c r="MW40" s="4" t="s">
        <v>10</v>
      </c>
      <c r="MX40" t="s">
        <v>249</v>
      </c>
      <c r="NE40" t="s">
        <v>654</v>
      </c>
      <c r="NF40" t="s">
        <v>653</v>
      </c>
      <c r="NG40" s="4" t="s">
        <v>1165</v>
      </c>
      <c r="NH40" s="6" t="s">
        <v>13</v>
      </c>
      <c r="NQ40" t="s">
        <v>6</v>
      </c>
      <c r="NR40">
        <v>4820</v>
      </c>
      <c r="NS40" t="s">
        <v>29</v>
      </c>
      <c r="NT40" t="s">
        <v>29</v>
      </c>
      <c r="NW40">
        <v>8</v>
      </c>
      <c r="OH40" t="s">
        <v>212</v>
      </c>
      <c r="OI40" t="s">
        <v>6</v>
      </c>
      <c r="OK40" s="88">
        <v>2014</v>
      </c>
      <c r="OL40" s="88">
        <v>2015</v>
      </c>
      <c r="OM40" s="88"/>
      <c r="OO40" s="3" t="s">
        <v>1178</v>
      </c>
      <c r="OP40" s="83">
        <v>46094</v>
      </c>
      <c r="OQ40" s="83"/>
    </row>
    <row r="41" spans="1:407" ht="15.75" thickBot="1">
      <c r="A41" t="s">
        <v>248</v>
      </c>
      <c r="B41" t="s">
        <v>247</v>
      </c>
      <c r="C41" t="s">
        <v>246</v>
      </c>
      <c r="D41" s="4" t="s">
        <v>245</v>
      </c>
      <c r="E41" t="s">
        <v>244</v>
      </c>
      <c r="F41" s="4" t="s">
        <v>243</v>
      </c>
      <c r="G41" t="s">
        <v>2</v>
      </c>
      <c r="H41" t="s">
        <v>30</v>
      </c>
      <c r="I41" t="s">
        <v>242</v>
      </c>
      <c r="J41" t="s">
        <v>241</v>
      </c>
      <c r="K41" t="s">
        <v>29</v>
      </c>
      <c r="AV41" t="s">
        <v>240</v>
      </c>
      <c r="AW41">
        <v>200</v>
      </c>
      <c r="AX41" t="s">
        <v>29</v>
      </c>
      <c r="AY41">
        <v>1</v>
      </c>
      <c r="AZ41" t="s">
        <v>239</v>
      </c>
      <c r="BA41">
        <v>2014</v>
      </c>
      <c r="BB41">
        <v>2015</v>
      </c>
      <c r="BC41" t="s">
        <v>29</v>
      </c>
      <c r="BD41" t="s">
        <v>238</v>
      </c>
      <c r="BE41" t="s">
        <v>237</v>
      </c>
      <c r="BF41" t="s">
        <v>236</v>
      </c>
      <c r="BG41" s="3" t="s">
        <v>1243</v>
      </c>
      <c r="BH41" t="s">
        <v>23</v>
      </c>
      <c r="BI41" t="s">
        <v>29</v>
      </c>
      <c r="BJ41" s="4" t="s">
        <v>22</v>
      </c>
      <c r="BK41" s="9">
        <v>44000</v>
      </c>
      <c r="BL41" t="s">
        <v>56</v>
      </c>
      <c r="BM41" t="s">
        <v>235</v>
      </c>
      <c r="BN41" t="s">
        <v>29</v>
      </c>
      <c r="BO41" s="4" t="s">
        <v>22</v>
      </c>
      <c r="BP41" s="9">
        <v>44444</v>
      </c>
      <c r="HL41" t="s">
        <v>233</v>
      </c>
      <c r="HM41" t="s">
        <v>232</v>
      </c>
      <c r="HR41" t="s">
        <v>231</v>
      </c>
      <c r="HT41" s="4" t="s">
        <v>736</v>
      </c>
      <c r="HU41" t="s">
        <v>29</v>
      </c>
      <c r="HV41" t="s">
        <v>29</v>
      </c>
      <c r="IG41" t="s">
        <v>230</v>
      </c>
      <c r="IH41" s="14" t="s">
        <v>229</v>
      </c>
      <c r="II41" s="45" t="s">
        <v>660</v>
      </c>
      <c r="IJ41" s="45" t="s">
        <v>661</v>
      </c>
      <c r="IK41">
        <v>2012</v>
      </c>
      <c r="IL41" s="2" t="s">
        <v>29</v>
      </c>
      <c r="IM41" s="4" t="s">
        <v>18</v>
      </c>
      <c r="JI41" t="s">
        <v>228</v>
      </c>
      <c r="JJ41" s="54" t="s">
        <v>1565</v>
      </c>
      <c r="JK41" s="8" t="s">
        <v>14</v>
      </c>
      <c r="JL41" s="8" t="s">
        <v>730</v>
      </c>
      <c r="JM41" s="4" t="s">
        <v>13</v>
      </c>
      <c r="JN41" t="s">
        <v>731</v>
      </c>
      <c r="JU41" s="4" t="s">
        <v>227</v>
      </c>
      <c r="JV41" s="4" t="s">
        <v>226</v>
      </c>
      <c r="JW41" s="4" t="s">
        <v>13</v>
      </c>
      <c r="JX41" s="4">
        <v>5000</v>
      </c>
      <c r="JY41" s="4" t="s">
        <v>225</v>
      </c>
      <c r="JZ41" s="4">
        <v>0.74</v>
      </c>
      <c r="KA41">
        <v>0.12</v>
      </c>
      <c r="KB41">
        <v>0.69</v>
      </c>
      <c r="KC41" s="4" t="s">
        <v>224</v>
      </c>
      <c r="KD41" t="s">
        <v>223</v>
      </c>
      <c r="KE41" s="7" t="s">
        <v>12</v>
      </c>
      <c r="KF41" s="13" t="s">
        <v>29</v>
      </c>
      <c r="KG41" t="s">
        <v>29</v>
      </c>
      <c r="KH41" t="s">
        <v>223</v>
      </c>
      <c r="KI41" t="s">
        <v>222</v>
      </c>
      <c r="KJ41" t="s">
        <v>221</v>
      </c>
      <c r="KK41" s="4" t="s">
        <v>220</v>
      </c>
      <c r="KL41">
        <v>2.5</v>
      </c>
      <c r="KM41" s="7" t="s">
        <v>720</v>
      </c>
      <c r="KN41" s="7"/>
      <c r="KO41" s="7"/>
      <c r="KP41" s="13"/>
      <c r="KQ41" s="7" t="s">
        <v>219</v>
      </c>
      <c r="KR41" s="7" t="s">
        <v>218</v>
      </c>
      <c r="KS41" s="7"/>
      <c r="KT41" t="s">
        <v>29</v>
      </c>
      <c r="KU41" t="s">
        <v>217</v>
      </c>
      <c r="KV41" t="s">
        <v>216</v>
      </c>
      <c r="KZ41" s="4"/>
      <c r="LA41" s="4" t="s">
        <v>29</v>
      </c>
      <c r="LB41" s="4" t="s">
        <v>29</v>
      </c>
      <c r="LC41" s="4" t="s">
        <v>29</v>
      </c>
      <c r="LD41" s="4"/>
      <c r="LE41" t="s">
        <v>215</v>
      </c>
      <c r="LF41" s="4" t="s">
        <v>29</v>
      </c>
      <c r="LG41" s="4" t="s">
        <v>29</v>
      </c>
      <c r="LH41" s="4" t="s">
        <v>13</v>
      </c>
      <c r="LI41">
        <v>2500</v>
      </c>
      <c r="MS41" t="s">
        <v>214</v>
      </c>
      <c r="MT41">
        <v>30</v>
      </c>
      <c r="MU41" t="s">
        <v>1161</v>
      </c>
      <c r="MV41" t="s">
        <v>1163</v>
      </c>
      <c r="MW41" s="4" t="s">
        <v>10</v>
      </c>
      <c r="MX41" t="s">
        <v>213</v>
      </c>
      <c r="NE41" t="s">
        <v>654</v>
      </c>
      <c r="NF41" t="s">
        <v>653</v>
      </c>
      <c r="NG41" s="4" t="s">
        <v>1165</v>
      </c>
      <c r="NH41" s="6" t="s">
        <v>13</v>
      </c>
      <c r="NQ41" t="s">
        <v>6</v>
      </c>
      <c r="NR41">
        <v>4481</v>
      </c>
      <c r="NS41" t="s">
        <v>29</v>
      </c>
      <c r="NT41" t="s">
        <v>29</v>
      </c>
      <c r="NW41">
        <v>8</v>
      </c>
      <c r="OH41" t="s">
        <v>212</v>
      </c>
      <c r="OI41" t="s">
        <v>6</v>
      </c>
      <c r="OK41" s="88">
        <v>2014</v>
      </c>
      <c r="OL41" s="88">
        <v>2015</v>
      </c>
      <c r="OM41" s="2"/>
      <c r="OO41" s="3" t="s">
        <v>1178</v>
      </c>
      <c r="OP41" s="83">
        <v>46094</v>
      </c>
      <c r="OQ41" s="83"/>
    </row>
    <row r="42" spans="1:407" ht="15.75" thickBot="1">
      <c r="A42" t="s">
        <v>248</v>
      </c>
      <c r="B42" t="s">
        <v>247</v>
      </c>
      <c r="C42" t="s">
        <v>246</v>
      </c>
      <c r="D42" s="4" t="s">
        <v>245</v>
      </c>
      <c r="E42" t="s">
        <v>244</v>
      </c>
      <c r="F42" s="4" t="s">
        <v>243</v>
      </c>
      <c r="G42" t="s">
        <v>2</v>
      </c>
      <c r="H42" t="s">
        <v>30</v>
      </c>
      <c r="I42" t="s">
        <v>242</v>
      </c>
      <c r="J42" t="s">
        <v>241</v>
      </c>
      <c r="K42" t="s">
        <v>29</v>
      </c>
      <c r="AV42" t="s">
        <v>240</v>
      </c>
      <c r="AW42">
        <v>200</v>
      </c>
      <c r="AX42" t="s">
        <v>29</v>
      </c>
      <c r="AY42">
        <v>1</v>
      </c>
      <c r="AZ42" t="s">
        <v>239</v>
      </c>
      <c r="BA42">
        <v>2014</v>
      </c>
      <c r="BB42">
        <v>2015</v>
      </c>
      <c r="BC42" t="s">
        <v>29</v>
      </c>
      <c r="BD42" t="s">
        <v>19</v>
      </c>
      <c r="BE42" t="s">
        <v>300</v>
      </c>
      <c r="BF42" t="s">
        <v>299</v>
      </c>
      <c r="BG42" s="3" t="s">
        <v>1243</v>
      </c>
      <c r="BH42" t="s">
        <v>23</v>
      </c>
      <c r="BI42" t="s">
        <v>29</v>
      </c>
      <c r="BJ42" s="4" t="s">
        <v>22</v>
      </c>
      <c r="BK42" s="9">
        <v>44000</v>
      </c>
      <c r="HL42" t="s">
        <v>298</v>
      </c>
      <c r="HM42" t="s">
        <v>297</v>
      </c>
      <c r="HN42" t="s">
        <v>296</v>
      </c>
      <c r="HP42" t="s">
        <v>29</v>
      </c>
      <c r="HQ42">
        <v>1</v>
      </c>
      <c r="HR42" t="s">
        <v>231</v>
      </c>
      <c r="HT42" s="4" t="s">
        <v>20</v>
      </c>
      <c r="HU42" t="s">
        <v>29</v>
      </c>
      <c r="HV42" t="s">
        <v>29</v>
      </c>
      <c r="IG42" t="s">
        <v>255</v>
      </c>
      <c r="IH42" s="13" t="s">
        <v>19</v>
      </c>
      <c r="II42" s="46"/>
      <c r="IJ42" s="46"/>
      <c r="JI42" t="s">
        <v>228</v>
      </c>
      <c r="JJ42" s="54" t="s">
        <v>1565</v>
      </c>
      <c r="JK42" s="8" t="s">
        <v>14</v>
      </c>
      <c r="JL42" s="8" t="s">
        <v>730</v>
      </c>
      <c r="JM42" s="4" t="s">
        <v>13</v>
      </c>
      <c r="JN42" t="s">
        <v>731</v>
      </c>
      <c r="JU42" s="4" t="s">
        <v>227</v>
      </c>
      <c r="JV42" s="4" t="s">
        <v>226</v>
      </c>
      <c r="JW42" s="4" t="s">
        <v>13</v>
      </c>
      <c r="JX42" s="4">
        <v>5000</v>
      </c>
      <c r="JY42" s="4" t="s">
        <v>225</v>
      </c>
      <c r="JZ42" s="4">
        <v>0.74</v>
      </c>
      <c r="KA42">
        <v>0.12</v>
      </c>
      <c r="KB42">
        <v>0.69</v>
      </c>
      <c r="KC42" s="4" t="s">
        <v>224</v>
      </c>
      <c r="KD42" s="4" t="s">
        <v>295</v>
      </c>
      <c r="KE42" s="13" t="s">
        <v>12</v>
      </c>
      <c r="KF42" s="13" t="s">
        <v>29</v>
      </c>
      <c r="KG42" t="s">
        <v>29</v>
      </c>
      <c r="KH42" t="s">
        <v>294</v>
      </c>
      <c r="KI42" s="13" t="s">
        <v>12</v>
      </c>
      <c r="KK42" s="4"/>
      <c r="KM42" s="7" t="s">
        <v>720</v>
      </c>
      <c r="KP42" s="13"/>
      <c r="KQ42" s="13" t="s">
        <v>722</v>
      </c>
      <c r="KR42" s="7"/>
      <c r="KT42" s="13"/>
      <c r="KV42" s="13" t="s">
        <v>1124</v>
      </c>
      <c r="KZ42" s="4"/>
      <c r="LA42" s="13"/>
      <c r="LB42" s="13"/>
      <c r="LC42" s="13"/>
      <c r="LD42" s="4"/>
      <c r="LE42" s="4"/>
      <c r="LF42" s="4"/>
      <c r="LG42" s="4"/>
      <c r="LH42" s="4"/>
      <c r="MS42" t="s">
        <v>214</v>
      </c>
      <c r="MT42">
        <v>30</v>
      </c>
      <c r="MU42" t="s">
        <v>655</v>
      </c>
      <c r="MW42" s="4" t="s">
        <v>168</v>
      </c>
      <c r="NE42" t="s">
        <v>654</v>
      </c>
      <c r="NF42" t="s">
        <v>653</v>
      </c>
      <c r="NG42" s="4" t="s">
        <v>8</v>
      </c>
      <c r="NH42" s="6" t="s">
        <v>13</v>
      </c>
      <c r="NP42" t="s">
        <v>1159</v>
      </c>
      <c r="NQ42" t="s">
        <v>6</v>
      </c>
      <c r="NR42">
        <v>2878</v>
      </c>
      <c r="NS42" t="s">
        <v>29</v>
      </c>
      <c r="NT42" t="s">
        <v>29</v>
      </c>
      <c r="NW42">
        <v>8</v>
      </c>
      <c r="OH42" t="s">
        <v>212</v>
      </c>
      <c r="OI42" t="s">
        <v>6</v>
      </c>
      <c r="OK42">
        <v>2014</v>
      </c>
      <c r="OL42">
        <v>2015</v>
      </c>
      <c r="OO42" s="3" t="s">
        <v>1178</v>
      </c>
      <c r="OP42" s="83">
        <v>46094</v>
      </c>
      <c r="OQ42" s="83"/>
    </row>
    <row r="43" spans="1:407" ht="15.75" thickBot="1">
      <c r="A43" t="s">
        <v>248</v>
      </c>
      <c r="B43" t="s">
        <v>247</v>
      </c>
      <c r="C43" t="s">
        <v>246</v>
      </c>
      <c r="D43" s="4" t="s">
        <v>245</v>
      </c>
      <c r="E43" t="s">
        <v>244</v>
      </c>
      <c r="F43" s="4" t="s">
        <v>243</v>
      </c>
      <c r="G43" t="s">
        <v>2</v>
      </c>
      <c r="H43" t="s">
        <v>30</v>
      </c>
      <c r="I43" t="s">
        <v>242</v>
      </c>
      <c r="J43" t="s">
        <v>241</v>
      </c>
      <c r="K43" t="s">
        <v>29</v>
      </c>
      <c r="AV43" t="s">
        <v>240</v>
      </c>
      <c r="AW43">
        <v>200</v>
      </c>
      <c r="AX43" t="s">
        <v>29</v>
      </c>
      <c r="AY43">
        <v>1</v>
      </c>
      <c r="AZ43" t="s">
        <v>239</v>
      </c>
      <c r="BA43">
        <v>2014</v>
      </c>
      <c r="BB43">
        <v>2015</v>
      </c>
      <c r="BC43" t="s">
        <v>29</v>
      </c>
      <c r="BD43" t="s">
        <v>19</v>
      </c>
      <c r="BE43" t="s">
        <v>257</v>
      </c>
      <c r="BF43" t="s">
        <v>256</v>
      </c>
      <c r="BG43" s="3" t="s">
        <v>1243</v>
      </c>
      <c r="BH43" t="s">
        <v>23</v>
      </c>
      <c r="BI43" t="s">
        <v>29</v>
      </c>
      <c r="BJ43" s="4" t="s">
        <v>22</v>
      </c>
      <c r="BK43" s="9">
        <v>44000</v>
      </c>
      <c r="HL43" t="s">
        <v>233</v>
      </c>
      <c r="HM43" t="s">
        <v>232</v>
      </c>
      <c r="HR43" t="s">
        <v>231</v>
      </c>
      <c r="HT43" s="4" t="s">
        <v>20</v>
      </c>
      <c r="HU43" t="s">
        <v>29</v>
      </c>
      <c r="HV43" t="s">
        <v>29</v>
      </c>
      <c r="IG43" t="s">
        <v>255</v>
      </c>
      <c r="IH43" s="13" t="s">
        <v>19</v>
      </c>
      <c r="II43" s="46"/>
      <c r="IJ43" s="46"/>
      <c r="IK43" s="88"/>
      <c r="IL43" s="88"/>
      <c r="IM43" s="4"/>
      <c r="IO43" s="13"/>
      <c r="JI43" t="s">
        <v>228</v>
      </c>
      <c r="JJ43" s="54" t="s">
        <v>1565</v>
      </c>
      <c r="JK43" s="8" t="s">
        <v>14</v>
      </c>
      <c r="JL43" s="8" t="s">
        <v>730</v>
      </c>
      <c r="JM43" s="4" t="s">
        <v>13</v>
      </c>
      <c r="JN43" t="s">
        <v>731</v>
      </c>
      <c r="JU43" s="4" t="s">
        <v>227</v>
      </c>
      <c r="JV43" s="4" t="s">
        <v>226</v>
      </c>
      <c r="JW43" s="4" t="s">
        <v>13</v>
      </c>
      <c r="JX43" s="4">
        <v>5000</v>
      </c>
      <c r="JY43" s="4" t="s">
        <v>225</v>
      </c>
      <c r="JZ43" s="4">
        <v>0.74</v>
      </c>
      <c r="KA43">
        <v>0.12</v>
      </c>
      <c r="KB43">
        <v>0.69</v>
      </c>
      <c r="KC43" s="4" t="s">
        <v>224</v>
      </c>
      <c r="KD43" t="s">
        <v>223</v>
      </c>
      <c r="KE43" s="13" t="s">
        <v>12</v>
      </c>
      <c r="KF43" s="13" t="s">
        <v>29</v>
      </c>
      <c r="KG43" t="s">
        <v>29</v>
      </c>
      <c r="KH43" t="s">
        <v>223</v>
      </c>
      <c r="KI43" t="s">
        <v>222</v>
      </c>
      <c r="KJ43" t="s">
        <v>221</v>
      </c>
      <c r="KK43" s="4" t="s">
        <v>220</v>
      </c>
      <c r="KL43">
        <v>2.5</v>
      </c>
      <c r="KM43" s="7" t="s">
        <v>720</v>
      </c>
      <c r="KP43" s="13"/>
      <c r="KQ43" s="13" t="s">
        <v>722</v>
      </c>
      <c r="KR43" s="7"/>
      <c r="KT43" s="13"/>
      <c r="KU43" t="s">
        <v>217</v>
      </c>
      <c r="KV43" t="s">
        <v>216</v>
      </c>
      <c r="KZ43" s="4"/>
      <c r="LA43" s="4" t="s">
        <v>29</v>
      </c>
      <c r="LB43" s="4" t="s">
        <v>29</v>
      </c>
      <c r="LC43" s="4" t="s">
        <v>29</v>
      </c>
      <c r="LD43" s="4"/>
      <c r="LE43" t="s">
        <v>215</v>
      </c>
      <c r="LF43" s="4" t="s">
        <v>29</v>
      </c>
      <c r="LG43" s="4" t="s">
        <v>29</v>
      </c>
      <c r="LH43" s="4" t="s">
        <v>13</v>
      </c>
      <c r="LI43">
        <v>2500</v>
      </c>
      <c r="MS43" t="s">
        <v>214</v>
      </c>
      <c r="MT43">
        <v>30</v>
      </c>
      <c r="MU43" t="s">
        <v>655</v>
      </c>
      <c r="MW43" s="4" t="s">
        <v>168</v>
      </c>
      <c r="NE43" t="s">
        <v>654</v>
      </c>
      <c r="NF43" t="s">
        <v>653</v>
      </c>
      <c r="NG43" s="4" t="s">
        <v>8</v>
      </c>
      <c r="NH43" s="6" t="s">
        <v>13</v>
      </c>
      <c r="NP43" t="s">
        <v>746</v>
      </c>
      <c r="NQ43" t="s">
        <v>6</v>
      </c>
      <c r="NR43">
        <v>2847</v>
      </c>
      <c r="NS43" t="s">
        <v>29</v>
      </c>
      <c r="NT43" t="s">
        <v>29</v>
      </c>
      <c r="NW43">
        <v>8</v>
      </c>
      <c r="OH43" t="s">
        <v>212</v>
      </c>
      <c r="OI43" t="s">
        <v>6</v>
      </c>
      <c r="OK43" s="88">
        <v>2014</v>
      </c>
      <c r="OL43" s="88">
        <v>2015</v>
      </c>
      <c r="OM43" s="88"/>
      <c r="OO43" s="3" t="s">
        <v>1178</v>
      </c>
      <c r="OP43" s="83">
        <v>46094</v>
      </c>
      <c r="OQ43" s="83"/>
    </row>
    <row r="44" spans="1:407" ht="15.75" thickBot="1">
      <c r="A44" t="s">
        <v>248</v>
      </c>
      <c r="B44" t="s">
        <v>247</v>
      </c>
      <c r="C44" t="s">
        <v>246</v>
      </c>
      <c r="D44" s="4" t="s">
        <v>245</v>
      </c>
      <c r="E44" t="s">
        <v>244</v>
      </c>
      <c r="F44" s="4" t="s">
        <v>243</v>
      </c>
      <c r="G44" t="s">
        <v>2</v>
      </c>
      <c r="H44" t="s">
        <v>30</v>
      </c>
      <c r="I44" t="s">
        <v>242</v>
      </c>
      <c r="J44" t="s">
        <v>241</v>
      </c>
      <c r="K44" t="s">
        <v>29</v>
      </c>
      <c r="AV44" t="s">
        <v>240</v>
      </c>
      <c r="AW44">
        <v>200</v>
      </c>
      <c r="AX44" t="s">
        <v>29</v>
      </c>
      <c r="AY44">
        <v>1</v>
      </c>
      <c r="AZ44" t="s">
        <v>239</v>
      </c>
      <c r="BA44">
        <v>2014</v>
      </c>
      <c r="BB44">
        <v>2015</v>
      </c>
      <c r="BC44" t="s">
        <v>29</v>
      </c>
      <c r="BD44" t="s">
        <v>238</v>
      </c>
      <c r="BE44" t="s">
        <v>253</v>
      </c>
      <c r="BF44" t="s">
        <v>252</v>
      </c>
      <c r="BG44" s="3" t="s">
        <v>1243</v>
      </c>
      <c r="BH44" t="s">
        <v>23</v>
      </c>
      <c r="BI44" t="s">
        <v>29</v>
      </c>
      <c r="BJ44" s="4" t="s">
        <v>22</v>
      </c>
      <c r="BK44" s="9">
        <v>44000</v>
      </c>
      <c r="BL44" t="s">
        <v>56</v>
      </c>
      <c r="BM44" t="s">
        <v>250</v>
      </c>
      <c r="BN44" t="s">
        <v>29</v>
      </c>
      <c r="BO44" s="4" t="s">
        <v>22</v>
      </c>
      <c r="BP44" s="9">
        <v>44444</v>
      </c>
      <c r="HL44" t="s">
        <v>233</v>
      </c>
      <c r="HM44" t="s">
        <v>232</v>
      </c>
      <c r="HR44" t="s">
        <v>231</v>
      </c>
      <c r="HT44" s="4" t="s">
        <v>736</v>
      </c>
      <c r="HU44" t="s">
        <v>29</v>
      </c>
      <c r="HV44" t="s">
        <v>29</v>
      </c>
      <c r="IG44" t="s">
        <v>251</v>
      </c>
      <c r="IH44" s="12" t="s">
        <v>229</v>
      </c>
      <c r="II44" s="45" t="s">
        <v>660</v>
      </c>
      <c r="IJ44" s="45" t="s">
        <v>661</v>
      </c>
      <c r="IK44">
        <v>2012</v>
      </c>
      <c r="IL44" s="88" t="s">
        <v>29</v>
      </c>
      <c r="IM44" s="4" t="s">
        <v>18</v>
      </c>
      <c r="JI44" t="s">
        <v>228</v>
      </c>
      <c r="JJ44" s="54" t="s">
        <v>1565</v>
      </c>
      <c r="JK44" s="8" t="s">
        <v>14</v>
      </c>
      <c r="JL44" s="8" t="s">
        <v>730</v>
      </c>
      <c r="JM44" s="4" t="s">
        <v>13</v>
      </c>
      <c r="JN44" t="s">
        <v>731</v>
      </c>
      <c r="JU44" s="4" t="s">
        <v>227</v>
      </c>
      <c r="JV44" s="4" t="s">
        <v>226</v>
      </c>
      <c r="JW44" s="4" t="s">
        <v>13</v>
      </c>
      <c r="JX44" s="4">
        <v>5000</v>
      </c>
      <c r="JY44" s="4" t="s">
        <v>225</v>
      </c>
      <c r="JZ44" s="4">
        <v>0.74</v>
      </c>
      <c r="KA44">
        <v>0.12</v>
      </c>
      <c r="KB44">
        <v>0.69</v>
      </c>
      <c r="KC44" s="4" t="s">
        <v>224</v>
      </c>
      <c r="KD44" t="s">
        <v>223</v>
      </c>
      <c r="KE44" s="13" t="s">
        <v>12</v>
      </c>
      <c r="KF44" s="13" t="s">
        <v>29</v>
      </c>
      <c r="KG44" t="s">
        <v>29</v>
      </c>
      <c r="KH44" t="s">
        <v>223</v>
      </c>
      <c r="KI44" t="s">
        <v>222</v>
      </c>
      <c r="KJ44" t="s">
        <v>221</v>
      </c>
      <c r="KK44" s="4" t="s">
        <v>220</v>
      </c>
      <c r="KL44">
        <v>2.5</v>
      </c>
      <c r="KM44" s="7" t="s">
        <v>720</v>
      </c>
      <c r="KP44" s="13"/>
      <c r="KQ44" s="11" t="s">
        <v>219</v>
      </c>
      <c r="KR44" s="7" t="s">
        <v>218</v>
      </c>
      <c r="KT44" t="s">
        <v>29</v>
      </c>
      <c r="KU44" t="s">
        <v>217</v>
      </c>
      <c r="KV44" t="s">
        <v>216</v>
      </c>
      <c r="KZ44" s="4"/>
      <c r="LA44" s="4" t="s">
        <v>29</v>
      </c>
      <c r="LB44" s="4" t="s">
        <v>29</v>
      </c>
      <c r="LC44" s="4" t="s">
        <v>29</v>
      </c>
      <c r="LD44" s="4"/>
      <c r="LE44" t="s">
        <v>215</v>
      </c>
      <c r="LF44" s="4" t="s">
        <v>29</v>
      </c>
      <c r="LG44" s="4" t="s">
        <v>29</v>
      </c>
      <c r="LH44" s="4" t="s">
        <v>13</v>
      </c>
      <c r="LI44">
        <v>2500</v>
      </c>
      <c r="MS44" t="s">
        <v>214</v>
      </c>
      <c r="MT44">
        <v>30</v>
      </c>
      <c r="MU44" t="s">
        <v>655</v>
      </c>
      <c r="MW44" s="4" t="s">
        <v>168</v>
      </c>
      <c r="NE44" t="s">
        <v>654</v>
      </c>
      <c r="NF44" t="s">
        <v>653</v>
      </c>
      <c r="NG44" s="4" t="s">
        <v>8</v>
      </c>
      <c r="NH44" s="6" t="s">
        <v>13</v>
      </c>
      <c r="NQ44" t="s">
        <v>6</v>
      </c>
      <c r="NR44">
        <v>2280</v>
      </c>
      <c r="NS44" t="s">
        <v>29</v>
      </c>
      <c r="NT44" t="s">
        <v>29</v>
      </c>
      <c r="NW44">
        <v>8</v>
      </c>
      <c r="OH44" t="s">
        <v>212</v>
      </c>
      <c r="OI44" t="s">
        <v>6</v>
      </c>
      <c r="OK44" s="88">
        <v>2014</v>
      </c>
      <c r="OL44" s="88">
        <v>2015</v>
      </c>
      <c r="OM44" s="88"/>
      <c r="OO44" s="3" t="s">
        <v>1178</v>
      </c>
      <c r="OP44" s="83">
        <v>46094</v>
      </c>
      <c r="OQ44" s="83"/>
    </row>
    <row r="45" spans="1:407" ht="15.75" thickBot="1">
      <c r="A45" t="s">
        <v>248</v>
      </c>
      <c r="B45" t="s">
        <v>247</v>
      </c>
      <c r="C45" t="s">
        <v>246</v>
      </c>
      <c r="D45" s="4" t="s">
        <v>245</v>
      </c>
      <c r="E45" t="s">
        <v>244</v>
      </c>
      <c r="F45" s="4" t="s">
        <v>243</v>
      </c>
      <c r="G45" t="s">
        <v>2</v>
      </c>
      <c r="H45" t="s">
        <v>30</v>
      </c>
      <c r="I45" t="s">
        <v>242</v>
      </c>
      <c r="J45" t="s">
        <v>241</v>
      </c>
      <c r="K45" t="s">
        <v>29</v>
      </c>
      <c r="AV45" t="s">
        <v>240</v>
      </c>
      <c r="AW45">
        <v>200</v>
      </c>
      <c r="AX45" t="s">
        <v>29</v>
      </c>
      <c r="AY45">
        <v>1</v>
      </c>
      <c r="AZ45" t="s">
        <v>239</v>
      </c>
      <c r="BA45">
        <v>2014</v>
      </c>
      <c r="BB45">
        <v>2015</v>
      </c>
      <c r="BC45" t="s">
        <v>29</v>
      </c>
      <c r="BD45" t="s">
        <v>238</v>
      </c>
      <c r="BE45" t="s">
        <v>237</v>
      </c>
      <c r="BF45" t="s">
        <v>236</v>
      </c>
      <c r="BG45" s="3" t="s">
        <v>1243</v>
      </c>
      <c r="BH45" t="s">
        <v>23</v>
      </c>
      <c r="BI45" t="s">
        <v>29</v>
      </c>
      <c r="BJ45" s="4" t="s">
        <v>22</v>
      </c>
      <c r="BK45" s="9">
        <v>44000</v>
      </c>
      <c r="BL45" t="s">
        <v>56</v>
      </c>
      <c r="BM45" t="s">
        <v>235</v>
      </c>
      <c r="BN45" t="s">
        <v>29</v>
      </c>
      <c r="BO45" s="4" t="s">
        <v>22</v>
      </c>
      <c r="BP45" s="9">
        <v>44444</v>
      </c>
      <c r="HL45" t="s">
        <v>233</v>
      </c>
      <c r="HM45" t="s">
        <v>232</v>
      </c>
      <c r="HR45" t="s">
        <v>231</v>
      </c>
      <c r="HT45" s="4" t="s">
        <v>736</v>
      </c>
      <c r="HU45" t="s">
        <v>29</v>
      </c>
      <c r="HV45" t="s">
        <v>29</v>
      </c>
      <c r="IG45" t="s">
        <v>230</v>
      </c>
      <c r="IH45" s="14" t="s">
        <v>229</v>
      </c>
      <c r="II45" s="45" t="s">
        <v>660</v>
      </c>
      <c r="IJ45" s="45" t="s">
        <v>661</v>
      </c>
      <c r="IK45">
        <v>2012</v>
      </c>
      <c r="IL45" s="2" t="s">
        <v>29</v>
      </c>
      <c r="IM45" s="4" t="s">
        <v>18</v>
      </c>
      <c r="JI45" t="s">
        <v>228</v>
      </c>
      <c r="JJ45" s="54" t="s">
        <v>1565</v>
      </c>
      <c r="JK45" s="8" t="s">
        <v>14</v>
      </c>
      <c r="JL45" s="8" t="s">
        <v>730</v>
      </c>
      <c r="JM45" s="4" t="s">
        <v>13</v>
      </c>
      <c r="JN45" t="s">
        <v>731</v>
      </c>
      <c r="JU45" s="4" t="s">
        <v>227</v>
      </c>
      <c r="JV45" s="4" t="s">
        <v>226</v>
      </c>
      <c r="JW45" s="4" t="s">
        <v>13</v>
      </c>
      <c r="JX45" s="4">
        <v>5000</v>
      </c>
      <c r="JY45" s="4" t="s">
        <v>225</v>
      </c>
      <c r="JZ45" s="4">
        <v>0.74</v>
      </c>
      <c r="KA45">
        <v>0.12</v>
      </c>
      <c r="KB45">
        <v>0.69</v>
      </c>
      <c r="KC45" s="4" t="s">
        <v>224</v>
      </c>
      <c r="KD45" t="s">
        <v>223</v>
      </c>
      <c r="KE45" s="7" t="s">
        <v>12</v>
      </c>
      <c r="KF45" s="13" t="s">
        <v>29</v>
      </c>
      <c r="KG45" t="s">
        <v>29</v>
      </c>
      <c r="KH45" t="s">
        <v>223</v>
      </c>
      <c r="KI45" t="s">
        <v>222</v>
      </c>
      <c r="KJ45" t="s">
        <v>221</v>
      </c>
      <c r="KK45" s="4" t="s">
        <v>220</v>
      </c>
      <c r="KL45">
        <v>2.5</v>
      </c>
      <c r="KM45" s="7" t="s">
        <v>720</v>
      </c>
      <c r="KP45" s="13"/>
      <c r="KQ45" s="11" t="s">
        <v>219</v>
      </c>
      <c r="KR45" s="7" t="s">
        <v>218</v>
      </c>
      <c r="KT45" t="s">
        <v>29</v>
      </c>
      <c r="KU45" t="s">
        <v>217</v>
      </c>
      <c r="KV45" t="s">
        <v>216</v>
      </c>
      <c r="KZ45" s="4"/>
      <c r="LA45" s="4" t="s">
        <v>29</v>
      </c>
      <c r="LB45" s="4" t="s">
        <v>29</v>
      </c>
      <c r="LC45" s="4" t="s">
        <v>29</v>
      </c>
      <c r="LD45" s="4"/>
      <c r="LE45" t="s">
        <v>215</v>
      </c>
      <c r="LF45" s="4" t="s">
        <v>29</v>
      </c>
      <c r="LG45" s="4" t="s">
        <v>29</v>
      </c>
      <c r="LH45" s="4" t="s">
        <v>13</v>
      </c>
      <c r="LI45">
        <v>2500</v>
      </c>
      <c r="MS45" t="s">
        <v>214</v>
      </c>
      <c r="MT45">
        <v>30</v>
      </c>
      <c r="MU45" t="s">
        <v>655</v>
      </c>
      <c r="MW45" s="4" t="s">
        <v>168</v>
      </c>
      <c r="NE45" t="s">
        <v>654</v>
      </c>
      <c r="NF45" t="s">
        <v>653</v>
      </c>
      <c r="NG45" s="4" t="s">
        <v>8</v>
      </c>
      <c r="NH45" s="6" t="s">
        <v>13</v>
      </c>
      <c r="NQ45" t="s">
        <v>6</v>
      </c>
      <c r="NR45">
        <v>2394</v>
      </c>
      <c r="NS45" t="s">
        <v>29</v>
      </c>
      <c r="NT45" t="s">
        <v>29</v>
      </c>
      <c r="NW45">
        <v>8</v>
      </c>
      <c r="OH45" t="s">
        <v>212</v>
      </c>
      <c r="OI45" t="s">
        <v>6</v>
      </c>
      <c r="OK45" s="88">
        <v>2014</v>
      </c>
      <c r="OL45" s="88">
        <v>2015</v>
      </c>
      <c r="OM45" s="2"/>
      <c r="OO45" s="3" t="s">
        <v>1178</v>
      </c>
      <c r="OP45" s="83">
        <v>46094</v>
      </c>
      <c r="OQ45" s="83"/>
    </row>
    <row r="46" spans="1:407" ht="15.75" thickBot="1">
      <c r="A46" s="11" t="s">
        <v>36</v>
      </c>
      <c r="B46" t="s">
        <v>35</v>
      </c>
      <c r="C46" t="s">
        <v>34</v>
      </c>
      <c r="D46" s="4" t="s">
        <v>33</v>
      </c>
      <c r="E46" t="s">
        <v>32</v>
      </c>
      <c r="F46" s="4" t="s">
        <v>31</v>
      </c>
      <c r="G46" t="s">
        <v>2</v>
      </c>
      <c r="H46" t="s">
        <v>30</v>
      </c>
      <c r="I46" s="10">
        <v>0.1</v>
      </c>
      <c r="J46" s="10">
        <v>34.566667000000002</v>
      </c>
      <c r="K46" t="s">
        <v>29</v>
      </c>
      <c r="AV46" t="s">
        <v>28</v>
      </c>
      <c r="AW46">
        <v>100</v>
      </c>
      <c r="AX46" t="s">
        <v>29</v>
      </c>
      <c r="AY46">
        <v>4</v>
      </c>
      <c r="AZ46" t="s">
        <v>27</v>
      </c>
      <c r="BA46">
        <v>1994</v>
      </c>
      <c r="BB46">
        <v>1998</v>
      </c>
      <c r="BC46" t="s">
        <v>26</v>
      </c>
      <c r="BD46" t="s">
        <v>59</v>
      </c>
      <c r="BE46" s="10" t="s">
        <v>65</v>
      </c>
      <c r="BF46" t="s">
        <v>64</v>
      </c>
      <c r="BG46" s="3" t="s">
        <v>1243</v>
      </c>
      <c r="BH46" t="s">
        <v>23</v>
      </c>
      <c r="BI46" t="s">
        <v>750</v>
      </c>
      <c r="BJ46" s="4" t="s">
        <v>22</v>
      </c>
      <c r="BK46" s="9">
        <v>53000</v>
      </c>
      <c r="EE46" t="s">
        <v>55</v>
      </c>
      <c r="EF46" s="4" t="s">
        <v>22</v>
      </c>
      <c r="EG46" s="9">
        <v>53000</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R46" t="s">
        <v>21</v>
      </c>
      <c r="HT46" s="4" t="s">
        <v>20</v>
      </c>
      <c r="HU46" s="58">
        <v>34335</v>
      </c>
      <c r="HV46" s="58">
        <v>36160</v>
      </c>
      <c r="HW46" s="58"/>
      <c r="IM46" s="4"/>
      <c r="IN46" t="s">
        <v>63</v>
      </c>
      <c r="IO46" s="12" t="s">
        <v>1736</v>
      </c>
      <c r="IR46">
        <v>1995</v>
      </c>
      <c r="IS46">
        <v>1995.2</v>
      </c>
      <c r="IT46" s="4" t="s">
        <v>18</v>
      </c>
      <c r="IU46" t="s">
        <v>61</v>
      </c>
      <c r="IV46" s="12" t="s">
        <v>52</v>
      </c>
      <c r="IY46">
        <v>0.5</v>
      </c>
      <c r="IZ46" t="s">
        <v>29</v>
      </c>
      <c r="JA46" t="s">
        <v>29</v>
      </c>
      <c r="JB46" t="s">
        <v>29</v>
      </c>
      <c r="JC46" t="s">
        <v>29</v>
      </c>
      <c r="JD46" t="s">
        <v>29</v>
      </c>
      <c r="JE46" t="s">
        <v>29</v>
      </c>
      <c r="JF46" t="s">
        <v>29</v>
      </c>
      <c r="JG46" t="s">
        <v>29</v>
      </c>
      <c r="JH46" t="s">
        <v>29</v>
      </c>
      <c r="JJ46" s="12" t="s">
        <v>721</v>
      </c>
      <c r="JO46" s="4"/>
      <c r="JU46" s="4"/>
      <c r="JV46" s="4"/>
      <c r="JW46" s="4"/>
      <c r="JX46" s="4"/>
      <c r="JY46" s="4"/>
      <c r="JZ46" s="4"/>
      <c r="KE46" s="7" t="s">
        <v>12</v>
      </c>
      <c r="KI46" s="53" t="s">
        <v>719</v>
      </c>
      <c r="KJ46" s="8" t="s">
        <v>51</v>
      </c>
      <c r="KL46" t="s">
        <v>29</v>
      </c>
      <c r="MS46" t="s">
        <v>11</v>
      </c>
      <c r="MT46">
        <v>42</v>
      </c>
      <c r="MW46" t="s">
        <v>709</v>
      </c>
      <c r="NB46" t="s">
        <v>205</v>
      </c>
      <c r="NC46" t="s">
        <v>711</v>
      </c>
      <c r="NE46" t="s">
        <v>211</v>
      </c>
      <c r="NG46" s="4" t="s">
        <v>203</v>
      </c>
      <c r="NH46" t="s">
        <v>210</v>
      </c>
      <c r="NQ46" t="s">
        <v>6</v>
      </c>
      <c r="NR46">
        <v>54</v>
      </c>
      <c r="NS46" s="4" t="s">
        <v>4</v>
      </c>
      <c r="NT46">
        <v>6</v>
      </c>
      <c r="NW46">
        <v>4</v>
      </c>
      <c r="OH46" t="s">
        <v>209</v>
      </c>
      <c r="OJ46">
        <v>1997</v>
      </c>
      <c r="OM46" s="2" t="s">
        <v>62</v>
      </c>
      <c r="OO46" t="s">
        <v>1178</v>
      </c>
      <c r="OP46" s="58">
        <v>46094</v>
      </c>
    </row>
    <row r="47" spans="1:407" ht="15.75" thickBot="1">
      <c r="A47" s="11" t="s">
        <v>36</v>
      </c>
      <c r="B47" t="s">
        <v>35</v>
      </c>
      <c r="C47" t="s">
        <v>34</v>
      </c>
      <c r="D47" s="4" t="s">
        <v>33</v>
      </c>
      <c r="E47" t="s">
        <v>32</v>
      </c>
      <c r="F47" s="4" t="s">
        <v>31</v>
      </c>
      <c r="G47" t="s">
        <v>2</v>
      </c>
      <c r="H47" t="s">
        <v>30</v>
      </c>
      <c r="I47" s="10">
        <v>0.1</v>
      </c>
      <c r="J47" s="10">
        <v>34.566667000000002</v>
      </c>
      <c r="K47" t="s">
        <v>29</v>
      </c>
      <c r="AV47" t="s">
        <v>28</v>
      </c>
      <c r="AW47">
        <v>100</v>
      </c>
      <c r="AX47" t="s">
        <v>29</v>
      </c>
      <c r="AY47">
        <v>4</v>
      </c>
      <c r="AZ47" t="s">
        <v>27</v>
      </c>
      <c r="BA47">
        <v>1994</v>
      </c>
      <c r="BB47">
        <v>1998</v>
      </c>
      <c r="BC47" t="s">
        <v>26</v>
      </c>
      <c r="BD47" t="s">
        <v>59</v>
      </c>
      <c r="BE47" s="10" t="s">
        <v>58</v>
      </c>
      <c r="BF47" t="s">
        <v>57</v>
      </c>
      <c r="BG47" s="3" t="s">
        <v>1243</v>
      </c>
      <c r="BH47" t="s">
        <v>23</v>
      </c>
      <c r="BI47" t="s">
        <v>750</v>
      </c>
      <c r="BJ47" s="4" t="s">
        <v>22</v>
      </c>
      <c r="BK47" s="9">
        <v>53000</v>
      </c>
      <c r="EE47" t="s">
        <v>55</v>
      </c>
      <c r="EF47" s="4" t="s">
        <v>22</v>
      </c>
      <c r="EG47" s="9">
        <v>53000</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R47" t="s">
        <v>21</v>
      </c>
      <c r="HT47" s="4" t="s">
        <v>20</v>
      </c>
      <c r="HU47" s="58">
        <v>34335</v>
      </c>
      <c r="HV47" s="58">
        <v>36160</v>
      </c>
      <c r="HW47" s="58"/>
      <c r="IM47" s="4"/>
      <c r="IN47" t="s">
        <v>54</v>
      </c>
      <c r="IO47" s="12" t="s">
        <v>1737</v>
      </c>
      <c r="IR47">
        <v>1994</v>
      </c>
      <c r="IS47">
        <v>1994.2</v>
      </c>
      <c r="IT47" s="4" t="s">
        <v>18</v>
      </c>
      <c r="IU47" t="s">
        <v>53</v>
      </c>
      <c r="IV47" s="12" t="s">
        <v>52</v>
      </c>
      <c r="IY47">
        <v>0.5</v>
      </c>
      <c r="IZ47" t="s">
        <v>29</v>
      </c>
      <c r="JA47" t="s">
        <v>29</v>
      </c>
      <c r="JB47" t="s">
        <v>29</v>
      </c>
      <c r="JC47" t="s">
        <v>29</v>
      </c>
      <c r="JD47" t="s">
        <v>29</v>
      </c>
      <c r="JE47" t="s">
        <v>29</v>
      </c>
      <c r="JF47" t="s">
        <v>29</v>
      </c>
      <c r="JG47" t="s">
        <v>29</v>
      </c>
      <c r="JH47" t="s">
        <v>29</v>
      </c>
      <c r="JJ47" s="12" t="s">
        <v>721</v>
      </c>
      <c r="JO47" s="4"/>
      <c r="JU47" s="4"/>
      <c r="JV47" s="4"/>
      <c r="JW47" s="4"/>
      <c r="JX47" s="4"/>
      <c r="JY47" s="4"/>
      <c r="JZ47" s="4"/>
      <c r="KE47" s="7" t="s">
        <v>12</v>
      </c>
      <c r="KI47" s="53" t="s">
        <v>719</v>
      </c>
      <c r="KJ47" s="8" t="s">
        <v>51</v>
      </c>
      <c r="KL47" t="s">
        <v>29</v>
      </c>
      <c r="MS47" t="s">
        <v>11</v>
      </c>
      <c r="MT47">
        <v>42</v>
      </c>
      <c r="MW47" t="s">
        <v>709</v>
      </c>
      <c r="NB47" t="s">
        <v>205</v>
      </c>
      <c r="NC47" t="s">
        <v>711</v>
      </c>
      <c r="NE47" t="s">
        <v>211</v>
      </c>
      <c r="NG47" s="4" t="s">
        <v>203</v>
      </c>
      <c r="NH47" t="s">
        <v>210</v>
      </c>
      <c r="NQ47" t="s">
        <v>6</v>
      </c>
      <c r="NR47">
        <v>41</v>
      </c>
      <c r="NS47" s="4" t="s">
        <v>4</v>
      </c>
      <c r="NT47">
        <v>12</v>
      </c>
      <c r="NW47">
        <v>4</v>
      </c>
      <c r="OH47" t="s">
        <v>209</v>
      </c>
      <c r="OJ47">
        <v>1997</v>
      </c>
      <c r="OM47" s="2" t="s">
        <v>62</v>
      </c>
      <c r="OO47" t="s">
        <v>1178</v>
      </c>
      <c r="OP47" s="58">
        <v>46094</v>
      </c>
    </row>
    <row r="48" spans="1:407" ht="15.75" thickBot="1">
      <c r="A48" s="11" t="s">
        <v>36</v>
      </c>
      <c r="B48" t="s">
        <v>35</v>
      </c>
      <c r="C48" t="s">
        <v>34</v>
      </c>
      <c r="D48" s="4" t="s">
        <v>33</v>
      </c>
      <c r="E48" t="s">
        <v>32</v>
      </c>
      <c r="F48" s="4" t="s">
        <v>31</v>
      </c>
      <c r="G48" t="s">
        <v>2</v>
      </c>
      <c r="H48" t="s">
        <v>30</v>
      </c>
      <c r="I48" s="10">
        <v>0.1</v>
      </c>
      <c r="J48" s="10">
        <v>34.566667000000002</v>
      </c>
      <c r="K48" t="s">
        <v>29</v>
      </c>
      <c r="AV48" t="s">
        <v>28</v>
      </c>
      <c r="AW48">
        <v>100</v>
      </c>
      <c r="AX48" t="s">
        <v>29</v>
      </c>
      <c r="AY48">
        <v>4</v>
      </c>
      <c r="AZ48" t="s">
        <v>27</v>
      </c>
      <c r="BA48">
        <v>1994</v>
      </c>
      <c r="BB48">
        <v>1998</v>
      </c>
      <c r="BC48" t="s">
        <v>26</v>
      </c>
      <c r="BD48" t="s">
        <v>45</v>
      </c>
      <c r="BE48" s="10" t="s">
        <v>49</v>
      </c>
      <c r="BF48" t="s">
        <v>48</v>
      </c>
      <c r="BG48" s="3" t="s">
        <v>1243</v>
      </c>
      <c r="BH48" t="s">
        <v>23</v>
      </c>
      <c r="BI48" t="s">
        <v>750</v>
      </c>
      <c r="BJ48" s="4" t="s">
        <v>22</v>
      </c>
      <c r="BK48" s="9">
        <v>53000</v>
      </c>
      <c r="EF48" s="4"/>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R48" t="s">
        <v>21</v>
      </c>
      <c r="HT48" s="4" t="s">
        <v>20</v>
      </c>
      <c r="HU48" s="58">
        <v>34335</v>
      </c>
      <c r="HV48" s="58">
        <v>36160</v>
      </c>
      <c r="HW48" s="58"/>
      <c r="IN48" t="s">
        <v>47</v>
      </c>
      <c r="IO48" s="54" t="s">
        <v>1236</v>
      </c>
      <c r="IR48">
        <v>1995</v>
      </c>
      <c r="IS48">
        <v>1995.2</v>
      </c>
      <c r="IT48" s="4" t="s">
        <v>18</v>
      </c>
      <c r="IU48" t="s">
        <v>38</v>
      </c>
      <c r="IV48" t="s">
        <v>19</v>
      </c>
      <c r="IZ48">
        <v>0</v>
      </c>
      <c r="JA48">
        <v>0</v>
      </c>
      <c r="JB48">
        <v>0</v>
      </c>
      <c r="JC48">
        <v>0</v>
      </c>
      <c r="JD48">
        <v>0</v>
      </c>
      <c r="JE48">
        <v>0</v>
      </c>
      <c r="JF48">
        <v>0</v>
      </c>
      <c r="JG48">
        <v>0</v>
      </c>
      <c r="JH48">
        <v>0</v>
      </c>
      <c r="JJ48" s="12" t="s">
        <v>721</v>
      </c>
      <c r="JO48" s="4"/>
      <c r="JU48" s="4"/>
      <c r="JV48" s="4"/>
      <c r="JW48" s="4"/>
      <c r="JX48" s="4"/>
      <c r="JY48" s="4"/>
      <c r="JZ48" s="4"/>
      <c r="KE48" s="7" t="s">
        <v>12</v>
      </c>
      <c r="KI48" s="7" t="s">
        <v>720</v>
      </c>
      <c r="MS48" t="s">
        <v>11</v>
      </c>
      <c r="MT48">
        <v>42</v>
      </c>
      <c r="MW48" t="s">
        <v>709</v>
      </c>
      <c r="NB48" t="s">
        <v>205</v>
      </c>
      <c r="NC48" t="s">
        <v>711</v>
      </c>
      <c r="NE48" t="s">
        <v>211</v>
      </c>
      <c r="NG48" s="4" t="s">
        <v>203</v>
      </c>
      <c r="NH48" t="s">
        <v>210</v>
      </c>
      <c r="NQ48" t="s">
        <v>6</v>
      </c>
      <c r="NR48">
        <v>30</v>
      </c>
      <c r="NS48" s="4" t="s">
        <v>4</v>
      </c>
      <c r="NT48">
        <v>3</v>
      </c>
      <c r="NW48">
        <v>4</v>
      </c>
      <c r="OH48" t="s">
        <v>209</v>
      </c>
      <c r="OJ48">
        <v>1997</v>
      </c>
      <c r="OM48" s="2" t="s">
        <v>62</v>
      </c>
      <c r="OO48" t="s">
        <v>1178</v>
      </c>
      <c r="OP48" s="58">
        <v>46094</v>
      </c>
    </row>
    <row r="49" spans="1:406" ht="15.75" thickBot="1">
      <c r="A49" s="11" t="s">
        <v>36</v>
      </c>
      <c r="B49" t="s">
        <v>35</v>
      </c>
      <c r="C49" t="s">
        <v>34</v>
      </c>
      <c r="D49" s="4" t="s">
        <v>33</v>
      </c>
      <c r="E49" t="s">
        <v>32</v>
      </c>
      <c r="F49" s="4" t="s">
        <v>31</v>
      </c>
      <c r="G49" t="s">
        <v>2</v>
      </c>
      <c r="H49" t="s">
        <v>30</v>
      </c>
      <c r="I49" s="10">
        <v>0.1</v>
      </c>
      <c r="J49" s="10">
        <v>34.566667000000002</v>
      </c>
      <c r="K49" t="s">
        <v>29</v>
      </c>
      <c r="AV49" t="s">
        <v>28</v>
      </c>
      <c r="AW49">
        <v>100</v>
      </c>
      <c r="AX49" t="s">
        <v>29</v>
      </c>
      <c r="AY49">
        <v>4</v>
      </c>
      <c r="AZ49" t="s">
        <v>27</v>
      </c>
      <c r="BA49">
        <v>1994</v>
      </c>
      <c r="BB49">
        <v>1998</v>
      </c>
      <c r="BC49" t="s">
        <v>26</v>
      </c>
      <c r="BD49" t="s">
        <v>45</v>
      </c>
      <c r="BE49" s="10" t="s">
        <v>44</v>
      </c>
      <c r="BF49" t="s">
        <v>43</v>
      </c>
      <c r="BG49" s="3" t="s">
        <v>1243</v>
      </c>
      <c r="BH49" t="s">
        <v>23</v>
      </c>
      <c r="BI49" t="s">
        <v>750</v>
      </c>
      <c r="BJ49" s="4" t="s">
        <v>22</v>
      </c>
      <c r="BK49" s="9">
        <v>53000</v>
      </c>
      <c r="EF49" s="4"/>
      <c r="EG49" s="9"/>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R49" t="s">
        <v>21</v>
      </c>
      <c r="HT49" s="4" t="s">
        <v>20</v>
      </c>
      <c r="HU49" s="58">
        <v>34335</v>
      </c>
      <c r="HV49" s="58">
        <v>36160</v>
      </c>
      <c r="HW49" s="58"/>
      <c r="IN49" t="s">
        <v>42</v>
      </c>
      <c r="IO49" s="13" t="s">
        <v>1237</v>
      </c>
      <c r="IR49">
        <v>1994</v>
      </c>
      <c r="IS49">
        <v>1994.2</v>
      </c>
      <c r="IT49" s="4" t="s">
        <v>18</v>
      </c>
      <c r="IU49" t="s">
        <v>38</v>
      </c>
      <c r="IV49" t="s">
        <v>19</v>
      </c>
      <c r="IZ49">
        <v>0</v>
      </c>
      <c r="JA49">
        <v>0</v>
      </c>
      <c r="JB49">
        <v>0</v>
      </c>
      <c r="JC49">
        <v>0</v>
      </c>
      <c r="JD49">
        <v>0</v>
      </c>
      <c r="JE49">
        <v>0</v>
      </c>
      <c r="JF49">
        <v>0</v>
      </c>
      <c r="JG49">
        <v>0</v>
      </c>
      <c r="JH49">
        <v>0</v>
      </c>
      <c r="JJ49" s="12" t="s">
        <v>721</v>
      </c>
      <c r="JO49" s="4"/>
      <c r="JU49" s="4"/>
      <c r="JV49" s="4"/>
      <c r="JW49" s="4"/>
      <c r="JX49" s="4"/>
      <c r="JY49" s="4"/>
      <c r="JZ49" s="4"/>
      <c r="KE49" s="7" t="s">
        <v>12</v>
      </c>
      <c r="KI49" s="7" t="s">
        <v>720</v>
      </c>
      <c r="MS49" t="s">
        <v>11</v>
      </c>
      <c r="MT49">
        <v>42</v>
      </c>
      <c r="MW49" t="s">
        <v>709</v>
      </c>
      <c r="NB49" t="s">
        <v>205</v>
      </c>
      <c r="NC49" t="s">
        <v>711</v>
      </c>
      <c r="NE49" t="s">
        <v>211</v>
      </c>
      <c r="NG49" s="4" t="s">
        <v>203</v>
      </c>
      <c r="NH49" t="s">
        <v>210</v>
      </c>
      <c r="NQ49" t="s">
        <v>6</v>
      </c>
      <c r="NR49">
        <v>32</v>
      </c>
      <c r="NS49" s="4" t="s">
        <v>4</v>
      </c>
      <c r="NT49">
        <v>4</v>
      </c>
      <c r="NW49">
        <v>4</v>
      </c>
      <c r="OH49" t="s">
        <v>209</v>
      </c>
      <c r="OJ49">
        <v>1997</v>
      </c>
      <c r="OM49" s="2" t="s">
        <v>62</v>
      </c>
      <c r="OO49" t="s">
        <v>1178</v>
      </c>
      <c r="OP49" s="58">
        <v>46094</v>
      </c>
    </row>
    <row r="50" spans="1:406" ht="15.75" thickBot="1">
      <c r="A50" s="11" t="s">
        <v>36</v>
      </c>
      <c r="B50" t="s">
        <v>35</v>
      </c>
      <c r="C50" t="s">
        <v>34</v>
      </c>
      <c r="D50" s="4" t="s">
        <v>33</v>
      </c>
      <c r="E50" t="s">
        <v>32</v>
      </c>
      <c r="F50" s="4" t="s">
        <v>31</v>
      </c>
      <c r="G50" t="s">
        <v>2</v>
      </c>
      <c r="H50" t="s">
        <v>30</v>
      </c>
      <c r="I50" s="10">
        <v>0.1</v>
      </c>
      <c r="J50" s="10">
        <v>34.566667000000002</v>
      </c>
      <c r="K50" t="s">
        <v>29</v>
      </c>
      <c r="AV50" t="s">
        <v>28</v>
      </c>
      <c r="AW50">
        <v>100</v>
      </c>
      <c r="AX50" t="s">
        <v>29</v>
      </c>
      <c r="AY50">
        <v>4</v>
      </c>
      <c r="AZ50" t="s">
        <v>27</v>
      </c>
      <c r="BA50">
        <v>1994</v>
      </c>
      <c r="BB50">
        <v>1998</v>
      </c>
      <c r="BC50" t="s">
        <v>26</v>
      </c>
      <c r="BD50" t="s">
        <v>19</v>
      </c>
      <c r="BE50" s="10" t="s">
        <v>40</v>
      </c>
      <c r="BF50" t="s">
        <v>39</v>
      </c>
      <c r="BG50" s="3" t="s">
        <v>1243</v>
      </c>
      <c r="BH50" t="s">
        <v>23</v>
      </c>
      <c r="BI50" t="s">
        <v>750</v>
      </c>
      <c r="BJ50" s="4" t="s">
        <v>22</v>
      </c>
      <c r="BK50" s="9">
        <v>53000</v>
      </c>
      <c r="HR50" t="s">
        <v>21</v>
      </c>
      <c r="HT50" s="4" t="s">
        <v>20</v>
      </c>
      <c r="HU50" s="58">
        <v>34335</v>
      </c>
      <c r="HV50" s="58">
        <v>36160</v>
      </c>
      <c r="HW50" s="58"/>
      <c r="IN50" t="s">
        <v>38</v>
      </c>
      <c r="IO50" s="54" t="s">
        <v>19</v>
      </c>
      <c r="IT50" s="4" t="s">
        <v>18</v>
      </c>
      <c r="IU50" t="s">
        <v>38</v>
      </c>
      <c r="IV50" s="54" t="s">
        <v>19</v>
      </c>
      <c r="IZ50">
        <v>0</v>
      </c>
      <c r="JA50">
        <v>0</v>
      </c>
      <c r="JB50">
        <v>0</v>
      </c>
      <c r="JC50">
        <v>0</v>
      </c>
      <c r="JD50">
        <v>0</v>
      </c>
      <c r="JE50">
        <v>0</v>
      </c>
      <c r="JF50">
        <v>0</v>
      </c>
      <c r="JG50">
        <v>0</v>
      </c>
      <c r="JH50">
        <v>0</v>
      </c>
      <c r="JJ50" s="12" t="s">
        <v>721</v>
      </c>
      <c r="JO50" s="4"/>
      <c r="JU50" s="4"/>
      <c r="JV50" s="4"/>
      <c r="JW50" s="4"/>
      <c r="JX50" s="4"/>
      <c r="JY50" s="4"/>
      <c r="JZ50" s="4"/>
      <c r="KE50" s="7" t="s">
        <v>12</v>
      </c>
      <c r="KI50" s="7" t="s">
        <v>720</v>
      </c>
      <c r="MS50" t="s">
        <v>11</v>
      </c>
      <c r="MT50">
        <v>42</v>
      </c>
      <c r="MW50" t="s">
        <v>709</v>
      </c>
      <c r="NB50" t="s">
        <v>205</v>
      </c>
      <c r="NC50" t="s">
        <v>711</v>
      </c>
      <c r="NE50" t="s">
        <v>211</v>
      </c>
      <c r="NG50" s="4" t="s">
        <v>203</v>
      </c>
      <c r="NH50" t="s">
        <v>210</v>
      </c>
      <c r="NP50" t="s">
        <v>735</v>
      </c>
      <c r="NQ50" t="s">
        <v>6</v>
      </c>
      <c r="NR50">
        <v>39</v>
      </c>
      <c r="NS50" s="4" t="s">
        <v>4</v>
      </c>
      <c r="NT50">
        <v>9</v>
      </c>
      <c r="NW50">
        <v>4</v>
      </c>
      <c r="OH50" t="s">
        <v>209</v>
      </c>
      <c r="OJ50">
        <v>1997</v>
      </c>
      <c r="OM50" s="2" t="s">
        <v>62</v>
      </c>
      <c r="OO50" t="s">
        <v>1178</v>
      </c>
      <c r="OP50" s="58">
        <v>46094</v>
      </c>
    </row>
    <row r="51" spans="1:406" ht="15.75" thickBot="1">
      <c r="A51" s="11" t="s">
        <v>36</v>
      </c>
      <c r="B51" t="s">
        <v>35</v>
      </c>
      <c r="C51" t="s">
        <v>34</v>
      </c>
      <c r="D51" s="4" t="s">
        <v>33</v>
      </c>
      <c r="E51" t="s">
        <v>32</v>
      </c>
      <c r="F51" s="4" t="s">
        <v>31</v>
      </c>
      <c r="G51" t="s">
        <v>2</v>
      </c>
      <c r="H51" t="s">
        <v>30</v>
      </c>
      <c r="I51" s="10">
        <v>0.1</v>
      </c>
      <c r="J51" s="10">
        <v>34.566667000000002</v>
      </c>
      <c r="K51" t="s">
        <v>29</v>
      </c>
      <c r="AV51" t="s">
        <v>28</v>
      </c>
      <c r="AW51">
        <v>100</v>
      </c>
      <c r="AX51" t="s">
        <v>29</v>
      </c>
      <c r="AY51">
        <v>4</v>
      </c>
      <c r="AZ51" t="s">
        <v>27</v>
      </c>
      <c r="BA51">
        <v>1994</v>
      </c>
      <c r="BB51">
        <v>1998</v>
      </c>
      <c r="BC51" t="s">
        <v>26</v>
      </c>
      <c r="BD51" t="s">
        <v>19</v>
      </c>
      <c r="BE51" s="10" t="s">
        <v>25</v>
      </c>
      <c r="BF51" t="s">
        <v>24</v>
      </c>
      <c r="BG51" s="3" t="s">
        <v>1243</v>
      </c>
      <c r="BH51" t="s">
        <v>23</v>
      </c>
      <c r="BI51" t="s">
        <v>750</v>
      </c>
      <c r="BJ51" s="4" t="s">
        <v>22</v>
      </c>
      <c r="BK51" s="9">
        <v>53000</v>
      </c>
      <c r="HR51" t="s">
        <v>21</v>
      </c>
      <c r="HT51" s="4" t="s">
        <v>20</v>
      </c>
      <c r="HU51" s="58">
        <v>34335</v>
      </c>
      <c r="HV51" s="58">
        <v>36160</v>
      </c>
      <c r="HW51" s="58"/>
      <c r="IN51" t="s">
        <v>16</v>
      </c>
      <c r="IO51" s="54" t="s">
        <v>19</v>
      </c>
      <c r="IT51" s="4" t="s">
        <v>18</v>
      </c>
      <c r="IU51" t="s">
        <v>17</v>
      </c>
      <c r="IV51" s="54" t="s">
        <v>19</v>
      </c>
      <c r="IZ51">
        <v>0</v>
      </c>
      <c r="JA51">
        <v>0</v>
      </c>
      <c r="JB51">
        <v>0</v>
      </c>
      <c r="JC51">
        <v>0</v>
      </c>
      <c r="JD51">
        <v>0</v>
      </c>
      <c r="JE51">
        <v>0</v>
      </c>
      <c r="JF51">
        <v>0</v>
      </c>
      <c r="JG51">
        <v>0</v>
      </c>
      <c r="JH51">
        <v>0</v>
      </c>
      <c r="JI51" t="s">
        <v>16</v>
      </c>
      <c r="JJ51" t="s">
        <v>15</v>
      </c>
      <c r="JK51" s="8" t="s">
        <v>14</v>
      </c>
      <c r="JO51" s="4" t="s">
        <v>13</v>
      </c>
      <c r="JP51">
        <v>60</v>
      </c>
      <c r="JS51">
        <v>60</v>
      </c>
      <c r="JU51" s="4"/>
      <c r="JV51" s="4"/>
      <c r="JW51" s="4"/>
      <c r="JX51" s="4"/>
      <c r="JY51" s="4"/>
      <c r="JZ51" s="4"/>
      <c r="KE51" s="7" t="s">
        <v>12</v>
      </c>
      <c r="KI51" s="7" t="s">
        <v>720</v>
      </c>
      <c r="MS51" t="s">
        <v>11</v>
      </c>
      <c r="MT51">
        <v>42</v>
      </c>
      <c r="MW51" t="s">
        <v>709</v>
      </c>
      <c r="NB51" t="s">
        <v>205</v>
      </c>
      <c r="NC51" t="s">
        <v>711</v>
      </c>
      <c r="NE51" t="s">
        <v>211</v>
      </c>
      <c r="NG51" s="4" t="s">
        <v>203</v>
      </c>
      <c r="NH51" t="s">
        <v>210</v>
      </c>
      <c r="NP51" t="s">
        <v>747</v>
      </c>
      <c r="NQ51" t="s">
        <v>6</v>
      </c>
      <c r="NR51">
        <v>14</v>
      </c>
      <c r="NS51" s="4" t="s">
        <v>4</v>
      </c>
      <c r="NT51">
        <v>5</v>
      </c>
      <c r="NW51">
        <v>4</v>
      </c>
      <c r="OH51" t="s">
        <v>209</v>
      </c>
      <c r="OJ51">
        <v>1997</v>
      </c>
      <c r="OM51" s="2" t="s">
        <v>62</v>
      </c>
      <c r="OO51" t="s">
        <v>1178</v>
      </c>
      <c r="OP51" s="58">
        <v>46094</v>
      </c>
    </row>
    <row r="52" spans="1:406" ht="15.75" thickBot="1">
      <c r="A52" s="11" t="s">
        <v>36</v>
      </c>
      <c r="B52" t="s">
        <v>35</v>
      </c>
      <c r="C52" t="s">
        <v>34</v>
      </c>
      <c r="D52" s="4" t="s">
        <v>33</v>
      </c>
      <c r="E52" t="s">
        <v>32</v>
      </c>
      <c r="F52" s="4" t="s">
        <v>31</v>
      </c>
      <c r="G52" t="s">
        <v>2</v>
      </c>
      <c r="H52" t="s">
        <v>30</v>
      </c>
      <c r="I52" s="10">
        <v>0.1</v>
      </c>
      <c r="J52" s="10">
        <v>34.566667000000002</v>
      </c>
      <c r="K52" t="s">
        <v>29</v>
      </c>
      <c r="AV52" t="s">
        <v>28</v>
      </c>
      <c r="AW52">
        <v>100</v>
      </c>
      <c r="AX52" t="s">
        <v>29</v>
      </c>
      <c r="AY52">
        <v>4</v>
      </c>
      <c r="AZ52" t="s">
        <v>27</v>
      </c>
      <c r="BA52">
        <v>1994</v>
      </c>
      <c r="BB52">
        <v>1998</v>
      </c>
      <c r="BC52" t="s">
        <v>26</v>
      </c>
      <c r="BD52" t="s">
        <v>59</v>
      </c>
      <c r="BE52" s="10" t="s">
        <v>65</v>
      </c>
      <c r="BF52" t="s">
        <v>64</v>
      </c>
      <c r="BG52" s="3" t="s">
        <v>1243</v>
      </c>
      <c r="BH52" t="s">
        <v>23</v>
      </c>
      <c r="BI52" t="s">
        <v>750</v>
      </c>
      <c r="BJ52" s="4" t="s">
        <v>22</v>
      </c>
      <c r="BK52" s="9">
        <v>53000</v>
      </c>
      <c r="EE52" t="s">
        <v>55</v>
      </c>
      <c r="EF52" s="4" t="s">
        <v>22</v>
      </c>
      <c r="EG52" s="9">
        <v>53000</v>
      </c>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K52" s="9"/>
      <c r="HR52" t="s">
        <v>21</v>
      </c>
      <c r="HT52" s="4" t="s">
        <v>20</v>
      </c>
      <c r="HU52" s="58">
        <v>34335</v>
      </c>
      <c r="HV52" s="58">
        <v>36160</v>
      </c>
      <c r="HW52" s="58"/>
      <c r="IM52" s="4"/>
      <c r="IN52" t="s">
        <v>63</v>
      </c>
      <c r="IO52" s="12" t="s">
        <v>1736</v>
      </c>
      <c r="IR52">
        <v>1995</v>
      </c>
      <c r="IS52">
        <v>1995.2</v>
      </c>
      <c r="IT52" s="4" t="s">
        <v>18</v>
      </c>
      <c r="IU52" t="s">
        <v>61</v>
      </c>
      <c r="IV52" s="12" t="s">
        <v>52</v>
      </c>
      <c r="IY52">
        <v>0.5</v>
      </c>
      <c r="IZ52" t="s">
        <v>29</v>
      </c>
      <c r="JA52" t="s">
        <v>29</v>
      </c>
      <c r="JB52" t="s">
        <v>29</v>
      </c>
      <c r="JC52" t="s">
        <v>29</v>
      </c>
      <c r="JD52" t="s">
        <v>29</v>
      </c>
      <c r="JE52" t="s">
        <v>29</v>
      </c>
      <c r="JF52" t="s">
        <v>29</v>
      </c>
      <c r="JG52" t="s">
        <v>29</v>
      </c>
      <c r="JH52" t="s">
        <v>29</v>
      </c>
      <c r="JJ52" s="12" t="s">
        <v>721</v>
      </c>
      <c r="JO52" s="4"/>
      <c r="JU52" s="4"/>
      <c r="JV52" s="4"/>
      <c r="JW52" s="4"/>
      <c r="JX52" s="4"/>
      <c r="JY52" s="4"/>
      <c r="JZ52" s="4"/>
      <c r="KE52" s="7" t="s">
        <v>12</v>
      </c>
      <c r="KI52" s="53" t="s">
        <v>719</v>
      </c>
      <c r="KJ52" s="8" t="s">
        <v>51</v>
      </c>
      <c r="KL52" t="s">
        <v>29</v>
      </c>
      <c r="MS52" t="s">
        <v>11</v>
      </c>
      <c r="MT52">
        <v>42</v>
      </c>
      <c r="MW52" t="s">
        <v>709</v>
      </c>
      <c r="NB52" t="s">
        <v>205</v>
      </c>
      <c r="NC52" t="s">
        <v>711</v>
      </c>
      <c r="NE52" t="s">
        <v>211</v>
      </c>
      <c r="NG52" s="4" t="s">
        <v>203</v>
      </c>
      <c r="NH52" t="s">
        <v>210</v>
      </c>
      <c r="NQ52" t="s">
        <v>6</v>
      </c>
      <c r="NR52">
        <v>18</v>
      </c>
      <c r="NS52" s="4" t="s">
        <v>4</v>
      </c>
      <c r="NT52">
        <v>5</v>
      </c>
      <c r="NW52">
        <v>4</v>
      </c>
      <c r="OH52" t="s">
        <v>209</v>
      </c>
      <c r="OJ52">
        <v>1997</v>
      </c>
      <c r="OM52" t="s">
        <v>1</v>
      </c>
      <c r="OO52" t="s">
        <v>1178</v>
      </c>
      <c r="OP52" s="58">
        <v>46094</v>
      </c>
    </row>
    <row r="53" spans="1:406" ht="15.75" thickBot="1">
      <c r="A53" s="11" t="s">
        <v>36</v>
      </c>
      <c r="B53" t="s">
        <v>35</v>
      </c>
      <c r="C53" t="s">
        <v>34</v>
      </c>
      <c r="D53" s="4" t="s">
        <v>33</v>
      </c>
      <c r="E53" t="s">
        <v>32</v>
      </c>
      <c r="F53" s="4" t="s">
        <v>31</v>
      </c>
      <c r="G53" t="s">
        <v>2</v>
      </c>
      <c r="H53" t="s">
        <v>30</v>
      </c>
      <c r="I53" s="10">
        <v>0.1</v>
      </c>
      <c r="J53" s="10">
        <v>34.566667000000002</v>
      </c>
      <c r="K53" t="s">
        <v>29</v>
      </c>
      <c r="AV53" t="s">
        <v>28</v>
      </c>
      <c r="AW53">
        <v>100</v>
      </c>
      <c r="AX53" t="s">
        <v>29</v>
      </c>
      <c r="AY53">
        <v>4</v>
      </c>
      <c r="AZ53" t="s">
        <v>27</v>
      </c>
      <c r="BA53">
        <v>1994</v>
      </c>
      <c r="BB53">
        <v>1998</v>
      </c>
      <c r="BC53" t="s">
        <v>26</v>
      </c>
      <c r="BD53" t="s">
        <v>59</v>
      </c>
      <c r="BE53" s="10" t="s">
        <v>58</v>
      </c>
      <c r="BF53" t="s">
        <v>57</v>
      </c>
      <c r="BG53" s="3" t="s">
        <v>1243</v>
      </c>
      <c r="BH53" t="s">
        <v>23</v>
      </c>
      <c r="BI53" t="s">
        <v>750</v>
      </c>
      <c r="BJ53" s="4" t="s">
        <v>22</v>
      </c>
      <c r="BK53" s="9">
        <v>53000</v>
      </c>
      <c r="EE53" t="s">
        <v>55</v>
      </c>
      <c r="EF53" s="4" t="s">
        <v>22</v>
      </c>
      <c r="EG53" s="9">
        <v>53000</v>
      </c>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K53" s="9"/>
      <c r="HR53" t="s">
        <v>21</v>
      </c>
      <c r="HT53" s="4" t="s">
        <v>20</v>
      </c>
      <c r="HU53" s="58">
        <v>34335</v>
      </c>
      <c r="HV53" s="58">
        <v>36160</v>
      </c>
      <c r="HW53" s="58"/>
      <c r="IM53" s="4"/>
      <c r="IN53" t="s">
        <v>54</v>
      </c>
      <c r="IO53" s="12" t="s">
        <v>1737</v>
      </c>
      <c r="IR53">
        <v>1994</v>
      </c>
      <c r="IS53">
        <v>1994.2</v>
      </c>
      <c r="IT53" s="4" t="s">
        <v>18</v>
      </c>
      <c r="IU53" t="s">
        <v>53</v>
      </c>
      <c r="IV53" s="12" t="s">
        <v>52</v>
      </c>
      <c r="IY53">
        <v>0.5</v>
      </c>
      <c r="IZ53" t="s">
        <v>29</v>
      </c>
      <c r="JA53" t="s">
        <v>29</v>
      </c>
      <c r="JB53" t="s">
        <v>29</v>
      </c>
      <c r="JC53" t="s">
        <v>29</v>
      </c>
      <c r="JD53" t="s">
        <v>29</v>
      </c>
      <c r="JE53" t="s">
        <v>29</v>
      </c>
      <c r="JF53" t="s">
        <v>29</v>
      </c>
      <c r="JG53" t="s">
        <v>29</v>
      </c>
      <c r="JH53" t="s">
        <v>29</v>
      </c>
      <c r="JJ53" s="12" t="s">
        <v>721</v>
      </c>
      <c r="JO53" s="4"/>
      <c r="JU53" s="4"/>
      <c r="JV53" s="4"/>
      <c r="JW53" s="4"/>
      <c r="JX53" s="4"/>
      <c r="JY53" s="4"/>
      <c r="JZ53" s="4"/>
      <c r="KE53" s="7" t="s">
        <v>12</v>
      </c>
      <c r="KI53" s="53" t="s">
        <v>719</v>
      </c>
      <c r="KJ53" s="8" t="s">
        <v>51</v>
      </c>
      <c r="KL53" t="s">
        <v>29</v>
      </c>
      <c r="MS53" t="s">
        <v>11</v>
      </c>
      <c r="MT53">
        <v>42</v>
      </c>
      <c r="MW53" t="s">
        <v>709</v>
      </c>
      <c r="NB53" t="s">
        <v>205</v>
      </c>
      <c r="NC53" t="s">
        <v>711</v>
      </c>
      <c r="NE53" t="s">
        <v>211</v>
      </c>
      <c r="NG53" s="4" t="s">
        <v>203</v>
      </c>
      <c r="NH53" t="s">
        <v>210</v>
      </c>
      <c r="NQ53" t="s">
        <v>6</v>
      </c>
      <c r="NR53">
        <v>12</v>
      </c>
      <c r="NS53" s="4" t="s">
        <v>4</v>
      </c>
      <c r="NT53">
        <v>2</v>
      </c>
      <c r="NW53">
        <v>4</v>
      </c>
      <c r="OH53" t="s">
        <v>209</v>
      </c>
      <c r="OJ53">
        <v>1997</v>
      </c>
      <c r="OM53" t="s">
        <v>1</v>
      </c>
      <c r="OO53" t="s">
        <v>1178</v>
      </c>
      <c r="OP53" s="58">
        <v>46094</v>
      </c>
    </row>
    <row r="54" spans="1:406" ht="15.75" thickBot="1">
      <c r="A54" s="11" t="s">
        <v>36</v>
      </c>
      <c r="B54" t="s">
        <v>35</v>
      </c>
      <c r="C54" t="s">
        <v>34</v>
      </c>
      <c r="D54" s="4" t="s">
        <v>33</v>
      </c>
      <c r="E54" t="s">
        <v>32</v>
      </c>
      <c r="F54" s="4" t="s">
        <v>31</v>
      </c>
      <c r="G54" t="s">
        <v>2</v>
      </c>
      <c r="H54" t="s">
        <v>30</v>
      </c>
      <c r="I54" s="10">
        <v>0.1</v>
      </c>
      <c r="J54" s="10">
        <v>34.566667000000002</v>
      </c>
      <c r="K54" t="s">
        <v>29</v>
      </c>
      <c r="AV54" t="s">
        <v>28</v>
      </c>
      <c r="AW54">
        <v>100</v>
      </c>
      <c r="AX54" t="s">
        <v>29</v>
      </c>
      <c r="AY54">
        <v>4</v>
      </c>
      <c r="AZ54" t="s">
        <v>27</v>
      </c>
      <c r="BA54">
        <v>1994</v>
      </c>
      <c r="BB54">
        <v>1998</v>
      </c>
      <c r="BC54" t="s">
        <v>26</v>
      </c>
      <c r="BD54" t="s">
        <v>45</v>
      </c>
      <c r="BE54" s="10" t="s">
        <v>49</v>
      </c>
      <c r="BF54" t="s">
        <v>48</v>
      </c>
      <c r="BG54" s="3" t="s">
        <v>1243</v>
      </c>
      <c r="BH54" t="s">
        <v>23</v>
      </c>
      <c r="BI54" t="s">
        <v>750</v>
      </c>
      <c r="BJ54" s="4" t="s">
        <v>22</v>
      </c>
      <c r="BK54" s="9">
        <v>53000</v>
      </c>
      <c r="EF54" s="4"/>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K54" s="9"/>
      <c r="HR54" t="s">
        <v>21</v>
      </c>
      <c r="HT54" s="4" t="s">
        <v>20</v>
      </c>
      <c r="HU54" s="58">
        <v>34335</v>
      </c>
      <c r="HV54" s="58">
        <v>36160</v>
      </c>
      <c r="HW54" s="58"/>
      <c r="IN54" t="s">
        <v>47</v>
      </c>
      <c r="IO54" s="54" t="s">
        <v>1236</v>
      </c>
      <c r="IR54">
        <v>1995</v>
      </c>
      <c r="IS54">
        <v>1995.2</v>
      </c>
      <c r="IT54" s="4" t="s">
        <v>18</v>
      </c>
      <c r="IU54" t="s">
        <v>38</v>
      </c>
      <c r="IV54" t="s">
        <v>19</v>
      </c>
      <c r="IZ54">
        <v>0</v>
      </c>
      <c r="JA54">
        <v>0</v>
      </c>
      <c r="JB54">
        <v>0</v>
      </c>
      <c r="JC54">
        <v>0</v>
      </c>
      <c r="JD54">
        <v>0</v>
      </c>
      <c r="JE54">
        <v>0</v>
      </c>
      <c r="JF54">
        <v>0</v>
      </c>
      <c r="JG54">
        <v>0</v>
      </c>
      <c r="JH54">
        <v>0</v>
      </c>
      <c r="JJ54" s="12" t="s">
        <v>721</v>
      </c>
      <c r="JO54" s="4"/>
      <c r="JU54" s="4"/>
      <c r="JV54" s="4"/>
      <c r="JW54" s="4"/>
      <c r="JX54" s="4"/>
      <c r="JY54" s="4"/>
      <c r="JZ54" s="4"/>
      <c r="KE54" s="7" t="s">
        <v>12</v>
      </c>
      <c r="KI54" s="7" t="s">
        <v>720</v>
      </c>
      <c r="MS54" t="s">
        <v>11</v>
      </c>
      <c r="MT54">
        <v>42</v>
      </c>
      <c r="MW54" t="s">
        <v>709</v>
      </c>
      <c r="NB54" t="s">
        <v>205</v>
      </c>
      <c r="NC54" t="s">
        <v>711</v>
      </c>
      <c r="NE54" t="s">
        <v>211</v>
      </c>
      <c r="NG54" s="4" t="s">
        <v>203</v>
      </c>
      <c r="NH54" t="s">
        <v>210</v>
      </c>
      <c r="NQ54" t="s">
        <v>6</v>
      </c>
      <c r="NR54">
        <v>14</v>
      </c>
      <c r="NS54" s="4" t="s">
        <v>4</v>
      </c>
      <c r="NT54">
        <v>5</v>
      </c>
      <c r="NW54">
        <v>4</v>
      </c>
      <c r="OH54" t="s">
        <v>209</v>
      </c>
      <c r="OJ54">
        <v>1997</v>
      </c>
      <c r="OM54" t="s">
        <v>1</v>
      </c>
      <c r="OO54" t="s">
        <v>1178</v>
      </c>
      <c r="OP54" s="58">
        <v>46094</v>
      </c>
    </row>
    <row r="55" spans="1:406" ht="15.75" thickBot="1">
      <c r="A55" s="11" t="s">
        <v>36</v>
      </c>
      <c r="B55" t="s">
        <v>35</v>
      </c>
      <c r="C55" t="s">
        <v>34</v>
      </c>
      <c r="D55" s="4" t="s">
        <v>33</v>
      </c>
      <c r="E55" t="s">
        <v>32</v>
      </c>
      <c r="F55" s="4" t="s">
        <v>31</v>
      </c>
      <c r="G55" t="s">
        <v>2</v>
      </c>
      <c r="H55" t="s">
        <v>30</v>
      </c>
      <c r="I55" s="10">
        <v>0.1</v>
      </c>
      <c r="J55" s="10">
        <v>34.566667000000002</v>
      </c>
      <c r="K55" t="s">
        <v>29</v>
      </c>
      <c r="AV55" t="s">
        <v>28</v>
      </c>
      <c r="AW55">
        <v>100</v>
      </c>
      <c r="AX55" t="s">
        <v>29</v>
      </c>
      <c r="AY55">
        <v>4</v>
      </c>
      <c r="AZ55" t="s">
        <v>27</v>
      </c>
      <c r="BA55">
        <v>1994</v>
      </c>
      <c r="BB55">
        <v>1998</v>
      </c>
      <c r="BC55" t="s">
        <v>26</v>
      </c>
      <c r="BD55" t="s">
        <v>45</v>
      </c>
      <c r="BE55" s="10" t="s">
        <v>44</v>
      </c>
      <c r="BF55" t="s">
        <v>43</v>
      </c>
      <c r="BG55" s="3" t="s">
        <v>1243</v>
      </c>
      <c r="BH55" t="s">
        <v>23</v>
      </c>
      <c r="BI55" t="s">
        <v>750</v>
      </c>
      <c r="BJ55" s="4" t="s">
        <v>22</v>
      </c>
      <c r="BK55" s="9">
        <v>53000</v>
      </c>
      <c r="EF55" s="4"/>
      <c r="EG55" s="9"/>
      <c r="EH55" s="9"/>
      <c r="EI55" s="9"/>
      <c r="EJ55" s="9"/>
      <c r="EK55" s="9"/>
      <c r="EL55" s="9"/>
      <c r="EM55" s="9"/>
      <c r="EN55" s="9"/>
      <c r="EO55" s="9"/>
      <c r="EP55" s="9"/>
      <c r="EQ55" s="9"/>
      <c r="ER55" s="9"/>
      <c r="ES55" s="9"/>
      <c r="ET55" s="9"/>
      <c r="EU55" s="9"/>
      <c r="EV55" s="9"/>
      <c r="EW55" s="9"/>
      <c r="EX55" s="9"/>
      <c r="EY55" s="9"/>
      <c r="EZ55" s="9"/>
      <c r="FA55" s="9"/>
      <c r="FB55" s="9"/>
      <c r="FC55" s="9"/>
      <c r="FD55" s="9"/>
      <c r="FE55" s="9"/>
      <c r="FF55" s="9"/>
      <c r="FG55" s="9"/>
      <c r="FH55" s="9"/>
      <c r="FI55" s="9"/>
      <c r="FJ55" s="9"/>
      <c r="FK55" s="9"/>
      <c r="FL55" s="9"/>
      <c r="FM55" s="9"/>
      <c r="FN55" s="9"/>
      <c r="FO55" s="9"/>
      <c r="FP55" s="9"/>
      <c r="FQ55" s="9"/>
      <c r="FR55" s="9"/>
      <c r="FS55" s="9"/>
      <c r="FT55" s="9"/>
      <c r="FU55" s="9"/>
      <c r="FV55" s="9"/>
      <c r="FW55" s="9"/>
      <c r="FX55" s="9"/>
      <c r="FY55" s="9"/>
      <c r="FZ55" s="9"/>
      <c r="GA55" s="9"/>
      <c r="GB55" s="9"/>
      <c r="GC55" s="9"/>
      <c r="GD55" s="9"/>
      <c r="GE55" s="9"/>
      <c r="GF55" s="9"/>
      <c r="GG55" s="9"/>
      <c r="GH55" s="9"/>
      <c r="GI55" s="9"/>
      <c r="GJ55" s="9"/>
      <c r="GK55" s="9"/>
      <c r="GL55" s="9"/>
      <c r="GM55" s="9"/>
      <c r="GN55" s="9"/>
      <c r="GO55" s="9"/>
      <c r="GP55" s="9"/>
      <c r="GQ55" s="9"/>
      <c r="GR55" s="9"/>
      <c r="GS55" s="9"/>
      <c r="GT55" s="9"/>
      <c r="GU55" s="9"/>
      <c r="GV55" s="9"/>
      <c r="GW55" s="9"/>
      <c r="GX55" s="9"/>
      <c r="GY55" s="9"/>
      <c r="GZ55" s="9"/>
      <c r="HA55" s="9"/>
      <c r="HB55" s="9"/>
      <c r="HC55" s="9"/>
      <c r="HD55" s="9"/>
      <c r="HE55" s="9"/>
      <c r="HF55" s="9"/>
      <c r="HG55" s="9"/>
      <c r="HH55" s="9"/>
      <c r="HI55" s="9"/>
      <c r="HJ55" s="9"/>
      <c r="HK55" s="9"/>
      <c r="HR55" t="s">
        <v>21</v>
      </c>
      <c r="HT55" s="4" t="s">
        <v>20</v>
      </c>
      <c r="HU55" s="58">
        <v>34335</v>
      </c>
      <c r="HV55" s="58">
        <v>36160</v>
      </c>
      <c r="HW55" s="58"/>
      <c r="IN55" t="s">
        <v>42</v>
      </c>
      <c r="IO55" s="13" t="s">
        <v>1237</v>
      </c>
      <c r="IR55">
        <v>1994</v>
      </c>
      <c r="IS55">
        <v>1994.2</v>
      </c>
      <c r="IT55" s="4" t="s">
        <v>18</v>
      </c>
      <c r="IU55" t="s">
        <v>38</v>
      </c>
      <c r="IV55" t="s">
        <v>19</v>
      </c>
      <c r="IZ55">
        <v>0</v>
      </c>
      <c r="JA55">
        <v>0</v>
      </c>
      <c r="JB55">
        <v>0</v>
      </c>
      <c r="JC55">
        <v>0</v>
      </c>
      <c r="JD55">
        <v>0</v>
      </c>
      <c r="JE55">
        <v>0</v>
      </c>
      <c r="JF55">
        <v>0</v>
      </c>
      <c r="JG55">
        <v>0</v>
      </c>
      <c r="JH55">
        <v>0</v>
      </c>
      <c r="JJ55" s="12" t="s">
        <v>721</v>
      </c>
      <c r="JO55" s="4"/>
      <c r="JU55" s="4"/>
      <c r="JV55" s="4"/>
      <c r="JW55" s="4"/>
      <c r="JX55" s="4"/>
      <c r="JY55" s="4"/>
      <c r="JZ55" s="4"/>
      <c r="KE55" s="7" t="s">
        <v>12</v>
      </c>
      <c r="KI55" s="7" t="s">
        <v>720</v>
      </c>
      <c r="MS55" t="s">
        <v>11</v>
      </c>
      <c r="MT55">
        <v>42</v>
      </c>
      <c r="MW55" t="s">
        <v>709</v>
      </c>
      <c r="NB55" t="s">
        <v>205</v>
      </c>
      <c r="NC55" t="s">
        <v>711</v>
      </c>
      <c r="NE55" t="s">
        <v>211</v>
      </c>
      <c r="NG55" s="4" t="s">
        <v>203</v>
      </c>
      <c r="NH55" t="s">
        <v>210</v>
      </c>
      <c r="NQ55" t="s">
        <v>6</v>
      </c>
      <c r="NR55">
        <v>10</v>
      </c>
      <c r="NS55" s="4" t="s">
        <v>4</v>
      </c>
      <c r="NT55">
        <v>3</v>
      </c>
      <c r="NW55">
        <v>4</v>
      </c>
      <c r="OH55" t="s">
        <v>209</v>
      </c>
      <c r="OJ55">
        <v>1997</v>
      </c>
      <c r="OM55" t="s">
        <v>1</v>
      </c>
      <c r="OO55" t="s">
        <v>1178</v>
      </c>
      <c r="OP55" s="58">
        <v>46094</v>
      </c>
    </row>
    <row r="56" spans="1:406" ht="15.75" thickBot="1">
      <c r="A56" s="11" t="s">
        <v>36</v>
      </c>
      <c r="B56" t="s">
        <v>35</v>
      </c>
      <c r="C56" t="s">
        <v>34</v>
      </c>
      <c r="D56" s="4" t="s">
        <v>33</v>
      </c>
      <c r="E56" t="s">
        <v>32</v>
      </c>
      <c r="F56" s="4" t="s">
        <v>31</v>
      </c>
      <c r="G56" t="s">
        <v>2</v>
      </c>
      <c r="H56" t="s">
        <v>30</v>
      </c>
      <c r="I56" s="10">
        <v>0.1</v>
      </c>
      <c r="J56" s="10">
        <v>34.566667000000002</v>
      </c>
      <c r="K56" t="s">
        <v>29</v>
      </c>
      <c r="AV56" t="s">
        <v>28</v>
      </c>
      <c r="AW56">
        <v>100</v>
      </c>
      <c r="AX56" t="s">
        <v>29</v>
      </c>
      <c r="AY56">
        <v>4</v>
      </c>
      <c r="AZ56" t="s">
        <v>27</v>
      </c>
      <c r="BA56">
        <v>1994</v>
      </c>
      <c r="BB56">
        <v>1998</v>
      </c>
      <c r="BC56" t="s">
        <v>26</v>
      </c>
      <c r="BD56" t="s">
        <v>19</v>
      </c>
      <c r="BE56" s="10" t="s">
        <v>40</v>
      </c>
      <c r="BF56" t="s">
        <v>39</v>
      </c>
      <c r="BG56" s="3" t="s">
        <v>1243</v>
      </c>
      <c r="BH56" t="s">
        <v>23</v>
      </c>
      <c r="BI56" t="s">
        <v>750</v>
      </c>
      <c r="BJ56" s="4" t="s">
        <v>22</v>
      </c>
      <c r="BK56" s="9">
        <v>53000</v>
      </c>
      <c r="HR56" t="s">
        <v>21</v>
      </c>
      <c r="HT56" s="4" t="s">
        <v>20</v>
      </c>
      <c r="HU56" s="58">
        <v>34335</v>
      </c>
      <c r="HV56" s="58">
        <v>36160</v>
      </c>
      <c r="HW56" s="58"/>
      <c r="IN56" t="s">
        <v>38</v>
      </c>
      <c r="IO56" s="54" t="s">
        <v>19</v>
      </c>
      <c r="IT56" s="4" t="s">
        <v>18</v>
      </c>
      <c r="IU56" t="s">
        <v>38</v>
      </c>
      <c r="IV56" s="54" t="s">
        <v>19</v>
      </c>
      <c r="IZ56">
        <v>0</v>
      </c>
      <c r="JA56">
        <v>0</v>
      </c>
      <c r="JB56">
        <v>0</v>
      </c>
      <c r="JC56">
        <v>0</v>
      </c>
      <c r="JD56">
        <v>0</v>
      </c>
      <c r="JE56">
        <v>0</v>
      </c>
      <c r="JF56">
        <v>0</v>
      </c>
      <c r="JG56">
        <v>0</v>
      </c>
      <c r="JH56">
        <v>0</v>
      </c>
      <c r="JJ56" s="12" t="s">
        <v>721</v>
      </c>
      <c r="JO56" s="4"/>
      <c r="JU56" s="4"/>
      <c r="JV56" s="4"/>
      <c r="JW56" s="4"/>
      <c r="JX56" s="4"/>
      <c r="JY56" s="4"/>
      <c r="JZ56" s="4"/>
      <c r="KE56" s="7" t="s">
        <v>12</v>
      </c>
      <c r="KI56" s="7" t="s">
        <v>720</v>
      </c>
      <c r="MS56" t="s">
        <v>11</v>
      </c>
      <c r="MT56">
        <v>42</v>
      </c>
      <c r="MW56" t="s">
        <v>709</v>
      </c>
      <c r="NB56" t="s">
        <v>205</v>
      </c>
      <c r="NC56" t="s">
        <v>711</v>
      </c>
      <c r="NE56" t="s">
        <v>211</v>
      </c>
      <c r="NG56" s="4" t="s">
        <v>203</v>
      </c>
      <c r="NH56" t="s">
        <v>210</v>
      </c>
      <c r="NP56" t="s">
        <v>735</v>
      </c>
      <c r="NQ56" t="s">
        <v>6</v>
      </c>
      <c r="NR56">
        <v>12</v>
      </c>
      <c r="NS56" s="4" t="s">
        <v>4</v>
      </c>
      <c r="NT56">
        <v>4</v>
      </c>
      <c r="NW56">
        <v>4</v>
      </c>
      <c r="OH56" t="s">
        <v>209</v>
      </c>
      <c r="OJ56">
        <v>1997</v>
      </c>
      <c r="OM56" t="s">
        <v>1</v>
      </c>
      <c r="OO56" t="s">
        <v>1178</v>
      </c>
      <c r="OP56" s="58">
        <v>46094</v>
      </c>
    </row>
    <row r="57" spans="1:406" ht="15.75" thickBot="1">
      <c r="A57" s="11" t="s">
        <v>36</v>
      </c>
      <c r="B57" t="s">
        <v>35</v>
      </c>
      <c r="C57" t="s">
        <v>34</v>
      </c>
      <c r="D57" s="4" t="s">
        <v>33</v>
      </c>
      <c r="E57" t="s">
        <v>32</v>
      </c>
      <c r="F57" s="4" t="s">
        <v>31</v>
      </c>
      <c r="G57" t="s">
        <v>2</v>
      </c>
      <c r="H57" t="s">
        <v>30</v>
      </c>
      <c r="I57" s="10">
        <v>0.1</v>
      </c>
      <c r="J57" s="10">
        <v>34.566667000000002</v>
      </c>
      <c r="K57" t="s">
        <v>29</v>
      </c>
      <c r="AV57" t="s">
        <v>28</v>
      </c>
      <c r="AW57">
        <v>100</v>
      </c>
      <c r="AX57" t="s">
        <v>29</v>
      </c>
      <c r="AY57">
        <v>4</v>
      </c>
      <c r="AZ57" t="s">
        <v>27</v>
      </c>
      <c r="BA57">
        <v>1994</v>
      </c>
      <c r="BB57">
        <v>1998</v>
      </c>
      <c r="BC57" t="s">
        <v>26</v>
      </c>
      <c r="BD57" t="s">
        <v>19</v>
      </c>
      <c r="BE57" s="10" t="s">
        <v>25</v>
      </c>
      <c r="BF57" t="s">
        <v>24</v>
      </c>
      <c r="BG57" s="3" t="s">
        <v>1243</v>
      </c>
      <c r="BH57" t="s">
        <v>23</v>
      </c>
      <c r="BI57" t="s">
        <v>750</v>
      </c>
      <c r="BJ57" s="4" t="s">
        <v>22</v>
      </c>
      <c r="BK57" s="9">
        <v>53000</v>
      </c>
      <c r="HR57" t="s">
        <v>21</v>
      </c>
      <c r="HT57" s="4" t="s">
        <v>20</v>
      </c>
      <c r="HU57" s="58">
        <v>34335</v>
      </c>
      <c r="HV57" s="58">
        <v>36160</v>
      </c>
      <c r="HW57" s="58"/>
      <c r="IN57" t="s">
        <v>16</v>
      </c>
      <c r="IO57" s="54" t="s">
        <v>19</v>
      </c>
      <c r="IT57" s="4" t="s">
        <v>18</v>
      </c>
      <c r="IU57" t="s">
        <v>17</v>
      </c>
      <c r="IV57" s="54" t="s">
        <v>19</v>
      </c>
      <c r="IZ57">
        <v>0</v>
      </c>
      <c r="JA57">
        <v>0</v>
      </c>
      <c r="JB57">
        <v>0</v>
      </c>
      <c r="JC57">
        <v>0</v>
      </c>
      <c r="JD57">
        <v>0</v>
      </c>
      <c r="JE57">
        <v>0</v>
      </c>
      <c r="JF57">
        <v>0</v>
      </c>
      <c r="JG57">
        <v>0</v>
      </c>
      <c r="JH57">
        <v>0</v>
      </c>
      <c r="JI57" t="s">
        <v>16</v>
      </c>
      <c r="JJ57" t="s">
        <v>15</v>
      </c>
      <c r="JK57" s="8" t="s">
        <v>14</v>
      </c>
      <c r="JO57" s="4" t="s">
        <v>13</v>
      </c>
      <c r="JP57">
        <v>60</v>
      </c>
      <c r="JS57">
        <v>60</v>
      </c>
      <c r="JU57" s="4"/>
      <c r="JV57" s="4"/>
      <c r="JW57" s="4"/>
      <c r="JX57" s="4"/>
      <c r="JY57" s="4"/>
      <c r="JZ57" s="4"/>
      <c r="KE57" s="7" t="s">
        <v>12</v>
      </c>
      <c r="KI57" s="7" t="s">
        <v>720</v>
      </c>
      <c r="MS57" t="s">
        <v>11</v>
      </c>
      <c r="MT57">
        <v>42</v>
      </c>
      <c r="MW57" t="s">
        <v>709</v>
      </c>
      <c r="NB57" t="s">
        <v>205</v>
      </c>
      <c r="NC57" t="s">
        <v>711</v>
      </c>
      <c r="NE57" t="s">
        <v>211</v>
      </c>
      <c r="NG57" s="4" t="s">
        <v>203</v>
      </c>
      <c r="NH57" t="s">
        <v>210</v>
      </c>
      <c r="NP57" t="s">
        <v>747</v>
      </c>
      <c r="NQ57" t="s">
        <v>6</v>
      </c>
      <c r="NR57">
        <v>5</v>
      </c>
      <c r="NS57" s="4" t="s">
        <v>4</v>
      </c>
      <c r="NT57">
        <v>3</v>
      </c>
      <c r="NW57">
        <v>4</v>
      </c>
      <c r="OH57" t="s">
        <v>209</v>
      </c>
      <c r="OJ57">
        <v>1997</v>
      </c>
      <c r="OM57" t="s">
        <v>1</v>
      </c>
      <c r="OO57" t="s">
        <v>1178</v>
      </c>
      <c r="OP57" s="58">
        <v>46094</v>
      </c>
    </row>
    <row r="58" spans="1:406" ht="15.75" thickBot="1">
      <c r="A58" s="11" t="s">
        <v>36</v>
      </c>
      <c r="B58" t="s">
        <v>35</v>
      </c>
      <c r="C58" t="s">
        <v>34</v>
      </c>
      <c r="D58" s="4" t="s">
        <v>33</v>
      </c>
      <c r="E58" t="s">
        <v>32</v>
      </c>
      <c r="F58" s="4" t="s">
        <v>31</v>
      </c>
      <c r="G58" t="s">
        <v>2</v>
      </c>
      <c r="H58" t="s">
        <v>30</v>
      </c>
      <c r="I58" s="10">
        <v>0.1</v>
      </c>
      <c r="J58" s="10">
        <v>34.566667000000002</v>
      </c>
      <c r="K58" t="s">
        <v>29</v>
      </c>
      <c r="AV58" t="s">
        <v>28</v>
      </c>
      <c r="AW58">
        <v>100</v>
      </c>
      <c r="AX58" t="s">
        <v>29</v>
      </c>
      <c r="AY58">
        <v>4</v>
      </c>
      <c r="AZ58" t="s">
        <v>27</v>
      </c>
      <c r="BA58">
        <v>1994</v>
      </c>
      <c r="BB58">
        <v>1998</v>
      </c>
      <c r="BC58" t="s">
        <v>26</v>
      </c>
      <c r="BD58" t="s">
        <v>59</v>
      </c>
      <c r="BE58" s="10" t="s">
        <v>65</v>
      </c>
      <c r="BF58" t="s">
        <v>64</v>
      </c>
      <c r="BG58" s="3" t="s">
        <v>1243</v>
      </c>
      <c r="BH58" t="s">
        <v>23</v>
      </c>
      <c r="BI58" t="s">
        <v>750</v>
      </c>
      <c r="BJ58" s="4" t="s">
        <v>22</v>
      </c>
      <c r="BK58" s="9">
        <v>53000</v>
      </c>
      <c r="EE58" t="s">
        <v>55</v>
      </c>
      <c r="EF58" s="4" t="s">
        <v>22</v>
      </c>
      <c r="EG58" s="9">
        <v>53000</v>
      </c>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K58" s="9"/>
      <c r="HR58" t="s">
        <v>21</v>
      </c>
      <c r="HT58" s="4" t="s">
        <v>20</v>
      </c>
      <c r="HU58" s="58">
        <v>34335</v>
      </c>
      <c r="HV58" s="58">
        <v>36160</v>
      </c>
      <c r="HW58" s="58"/>
      <c r="IM58" s="4"/>
      <c r="IN58" t="s">
        <v>63</v>
      </c>
      <c r="IO58" s="12" t="s">
        <v>1736</v>
      </c>
      <c r="IR58">
        <v>1995</v>
      </c>
      <c r="IS58">
        <v>1995.2</v>
      </c>
      <c r="IT58" s="4" t="s">
        <v>18</v>
      </c>
      <c r="IU58" t="s">
        <v>61</v>
      </c>
      <c r="IV58" s="12" t="s">
        <v>52</v>
      </c>
      <c r="IY58">
        <v>0.5</v>
      </c>
      <c r="IZ58" t="s">
        <v>29</v>
      </c>
      <c r="JA58" t="s">
        <v>29</v>
      </c>
      <c r="JB58" t="s">
        <v>29</v>
      </c>
      <c r="JC58" t="s">
        <v>29</v>
      </c>
      <c r="JD58" t="s">
        <v>29</v>
      </c>
      <c r="JE58" t="s">
        <v>29</v>
      </c>
      <c r="JF58" t="s">
        <v>29</v>
      </c>
      <c r="JG58" t="s">
        <v>29</v>
      </c>
      <c r="JH58" t="s">
        <v>29</v>
      </c>
      <c r="JJ58" s="12" t="s">
        <v>721</v>
      </c>
      <c r="JO58" s="4"/>
      <c r="JU58" s="4"/>
      <c r="JV58" s="4"/>
      <c r="JW58" s="4"/>
      <c r="JX58" s="4"/>
      <c r="JY58" s="4"/>
      <c r="JZ58" s="4"/>
      <c r="KE58" s="7" t="s">
        <v>12</v>
      </c>
      <c r="KI58" s="53" t="s">
        <v>719</v>
      </c>
      <c r="KJ58" s="8" t="s">
        <v>51</v>
      </c>
      <c r="KL58" t="s">
        <v>29</v>
      </c>
      <c r="MS58" t="s">
        <v>11</v>
      </c>
      <c r="MT58">
        <v>42</v>
      </c>
      <c r="MW58" t="s">
        <v>710</v>
      </c>
      <c r="NB58" t="s">
        <v>205</v>
      </c>
      <c r="NC58" t="s">
        <v>712</v>
      </c>
      <c r="NE58" t="s">
        <v>204</v>
      </c>
      <c r="NG58" s="4" t="s">
        <v>203</v>
      </c>
      <c r="NH58" t="s">
        <v>202</v>
      </c>
      <c r="NI58">
        <v>0</v>
      </c>
      <c r="NJ58">
        <v>15</v>
      </c>
      <c r="NQ58" t="s">
        <v>6</v>
      </c>
      <c r="NR58">
        <v>48</v>
      </c>
      <c r="NS58" s="4" t="s">
        <v>4</v>
      </c>
      <c r="NT58" s="3">
        <v>24</v>
      </c>
      <c r="NW58">
        <v>4</v>
      </c>
      <c r="OH58" t="s">
        <v>208</v>
      </c>
      <c r="OJ58">
        <v>1996</v>
      </c>
      <c r="OM58" s="2" t="s">
        <v>62</v>
      </c>
      <c r="OO58" t="s">
        <v>1178</v>
      </c>
      <c r="OP58" s="58">
        <v>46094</v>
      </c>
    </row>
    <row r="59" spans="1:406" ht="15.75" thickBot="1">
      <c r="A59" s="11" t="s">
        <v>36</v>
      </c>
      <c r="B59" t="s">
        <v>35</v>
      </c>
      <c r="C59" t="s">
        <v>34</v>
      </c>
      <c r="D59" s="4" t="s">
        <v>33</v>
      </c>
      <c r="E59" t="s">
        <v>32</v>
      </c>
      <c r="F59" s="4" t="s">
        <v>31</v>
      </c>
      <c r="G59" t="s">
        <v>2</v>
      </c>
      <c r="H59" t="s">
        <v>30</v>
      </c>
      <c r="I59" s="10">
        <v>0.1</v>
      </c>
      <c r="J59" s="10">
        <v>34.566667000000002</v>
      </c>
      <c r="K59" t="s">
        <v>29</v>
      </c>
      <c r="AV59" t="s">
        <v>28</v>
      </c>
      <c r="AW59">
        <v>100</v>
      </c>
      <c r="AX59" t="s">
        <v>29</v>
      </c>
      <c r="AY59">
        <v>4</v>
      </c>
      <c r="AZ59" t="s">
        <v>27</v>
      </c>
      <c r="BA59">
        <v>1994</v>
      </c>
      <c r="BB59">
        <v>1998</v>
      </c>
      <c r="BC59" t="s">
        <v>26</v>
      </c>
      <c r="BD59" t="s">
        <v>59</v>
      </c>
      <c r="BE59" s="10" t="s">
        <v>58</v>
      </c>
      <c r="BF59" t="s">
        <v>57</v>
      </c>
      <c r="BG59" s="3" t="s">
        <v>1243</v>
      </c>
      <c r="BH59" t="s">
        <v>23</v>
      </c>
      <c r="BI59" t="s">
        <v>750</v>
      </c>
      <c r="BJ59" s="4" t="s">
        <v>22</v>
      </c>
      <c r="BK59" s="9">
        <v>53000</v>
      </c>
      <c r="EE59" t="s">
        <v>55</v>
      </c>
      <c r="EF59" s="4" t="s">
        <v>22</v>
      </c>
      <c r="EG59" s="9">
        <v>53000</v>
      </c>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K59" s="9"/>
      <c r="HR59" t="s">
        <v>21</v>
      </c>
      <c r="HT59" s="4" t="s">
        <v>20</v>
      </c>
      <c r="HU59" s="58">
        <v>34335</v>
      </c>
      <c r="HV59" s="58">
        <v>36160</v>
      </c>
      <c r="HW59" s="58"/>
      <c r="IM59" s="4"/>
      <c r="IN59" t="s">
        <v>54</v>
      </c>
      <c r="IO59" s="12" t="s">
        <v>1737</v>
      </c>
      <c r="IR59">
        <v>1994</v>
      </c>
      <c r="IS59">
        <v>1994.2</v>
      </c>
      <c r="IT59" s="4" t="s">
        <v>18</v>
      </c>
      <c r="IU59" t="s">
        <v>53</v>
      </c>
      <c r="IV59" s="12" t="s">
        <v>52</v>
      </c>
      <c r="IY59">
        <v>0.5</v>
      </c>
      <c r="IZ59" t="s">
        <v>29</v>
      </c>
      <c r="JA59" t="s">
        <v>29</v>
      </c>
      <c r="JB59" t="s">
        <v>29</v>
      </c>
      <c r="JC59" t="s">
        <v>29</v>
      </c>
      <c r="JD59" t="s">
        <v>29</v>
      </c>
      <c r="JE59" t="s">
        <v>29</v>
      </c>
      <c r="JF59" t="s">
        <v>29</v>
      </c>
      <c r="JG59" t="s">
        <v>29</v>
      </c>
      <c r="JH59" t="s">
        <v>29</v>
      </c>
      <c r="JJ59" s="12" t="s">
        <v>721</v>
      </c>
      <c r="JO59" s="4"/>
      <c r="JU59" s="4"/>
      <c r="JV59" s="4"/>
      <c r="JW59" s="4"/>
      <c r="JX59" s="4"/>
      <c r="JY59" s="4"/>
      <c r="JZ59" s="4"/>
      <c r="KE59" s="7" t="s">
        <v>12</v>
      </c>
      <c r="KI59" s="53" t="s">
        <v>719</v>
      </c>
      <c r="KJ59" s="8" t="s">
        <v>51</v>
      </c>
      <c r="KL59" t="s">
        <v>29</v>
      </c>
      <c r="MS59" t="s">
        <v>11</v>
      </c>
      <c r="MT59">
        <v>42</v>
      </c>
      <c r="MW59" t="s">
        <v>710</v>
      </c>
      <c r="NB59" t="s">
        <v>205</v>
      </c>
      <c r="NC59" t="s">
        <v>712</v>
      </c>
      <c r="NE59" t="s">
        <v>204</v>
      </c>
      <c r="NG59" s="4" t="s">
        <v>203</v>
      </c>
      <c r="NH59" t="s">
        <v>202</v>
      </c>
      <c r="NI59">
        <v>0</v>
      </c>
      <c r="NJ59">
        <v>15</v>
      </c>
      <c r="NQ59" t="s">
        <v>6</v>
      </c>
      <c r="NR59">
        <v>63</v>
      </c>
      <c r="NS59" s="4" t="s">
        <v>4</v>
      </c>
      <c r="NT59" s="3">
        <v>16</v>
      </c>
      <c r="NW59">
        <v>4</v>
      </c>
      <c r="OH59" t="s">
        <v>208</v>
      </c>
      <c r="OJ59">
        <v>1996</v>
      </c>
      <c r="OM59" s="2" t="s">
        <v>62</v>
      </c>
      <c r="OO59" t="s">
        <v>1178</v>
      </c>
      <c r="OP59" s="58">
        <v>46094</v>
      </c>
    </row>
    <row r="60" spans="1:406" ht="15.75" thickBot="1">
      <c r="A60" s="11" t="s">
        <v>36</v>
      </c>
      <c r="B60" t="s">
        <v>35</v>
      </c>
      <c r="C60" t="s">
        <v>34</v>
      </c>
      <c r="D60" s="4" t="s">
        <v>33</v>
      </c>
      <c r="E60" t="s">
        <v>32</v>
      </c>
      <c r="F60" s="4" t="s">
        <v>31</v>
      </c>
      <c r="G60" t="s">
        <v>2</v>
      </c>
      <c r="H60" t="s">
        <v>30</v>
      </c>
      <c r="I60" s="10">
        <v>0.1</v>
      </c>
      <c r="J60" s="10">
        <v>34.566667000000002</v>
      </c>
      <c r="K60" t="s">
        <v>29</v>
      </c>
      <c r="AV60" t="s">
        <v>28</v>
      </c>
      <c r="AW60">
        <v>100</v>
      </c>
      <c r="AX60" t="s">
        <v>29</v>
      </c>
      <c r="AY60">
        <v>4</v>
      </c>
      <c r="AZ60" t="s">
        <v>27</v>
      </c>
      <c r="BA60">
        <v>1994</v>
      </c>
      <c r="BB60">
        <v>1998</v>
      </c>
      <c r="BC60" t="s">
        <v>26</v>
      </c>
      <c r="BD60" t="s">
        <v>45</v>
      </c>
      <c r="BE60" s="10" t="s">
        <v>49</v>
      </c>
      <c r="BF60" t="s">
        <v>48</v>
      </c>
      <c r="BG60" s="3" t="s">
        <v>1243</v>
      </c>
      <c r="BH60" t="s">
        <v>23</v>
      </c>
      <c r="BI60" t="s">
        <v>750</v>
      </c>
      <c r="BJ60" s="4" t="s">
        <v>22</v>
      </c>
      <c r="BK60" s="9">
        <v>53000</v>
      </c>
      <c r="EF60" s="4"/>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K60" s="9"/>
      <c r="HR60" t="s">
        <v>21</v>
      </c>
      <c r="HT60" s="4" t="s">
        <v>20</v>
      </c>
      <c r="HU60" s="58">
        <v>34335</v>
      </c>
      <c r="HV60" s="58">
        <v>36160</v>
      </c>
      <c r="HW60" s="58"/>
      <c r="IN60" t="s">
        <v>47</v>
      </c>
      <c r="IO60" s="54" t="s">
        <v>1236</v>
      </c>
      <c r="IR60">
        <v>1995</v>
      </c>
      <c r="IS60">
        <v>1995.2</v>
      </c>
      <c r="IT60" s="4" t="s">
        <v>18</v>
      </c>
      <c r="IU60" t="s">
        <v>38</v>
      </c>
      <c r="IV60" t="s">
        <v>19</v>
      </c>
      <c r="IZ60">
        <v>0</v>
      </c>
      <c r="JA60">
        <v>0</v>
      </c>
      <c r="JB60">
        <v>0</v>
      </c>
      <c r="JC60">
        <v>0</v>
      </c>
      <c r="JD60">
        <v>0</v>
      </c>
      <c r="JE60">
        <v>0</v>
      </c>
      <c r="JF60">
        <v>0</v>
      </c>
      <c r="JG60">
        <v>0</v>
      </c>
      <c r="JH60">
        <v>0</v>
      </c>
      <c r="JJ60" s="12" t="s">
        <v>721</v>
      </c>
      <c r="JO60" s="4"/>
      <c r="JU60" s="4"/>
      <c r="JV60" s="4"/>
      <c r="JW60" s="4"/>
      <c r="JX60" s="4"/>
      <c r="JY60" s="4"/>
      <c r="JZ60" s="4"/>
      <c r="KE60" s="7" t="s">
        <v>12</v>
      </c>
      <c r="KI60" s="7" t="s">
        <v>720</v>
      </c>
      <c r="MS60" t="s">
        <v>11</v>
      </c>
      <c r="MT60">
        <v>42</v>
      </c>
      <c r="MW60" t="s">
        <v>710</v>
      </c>
      <c r="NB60" t="s">
        <v>205</v>
      </c>
      <c r="NC60" t="s">
        <v>712</v>
      </c>
      <c r="NE60" t="s">
        <v>204</v>
      </c>
      <c r="NG60" s="4" t="s">
        <v>203</v>
      </c>
      <c r="NH60" t="s">
        <v>202</v>
      </c>
      <c r="NI60">
        <v>0</v>
      </c>
      <c r="NJ60">
        <v>15</v>
      </c>
      <c r="NQ60" t="s">
        <v>6</v>
      </c>
      <c r="NR60" s="3">
        <v>34</v>
      </c>
      <c r="NS60" s="4" t="s">
        <v>4</v>
      </c>
      <c r="NT60" s="3">
        <v>7</v>
      </c>
      <c r="NW60">
        <v>4</v>
      </c>
      <c r="OH60" t="s">
        <v>208</v>
      </c>
      <c r="OJ60">
        <v>1996</v>
      </c>
      <c r="OM60" s="2" t="s">
        <v>62</v>
      </c>
      <c r="OO60" t="s">
        <v>1178</v>
      </c>
      <c r="OP60" s="58">
        <v>46094</v>
      </c>
    </row>
    <row r="61" spans="1:406" ht="15.75" thickBot="1">
      <c r="A61" s="11" t="s">
        <v>36</v>
      </c>
      <c r="B61" t="s">
        <v>35</v>
      </c>
      <c r="C61" t="s">
        <v>34</v>
      </c>
      <c r="D61" s="4" t="s">
        <v>33</v>
      </c>
      <c r="E61" t="s">
        <v>32</v>
      </c>
      <c r="F61" s="4" t="s">
        <v>31</v>
      </c>
      <c r="G61" t="s">
        <v>2</v>
      </c>
      <c r="H61" t="s">
        <v>30</v>
      </c>
      <c r="I61" s="10">
        <v>0.1</v>
      </c>
      <c r="J61" s="10">
        <v>34.566667000000002</v>
      </c>
      <c r="K61" t="s">
        <v>29</v>
      </c>
      <c r="AV61" t="s">
        <v>28</v>
      </c>
      <c r="AW61">
        <v>100</v>
      </c>
      <c r="AX61" t="s">
        <v>29</v>
      </c>
      <c r="AY61">
        <v>4</v>
      </c>
      <c r="AZ61" t="s">
        <v>27</v>
      </c>
      <c r="BA61">
        <v>1994</v>
      </c>
      <c r="BB61">
        <v>1998</v>
      </c>
      <c r="BC61" t="s">
        <v>26</v>
      </c>
      <c r="BD61" t="s">
        <v>45</v>
      </c>
      <c r="BE61" s="10" t="s">
        <v>44</v>
      </c>
      <c r="BF61" t="s">
        <v>43</v>
      </c>
      <c r="BG61" s="3" t="s">
        <v>1243</v>
      </c>
      <c r="BH61" t="s">
        <v>23</v>
      </c>
      <c r="BI61" t="s">
        <v>750</v>
      </c>
      <c r="BJ61" s="4" t="s">
        <v>22</v>
      </c>
      <c r="BK61" s="9">
        <v>53000</v>
      </c>
      <c r="EF61" s="4"/>
      <c r="EG61" s="9"/>
      <c r="EH61" s="9"/>
      <c r="EI61" s="9"/>
      <c r="EJ61" s="9"/>
      <c r="EK61" s="9"/>
      <c r="EL61" s="9"/>
      <c r="EM61" s="9"/>
      <c r="EN61" s="9"/>
      <c r="EO61" s="9"/>
      <c r="EP61" s="9"/>
      <c r="EQ61" s="9"/>
      <c r="ER61" s="9"/>
      <c r="ES61" s="9"/>
      <c r="ET61" s="9"/>
      <c r="EU61" s="9"/>
      <c r="EV61" s="9"/>
      <c r="EW61" s="9"/>
      <c r="EX61" s="9"/>
      <c r="EY61" s="9"/>
      <c r="EZ61" s="9"/>
      <c r="FA61" s="9"/>
      <c r="FB61" s="9"/>
      <c r="FC61" s="9"/>
      <c r="FD61" s="9"/>
      <c r="FE61" s="9"/>
      <c r="FF61" s="9"/>
      <c r="FG61" s="9"/>
      <c r="FH61" s="9"/>
      <c r="FI61" s="9"/>
      <c r="FJ61" s="9"/>
      <c r="FK61" s="9"/>
      <c r="FL61" s="9"/>
      <c r="FM61" s="9"/>
      <c r="FN61" s="9"/>
      <c r="FO61" s="9"/>
      <c r="FP61" s="9"/>
      <c r="FQ61" s="9"/>
      <c r="FR61" s="9"/>
      <c r="FS61" s="9"/>
      <c r="FT61" s="9"/>
      <c r="FU61" s="9"/>
      <c r="FV61" s="9"/>
      <c r="FW61" s="9"/>
      <c r="FX61" s="9"/>
      <c r="FY61" s="9"/>
      <c r="FZ61" s="9"/>
      <c r="GA61" s="9"/>
      <c r="GB61" s="9"/>
      <c r="GC61" s="9"/>
      <c r="GD61" s="9"/>
      <c r="GE61" s="9"/>
      <c r="GF61" s="9"/>
      <c r="GG61" s="9"/>
      <c r="GH61" s="9"/>
      <c r="GI61" s="9"/>
      <c r="GJ61" s="9"/>
      <c r="GK61" s="9"/>
      <c r="GL61" s="9"/>
      <c r="GM61" s="9"/>
      <c r="GN61" s="9"/>
      <c r="GO61" s="9"/>
      <c r="GP61" s="9"/>
      <c r="GQ61" s="9"/>
      <c r="GR61" s="9"/>
      <c r="GS61" s="9"/>
      <c r="GT61" s="9"/>
      <c r="GU61" s="9"/>
      <c r="GV61" s="9"/>
      <c r="GW61" s="9"/>
      <c r="GX61" s="9"/>
      <c r="GY61" s="9"/>
      <c r="GZ61" s="9"/>
      <c r="HA61" s="9"/>
      <c r="HB61" s="9"/>
      <c r="HC61" s="9"/>
      <c r="HD61" s="9"/>
      <c r="HE61" s="9"/>
      <c r="HF61" s="9"/>
      <c r="HG61" s="9"/>
      <c r="HH61" s="9"/>
      <c r="HI61" s="9"/>
      <c r="HJ61" s="9"/>
      <c r="HK61" s="9"/>
      <c r="HR61" t="s">
        <v>21</v>
      </c>
      <c r="HT61" s="4" t="s">
        <v>20</v>
      </c>
      <c r="HU61" s="58">
        <v>34335</v>
      </c>
      <c r="HV61" s="58">
        <v>36160</v>
      </c>
      <c r="HW61" s="58"/>
      <c r="IN61" t="s">
        <v>42</v>
      </c>
      <c r="IO61" s="13" t="s">
        <v>1237</v>
      </c>
      <c r="IR61">
        <v>1994</v>
      </c>
      <c r="IS61">
        <v>1994.2</v>
      </c>
      <c r="IT61" s="4" t="s">
        <v>18</v>
      </c>
      <c r="IU61" t="s">
        <v>38</v>
      </c>
      <c r="IV61" t="s">
        <v>19</v>
      </c>
      <c r="IZ61">
        <v>0</v>
      </c>
      <c r="JA61">
        <v>0</v>
      </c>
      <c r="JB61">
        <v>0</v>
      </c>
      <c r="JC61">
        <v>0</v>
      </c>
      <c r="JD61">
        <v>0</v>
      </c>
      <c r="JE61">
        <v>0</v>
      </c>
      <c r="JF61">
        <v>0</v>
      </c>
      <c r="JG61">
        <v>0</v>
      </c>
      <c r="JH61">
        <v>0</v>
      </c>
      <c r="JJ61" s="12" t="s">
        <v>721</v>
      </c>
      <c r="JO61" s="4"/>
      <c r="JU61" s="4"/>
      <c r="JV61" s="4"/>
      <c r="JW61" s="4"/>
      <c r="JX61" s="4"/>
      <c r="JY61" s="4"/>
      <c r="JZ61" s="4"/>
      <c r="KE61" s="7" t="s">
        <v>12</v>
      </c>
      <c r="KI61" s="7" t="s">
        <v>720</v>
      </c>
      <c r="MS61" t="s">
        <v>11</v>
      </c>
      <c r="MT61">
        <v>42</v>
      </c>
      <c r="MW61" t="s">
        <v>710</v>
      </c>
      <c r="NB61" t="s">
        <v>205</v>
      </c>
      <c r="NC61" t="s">
        <v>712</v>
      </c>
      <c r="NE61" t="s">
        <v>204</v>
      </c>
      <c r="NG61" s="4" t="s">
        <v>203</v>
      </c>
      <c r="NH61" t="s">
        <v>202</v>
      </c>
      <c r="NI61">
        <v>0</v>
      </c>
      <c r="NJ61">
        <v>15</v>
      </c>
      <c r="NQ61" t="s">
        <v>6</v>
      </c>
      <c r="NR61" s="3">
        <v>146</v>
      </c>
      <c r="NS61" s="4" t="s">
        <v>4</v>
      </c>
      <c r="NT61" s="3">
        <v>80</v>
      </c>
      <c r="NW61">
        <v>4</v>
      </c>
      <c r="OH61" t="s">
        <v>208</v>
      </c>
      <c r="OJ61">
        <v>1996</v>
      </c>
      <c r="OM61" s="2" t="s">
        <v>62</v>
      </c>
      <c r="OO61" t="s">
        <v>1178</v>
      </c>
      <c r="OP61" s="58">
        <v>46094</v>
      </c>
    </row>
    <row r="62" spans="1:406" ht="15.75" thickBot="1">
      <c r="A62" s="11" t="s">
        <v>36</v>
      </c>
      <c r="B62" t="s">
        <v>35</v>
      </c>
      <c r="C62" t="s">
        <v>34</v>
      </c>
      <c r="D62" s="4" t="s">
        <v>33</v>
      </c>
      <c r="E62" t="s">
        <v>32</v>
      </c>
      <c r="F62" s="4" t="s">
        <v>31</v>
      </c>
      <c r="G62" t="s">
        <v>2</v>
      </c>
      <c r="H62" t="s">
        <v>30</v>
      </c>
      <c r="I62" s="10">
        <v>0.1</v>
      </c>
      <c r="J62" s="10">
        <v>34.566667000000002</v>
      </c>
      <c r="K62" t="s">
        <v>29</v>
      </c>
      <c r="AV62" t="s">
        <v>28</v>
      </c>
      <c r="AW62">
        <v>100</v>
      </c>
      <c r="AX62" t="s">
        <v>29</v>
      </c>
      <c r="AY62">
        <v>4</v>
      </c>
      <c r="AZ62" t="s">
        <v>27</v>
      </c>
      <c r="BA62">
        <v>1994</v>
      </c>
      <c r="BB62">
        <v>1998</v>
      </c>
      <c r="BC62" t="s">
        <v>26</v>
      </c>
      <c r="BD62" t="s">
        <v>19</v>
      </c>
      <c r="BE62" s="10" t="s">
        <v>40</v>
      </c>
      <c r="BF62" t="s">
        <v>39</v>
      </c>
      <c r="BG62" s="3" t="s">
        <v>1243</v>
      </c>
      <c r="BH62" t="s">
        <v>23</v>
      </c>
      <c r="BI62" t="s">
        <v>750</v>
      </c>
      <c r="BJ62" s="4" t="s">
        <v>22</v>
      </c>
      <c r="BK62" s="9">
        <v>53000</v>
      </c>
      <c r="HR62" t="s">
        <v>21</v>
      </c>
      <c r="HT62" s="4" t="s">
        <v>20</v>
      </c>
      <c r="HU62" s="58">
        <v>34335</v>
      </c>
      <c r="HV62" s="58">
        <v>36160</v>
      </c>
      <c r="HW62" s="58"/>
      <c r="IN62" t="s">
        <v>38</v>
      </c>
      <c r="IO62" s="54" t="s">
        <v>19</v>
      </c>
      <c r="IT62" s="4" t="s">
        <v>18</v>
      </c>
      <c r="IU62" t="s">
        <v>38</v>
      </c>
      <c r="IV62" s="54" t="s">
        <v>19</v>
      </c>
      <c r="IZ62">
        <v>0</v>
      </c>
      <c r="JA62">
        <v>0</v>
      </c>
      <c r="JB62">
        <v>0</v>
      </c>
      <c r="JC62">
        <v>0</v>
      </c>
      <c r="JD62">
        <v>0</v>
      </c>
      <c r="JE62">
        <v>0</v>
      </c>
      <c r="JF62">
        <v>0</v>
      </c>
      <c r="JG62">
        <v>0</v>
      </c>
      <c r="JH62">
        <v>0</v>
      </c>
      <c r="JJ62" s="12" t="s">
        <v>721</v>
      </c>
      <c r="JO62" s="4"/>
      <c r="JU62" s="4"/>
      <c r="JV62" s="4"/>
      <c r="JW62" s="4"/>
      <c r="JX62" s="4"/>
      <c r="JY62" s="4"/>
      <c r="JZ62" s="4"/>
      <c r="KE62" s="7" t="s">
        <v>12</v>
      </c>
      <c r="KI62" s="7" t="s">
        <v>720</v>
      </c>
      <c r="MS62" t="s">
        <v>11</v>
      </c>
      <c r="MT62">
        <v>42</v>
      </c>
      <c r="MW62" t="s">
        <v>710</v>
      </c>
      <c r="NB62" t="s">
        <v>205</v>
      </c>
      <c r="NC62" t="s">
        <v>712</v>
      </c>
      <c r="NE62" t="s">
        <v>204</v>
      </c>
      <c r="NG62" s="4" t="s">
        <v>203</v>
      </c>
      <c r="NH62" t="s">
        <v>202</v>
      </c>
      <c r="NI62">
        <v>0</v>
      </c>
      <c r="NJ62">
        <v>15</v>
      </c>
      <c r="NP62" t="s">
        <v>735</v>
      </c>
      <c r="NQ62" t="s">
        <v>6</v>
      </c>
      <c r="NR62" s="3">
        <v>50</v>
      </c>
      <c r="NS62" s="4" t="s">
        <v>4</v>
      </c>
      <c r="NT62" s="3">
        <v>20</v>
      </c>
      <c r="NW62">
        <v>4</v>
      </c>
      <c r="OH62" t="s">
        <v>208</v>
      </c>
      <c r="OJ62">
        <v>1996</v>
      </c>
      <c r="OM62" s="2" t="s">
        <v>62</v>
      </c>
      <c r="OO62" t="s">
        <v>1178</v>
      </c>
      <c r="OP62" s="58">
        <v>46094</v>
      </c>
    </row>
    <row r="63" spans="1:406" ht="15.75" thickBot="1">
      <c r="A63" s="11" t="s">
        <v>36</v>
      </c>
      <c r="B63" t="s">
        <v>35</v>
      </c>
      <c r="C63" t="s">
        <v>34</v>
      </c>
      <c r="D63" s="4" t="s">
        <v>33</v>
      </c>
      <c r="E63" t="s">
        <v>32</v>
      </c>
      <c r="F63" s="4" t="s">
        <v>31</v>
      </c>
      <c r="G63" t="s">
        <v>2</v>
      </c>
      <c r="H63" t="s">
        <v>30</v>
      </c>
      <c r="I63" s="10">
        <v>0.1</v>
      </c>
      <c r="J63" s="10">
        <v>34.566667000000002</v>
      </c>
      <c r="K63" t="s">
        <v>29</v>
      </c>
      <c r="AV63" t="s">
        <v>28</v>
      </c>
      <c r="AW63">
        <v>100</v>
      </c>
      <c r="AX63" t="s">
        <v>29</v>
      </c>
      <c r="AY63">
        <v>4</v>
      </c>
      <c r="AZ63" t="s">
        <v>27</v>
      </c>
      <c r="BA63">
        <v>1994</v>
      </c>
      <c r="BB63">
        <v>1998</v>
      </c>
      <c r="BC63" t="s">
        <v>26</v>
      </c>
      <c r="BD63" t="s">
        <v>19</v>
      </c>
      <c r="BE63" s="10" t="s">
        <v>25</v>
      </c>
      <c r="BF63" t="s">
        <v>24</v>
      </c>
      <c r="BG63" s="3" t="s">
        <v>1243</v>
      </c>
      <c r="BH63" t="s">
        <v>23</v>
      </c>
      <c r="BI63" t="s">
        <v>750</v>
      </c>
      <c r="BJ63" s="4" t="s">
        <v>22</v>
      </c>
      <c r="BK63" s="9">
        <v>53000</v>
      </c>
      <c r="HR63" t="s">
        <v>21</v>
      </c>
      <c r="HT63" s="4" t="s">
        <v>20</v>
      </c>
      <c r="HU63" s="58">
        <v>34335</v>
      </c>
      <c r="HV63" s="58">
        <v>36160</v>
      </c>
      <c r="HW63" s="58"/>
      <c r="IN63" t="s">
        <v>16</v>
      </c>
      <c r="IO63" s="54" t="s">
        <v>19</v>
      </c>
      <c r="IT63" s="4" t="s">
        <v>18</v>
      </c>
      <c r="IU63" t="s">
        <v>17</v>
      </c>
      <c r="IV63" s="54" t="s">
        <v>19</v>
      </c>
      <c r="IZ63">
        <v>0</v>
      </c>
      <c r="JA63">
        <v>0</v>
      </c>
      <c r="JB63">
        <v>0</v>
      </c>
      <c r="JC63">
        <v>0</v>
      </c>
      <c r="JD63">
        <v>0</v>
      </c>
      <c r="JE63">
        <v>0</v>
      </c>
      <c r="JF63">
        <v>0</v>
      </c>
      <c r="JG63">
        <v>0</v>
      </c>
      <c r="JH63">
        <v>0</v>
      </c>
      <c r="JI63" t="s">
        <v>16</v>
      </c>
      <c r="JJ63" t="s">
        <v>15</v>
      </c>
      <c r="JK63" s="8" t="s">
        <v>14</v>
      </c>
      <c r="JO63" s="4" t="s">
        <v>13</v>
      </c>
      <c r="JP63">
        <v>60</v>
      </c>
      <c r="JS63">
        <v>60</v>
      </c>
      <c r="JU63" s="4"/>
      <c r="JV63" s="4"/>
      <c r="JW63" s="4"/>
      <c r="JX63" s="4"/>
      <c r="JY63" s="4"/>
      <c r="JZ63" s="4"/>
      <c r="KE63" s="7" t="s">
        <v>12</v>
      </c>
      <c r="KI63" s="7" t="s">
        <v>720</v>
      </c>
      <c r="MS63" t="s">
        <v>11</v>
      </c>
      <c r="MT63">
        <v>42</v>
      </c>
      <c r="MW63" t="s">
        <v>710</v>
      </c>
      <c r="NB63" t="s">
        <v>205</v>
      </c>
      <c r="NC63" t="s">
        <v>712</v>
      </c>
      <c r="NE63" t="s">
        <v>204</v>
      </c>
      <c r="NG63" s="4" t="s">
        <v>203</v>
      </c>
      <c r="NH63" t="s">
        <v>202</v>
      </c>
      <c r="NI63">
        <v>0</v>
      </c>
      <c r="NJ63">
        <v>15</v>
      </c>
      <c r="NP63" t="s">
        <v>747</v>
      </c>
      <c r="NQ63" t="s">
        <v>6</v>
      </c>
      <c r="NR63" s="3">
        <v>94</v>
      </c>
      <c r="NS63" s="4" t="s">
        <v>4</v>
      </c>
      <c r="NT63" s="3">
        <v>69</v>
      </c>
      <c r="NW63">
        <v>4</v>
      </c>
      <c r="OH63" t="s">
        <v>208</v>
      </c>
      <c r="OJ63">
        <v>1996</v>
      </c>
      <c r="OM63" s="2" t="s">
        <v>62</v>
      </c>
      <c r="OO63" t="s">
        <v>1178</v>
      </c>
      <c r="OP63" s="58">
        <v>46094</v>
      </c>
    </row>
    <row r="64" spans="1:406" ht="15.75" thickBot="1">
      <c r="A64" s="11" t="s">
        <v>36</v>
      </c>
      <c r="B64" t="s">
        <v>35</v>
      </c>
      <c r="C64" t="s">
        <v>34</v>
      </c>
      <c r="D64" s="4" t="s">
        <v>33</v>
      </c>
      <c r="E64" t="s">
        <v>32</v>
      </c>
      <c r="F64" s="4" t="s">
        <v>31</v>
      </c>
      <c r="G64" t="s">
        <v>2</v>
      </c>
      <c r="H64" t="s">
        <v>30</v>
      </c>
      <c r="I64" s="10">
        <v>0.1</v>
      </c>
      <c r="J64" s="10">
        <v>34.566667000000002</v>
      </c>
      <c r="K64" t="s">
        <v>29</v>
      </c>
      <c r="AV64" t="s">
        <v>28</v>
      </c>
      <c r="AW64">
        <v>100</v>
      </c>
      <c r="AX64" t="s">
        <v>29</v>
      </c>
      <c r="AY64">
        <v>4</v>
      </c>
      <c r="AZ64" t="s">
        <v>27</v>
      </c>
      <c r="BA64">
        <v>1994</v>
      </c>
      <c r="BB64">
        <v>1998</v>
      </c>
      <c r="BC64" t="s">
        <v>26</v>
      </c>
      <c r="BD64" t="s">
        <v>59</v>
      </c>
      <c r="BE64" s="10" t="s">
        <v>65</v>
      </c>
      <c r="BF64" t="s">
        <v>64</v>
      </c>
      <c r="BG64" s="3" t="s">
        <v>1243</v>
      </c>
      <c r="BH64" t="s">
        <v>23</v>
      </c>
      <c r="BI64" t="s">
        <v>750</v>
      </c>
      <c r="BJ64" s="4" t="s">
        <v>22</v>
      </c>
      <c r="BK64" s="9">
        <v>53000</v>
      </c>
      <c r="EE64" t="s">
        <v>55</v>
      </c>
      <c r="EF64" s="4" t="s">
        <v>22</v>
      </c>
      <c r="EG64" s="9">
        <v>53000</v>
      </c>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K64" s="9"/>
      <c r="HR64" t="s">
        <v>21</v>
      </c>
      <c r="HT64" s="4" t="s">
        <v>20</v>
      </c>
      <c r="HU64" s="58">
        <v>34335</v>
      </c>
      <c r="HV64" s="58">
        <v>36160</v>
      </c>
      <c r="HW64" s="58"/>
      <c r="IM64" s="4"/>
      <c r="IN64" t="s">
        <v>63</v>
      </c>
      <c r="IO64" s="12" t="s">
        <v>1736</v>
      </c>
      <c r="IR64">
        <v>1995</v>
      </c>
      <c r="IS64">
        <v>1995.2</v>
      </c>
      <c r="IT64" s="4" t="s">
        <v>18</v>
      </c>
      <c r="IU64" t="s">
        <v>61</v>
      </c>
      <c r="IV64" s="12" t="s">
        <v>52</v>
      </c>
      <c r="IY64">
        <v>0.5</v>
      </c>
      <c r="IZ64" t="s">
        <v>29</v>
      </c>
      <c r="JA64" t="s">
        <v>29</v>
      </c>
      <c r="JB64" t="s">
        <v>29</v>
      </c>
      <c r="JC64" t="s">
        <v>29</v>
      </c>
      <c r="JD64" t="s">
        <v>29</v>
      </c>
      <c r="JE64" t="s">
        <v>29</v>
      </c>
      <c r="JF64" t="s">
        <v>29</v>
      </c>
      <c r="JG64" t="s">
        <v>29</v>
      </c>
      <c r="JH64" t="s">
        <v>29</v>
      </c>
      <c r="JJ64" s="12" t="s">
        <v>721</v>
      </c>
      <c r="JO64" s="4"/>
      <c r="JU64" s="4"/>
      <c r="JV64" s="4"/>
      <c r="JW64" s="4"/>
      <c r="JX64" s="4"/>
      <c r="JY64" s="4"/>
      <c r="JZ64" s="4"/>
      <c r="KE64" s="7" t="s">
        <v>12</v>
      </c>
      <c r="KI64" s="53" t="s">
        <v>719</v>
      </c>
      <c r="KJ64" s="8" t="s">
        <v>51</v>
      </c>
      <c r="KL64" t="s">
        <v>29</v>
      </c>
      <c r="MS64" t="s">
        <v>11</v>
      </c>
      <c r="MT64">
        <v>42</v>
      </c>
      <c r="MW64" t="s">
        <v>710</v>
      </c>
      <c r="NB64" t="s">
        <v>205</v>
      </c>
      <c r="NC64" t="s">
        <v>712</v>
      </c>
      <c r="NE64" t="s">
        <v>204</v>
      </c>
      <c r="NG64" s="4" t="s">
        <v>203</v>
      </c>
      <c r="NH64" t="s">
        <v>202</v>
      </c>
      <c r="NI64">
        <v>0</v>
      </c>
      <c r="NJ64">
        <v>15</v>
      </c>
      <c r="NQ64" t="s">
        <v>6</v>
      </c>
      <c r="NR64" s="3">
        <v>55</v>
      </c>
      <c r="NS64" s="4" t="s">
        <v>4</v>
      </c>
      <c r="NT64" s="52">
        <v>21</v>
      </c>
      <c r="NW64">
        <v>4</v>
      </c>
      <c r="OH64" t="s">
        <v>207</v>
      </c>
      <c r="OJ64">
        <v>1996</v>
      </c>
      <c r="OM64" s="2" t="s">
        <v>1</v>
      </c>
      <c r="OO64" t="s">
        <v>1178</v>
      </c>
      <c r="OP64" s="58">
        <v>46094</v>
      </c>
    </row>
    <row r="65" spans="1:406" ht="15.75" thickBot="1">
      <c r="A65" s="11" t="s">
        <v>36</v>
      </c>
      <c r="B65" t="s">
        <v>35</v>
      </c>
      <c r="C65" t="s">
        <v>34</v>
      </c>
      <c r="D65" s="4" t="s">
        <v>33</v>
      </c>
      <c r="E65" t="s">
        <v>32</v>
      </c>
      <c r="F65" s="4" t="s">
        <v>31</v>
      </c>
      <c r="G65" t="s">
        <v>2</v>
      </c>
      <c r="H65" t="s">
        <v>30</v>
      </c>
      <c r="I65" s="10">
        <v>0.1</v>
      </c>
      <c r="J65" s="10">
        <v>34.566667000000002</v>
      </c>
      <c r="K65" t="s">
        <v>29</v>
      </c>
      <c r="AV65" t="s">
        <v>28</v>
      </c>
      <c r="AW65">
        <v>100</v>
      </c>
      <c r="AX65" t="s">
        <v>29</v>
      </c>
      <c r="AY65">
        <v>4</v>
      </c>
      <c r="AZ65" t="s">
        <v>27</v>
      </c>
      <c r="BA65">
        <v>1994</v>
      </c>
      <c r="BB65">
        <v>1998</v>
      </c>
      <c r="BC65" t="s">
        <v>26</v>
      </c>
      <c r="BD65" t="s">
        <v>59</v>
      </c>
      <c r="BE65" s="10" t="s">
        <v>58</v>
      </c>
      <c r="BF65" t="s">
        <v>57</v>
      </c>
      <c r="BG65" s="3" t="s">
        <v>1243</v>
      </c>
      <c r="BH65" t="s">
        <v>23</v>
      </c>
      <c r="BI65" t="s">
        <v>750</v>
      </c>
      <c r="BJ65" s="4" t="s">
        <v>22</v>
      </c>
      <c r="BK65" s="9">
        <v>53000</v>
      </c>
      <c r="EE65" t="s">
        <v>55</v>
      </c>
      <c r="EF65" s="4" t="s">
        <v>22</v>
      </c>
      <c r="EG65" s="9">
        <v>53000</v>
      </c>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K65" s="9"/>
      <c r="HR65" t="s">
        <v>21</v>
      </c>
      <c r="HT65" s="4" t="s">
        <v>20</v>
      </c>
      <c r="HU65" s="58">
        <v>34335</v>
      </c>
      <c r="HV65" s="58">
        <v>36160</v>
      </c>
      <c r="HW65" s="58"/>
      <c r="IM65" s="4"/>
      <c r="IN65" t="s">
        <v>54</v>
      </c>
      <c r="IO65" s="12" t="s">
        <v>1737</v>
      </c>
      <c r="IR65">
        <v>1994</v>
      </c>
      <c r="IS65">
        <v>1994.2</v>
      </c>
      <c r="IT65" s="4" t="s">
        <v>18</v>
      </c>
      <c r="IU65" t="s">
        <v>53</v>
      </c>
      <c r="IV65" s="12" t="s">
        <v>52</v>
      </c>
      <c r="IY65">
        <v>0.5</v>
      </c>
      <c r="IZ65" t="s">
        <v>29</v>
      </c>
      <c r="JA65" t="s">
        <v>29</v>
      </c>
      <c r="JB65" t="s">
        <v>29</v>
      </c>
      <c r="JC65" t="s">
        <v>29</v>
      </c>
      <c r="JD65" t="s">
        <v>29</v>
      </c>
      <c r="JE65" t="s">
        <v>29</v>
      </c>
      <c r="JF65" t="s">
        <v>29</v>
      </c>
      <c r="JG65" t="s">
        <v>29</v>
      </c>
      <c r="JH65" t="s">
        <v>29</v>
      </c>
      <c r="JJ65" s="12" t="s">
        <v>721</v>
      </c>
      <c r="JO65" s="4"/>
      <c r="JU65" s="4"/>
      <c r="JV65" s="4"/>
      <c r="JW65" s="4"/>
      <c r="JX65" s="4"/>
      <c r="JY65" s="4"/>
      <c r="JZ65" s="4"/>
      <c r="KE65" s="7" t="s">
        <v>12</v>
      </c>
      <c r="KI65" s="53" t="s">
        <v>719</v>
      </c>
      <c r="KJ65" s="8" t="s">
        <v>51</v>
      </c>
      <c r="KL65" t="s">
        <v>29</v>
      </c>
      <c r="MS65" t="s">
        <v>11</v>
      </c>
      <c r="MT65">
        <v>42</v>
      </c>
      <c r="MW65" t="s">
        <v>710</v>
      </c>
      <c r="NB65" t="s">
        <v>205</v>
      </c>
      <c r="NC65" t="s">
        <v>712</v>
      </c>
      <c r="NE65" t="s">
        <v>204</v>
      </c>
      <c r="NG65" s="4" t="s">
        <v>203</v>
      </c>
      <c r="NH65" t="s">
        <v>202</v>
      </c>
      <c r="NI65">
        <v>0</v>
      </c>
      <c r="NJ65">
        <v>15</v>
      </c>
      <c r="NQ65" t="s">
        <v>6</v>
      </c>
      <c r="NR65" s="3">
        <v>111</v>
      </c>
      <c r="NS65" s="4" t="s">
        <v>4</v>
      </c>
      <c r="NT65" s="3">
        <v>59</v>
      </c>
      <c r="NW65">
        <v>4</v>
      </c>
      <c r="OH65" t="s">
        <v>207</v>
      </c>
      <c r="OJ65">
        <v>1996</v>
      </c>
      <c r="OM65" s="2" t="s">
        <v>1</v>
      </c>
      <c r="OO65" t="s">
        <v>1178</v>
      </c>
      <c r="OP65" s="58">
        <v>46094</v>
      </c>
    </row>
    <row r="66" spans="1:406" ht="15.75" thickBot="1">
      <c r="A66" s="11" t="s">
        <v>36</v>
      </c>
      <c r="B66" t="s">
        <v>35</v>
      </c>
      <c r="C66" t="s">
        <v>34</v>
      </c>
      <c r="D66" s="4" t="s">
        <v>33</v>
      </c>
      <c r="E66" t="s">
        <v>32</v>
      </c>
      <c r="F66" s="4" t="s">
        <v>31</v>
      </c>
      <c r="G66" t="s">
        <v>2</v>
      </c>
      <c r="H66" t="s">
        <v>30</v>
      </c>
      <c r="I66" s="10">
        <v>0.1</v>
      </c>
      <c r="J66" s="10">
        <v>34.566667000000002</v>
      </c>
      <c r="K66" t="s">
        <v>29</v>
      </c>
      <c r="AV66" t="s">
        <v>28</v>
      </c>
      <c r="AW66">
        <v>100</v>
      </c>
      <c r="AX66" t="s">
        <v>29</v>
      </c>
      <c r="AY66">
        <v>4</v>
      </c>
      <c r="AZ66" t="s">
        <v>27</v>
      </c>
      <c r="BA66">
        <v>1994</v>
      </c>
      <c r="BB66">
        <v>1998</v>
      </c>
      <c r="BC66" t="s">
        <v>26</v>
      </c>
      <c r="BD66" t="s">
        <v>45</v>
      </c>
      <c r="BE66" s="10" t="s">
        <v>49</v>
      </c>
      <c r="BF66" t="s">
        <v>48</v>
      </c>
      <c r="BG66" s="3" t="s">
        <v>1243</v>
      </c>
      <c r="BH66" t="s">
        <v>23</v>
      </c>
      <c r="BI66" t="s">
        <v>750</v>
      </c>
      <c r="BJ66" s="4" t="s">
        <v>22</v>
      </c>
      <c r="BK66" s="9">
        <v>53000</v>
      </c>
      <c r="EF66" s="4"/>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R66" t="s">
        <v>21</v>
      </c>
      <c r="HT66" s="4" t="s">
        <v>20</v>
      </c>
      <c r="HU66" s="58">
        <v>34335</v>
      </c>
      <c r="HV66" s="58">
        <v>36160</v>
      </c>
      <c r="HW66" s="58"/>
      <c r="IN66" t="s">
        <v>47</v>
      </c>
      <c r="IO66" s="54" t="s">
        <v>1236</v>
      </c>
      <c r="IR66">
        <v>1995</v>
      </c>
      <c r="IS66">
        <v>1995.2</v>
      </c>
      <c r="IT66" s="4" t="s">
        <v>18</v>
      </c>
      <c r="IU66" t="s">
        <v>38</v>
      </c>
      <c r="IV66" t="s">
        <v>19</v>
      </c>
      <c r="IZ66">
        <v>0</v>
      </c>
      <c r="JA66">
        <v>0</v>
      </c>
      <c r="JB66">
        <v>0</v>
      </c>
      <c r="JC66">
        <v>0</v>
      </c>
      <c r="JD66">
        <v>0</v>
      </c>
      <c r="JE66">
        <v>0</v>
      </c>
      <c r="JF66">
        <v>0</v>
      </c>
      <c r="JG66">
        <v>0</v>
      </c>
      <c r="JH66">
        <v>0</v>
      </c>
      <c r="JJ66" s="12" t="s">
        <v>721</v>
      </c>
      <c r="JO66" s="4"/>
      <c r="JU66" s="4"/>
      <c r="JV66" s="4"/>
      <c r="JW66" s="4"/>
      <c r="JX66" s="4"/>
      <c r="JY66" s="4"/>
      <c r="JZ66" s="4"/>
      <c r="KE66" s="7" t="s">
        <v>12</v>
      </c>
      <c r="KI66" s="7" t="s">
        <v>720</v>
      </c>
      <c r="MS66" t="s">
        <v>11</v>
      </c>
      <c r="MT66">
        <v>42</v>
      </c>
      <c r="MW66" t="s">
        <v>710</v>
      </c>
      <c r="NB66" t="s">
        <v>205</v>
      </c>
      <c r="NC66" t="s">
        <v>712</v>
      </c>
      <c r="NE66" t="s">
        <v>204</v>
      </c>
      <c r="NG66" s="4" t="s">
        <v>203</v>
      </c>
      <c r="NH66" t="s">
        <v>202</v>
      </c>
      <c r="NI66">
        <v>0</v>
      </c>
      <c r="NJ66">
        <v>15</v>
      </c>
      <c r="NQ66" t="s">
        <v>6</v>
      </c>
      <c r="NR66" s="3">
        <v>99</v>
      </c>
      <c r="NS66" s="4" t="s">
        <v>4</v>
      </c>
      <c r="NT66" s="3">
        <v>34</v>
      </c>
      <c r="NW66">
        <v>4</v>
      </c>
      <c r="OH66" t="s">
        <v>207</v>
      </c>
      <c r="OJ66">
        <v>1996</v>
      </c>
      <c r="OM66" s="2" t="s">
        <v>1</v>
      </c>
      <c r="OO66" t="s">
        <v>1178</v>
      </c>
      <c r="OP66" s="58">
        <v>46094</v>
      </c>
    </row>
    <row r="67" spans="1:406" ht="15.75" thickBot="1">
      <c r="A67" s="11" t="s">
        <v>36</v>
      </c>
      <c r="B67" t="s">
        <v>35</v>
      </c>
      <c r="C67" t="s">
        <v>34</v>
      </c>
      <c r="D67" s="4" t="s">
        <v>33</v>
      </c>
      <c r="E67" t="s">
        <v>32</v>
      </c>
      <c r="F67" s="4" t="s">
        <v>31</v>
      </c>
      <c r="G67" t="s">
        <v>2</v>
      </c>
      <c r="H67" t="s">
        <v>30</v>
      </c>
      <c r="I67" s="10">
        <v>0.1</v>
      </c>
      <c r="J67" s="10">
        <v>34.566667000000002</v>
      </c>
      <c r="K67" t="s">
        <v>29</v>
      </c>
      <c r="AV67" t="s">
        <v>28</v>
      </c>
      <c r="AW67">
        <v>100</v>
      </c>
      <c r="AX67" t="s">
        <v>29</v>
      </c>
      <c r="AY67">
        <v>4</v>
      </c>
      <c r="AZ67" t="s">
        <v>27</v>
      </c>
      <c r="BA67">
        <v>1994</v>
      </c>
      <c r="BB67">
        <v>1998</v>
      </c>
      <c r="BC67" t="s">
        <v>26</v>
      </c>
      <c r="BD67" t="s">
        <v>45</v>
      </c>
      <c r="BE67" s="10" t="s">
        <v>44</v>
      </c>
      <c r="BF67" t="s">
        <v>43</v>
      </c>
      <c r="BG67" s="3" t="s">
        <v>1243</v>
      </c>
      <c r="BH67" t="s">
        <v>23</v>
      </c>
      <c r="BI67" t="s">
        <v>750</v>
      </c>
      <c r="BJ67" s="4" t="s">
        <v>22</v>
      </c>
      <c r="BK67" s="9">
        <v>53000</v>
      </c>
      <c r="EF67" s="4"/>
      <c r="EG67" s="9"/>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R67" t="s">
        <v>21</v>
      </c>
      <c r="HT67" s="4" t="s">
        <v>20</v>
      </c>
      <c r="HU67" s="58">
        <v>34335</v>
      </c>
      <c r="HV67" s="58">
        <v>36160</v>
      </c>
      <c r="HW67" s="58"/>
      <c r="IN67" t="s">
        <v>42</v>
      </c>
      <c r="IO67" s="13" t="s">
        <v>1237</v>
      </c>
      <c r="IR67">
        <v>1994</v>
      </c>
      <c r="IS67">
        <v>1994.2</v>
      </c>
      <c r="IT67" s="4" t="s">
        <v>18</v>
      </c>
      <c r="IU67" t="s">
        <v>38</v>
      </c>
      <c r="IV67" t="s">
        <v>19</v>
      </c>
      <c r="IZ67">
        <v>0</v>
      </c>
      <c r="JA67">
        <v>0</v>
      </c>
      <c r="JB67">
        <v>0</v>
      </c>
      <c r="JC67">
        <v>0</v>
      </c>
      <c r="JD67">
        <v>0</v>
      </c>
      <c r="JE67">
        <v>0</v>
      </c>
      <c r="JF67">
        <v>0</v>
      </c>
      <c r="JG67">
        <v>0</v>
      </c>
      <c r="JH67">
        <v>0</v>
      </c>
      <c r="JJ67" s="12" t="s">
        <v>721</v>
      </c>
      <c r="JO67" s="4"/>
      <c r="JU67" s="4"/>
      <c r="JV67" s="4"/>
      <c r="JW67" s="4"/>
      <c r="JX67" s="4"/>
      <c r="JY67" s="4"/>
      <c r="JZ67" s="4"/>
      <c r="KE67" s="7" t="s">
        <v>12</v>
      </c>
      <c r="KI67" s="7" t="s">
        <v>720</v>
      </c>
      <c r="MS67" t="s">
        <v>11</v>
      </c>
      <c r="MT67">
        <v>42</v>
      </c>
      <c r="MW67" t="s">
        <v>710</v>
      </c>
      <c r="NB67" t="s">
        <v>205</v>
      </c>
      <c r="NC67" t="s">
        <v>712</v>
      </c>
      <c r="NE67" t="s">
        <v>204</v>
      </c>
      <c r="NG67" s="4" t="s">
        <v>203</v>
      </c>
      <c r="NH67" t="s">
        <v>202</v>
      </c>
      <c r="NI67">
        <v>0</v>
      </c>
      <c r="NJ67">
        <v>15</v>
      </c>
      <c r="NQ67" t="s">
        <v>6</v>
      </c>
      <c r="NR67" s="3">
        <v>125</v>
      </c>
      <c r="NS67" s="4" t="s">
        <v>4</v>
      </c>
      <c r="NT67" s="3">
        <v>26</v>
      </c>
      <c r="NW67">
        <v>4</v>
      </c>
      <c r="OH67" t="s">
        <v>207</v>
      </c>
      <c r="OJ67">
        <v>1996</v>
      </c>
      <c r="OM67" s="2" t="s">
        <v>1</v>
      </c>
      <c r="OO67" t="s">
        <v>1178</v>
      </c>
      <c r="OP67" s="58">
        <v>46094</v>
      </c>
    </row>
    <row r="68" spans="1:406" ht="15.75" thickBot="1">
      <c r="A68" s="11" t="s">
        <v>36</v>
      </c>
      <c r="B68" t="s">
        <v>35</v>
      </c>
      <c r="C68" t="s">
        <v>34</v>
      </c>
      <c r="D68" s="4" t="s">
        <v>33</v>
      </c>
      <c r="E68" t="s">
        <v>32</v>
      </c>
      <c r="F68" s="4" t="s">
        <v>31</v>
      </c>
      <c r="G68" t="s">
        <v>2</v>
      </c>
      <c r="H68" t="s">
        <v>30</v>
      </c>
      <c r="I68" s="10">
        <v>0.1</v>
      </c>
      <c r="J68" s="10">
        <v>34.566667000000002</v>
      </c>
      <c r="K68" t="s">
        <v>29</v>
      </c>
      <c r="AV68" t="s">
        <v>28</v>
      </c>
      <c r="AW68">
        <v>100</v>
      </c>
      <c r="AX68" t="s">
        <v>29</v>
      </c>
      <c r="AY68">
        <v>4</v>
      </c>
      <c r="AZ68" t="s">
        <v>27</v>
      </c>
      <c r="BA68">
        <v>1994</v>
      </c>
      <c r="BB68">
        <v>1998</v>
      </c>
      <c r="BC68" t="s">
        <v>26</v>
      </c>
      <c r="BD68" t="s">
        <v>19</v>
      </c>
      <c r="BE68" s="10" t="s">
        <v>40</v>
      </c>
      <c r="BF68" t="s">
        <v>39</v>
      </c>
      <c r="BG68" s="3" t="s">
        <v>1243</v>
      </c>
      <c r="BH68" t="s">
        <v>23</v>
      </c>
      <c r="BI68" t="s">
        <v>750</v>
      </c>
      <c r="BJ68" s="4" t="s">
        <v>22</v>
      </c>
      <c r="BK68" s="9">
        <v>53000</v>
      </c>
      <c r="HR68" t="s">
        <v>21</v>
      </c>
      <c r="HT68" s="4" t="s">
        <v>20</v>
      </c>
      <c r="HU68" s="58">
        <v>34335</v>
      </c>
      <c r="HV68" s="58">
        <v>36160</v>
      </c>
      <c r="HW68" s="58"/>
      <c r="IN68" t="s">
        <v>38</v>
      </c>
      <c r="IO68" s="54" t="s">
        <v>19</v>
      </c>
      <c r="IT68" s="4" t="s">
        <v>18</v>
      </c>
      <c r="IU68" t="s">
        <v>38</v>
      </c>
      <c r="IV68" s="54" t="s">
        <v>19</v>
      </c>
      <c r="IZ68">
        <v>0</v>
      </c>
      <c r="JA68">
        <v>0</v>
      </c>
      <c r="JB68">
        <v>0</v>
      </c>
      <c r="JC68">
        <v>0</v>
      </c>
      <c r="JD68">
        <v>0</v>
      </c>
      <c r="JE68">
        <v>0</v>
      </c>
      <c r="JF68">
        <v>0</v>
      </c>
      <c r="JG68">
        <v>0</v>
      </c>
      <c r="JH68">
        <v>0</v>
      </c>
      <c r="JJ68" s="12" t="s">
        <v>721</v>
      </c>
      <c r="JO68" s="4"/>
      <c r="JU68" s="4"/>
      <c r="JV68" s="4"/>
      <c r="JW68" s="4"/>
      <c r="JX68" s="4"/>
      <c r="JY68" s="4"/>
      <c r="JZ68" s="4"/>
      <c r="KE68" s="7" t="s">
        <v>12</v>
      </c>
      <c r="KI68" s="7" t="s">
        <v>720</v>
      </c>
      <c r="MS68" t="s">
        <v>11</v>
      </c>
      <c r="MT68">
        <v>42</v>
      </c>
      <c r="MW68" t="s">
        <v>710</v>
      </c>
      <c r="NB68" t="s">
        <v>205</v>
      </c>
      <c r="NC68" t="s">
        <v>712</v>
      </c>
      <c r="NE68" t="s">
        <v>204</v>
      </c>
      <c r="NG68" s="4" t="s">
        <v>203</v>
      </c>
      <c r="NH68" t="s">
        <v>202</v>
      </c>
      <c r="NI68">
        <v>0</v>
      </c>
      <c r="NJ68">
        <v>15</v>
      </c>
      <c r="NP68" t="s">
        <v>735</v>
      </c>
      <c r="NQ68" t="s">
        <v>6</v>
      </c>
      <c r="NR68" s="3">
        <v>57</v>
      </c>
      <c r="NS68" s="4" t="s">
        <v>4</v>
      </c>
      <c r="NT68" s="3">
        <v>7</v>
      </c>
      <c r="NW68">
        <v>4</v>
      </c>
      <c r="OH68" t="s">
        <v>207</v>
      </c>
      <c r="OJ68">
        <v>1996</v>
      </c>
      <c r="OM68" s="2" t="s">
        <v>1</v>
      </c>
      <c r="OO68" t="s">
        <v>1178</v>
      </c>
      <c r="OP68" s="58">
        <v>46094</v>
      </c>
    </row>
    <row r="69" spans="1:406" ht="15.75" thickBot="1">
      <c r="A69" s="11" t="s">
        <v>36</v>
      </c>
      <c r="B69" t="s">
        <v>35</v>
      </c>
      <c r="C69" t="s">
        <v>34</v>
      </c>
      <c r="D69" s="4" t="s">
        <v>33</v>
      </c>
      <c r="E69" t="s">
        <v>32</v>
      </c>
      <c r="F69" s="4" t="s">
        <v>31</v>
      </c>
      <c r="G69" t="s">
        <v>2</v>
      </c>
      <c r="H69" t="s">
        <v>30</v>
      </c>
      <c r="I69" s="10">
        <v>0.1</v>
      </c>
      <c r="J69" s="10">
        <v>34.566667000000002</v>
      </c>
      <c r="K69" t="s">
        <v>29</v>
      </c>
      <c r="AV69" t="s">
        <v>28</v>
      </c>
      <c r="AW69">
        <v>100</v>
      </c>
      <c r="AX69" t="s">
        <v>29</v>
      </c>
      <c r="AY69">
        <v>4</v>
      </c>
      <c r="AZ69" t="s">
        <v>27</v>
      </c>
      <c r="BA69">
        <v>1994</v>
      </c>
      <c r="BB69">
        <v>1998</v>
      </c>
      <c r="BC69" t="s">
        <v>26</v>
      </c>
      <c r="BD69" t="s">
        <v>19</v>
      </c>
      <c r="BE69" s="10" t="s">
        <v>25</v>
      </c>
      <c r="BF69" t="s">
        <v>24</v>
      </c>
      <c r="BG69" s="3" t="s">
        <v>1243</v>
      </c>
      <c r="BH69" t="s">
        <v>23</v>
      </c>
      <c r="BI69" t="s">
        <v>750</v>
      </c>
      <c r="BJ69" s="4" t="s">
        <v>22</v>
      </c>
      <c r="BK69" s="9">
        <v>53000</v>
      </c>
      <c r="HR69" t="s">
        <v>21</v>
      </c>
      <c r="HT69" s="4" t="s">
        <v>20</v>
      </c>
      <c r="HU69" s="58">
        <v>34335</v>
      </c>
      <c r="HV69" s="58">
        <v>36160</v>
      </c>
      <c r="HW69" s="58"/>
      <c r="IN69" t="s">
        <v>16</v>
      </c>
      <c r="IO69" s="54" t="s">
        <v>19</v>
      </c>
      <c r="IT69" s="4" t="s">
        <v>18</v>
      </c>
      <c r="IU69" t="s">
        <v>17</v>
      </c>
      <c r="IV69" s="54" t="s">
        <v>19</v>
      </c>
      <c r="IZ69">
        <v>0</v>
      </c>
      <c r="JA69">
        <v>0</v>
      </c>
      <c r="JB69">
        <v>0</v>
      </c>
      <c r="JC69">
        <v>0</v>
      </c>
      <c r="JD69">
        <v>0</v>
      </c>
      <c r="JE69">
        <v>0</v>
      </c>
      <c r="JF69">
        <v>0</v>
      </c>
      <c r="JG69">
        <v>0</v>
      </c>
      <c r="JH69">
        <v>0</v>
      </c>
      <c r="JI69" t="s">
        <v>16</v>
      </c>
      <c r="JJ69" t="s">
        <v>15</v>
      </c>
      <c r="JK69" s="8" t="s">
        <v>14</v>
      </c>
      <c r="JO69" s="4" t="s">
        <v>13</v>
      </c>
      <c r="JP69">
        <v>60</v>
      </c>
      <c r="JS69">
        <v>60</v>
      </c>
      <c r="JU69" s="4"/>
      <c r="JV69" s="4"/>
      <c r="JW69" s="4"/>
      <c r="JX69" s="4"/>
      <c r="JY69" s="4"/>
      <c r="JZ69" s="4"/>
      <c r="KE69" s="7" t="s">
        <v>12</v>
      </c>
      <c r="KI69" s="7" t="s">
        <v>720</v>
      </c>
      <c r="MS69" t="s">
        <v>11</v>
      </c>
      <c r="MT69">
        <v>42</v>
      </c>
      <c r="MW69" t="s">
        <v>710</v>
      </c>
      <c r="NB69" t="s">
        <v>205</v>
      </c>
      <c r="NC69" t="s">
        <v>712</v>
      </c>
      <c r="NE69" t="s">
        <v>204</v>
      </c>
      <c r="NG69" s="4" t="s">
        <v>203</v>
      </c>
      <c r="NH69" t="s">
        <v>202</v>
      </c>
      <c r="NI69">
        <v>0</v>
      </c>
      <c r="NJ69">
        <v>15</v>
      </c>
      <c r="NP69" t="s">
        <v>747</v>
      </c>
      <c r="NQ69" t="s">
        <v>6</v>
      </c>
      <c r="NR69" s="3">
        <v>37</v>
      </c>
      <c r="NS69" s="4" t="s">
        <v>4</v>
      </c>
      <c r="NT69" s="3">
        <v>10</v>
      </c>
      <c r="NW69">
        <v>4</v>
      </c>
      <c r="OH69" t="s">
        <v>207</v>
      </c>
      <c r="OJ69">
        <v>1996</v>
      </c>
      <c r="OM69" s="2" t="s">
        <v>1</v>
      </c>
      <c r="OO69" t="s">
        <v>1178</v>
      </c>
      <c r="OP69" s="58">
        <v>46094</v>
      </c>
    </row>
    <row r="70" spans="1:406" ht="15.75" thickBot="1">
      <c r="A70" s="11" t="s">
        <v>36</v>
      </c>
      <c r="B70" t="s">
        <v>35</v>
      </c>
      <c r="C70" t="s">
        <v>34</v>
      </c>
      <c r="D70" s="4" t="s">
        <v>33</v>
      </c>
      <c r="E70" t="s">
        <v>32</v>
      </c>
      <c r="F70" s="4" t="s">
        <v>31</v>
      </c>
      <c r="G70" t="s">
        <v>2</v>
      </c>
      <c r="H70" t="s">
        <v>30</v>
      </c>
      <c r="I70" s="10">
        <v>0.1</v>
      </c>
      <c r="J70" s="10">
        <v>34.566667000000002</v>
      </c>
      <c r="K70" t="s">
        <v>29</v>
      </c>
      <c r="AV70" t="s">
        <v>28</v>
      </c>
      <c r="AW70">
        <v>100</v>
      </c>
      <c r="AX70" t="s">
        <v>29</v>
      </c>
      <c r="AY70">
        <v>4</v>
      </c>
      <c r="AZ70" t="s">
        <v>27</v>
      </c>
      <c r="BA70">
        <v>1994</v>
      </c>
      <c r="BB70">
        <v>1998</v>
      </c>
      <c r="BC70" t="s">
        <v>26</v>
      </c>
      <c r="BD70" t="s">
        <v>59</v>
      </c>
      <c r="BE70" s="10" t="s">
        <v>65</v>
      </c>
      <c r="BF70" t="s">
        <v>64</v>
      </c>
      <c r="BG70" s="3" t="s">
        <v>1243</v>
      </c>
      <c r="BH70" t="s">
        <v>23</v>
      </c>
      <c r="BI70" t="s">
        <v>750</v>
      </c>
      <c r="BJ70" s="4" t="s">
        <v>22</v>
      </c>
      <c r="BK70" s="9">
        <v>53000</v>
      </c>
      <c r="EE70" t="s">
        <v>55</v>
      </c>
      <c r="EF70" s="4" t="s">
        <v>22</v>
      </c>
      <c r="EG70" s="9">
        <v>53000</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R70" t="s">
        <v>21</v>
      </c>
      <c r="HT70" s="4" t="s">
        <v>20</v>
      </c>
      <c r="HU70" s="58">
        <v>34335</v>
      </c>
      <c r="HV70" s="58">
        <v>36160</v>
      </c>
      <c r="HW70" s="58"/>
      <c r="IM70" s="4"/>
      <c r="IN70" t="s">
        <v>63</v>
      </c>
      <c r="IO70" s="12" t="s">
        <v>1736</v>
      </c>
      <c r="IR70">
        <v>1995</v>
      </c>
      <c r="IS70">
        <v>1995.2</v>
      </c>
      <c r="IT70" s="4" t="s">
        <v>18</v>
      </c>
      <c r="IU70" t="s">
        <v>61</v>
      </c>
      <c r="IV70" s="12" t="s">
        <v>52</v>
      </c>
      <c r="IY70">
        <v>0.5</v>
      </c>
      <c r="IZ70" t="s">
        <v>29</v>
      </c>
      <c r="JA70" t="s">
        <v>29</v>
      </c>
      <c r="JB70" t="s">
        <v>29</v>
      </c>
      <c r="JC70" t="s">
        <v>29</v>
      </c>
      <c r="JD70" t="s">
        <v>29</v>
      </c>
      <c r="JE70" t="s">
        <v>29</v>
      </c>
      <c r="JF70" t="s">
        <v>29</v>
      </c>
      <c r="JG70" t="s">
        <v>29</v>
      </c>
      <c r="JH70" t="s">
        <v>29</v>
      </c>
      <c r="JJ70" s="12" t="s">
        <v>721</v>
      </c>
      <c r="JO70" s="4"/>
      <c r="JU70" s="4"/>
      <c r="JV70" s="4"/>
      <c r="JW70" s="4"/>
      <c r="JX70" s="4"/>
      <c r="JY70" s="4"/>
      <c r="JZ70" s="4"/>
      <c r="KE70" s="7" t="s">
        <v>12</v>
      </c>
      <c r="KI70" s="53" t="s">
        <v>719</v>
      </c>
      <c r="KJ70" s="8" t="s">
        <v>51</v>
      </c>
      <c r="KL70" t="s">
        <v>29</v>
      </c>
      <c r="MS70" t="s">
        <v>11</v>
      </c>
      <c r="MT70">
        <v>42</v>
      </c>
      <c r="MW70" t="s">
        <v>710</v>
      </c>
      <c r="NB70" t="s">
        <v>205</v>
      </c>
      <c r="NC70" t="s">
        <v>712</v>
      </c>
      <c r="NE70" t="s">
        <v>204</v>
      </c>
      <c r="NG70" s="4" t="s">
        <v>203</v>
      </c>
      <c r="NH70" t="s">
        <v>202</v>
      </c>
      <c r="NI70">
        <v>15</v>
      </c>
      <c r="NJ70">
        <v>30</v>
      </c>
      <c r="NQ70" t="s">
        <v>6</v>
      </c>
      <c r="NR70" s="3">
        <v>41</v>
      </c>
      <c r="NS70" s="4" t="s">
        <v>4</v>
      </c>
      <c r="NT70" s="3">
        <v>6</v>
      </c>
      <c r="NW70">
        <v>4</v>
      </c>
      <c r="OH70" t="s">
        <v>206</v>
      </c>
      <c r="OJ70">
        <v>1996</v>
      </c>
      <c r="OM70" s="2" t="s">
        <v>62</v>
      </c>
      <c r="OO70" t="s">
        <v>1178</v>
      </c>
      <c r="OP70" s="58">
        <v>46094</v>
      </c>
    </row>
    <row r="71" spans="1:406" ht="15.75" thickBot="1">
      <c r="A71" s="11" t="s">
        <v>36</v>
      </c>
      <c r="B71" t="s">
        <v>35</v>
      </c>
      <c r="C71" t="s">
        <v>34</v>
      </c>
      <c r="D71" s="4" t="s">
        <v>33</v>
      </c>
      <c r="E71" t="s">
        <v>32</v>
      </c>
      <c r="F71" s="4" t="s">
        <v>31</v>
      </c>
      <c r="G71" t="s">
        <v>2</v>
      </c>
      <c r="H71" t="s">
        <v>30</v>
      </c>
      <c r="I71" s="10">
        <v>0.1</v>
      </c>
      <c r="J71" s="10">
        <v>34.566667000000002</v>
      </c>
      <c r="K71" t="s">
        <v>29</v>
      </c>
      <c r="AV71" t="s">
        <v>28</v>
      </c>
      <c r="AW71">
        <v>100</v>
      </c>
      <c r="AX71" t="s">
        <v>29</v>
      </c>
      <c r="AY71">
        <v>4</v>
      </c>
      <c r="AZ71" t="s">
        <v>27</v>
      </c>
      <c r="BA71">
        <v>1994</v>
      </c>
      <c r="BB71">
        <v>1998</v>
      </c>
      <c r="BC71" t="s">
        <v>26</v>
      </c>
      <c r="BD71" t="s">
        <v>59</v>
      </c>
      <c r="BE71" s="10" t="s">
        <v>58</v>
      </c>
      <c r="BF71" t="s">
        <v>57</v>
      </c>
      <c r="BG71" s="3" t="s">
        <v>1243</v>
      </c>
      <c r="BH71" t="s">
        <v>23</v>
      </c>
      <c r="BI71" t="s">
        <v>750</v>
      </c>
      <c r="BJ71" s="4" t="s">
        <v>22</v>
      </c>
      <c r="BK71" s="9">
        <v>53000</v>
      </c>
      <c r="EE71" t="s">
        <v>55</v>
      </c>
      <c r="EF71" s="4" t="s">
        <v>22</v>
      </c>
      <c r="EG71" s="9">
        <v>53000</v>
      </c>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K71" s="9"/>
      <c r="HR71" t="s">
        <v>21</v>
      </c>
      <c r="HT71" s="4" t="s">
        <v>20</v>
      </c>
      <c r="HU71" s="58">
        <v>34335</v>
      </c>
      <c r="HV71" s="58">
        <v>36160</v>
      </c>
      <c r="HW71" s="58"/>
      <c r="IM71" s="4"/>
      <c r="IN71" t="s">
        <v>54</v>
      </c>
      <c r="IO71" s="12" t="s">
        <v>1737</v>
      </c>
      <c r="IR71">
        <v>1994</v>
      </c>
      <c r="IS71">
        <v>1994.2</v>
      </c>
      <c r="IT71" s="4" t="s">
        <v>18</v>
      </c>
      <c r="IU71" t="s">
        <v>53</v>
      </c>
      <c r="IV71" s="12" t="s">
        <v>52</v>
      </c>
      <c r="IY71">
        <v>0.5</v>
      </c>
      <c r="IZ71" t="s">
        <v>29</v>
      </c>
      <c r="JA71" t="s">
        <v>29</v>
      </c>
      <c r="JB71" t="s">
        <v>29</v>
      </c>
      <c r="JC71" t="s">
        <v>29</v>
      </c>
      <c r="JD71" t="s">
        <v>29</v>
      </c>
      <c r="JE71" t="s">
        <v>29</v>
      </c>
      <c r="JF71" t="s">
        <v>29</v>
      </c>
      <c r="JG71" t="s">
        <v>29</v>
      </c>
      <c r="JH71" t="s">
        <v>29</v>
      </c>
      <c r="JJ71" s="12" t="s">
        <v>721</v>
      </c>
      <c r="JO71" s="4"/>
      <c r="JU71" s="4"/>
      <c r="JV71" s="4"/>
      <c r="JW71" s="4"/>
      <c r="JX71" s="4"/>
      <c r="JY71" s="4"/>
      <c r="JZ71" s="4"/>
      <c r="KE71" s="7" t="s">
        <v>12</v>
      </c>
      <c r="KI71" s="53" t="s">
        <v>719</v>
      </c>
      <c r="KJ71" s="8" t="s">
        <v>51</v>
      </c>
      <c r="KL71" t="s">
        <v>29</v>
      </c>
      <c r="MS71" t="s">
        <v>11</v>
      </c>
      <c r="MT71">
        <v>42</v>
      </c>
      <c r="MW71" t="s">
        <v>710</v>
      </c>
      <c r="NB71" t="s">
        <v>205</v>
      </c>
      <c r="NC71" t="s">
        <v>712</v>
      </c>
      <c r="NE71" t="s">
        <v>204</v>
      </c>
      <c r="NG71" s="4" t="s">
        <v>203</v>
      </c>
      <c r="NH71" t="s">
        <v>202</v>
      </c>
      <c r="NI71">
        <v>15</v>
      </c>
      <c r="NJ71">
        <v>30</v>
      </c>
      <c r="NQ71" t="s">
        <v>6</v>
      </c>
      <c r="NR71" s="3">
        <v>16</v>
      </c>
      <c r="NS71" s="4" t="s">
        <v>4</v>
      </c>
      <c r="NT71" s="3">
        <v>4</v>
      </c>
      <c r="NW71">
        <v>4</v>
      </c>
      <c r="OH71" t="s">
        <v>206</v>
      </c>
      <c r="OJ71">
        <v>1996</v>
      </c>
      <c r="OM71" s="2" t="s">
        <v>62</v>
      </c>
      <c r="OO71" t="s">
        <v>1178</v>
      </c>
      <c r="OP71" s="58">
        <v>46094</v>
      </c>
    </row>
    <row r="72" spans="1:406" ht="15.75" thickBot="1">
      <c r="A72" s="11" t="s">
        <v>36</v>
      </c>
      <c r="B72" t="s">
        <v>35</v>
      </c>
      <c r="C72" t="s">
        <v>34</v>
      </c>
      <c r="D72" s="4" t="s">
        <v>33</v>
      </c>
      <c r="E72" t="s">
        <v>32</v>
      </c>
      <c r="F72" s="4" t="s">
        <v>31</v>
      </c>
      <c r="G72" t="s">
        <v>2</v>
      </c>
      <c r="H72" t="s">
        <v>30</v>
      </c>
      <c r="I72" s="10">
        <v>0.1</v>
      </c>
      <c r="J72" s="10">
        <v>34.566667000000002</v>
      </c>
      <c r="K72" t="s">
        <v>29</v>
      </c>
      <c r="AV72" t="s">
        <v>28</v>
      </c>
      <c r="AW72">
        <v>100</v>
      </c>
      <c r="AX72" t="s">
        <v>29</v>
      </c>
      <c r="AY72">
        <v>4</v>
      </c>
      <c r="AZ72" t="s">
        <v>27</v>
      </c>
      <c r="BA72">
        <v>1994</v>
      </c>
      <c r="BB72">
        <v>1998</v>
      </c>
      <c r="BC72" t="s">
        <v>26</v>
      </c>
      <c r="BD72" t="s">
        <v>45</v>
      </c>
      <c r="BE72" s="10" t="s">
        <v>49</v>
      </c>
      <c r="BF72" t="s">
        <v>48</v>
      </c>
      <c r="BG72" s="3" t="s">
        <v>1243</v>
      </c>
      <c r="BH72" t="s">
        <v>23</v>
      </c>
      <c r="BI72" t="s">
        <v>750</v>
      </c>
      <c r="BJ72" s="4" t="s">
        <v>22</v>
      </c>
      <c r="BK72" s="9">
        <v>53000</v>
      </c>
      <c r="EF72" s="4"/>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K72" s="9"/>
      <c r="HR72" t="s">
        <v>21</v>
      </c>
      <c r="HT72" s="4" t="s">
        <v>20</v>
      </c>
      <c r="HU72" s="58">
        <v>34335</v>
      </c>
      <c r="HV72" s="58">
        <v>36160</v>
      </c>
      <c r="HW72" s="58"/>
      <c r="IN72" t="s">
        <v>47</v>
      </c>
      <c r="IO72" s="54" t="s">
        <v>1236</v>
      </c>
      <c r="IR72">
        <v>1995</v>
      </c>
      <c r="IS72">
        <v>1995.2</v>
      </c>
      <c r="IT72" s="4" t="s">
        <v>18</v>
      </c>
      <c r="IU72" t="s">
        <v>38</v>
      </c>
      <c r="IV72" t="s">
        <v>19</v>
      </c>
      <c r="IZ72">
        <v>0</v>
      </c>
      <c r="JA72">
        <v>0</v>
      </c>
      <c r="JB72">
        <v>0</v>
      </c>
      <c r="JC72">
        <v>0</v>
      </c>
      <c r="JD72">
        <v>0</v>
      </c>
      <c r="JE72">
        <v>0</v>
      </c>
      <c r="JF72">
        <v>0</v>
      </c>
      <c r="JG72">
        <v>0</v>
      </c>
      <c r="JH72">
        <v>0</v>
      </c>
      <c r="JJ72" s="12" t="s">
        <v>721</v>
      </c>
      <c r="JO72" s="4"/>
      <c r="JU72" s="4"/>
      <c r="JV72" s="4"/>
      <c r="JW72" s="4"/>
      <c r="JX72" s="4"/>
      <c r="JY72" s="4"/>
      <c r="JZ72" s="4"/>
      <c r="KE72" s="7" t="s">
        <v>12</v>
      </c>
      <c r="KI72" s="7" t="s">
        <v>720</v>
      </c>
      <c r="MS72" t="s">
        <v>11</v>
      </c>
      <c r="MT72">
        <v>42</v>
      </c>
      <c r="MW72" t="s">
        <v>710</v>
      </c>
      <c r="NB72" t="s">
        <v>205</v>
      </c>
      <c r="NC72" t="s">
        <v>712</v>
      </c>
      <c r="NE72" t="s">
        <v>204</v>
      </c>
      <c r="NG72" s="4" t="s">
        <v>203</v>
      </c>
      <c r="NH72" t="s">
        <v>202</v>
      </c>
      <c r="NI72">
        <v>15</v>
      </c>
      <c r="NJ72">
        <v>30</v>
      </c>
      <c r="NQ72" t="s">
        <v>6</v>
      </c>
      <c r="NR72" s="3">
        <v>31</v>
      </c>
      <c r="NS72" s="4" t="s">
        <v>4</v>
      </c>
      <c r="NT72" s="3">
        <v>15</v>
      </c>
      <c r="NW72">
        <v>4</v>
      </c>
      <c r="OH72" t="s">
        <v>206</v>
      </c>
      <c r="OJ72">
        <v>1996</v>
      </c>
      <c r="OM72" s="2" t="s">
        <v>62</v>
      </c>
      <c r="OO72" t="s">
        <v>1178</v>
      </c>
      <c r="OP72" s="58">
        <v>46094</v>
      </c>
    </row>
    <row r="73" spans="1:406" ht="15.75" thickBot="1">
      <c r="A73" s="11" t="s">
        <v>36</v>
      </c>
      <c r="B73" t="s">
        <v>35</v>
      </c>
      <c r="C73" t="s">
        <v>34</v>
      </c>
      <c r="D73" s="4" t="s">
        <v>33</v>
      </c>
      <c r="E73" t="s">
        <v>32</v>
      </c>
      <c r="F73" s="4" t="s">
        <v>31</v>
      </c>
      <c r="G73" t="s">
        <v>2</v>
      </c>
      <c r="H73" t="s">
        <v>30</v>
      </c>
      <c r="I73" s="10">
        <v>0.1</v>
      </c>
      <c r="J73" s="10">
        <v>34.566667000000002</v>
      </c>
      <c r="K73" t="s">
        <v>29</v>
      </c>
      <c r="AV73" t="s">
        <v>28</v>
      </c>
      <c r="AW73">
        <v>100</v>
      </c>
      <c r="AX73" t="s">
        <v>29</v>
      </c>
      <c r="AY73">
        <v>4</v>
      </c>
      <c r="AZ73" t="s">
        <v>27</v>
      </c>
      <c r="BA73">
        <v>1994</v>
      </c>
      <c r="BB73">
        <v>1998</v>
      </c>
      <c r="BC73" t="s">
        <v>26</v>
      </c>
      <c r="BD73" t="s">
        <v>45</v>
      </c>
      <c r="BE73" s="10" t="s">
        <v>44</v>
      </c>
      <c r="BF73" t="s">
        <v>43</v>
      </c>
      <c r="BG73" s="3" t="s">
        <v>1243</v>
      </c>
      <c r="BH73" t="s">
        <v>23</v>
      </c>
      <c r="BI73" t="s">
        <v>750</v>
      </c>
      <c r="BJ73" s="4" t="s">
        <v>22</v>
      </c>
      <c r="BK73" s="9">
        <v>53000</v>
      </c>
      <c r="EF73" s="4"/>
      <c r="EG73" s="9"/>
      <c r="EH73" s="9"/>
      <c r="EI73" s="9"/>
      <c r="EJ73" s="9"/>
      <c r="EK73" s="9"/>
      <c r="EL73" s="9"/>
      <c r="EM73" s="9"/>
      <c r="EN73" s="9"/>
      <c r="EO73" s="9"/>
      <c r="EP73" s="9"/>
      <c r="EQ73" s="9"/>
      <c r="ER73" s="9"/>
      <c r="ES73" s="9"/>
      <c r="ET73" s="9"/>
      <c r="EU73" s="9"/>
      <c r="EV73" s="9"/>
      <c r="EW73" s="9"/>
      <c r="EX73" s="9"/>
      <c r="EY73" s="9"/>
      <c r="EZ73" s="9"/>
      <c r="FA73" s="9"/>
      <c r="FB73" s="9"/>
      <c r="FC73" s="9"/>
      <c r="FD73" s="9"/>
      <c r="FE73" s="9"/>
      <c r="FF73" s="9"/>
      <c r="FG73" s="9"/>
      <c r="FH73" s="9"/>
      <c r="FI73" s="9"/>
      <c r="FJ73" s="9"/>
      <c r="FK73" s="9"/>
      <c r="FL73" s="9"/>
      <c r="FM73" s="9"/>
      <c r="FN73" s="9"/>
      <c r="FO73" s="9"/>
      <c r="FP73" s="9"/>
      <c r="FQ73" s="9"/>
      <c r="FR73" s="9"/>
      <c r="FS73" s="9"/>
      <c r="FT73" s="9"/>
      <c r="FU73" s="9"/>
      <c r="FV73" s="9"/>
      <c r="FW73" s="9"/>
      <c r="FX73" s="9"/>
      <c r="FY73" s="9"/>
      <c r="FZ73" s="9"/>
      <c r="GA73" s="9"/>
      <c r="GB73" s="9"/>
      <c r="GC73" s="9"/>
      <c r="GD73" s="9"/>
      <c r="GE73" s="9"/>
      <c r="GF73" s="9"/>
      <c r="GG73" s="9"/>
      <c r="GH73" s="9"/>
      <c r="GI73" s="9"/>
      <c r="GJ73" s="9"/>
      <c r="GK73" s="9"/>
      <c r="GL73" s="9"/>
      <c r="GM73" s="9"/>
      <c r="GN73" s="9"/>
      <c r="GO73" s="9"/>
      <c r="GP73" s="9"/>
      <c r="GQ73" s="9"/>
      <c r="GR73" s="9"/>
      <c r="GS73" s="9"/>
      <c r="GT73" s="9"/>
      <c r="GU73" s="9"/>
      <c r="GV73" s="9"/>
      <c r="GW73" s="9"/>
      <c r="GX73" s="9"/>
      <c r="GY73" s="9"/>
      <c r="GZ73" s="9"/>
      <c r="HA73" s="9"/>
      <c r="HB73" s="9"/>
      <c r="HC73" s="9"/>
      <c r="HD73" s="9"/>
      <c r="HE73" s="9"/>
      <c r="HF73" s="9"/>
      <c r="HG73" s="9"/>
      <c r="HH73" s="9"/>
      <c r="HI73" s="9"/>
      <c r="HJ73" s="9"/>
      <c r="HK73" s="9"/>
      <c r="HR73" t="s">
        <v>21</v>
      </c>
      <c r="HT73" s="4" t="s">
        <v>20</v>
      </c>
      <c r="HU73" s="58">
        <v>34335</v>
      </c>
      <c r="HV73" s="58">
        <v>36160</v>
      </c>
      <c r="HW73" s="58"/>
      <c r="IN73" t="s">
        <v>42</v>
      </c>
      <c r="IO73" s="13" t="s">
        <v>1237</v>
      </c>
      <c r="IR73">
        <v>1994</v>
      </c>
      <c r="IS73">
        <v>1994.2</v>
      </c>
      <c r="IT73" s="4" t="s">
        <v>18</v>
      </c>
      <c r="IU73" t="s">
        <v>38</v>
      </c>
      <c r="IV73" t="s">
        <v>19</v>
      </c>
      <c r="IZ73">
        <v>0</v>
      </c>
      <c r="JA73">
        <v>0</v>
      </c>
      <c r="JB73">
        <v>0</v>
      </c>
      <c r="JC73">
        <v>0</v>
      </c>
      <c r="JD73">
        <v>0</v>
      </c>
      <c r="JE73">
        <v>0</v>
      </c>
      <c r="JF73">
        <v>0</v>
      </c>
      <c r="JG73">
        <v>0</v>
      </c>
      <c r="JH73">
        <v>0</v>
      </c>
      <c r="JJ73" s="12" t="s">
        <v>721</v>
      </c>
      <c r="JO73" s="4"/>
      <c r="JU73" s="4"/>
      <c r="JV73" s="4"/>
      <c r="JW73" s="4"/>
      <c r="JX73" s="4"/>
      <c r="JY73" s="4"/>
      <c r="JZ73" s="4"/>
      <c r="KE73" s="7" t="s">
        <v>12</v>
      </c>
      <c r="KI73" s="7" t="s">
        <v>720</v>
      </c>
      <c r="MS73" t="s">
        <v>11</v>
      </c>
      <c r="MT73">
        <v>42</v>
      </c>
      <c r="MW73" t="s">
        <v>710</v>
      </c>
      <c r="NB73" t="s">
        <v>205</v>
      </c>
      <c r="NC73" t="s">
        <v>712</v>
      </c>
      <c r="NE73" t="s">
        <v>204</v>
      </c>
      <c r="NG73" s="4" t="s">
        <v>203</v>
      </c>
      <c r="NH73" t="s">
        <v>202</v>
      </c>
      <c r="NI73">
        <v>15</v>
      </c>
      <c r="NJ73">
        <v>30</v>
      </c>
      <c r="NQ73" t="s">
        <v>6</v>
      </c>
      <c r="NR73" s="3">
        <v>58</v>
      </c>
      <c r="NS73" s="4" t="s">
        <v>4</v>
      </c>
      <c r="NT73" s="3">
        <v>17</v>
      </c>
      <c r="NW73">
        <v>4</v>
      </c>
      <c r="OH73" t="s">
        <v>206</v>
      </c>
      <c r="OJ73">
        <v>1996</v>
      </c>
      <c r="OM73" s="2" t="s">
        <v>62</v>
      </c>
      <c r="OO73" t="s">
        <v>1178</v>
      </c>
      <c r="OP73" s="58">
        <v>46094</v>
      </c>
    </row>
    <row r="74" spans="1:406" ht="15.75" thickBot="1">
      <c r="A74" s="11" t="s">
        <v>36</v>
      </c>
      <c r="B74" t="s">
        <v>35</v>
      </c>
      <c r="C74" t="s">
        <v>34</v>
      </c>
      <c r="D74" s="4" t="s">
        <v>33</v>
      </c>
      <c r="E74" t="s">
        <v>32</v>
      </c>
      <c r="F74" s="4" t="s">
        <v>31</v>
      </c>
      <c r="G74" t="s">
        <v>2</v>
      </c>
      <c r="H74" t="s">
        <v>30</v>
      </c>
      <c r="I74" s="10">
        <v>0.1</v>
      </c>
      <c r="J74" s="10">
        <v>34.566667000000002</v>
      </c>
      <c r="K74" t="s">
        <v>29</v>
      </c>
      <c r="AV74" t="s">
        <v>28</v>
      </c>
      <c r="AW74">
        <v>100</v>
      </c>
      <c r="AX74" t="s">
        <v>29</v>
      </c>
      <c r="AY74">
        <v>4</v>
      </c>
      <c r="AZ74" t="s">
        <v>27</v>
      </c>
      <c r="BA74">
        <v>1994</v>
      </c>
      <c r="BB74">
        <v>1998</v>
      </c>
      <c r="BC74" t="s">
        <v>26</v>
      </c>
      <c r="BD74" t="s">
        <v>19</v>
      </c>
      <c r="BE74" s="10" t="s">
        <v>40</v>
      </c>
      <c r="BF74" t="s">
        <v>39</v>
      </c>
      <c r="BG74" s="3" t="s">
        <v>1243</v>
      </c>
      <c r="BH74" t="s">
        <v>23</v>
      </c>
      <c r="BI74" t="s">
        <v>750</v>
      </c>
      <c r="BJ74" s="4" t="s">
        <v>22</v>
      </c>
      <c r="BK74" s="9">
        <v>53000</v>
      </c>
      <c r="HR74" t="s">
        <v>21</v>
      </c>
      <c r="HT74" s="4" t="s">
        <v>20</v>
      </c>
      <c r="HU74" s="58">
        <v>34335</v>
      </c>
      <c r="HV74" s="58">
        <v>36160</v>
      </c>
      <c r="HW74" s="58"/>
      <c r="IN74" t="s">
        <v>38</v>
      </c>
      <c r="IO74" s="54" t="s">
        <v>19</v>
      </c>
      <c r="IT74" s="4" t="s">
        <v>18</v>
      </c>
      <c r="IU74" t="s">
        <v>38</v>
      </c>
      <c r="IV74" s="54" t="s">
        <v>19</v>
      </c>
      <c r="IZ74">
        <v>0</v>
      </c>
      <c r="JA74">
        <v>0</v>
      </c>
      <c r="JB74">
        <v>0</v>
      </c>
      <c r="JC74">
        <v>0</v>
      </c>
      <c r="JD74">
        <v>0</v>
      </c>
      <c r="JE74">
        <v>0</v>
      </c>
      <c r="JF74">
        <v>0</v>
      </c>
      <c r="JG74">
        <v>0</v>
      </c>
      <c r="JH74">
        <v>0</v>
      </c>
      <c r="JJ74" s="12" t="s">
        <v>721</v>
      </c>
      <c r="JO74" s="4"/>
      <c r="JU74" s="4"/>
      <c r="JV74" s="4"/>
      <c r="JW74" s="4"/>
      <c r="JX74" s="4"/>
      <c r="JY74" s="4"/>
      <c r="JZ74" s="4"/>
      <c r="KE74" s="7" t="s">
        <v>12</v>
      </c>
      <c r="KI74" s="7" t="s">
        <v>720</v>
      </c>
      <c r="MS74" t="s">
        <v>11</v>
      </c>
      <c r="MT74">
        <v>42</v>
      </c>
      <c r="MW74" t="s">
        <v>710</v>
      </c>
      <c r="NB74" t="s">
        <v>205</v>
      </c>
      <c r="NC74" t="s">
        <v>712</v>
      </c>
      <c r="NE74" t="s">
        <v>204</v>
      </c>
      <c r="NG74" s="4" t="s">
        <v>203</v>
      </c>
      <c r="NH74" t="s">
        <v>202</v>
      </c>
      <c r="NI74">
        <v>15</v>
      </c>
      <c r="NJ74">
        <v>30</v>
      </c>
      <c r="NP74" t="s">
        <v>735</v>
      </c>
      <c r="NQ74" t="s">
        <v>6</v>
      </c>
      <c r="NR74" s="3">
        <v>38</v>
      </c>
      <c r="NS74" s="4" t="s">
        <v>4</v>
      </c>
      <c r="NT74" s="3">
        <v>2</v>
      </c>
      <c r="NW74">
        <v>4</v>
      </c>
      <c r="OH74" t="s">
        <v>206</v>
      </c>
      <c r="OJ74">
        <v>1996</v>
      </c>
      <c r="OM74" s="2" t="s">
        <v>62</v>
      </c>
      <c r="OO74" t="s">
        <v>1178</v>
      </c>
      <c r="OP74" s="58">
        <v>46094</v>
      </c>
    </row>
    <row r="75" spans="1:406" ht="15.75" thickBot="1">
      <c r="A75" s="11" t="s">
        <v>36</v>
      </c>
      <c r="B75" t="s">
        <v>35</v>
      </c>
      <c r="C75" t="s">
        <v>34</v>
      </c>
      <c r="D75" s="4" t="s">
        <v>33</v>
      </c>
      <c r="E75" t="s">
        <v>32</v>
      </c>
      <c r="F75" s="4" t="s">
        <v>31</v>
      </c>
      <c r="G75" t="s">
        <v>2</v>
      </c>
      <c r="H75" t="s">
        <v>30</v>
      </c>
      <c r="I75" s="10">
        <v>0.1</v>
      </c>
      <c r="J75" s="10">
        <v>34.566667000000002</v>
      </c>
      <c r="K75" t="s">
        <v>29</v>
      </c>
      <c r="AV75" t="s">
        <v>28</v>
      </c>
      <c r="AW75">
        <v>100</v>
      </c>
      <c r="AX75" t="s">
        <v>29</v>
      </c>
      <c r="AY75">
        <v>4</v>
      </c>
      <c r="AZ75" t="s">
        <v>27</v>
      </c>
      <c r="BA75">
        <v>1994</v>
      </c>
      <c r="BB75">
        <v>1998</v>
      </c>
      <c r="BC75" t="s">
        <v>26</v>
      </c>
      <c r="BD75" t="s">
        <v>19</v>
      </c>
      <c r="BE75" s="10" t="s">
        <v>25</v>
      </c>
      <c r="BF75" t="s">
        <v>24</v>
      </c>
      <c r="BG75" s="3" t="s">
        <v>1243</v>
      </c>
      <c r="BH75" t="s">
        <v>23</v>
      </c>
      <c r="BI75" t="s">
        <v>750</v>
      </c>
      <c r="BJ75" s="4" t="s">
        <v>22</v>
      </c>
      <c r="BK75" s="9">
        <v>53000</v>
      </c>
      <c r="HR75" t="s">
        <v>21</v>
      </c>
      <c r="HT75" s="4" t="s">
        <v>20</v>
      </c>
      <c r="HU75" s="58">
        <v>34335</v>
      </c>
      <c r="HV75" s="58">
        <v>36160</v>
      </c>
      <c r="HW75" s="58"/>
      <c r="IN75" t="s">
        <v>16</v>
      </c>
      <c r="IO75" s="54" t="s">
        <v>19</v>
      </c>
      <c r="IT75" s="4" t="s">
        <v>18</v>
      </c>
      <c r="IU75" t="s">
        <v>17</v>
      </c>
      <c r="IV75" s="54" t="s">
        <v>19</v>
      </c>
      <c r="IZ75">
        <v>0</v>
      </c>
      <c r="JA75">
        <v>0</v>
      </c>
      <c r="JB75">
        <v>0</v>
      </c>
      <c r="JC75">
        <v>0</v>
      </c>
      <c r="JD75">
        <v>0</v>
      </c>
      <c r="JE75">
        <v>0</v>
      </c>
      <c r="JF75">
        <v>0</v>
      </c>
      <c r="JG75">
        <v>0</v>
      </c>
      <c r="JH75">
        <v>0</v>
      </c>
      <c r="JI75" t="s">
        <v>16</v>
      </c>
      <c r="JJ75" t="s">
        <v>15</v>
      </c>
      <c r="JK75" s="8" t="s">
        <v>14</v>
      </c>
      <c r="JO75" s="4" t="s">
        <v>13</v>
      </c>
      <c r="JP75">
        <v>60</v>
      </c>
      <c r="JS75">
        <v>60</v>
      </c>
      <c r="JU75" s="4"/>
      <c r="JV75" s="4"/>
      <c r="JW75" s="4"/>
      <c r="JX75" s="4"/>
      <c r="JY75" s="4"/>
      <c r="JZ75" s="4"/>
      <c r="KE75" s="7" t="s">
        <v>12</v>
      </c>
      <c r="KI75" s="7" t="s">
        <v>720</v>
      </c>
      <c r="MS75" t="s">
        <v>11</v>
      </c>
      <c r="MT75">
        <v>42</v>
      </c>
      <c r="MW75" t="s">
        <v>710</v>
      </c>
      <c r="NB75" t="s">
        <v>205</v>
      </c>
      <c r="NC75" t="s">
        <v>712</v>
      </c>
      <c r="NE75" t="s">
        <v>204</v>
      </c>
      <c r="NG75" s="4" t="s">
        <v>203</v>
      </c>
      <c r="NH75" t="s">
        <v>202</v>
      </c>
      <c r="NI75">
        <v>15</v>
      </c>
      <c r="NJ75">
        <v>30</v>
      </c>
      <c r="NP75" t="s">
        <v>747</v>
      </c>
      <c r="NQ75" t="s">
        <v>6</v>
      </c>
      <c r="NR75" s="3">
        <v>26</v>
      </c>
      <c r="NS75" s="4" t="s">
        <v>4</v>
      </c>
      <c r="NT75" s="3">
        <v>6</v>
      </c>
      <c r="NW75">
        <v>4</v>
      </c>
      <c r="OH75" t="s">
        <v>206</v>
      </c>
      <c r="OJ75">
        <v>1996</v>
      </c>
      <c r="OM75" s="2" t="s">
        <v>62</v>
      </c>
      <c r="OO75" t="s">
        <v>1178</v>
      </c>
      <c r="OP75" s="58">
        <v>46094</v>
      </c>
    </row>
    <row r="76" spans="1:406" ht="15.75" thickBot="1">
      <c r="A76" s="11" t="s">
        <v>36</v>
      </c>
      <c r="B76" t="s">
        <v>35</v>
      </c>
      <c r="C76" t="s">
        <v>34</v>
      </c>
      <c r="D76" s="4" t="s">
        <v>33</v>
      </c>
      <c r="E76" t="s">
        <v>32</v>
      </c>
      <c r="F76" s="4" t="s">
        <v>31</v>
      </c>
      <c r="G76" t="s">
        <v>2</v>
      </c>
      <c r="H76" t="s">
        <v>30</v>
      </c>
      <c r="I76" s="10">
        <v>0.1</v>
      </c>
      <c r="J76" s="10">
        <v>34.566667000000002</v>
      </c>
      <c r="K76" t="s">
        <v>29</v>
      </c>
      <c r="AV76" t="s">
        <v>28</v>
      </c>
      <c r="AW76">
        <v>100</v>
      </c>
      <c r="AX76" t="s">
        <v>29</v>
      </c>
      <c r="AY76">
        <v>4</v>
      </c>
      <c r="AZ76" t="s">
        <v>27</v>
      </c>
      <c r="BA76">
        <v>1994</v>
      </c>
      <c r="BB76">
        <v>1998</v>
      </c>
      <c r="BC76" t="s">
        <v>26</v>
      </c>
      <c r="BD76" t="s">
        <v>59</v>
      </c>
      <c r="BE76" s="10" t="s">
        <v>65</v>
      </c>
      <c r="BF76" t="s">
        <v>64</v>
      </c>
      <c r="BG76" s="3" t="s">
        <v>1243</v>
      </c>
      <c r="BH76" t="s">
        <v>23</v>
      </c>
      <c r="BI76" t="s">
        <v>750</v>
      </c>
      <c r="BJ76" s="4" t="s">
        <v>22</v>
      </c>
      <c r="BK76" s="9">
        <v>53000</v>
      </c>
      <c r="EE76" t="s">
        <v>55</v>
      </c>
      <c r="EF76" s="4" t="s">
        <v>22</v>
      </c>
      <c r="EG76" s="9">
        <v>53000</v>
      </c>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K76" s="9"/>
      <c r="HR76" t="s">
        <v>21</v>
      </c>
      <c r="HT76" s="4" t="s">
        <v>20</v>
      </c>
      <c r="HU76" s="58">
        <v>34335</v>
      </c>
      <c r="HV76" s="58">
        <v>36160</v>
      </c>
      <c r="HW76" s="58"/>
      <c r="IM76" s="4"/>
      <c r="IN76" t="s">
        <v>63</v>
      </c>
      <c r="IO76" s="12" t="s">
        <v>1736</v>
      </c>
      <c r="IR76">
        <v>1995</v>
      </c>
      <c r="IS76">
        <v>1995.2</v>
      </c>
      <c r="IT76" s="4" t="s">
        <v>18</v>
      </c>
      <c r="IU76" t="s">
        <v>61</v>
      </c>
      <c r="IV76" s="12" t="s">
        <v>52</v>
      </c>
      <c r="IY76">
        <v>0.5</v>
      </c>
      <c r="IZ76" t="s">
        <v>29</v>
      </c>
      <c r="JA76" t="s">
        <v>29</v>
      </c>
      <c r="JB76" t="s">
        <v>29</v>
      </c>
      <c r="JC76" t="s">
        <v>29</v>
      </c>
      <c r="JD76" t="s">
        <v>29</v>
      </c>
      <c r="JE76" t="s">
        <v>29</v>
      </c>
      <c r="JF76" t="s">
        <v>29</v>
      </c>
      <c r="JG76" t="s">
        <v>29</v>
      </c>
      <c r="JH76" t="s">
        <v>29</v>
      </c>
      <c r="JJ76" s="12" t="s">
        <v>721</v>
      </c>
      <c r="JO76" s="4"/>
      <c r="JU76" s="4"/>
      <c r="JV76" s="4"/>
      <c r="JW76" s="4"/>
      <c r="JX76" s="4"/>
      <c r="JY76" s="4"/>
      <c r="JZ76" s="4"/>
      <c r="KE76" s="7" t="s">
        <v>12</v>
      </c>
      <c r="KI76" s="53" t="s">
        <v>719</v>
      </c>
      <c r="KJ76" s="8" t="s">
        <v>51</v>
      </c>
      <c r="KL76" t="s">
        <v>29</v>
      </c>
      <c r="MS76" t="s">
        <v>11</v>
      </c>
      <c r="MT76">
        <v>42</v>
      </c>
      <c r="MW76" t="s">
        <v>710</v>
      </c>
      <c r="NB76" t="s">
        <v>205</v>
      </c>
      <c r="NC76" t="s">
        <v>712</v>
      </c>
      <c r="NE76" t="s">
        <v>204</v>
      </c>
      <c r="NG76" s="4" t="s">
        <v>203</v>
      </c>
      <c r="NH76" t="s">
        <v>202</v>
      </c>
      <c r="NI76">
        <v>15</v>
      </c>
      <c r="NJ76">
        <v>30</v>
      </c>
      <c r="NQ76" t="s">
        <v>6</v>
      </c>
      <c r="NR76" s="3">
        <v>64</v>
      </c>
      <c r="NS76" s="4" t="s">
        <v>4</v>
      </c>
      <c r="NT76" s="3">
        <v>16</v>
      </c>
      <c r="NW76">
        <v>4</v>
      </c>
      <c r="OH76" t="s">
        <v>201</v>
      </c>
      <c r="OJ76">
        <v>1996</v>
      </c>
      <c r="OM76" s="2" t="s">
        <v>1</v>
      </c>
      <c r="OO76" t="s">
        <v>1178</v>
      </c>
      <c r="OP76" s="58">
        <v>46094</v>
      </c>
    </row>
    <row r="77" spans="1:406" ht="15.75" thickBot="1">
      <c r="A77" s="11" t="s">
        <v>36</v>
      </c>
      <c r="B77" t="s">
        <v>35</v>
      </c>
      <c r="C77" t="s">
        <v>34</v>
      </c>
      <c r="D77" s="4" t="s">
        <v>33</v>
      </c>
      <c r="E77" t="s">
        <v>32</v>
      </c>
      <c r="F77" s="4" t="s">
        <v>31</v>
      </c>
      <c r="G77" t="s">
        <v>2</v>
      </c>
      <c r="H77" t="s">
        <v>30</v>
      </c>
      <c r="I77" s="10">
        <v>0.1</v>
      </c>
      <c r="J77" s="10">
        <v>34.566667000000002</v>
      </c>
      <c r="K77" t="s">
        <v>29</v>
      </c>
      <c r="AV77" t="s">
        <v>28</v>
      </c>
      <c r="AW77">
        <v>100</v>
      </c>
      <c r="AX77" t="s">
        <v>29</v>
      </c>
      <c r="AY77">
        <v>4</v>
      </c>
      <c r="AZ77" t="s">
        <v>27</v>
      </c>
      <c r="BA77">
        <v>1994</v>
      </c>
      <c r="BB77">
        <v>1998</v>
      </c>
      <c r="BC77" t="s">
        <v>26</v>
      </c>
      <c r="BD77" t="s">
        <v>59</v>
      </c>
      <c r="BE77" s="10" t="s">
        <v>58</v>
      </c>
      <c r="BF77" t="s">
        <v>57</v>
      </c>
      <c r="BG77" s="3" t="s">
        <v>1243</v>
      </c>
      <c r="BH77" t="s">
        <v>23</v>
      </c>
      <c r="BI77" t="s">
        <v>750</v>
      </c>
      <c r="BJ77" s="4" t="s">
        <v>22</v>
      </c>
      <c r="BK77" s="9">
        <v>53000</v>
      </c>
      <c r="EE77" t="s">
        <v>55</v>
      </c>
      <c r="EF77" s="4" t="s">
        <v>22</v>
      </c>
      <c r="EG77" s="9">
        <v>53000</v>
      </c>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K77" s="9"/>
      <c r="HR77" t="s">
        <v>21</v>
      </c>
      <c r="HT77" s="4" t="s">
        <v>20</v>
      </c>
      <c r="HU77" s="58">
        <v>34335</v>
      </c>
      <c r="HV77" s="58">
        <v>36160</v>
      </c>
      <c r="HW77" s="58"/>
      <c r="IM77" s="4"/>
      <c r="IN77" t="s">
        <v>54</v>
      </c>
      <c r="IO77" s="12" t="s">
        <v>1737</v>
      </c>
      <c r="IR77">
        <v>1994</v>
      </c>
      <c r="IS77">
        <v>1994.2</v>
      </c>
      <c r="IT77" s="4" t="s">
        <v>18</v>
      </c>
      <c r="IU77" t="s">
        <v>53</v>
      </c>
      <c r="IV77" s="12" t="s">
        <v>52</v>
      </c>
      <c r="IY77">
        <v>0.5</v>
      </c>
      <c r="IZ77" t="s">
        <v>29</v>
      </c>
      <c r="JA77" t="s">
        <v>29</v>
      </c>
      <c r="JB77" t="s">
        <v>29</v>
      </c>
      <c r="JC77" t="s">
        <v>29</v>
      </c>
      <c r="JD77" t="s">
        <v>29</v>
      </c>
      <c r="JE77" t="s">
        <v>29</v>
      </c>
      <c r="JF77" t="s">
        <v>29</v>
      </c>
      <c r="JG77" t="s">
        <v>29</v>
      </c>
      <c r="JH77" t="s">
        <v>29</v>
      </c>
      <c r="JJ77" s="12" t="s">
        <v>721</v>
      </c>
      <c r="JO77" s="4"/>
      <c r="JU77" s="4"/>
      <c r="JV77" s="4"/>
      <c r="JW77" s="4"/>
      <c r="JX77" s="4"/>
      <c r="JY77" s="4"/>
      <c r="JZ77" s="4"/>
      <c r="KE77" s="7" t="s">
        <v>12</v>
      </c>
      <c r="KI77" s="53" t="s">
        <v>719</v>
      </c>
      <c r="KJ77" s="8" t="s">
        <v>51</v>
      </c>
      <c r="KL77" t="s">
        <v>29</v>
      </c>
      <c r="MS77" t="s">
        <v>11</v>
      </c>
      <c r="MT77">
        <v>42</v>
      </c>
      <c r="MW77" t="s">
        <v>710</v>
      </c>
      <c r="NB77" t="s">
        <v>205</v>
      </c>
      <c r="NC77" t="s">
        <v>712</v>
      </c>
      <c r="NE77" t="s">
        <v>204</v>
      </c>
      <c r="NG77" s="4" t="s">
        <v>203</v>
      </c>
      <c r="NH77" t="s">
        <v>202</v>
      </c>
      <c r="NI77">
        <v>15</v>
      </c>
      <c r="NJ77">
        <v>30</v>
      </c>
      <c r="NQ77" t="s">
        <v>6</v>
      </c>
      <c r="NR77" s="3">
        <v>67</v>
      </c>
      <c r="NS77" s="4" t="s">
        <v>4</v>
      </c>
      <c r="NT77" s="3">
        <v>29</v>
      </c>
      <c r="NW77">
        <v>4</v>
      </c>
      <c r="OH77" t="s">
        <v>201</v>
      </c>
      <c r="OJ77">
        <v>1996</v>
      </c>
      <c r="OM77" s="2" t="s">
        <v>1</v>
      </c>
      <c r="OO77" t="s">
        <v>1178</v>
      </c>
      <c r="OP77" s="58">
        <v>46094</v>
      </c>
    </row>
    <row r="78" spans="1:406" ht="15.75" thickBot="1">
      <c r="A78" s="11" t="s">
        <v>36</v>
      </c>
      <c r="B78" t="s">
        <v>35</v>
      </c>
      <c r="C78" t="s">
        <v>34</v>
      </c>
      <c r="D78" s="4" t="s">
        <v>33</v>
      </c>
      <c r="E78" t="s">
        <v>32</v>
      </c>
      <c r="F78" s="4" t="s">
        <v>31</v>
      </c>
      <c r="G78" t="s">
        <v>2</v>
      </c>
      <c r="H78" t="s">
        <v>30</v>
      </c>
      <c r="I78" s="10">
        <v>0.1</v>
      </c>
      <c r="J78" s="10">
        <v>34.566667000000002</v>
      </c>
      <c r="K78" t="s">
        <v>29</v>
      </c>
      <c r="AV78" t="s">
        <v>28</v>
      </c>
      <c r="AW78">
        <v>100</v>
      </c>
      <c r="AX78" t="s">
        <v>29</v>
      </c>
      <c r="AY78">
        <v>4</v>
      </c>
      <c r="AZ78" t="s">
        <v>27</v>
      </c>
      <c r="BA78">
        <v>1994</v>
      </c>
      <c r="BB78">
        <v>1998</v>
      </c>
      <c r="BC78" t="s">
        <v>26</v>
      </c>
      <c r="BD78" t="s">
        <v>45</v>
      </c>
      <c r="BE78" s="10" t="s">
        <v>49</v>
      </c>
      <c r="BF78" t="s">
        <v>48</v>
      </c>
      <c r="BG78" s="3" t="s">
        <v>1243</v>
      </c>
      <c r="BH78" t="s">
        <v>23</v>
      </c>
      <c r="BI78" t="s">
        <v>750</v>
      </c>
      <c r="BJ78" s="4" t="s">
        <v>22</v>
      </c>
      <c r="BK78" s="9">
        <v>53000</v>
      </c>
      <c r="EF78" s="4"/>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K78" s="9"/>
      <c r="HR78" t="s">
        <v>21</v>
      </c>
      <c r="HT78" s="4" t="s">
        <v>20</v>
      </c>
      <c r="HU78" s="58">
        <v>34335</v>
      </c>
      <c r="HV78" s="58">
        <v>36160</v>
      </c>
      <c r="HW78" s="58"/>
      <c r="IN78" t="s">
        <v>47</v>
      </c>
      <c r="IO78" s="54" t="s">
        <v>1236</v>
      </c>
      <c r="IR78">
        <v>1995</v>
      </c>
      <c r="IS78">
        <v>1995.2</v>
      </c>
      <c r="IT78" s="4" t="s">
        <v>18</v>
      </c>
      <c r="IU78" t="s">
        <v>38</v>
      </c>
      <c r="IV78" t="s">
        <v>19</v>
      </c>
      <c r="IZ78">
        <v>0</v>
      </c>
      <c r="JA78">
        <v>0</v>
      </c>
      <c r="JB78">
        <v>0</v>
      </c>
      <c r="JC78">
        <v>0</v>
      </c>
      <c r="JD78">
        <v>0</v>
      </c>
      <c r="JE78">
        <v>0</v>
      </c>
      <c r="JF78">
        <v>0</v>
      </c>
      <c r="JG78">
        <v>0</v>
      </c>
      <c r="JH78">
        <v>0</v>
      </c>
      <c r="JJ78" s="12" t="s">
        <v>721</v>
      </c>
      <c r="JO78" s="4"/>
      <c r="JU78" s="4"/>
      <c r="JV78" s="4"/>
      <c r="JW78" s="4"/>
      <c r="JX78" s="4"/>
      <c r="JY78" s="4"/>
      <c r="JZ78" s="4"/>
      <c r="KE78" s="7" t="s">
        <v>12</v>
      </c>
      <c r="KI78" s="7" t="s">
        <v>720</v>
      </c>
      <c r="MS78" t="s">
        <v>11</v>
      </c>
      <c r="MT78">
        <v>42</v>
      </c>
      <c r="MW78" t="s">
        <v>710</v>
      </c>
      <c r="NB78" t="s">
        <v>205</v>
      </c>
      <c r="NC78" t="s">
        <v>712</v>
      </c>
      <c r="NE78" t="s">
        <v>204</v>
      </c>
      <c r="NG78" s="4" t="s">
        <v>203</v>
      </c>
      <c r="NH78" t="s">
        <v>202</v>
      </c>
      <c r="NI78">
        <v>15</v>
      </c>
      <c r="NJ78">
        <v>30</v>
      </c>
      <c r="NQ78" t="s">
        <v>6</v>
      </c>
      <c r="NR78" s="3">
        <v>61</v>
      </c>
      <c r="NS78" s="4" t="s">
        <v>4</v>
      </c>
      <c r="NT78" s="3">
        <v>19</v>
      </c>
      <c r="NW78">
        <v>4</v>
      </c>
      <c r="OH78" t="s">
        <v>201</v>
      </c>
      <c r="OJ78">
        <v>1996</v>
      </c>
      <c r="OM78" s="2" t="s">
        <v>1</v>
      </c>
      <c r="OO78" t="s">
        <v>1178</v>
      </c>
      <c r="OP78" s="58">
        <v>46094</v>
      </c>
    </row>
    <row r="79" spans="1:406" ht="15.75" thickBot="1">
      <c r="A79" s="11" t="s">
        <v>36</v>
      </c>
      <c r="B79" t="s">
        <v>35</v>
      </c>
      <c r="C79" t="s">
        <v>34</v>
      </c>
      <c r="D79" s="4" t="s">
        <v>33</v>
      </c>
      <c r="E79" t="s">
        <v>32</v>
      </c>
      <c r="F79" s="4" t="s">
        <v>31</v>
      </c>
      <c r="G79" t="s">
        <v>2</v>
      </c>
      <c r="H79" t="s">
        <v>30</v>
      </c>
      <c r="I79" s="10">
        <v>0.1</v>
      </c>
      <c r="J79" s="10">
        <v>34.566667000000002</v>
      </c>
      <c r="K79" t="s">
        <v>29</v>
      </c>
      <c r="AV79" t="s">
        <v>28</v>
      </c>
      <c r="AW79">
        <v>100</v>
      </c>
      <c r="AX79" t="s">
        <v>29</v>
      </c>
      <c r="AY79">
        <v>4</v>
      </c>
      <c r="AZ79" t="s">
        <v>27</v>
      </c>
      <c r="BA79">
        <v>1994</v>
      </c>
      <c r="BB79">
        <v>1998</v>
      </c>
      <c r="BC79" t="s">
        <v>26</v>
      </c>
      <c r="BD79" t="s">
        <v>45</v>
      </c>
      <c r="BE79" s="10" t="s">
        <v>44</v>
      </c>
      <c r="BF79" t="s">
        <v>43</v>
      </c>
      <c r="BG79" s="3" t="s">
        <v>1243</v>
      </c>
      <c r="BH79" t="s">
        <v>23</v>
      </c>
      <c r="BI79" t="s">
        <v>750</v>
      </c>
      <c r="BJ79" s="4" t="s">
        <v>22</v>
      </c>
      <c r="BK79" s="9">
        <v>53000</v>
      </c>
      <c r="EF79" s="4"/>
      <c r="EG79" s="9"/>
      <c r="EH79" s="9"/>
      <c r="EI79" s="9"/>
      <c r="EJ79" s="9"/>
      <c r="EK79" s="9"/>
      <c r="EL79" s="9"/>
      <c r="EM79" s="9"/>
      <c r="EN79" s="9"/>
      <c r="EO79" s="9"/>
      <c r="EP79" s="9"/>
      <c r="EQ79" s="9"/>
      <c r="ER79" s="9"/>
      <c r="ES79" s="9"/>
      <c r="ET79" s="9"/>
      <c r="EU79" s="9"/>
      <c r="EV79" s="9"/>
      <c r="EW79" s="9"/>
      <c r="EX79" s="9"/>
      <c r="EY79" s="9"/>
      <c r="EZ79" s="9"/>
      <c r="FA79" s="9"/>
      <c r="FB79" s="9"/>
      <c r="FC79" s="9"/>
      <c r="FD79" s="9"/>
      <c r="FE79" s="9"/>
      <c r="FF79" s="9"/>
      <c r="FG79" s="9"/>
      <c r="FH79" s="9"/>
      <c r="FI79" s="9"/>
      <c r="FJ79" s="9"/>
      <c r="FK79" s="9"/>
      <c r="FL79" s="9"/>
      <c r="FM79" s="9"/>
      <c r="FN79" s="9"/>
      <c r="FO79" s="9"/>
      <c r="FP79" s="9"/>
      <c r="FQ79" s="9"/>
      <c r="FR79" s="9"/>
      <c r="FS79" s="9"/>
      <c r="FT79" s="9"/>
      <c r="FU79" s="9"/>
      <c r="FV79" s="9"/>
      <c r="FW79" s="9"/>
      <c r="FX79" s="9"/>
      <c r="FY79" s="9"/>
      <c r="FZ79" s="9"/>
      <c r="GA79" s="9"/>
      <c r="GB79" s="9"/>
      <c r="GC79" s="9"/>
      <c r="GD79" s="9"/>
      <c r="GE79" s="9"/>
      <c r="GF79" s="9"/>
      <c r="GG79" s="9"/>
      <c r="GH79" s="9"/>
      <c r="GI79" s="9"/>
      <c r="GJ79" s="9"/>
      <c r="GK79" s="9"/>
      <c r="GL79" s="9"/>
      <c r="GM79" s="9"/>
      <c r="GN79" s="9"/>
      <c r="GO79" s="9"/>
      <c r="GP79" s="9"/>
      <c r="GQ79" s="9"/>
      <c r="GR79" s="9"/>
      <c r="GS79" s="9"/>
      <c r="GT79" s="9"/>
      <c r="GU79" s="9"/>
      <c r="GV79" s="9"/>
      <c r="GW79" s="9"/>
      <c r="GX79" s="9"/>
      <c r="GY79" s="9"/>
      <c r="GZ79" s="9"/>
      <c r="HA79" s="9"/>
      <c r="HB79" s="9"/>
      <c r="HC79" s="9"/>
      <c r="HD79" s="9"/>
      <c r="HE79" s="9"/>
      <c r="HF79" s="9"/>
      <c r="HG79" s="9"/>
      <c r="HH79" s="9"/>
      <c r="HI79" s="9"/>
      <c r="HJ79" s="9"/>
      <c r="HK79" s="9"/>
      <c r="HR79" t="s">
        <v>21</v>
      </c>
      <c r="HT79" s="4" t="s">
        <v>20</v>
      </c>
      <c r="HU79" s="58">
        <v>34335</v>
      </c>
      <c r="HV79" s="58">
        <v>36160</v>
      </c>
      <c r="HW79" s="58"/>
      <c r="IN79" t="s">
        <v>42</v>
      </c>
      <c r="IO79" s="13" t="s">
        <v>1237</v>
      </c>
      <c r="IR79">
        <v>1994</v>
      </c>
      <c r="IS79">
        <v>1994.2</v>
      </c>
      <c r="IT79" s="4" t="s">
        <v>18</v>
      </c>
      <c r="IU79" t="s">
        <v>38</v>
      </c>
      <c r="IV79" t="s">
        <v>19</v>
      </c>
      <c r="IZ79">
        <v>0</v>
      </c>
      <c r="JA79">
        <v>0</v>
      </c>
      <c r="JB79">
        <v>0</v>
      </c>
      <c r="JC79">
        <v>0</v>
      </c>
      <c r="JD79">
        <v>0</v>
      </c>
      <c r="JE79">
        <v>0</v>
      </c>
      <c r="JF79">
        <v>0</v>
      </c>
      <c r="JG79">
        <v>0</v>
      </c>
      <c r="JH79">
        <v>0</v>
      </c>
      <c r="JJ79" s="12" t="s">
        <v>721</v>
      </c>
      <c r="JO79" s="4"/>
      <c r="JU79" s="4"/>
      <c r="JV79" s="4"/>
      <c r="JW79" s="4"/>
      <c r="JX79" s="4"/>
      <c r="JY79" s="4"/>
      <c r="JZ79" s="4"/>
      <c r="KE79" s="7" t="s">
        <v>12</v>
      </c>
      <c r="KI79" s="7" t="s">
        <v>720</v>
      </c>
      <c r="MS79" t="s">
        <v>11</v>
      </c>
      <c r="MT79">
        <v>42</v>
      </c>
      <c r="MW79" t="s">
        <v>710</v>
      </c>
      <c r="NB79" t="s">
        <v>205</v>
      </c>
      <c r="NC79" t="s">
        <v>712</v>
      </c>
      <c r="NE79" t="s">
        <v>204</v>
      </c>
      <c r="NG79" s="4" t="s">
        <v>203</v>
      </c>
      <c r="NH79" t="s">
        <v>202</v>
      </c>
      <c r="NI79">
        <v>15</v>
      </c>
      <c r="NJ79">
        <v>30</v>
      </c>
      <c r="NQ79" t="s">
        <v>6</v>
      </c>
      <c r="NR79" s="3">
        <v>119</v>
      </c>
      <c r="NS79" s="4" t="s">
        <v>4</v>
      </c>
      <c r="NT79" s="3">
        <v>61</v>
      </c>
      <c r="NW79">
        <v>4</v>
      </c>
      <c r="OH79" t="s">
        <v>201</v>
      </c>
      <c r="OJ79">
        <v>1996</v>
      </c>
      <c r="OM79" s="2" t="s">
        <v>1</v>
      </c>
      <c r="OO79" t="s">
        <v>1178</v>
      </c>
      <c r="OP79" s="58">
        <v>46094</v>
      </c>
    </row>
    <row r="80" spans="1:406" ht="15.75" thickBot="1">
      <c r="A80" s="11" t="s">
        <v>36</v>
      </c>
      <c r="B80" t="s">
        <v>35</v>
      </c>
      <c r="C80" t="s">
        <v>34</v>
      </c>
      <c r="D80" s="4" t="s">
        <v>33</v>
      </c>
      <c r="E80" t="s">
        <v>32</v>
      </c>
      <c r="F80" s="4" t="s">
        <v>31</v>
      </c>
      <c r="G80" t="s">
        <v>2</v>
      </c>
      <c r="H80" t="s">
        <v>30</v>
      </c>
      <c r="I80" s="10">
        <v>0.1</v>
      </c>
      <c r="J80" s="10">
        <v>34.566667000000002</v>
      </c>
      <c r="K80" t="s">
        <v>29</v>
      </c>
      <c r="AV80" t="s">
        <v>28</v>
      </c>
      <c r="AW80">
        <v>100</v>
      </c>
      <c r="AX80" t="s">
        <v>29</v>
      </c>
      <c r="AY80">
        <v>4</v>
      </c>
      <c r="AZ80" t="s">
        <v>27</v>
      </c>
      <c r="BA80">
        <v>1994</v>
      </c>
      <c r="BB80">
        <v>1998</v>
      </c>
      <c r="BC80" t="s">
        <v>26</v>
      </c>
      <c r="BD80" t="s">
        <v>19</v>
      </c>
      <c r="BE80" s="10" t="s">
        <v>40</v>
      </c>
      <c r="BF80" t="s">
        <v>39</v>
      </c>
      <c r="BG80" s="3" t="s">
        <v>1243</v>
      </c>
      <c r="BH80" t="s">
        <v>23</v>
      </c>
      <c r="BI80" t="s">
        <v>750</v>
      </c>
      <c r="BJ80" s="4" t="s">
        <v>22</v>
      </c>
      <c r="BK80" s="9">
        <v>53000</v>
      </c>
      <c r="HR80" t="s">
        <v>21</v>
      </c>
      <c r="HT80" s="4" t="s">
        <v>20</v>
      </c>
      <c r="HU80" s="58">
        <v>34335</v>
      </c>
      <c r="HV80" s="58">
        <v>36160</v>
      </c>
      <c r="HW80" s="58"/>
      <c r="IN80" t="s">
        <v>38</v>
      </c>
      <c r="IO80" s="54" t="s">
        <v>19</v>
      </c>
      <c r="IT80" s="4" t="s">
        <v>18</v>
      </c>
      <c r="IU80" t="s">
        <v>38</v>
      </c>
      <c r="IV80" s="54" t="s">
        <v>19</v>
      </c>
      <c r="IZ80">
        <v>0</v>
      </c>
      <c r="JA80">
        <v>0</v>
      </c>
      <c r="JB80">
        <v>0</v>
      </c>
      <c r="JC80">
        <v>0</v>
      </c>
      <c r="JD80">
        <v>0</v>
      </c>
      <c r="JE80">
        <v>0</v>
      </c>
      <c r="JF80">
        <v>0</v>
      </c>
      <c r="JG80">
        <v>0</v>
      </c>
      <c r="JH80">
        <v>0</v>
      </c>
      <c r="JJ80" s="12" t="s">
        <v>721</v>
      </c>
      <c r="JO80" s="4"/>
      <c r="JU80" s="4"/>
      <c r="JV80" s="4"/>
      <c r="JW80" s="4"/>
      <c r="JX80" s="4"/>
      <c r="JY80" s="4"/>
      <c r="JZ80" s="4"/>
      <c r="KE80" s="7" t="s">
        <v>12</v>
      </c>
      <c r="KI80" s="7" t="s">
        <v>720</v>
      </c>
      <c r="MS80" t="s">
        <v>11</v>
      </c>
      <c r="MT80">
        <v>42</v>
      </c>
      <c r="MW80" t="s">
        <v>710</v>
      </c>
      <c r="NB80" t="s">
        <v>205</v>
      </c>
      <c r="NC80" t="s">
        <v>712</v>
      </c>
      <c r="NE80" t="s">
        <v>204</v>
      </c>
      <c r="NG80" s="4" t="s">
        <v>203</v>
      </c>
      <c r="NH80" t="s">
        <v>202</v>
      </c>
      <c r="NI80">
        <v>15</v>
      </c>
      <c r="NJ80">
        <v>30</v>
      </c>
      <c r="NP80" t="s">
        <v>735</v>
      </c>
      <c r="NQ80" t="s">
        <v>6</v>
      </c>
      <c r="NR80" s="3">
        <v>70</v>
      </c>
      <c r="NS80" s="4" t="s">
        <v>4</v>
      </c>
      <c r="NT80" s="3">
        <v>21</v>
      </c>
      <c r="NW80">
        <v>4</v>
      </c>
      <c r="OH80" t="s">
        <v>201</v>
      </c>
      <c r="OJ80">
        <v>1996</v>
      </c>
      <c r="OM80" s="2" t="s">
        <v>1</v>
      </c>
      <c r="OO80" t="s">
        <v>1178</v>
      </c>
      <c r="OP80" s="58">
        <v>46094</v>
      </c>
    </row>
    <row r="81" spans="1:406" ht="15.75" thickBot="1">
      <c r="A81" s="11" t="s">
        <v>36</v>
      </c>
      <c r="B81" t="s">
        <v>35</v>
      </c>
      <c r="C81" t="s">
        <v>34</v>
      </c>
      <c r="D81" s="4" t="s">
        <v>33</v>
      </c>
      <c r="E81" t="s">
        <v>32</v>
      </c>
      <c r="F81" s="4" t="s">
        <v>31</v>
      </c>
      <c r="G81" t="s">
        <v>2</v>
      </c>
      <c r="H81" t="s">
        <v>30</v>
      </c>
      <c r="I81" s="10">
        <v>0.1</v>
      </c>
      <c r="J81" s="10">
        <v>34.566667000000002</v>
      </c>
      <c r="K81" t="s">
        <v>29</v>
      </c>
      <c r="AV81" t="s">
        <v>28</v>
      </c>
      <c r="AW81">
        <v>100</v>
      </c>
      <c r="AX81" t="s">
        <v>29</v>
      </c>
      <c r="AY81">
        <v>4</v>
      </c>
      <c r="AZ81" t="s">
        <v>27</v>
      </c>
      <c r="BA81">
        <v>1994</v>
      </c>
      <c r="BB81">
        <v>1998</v>
      </c>
      <c r="BC81" t="s">
        <v>26</v>
      </c>
      <c r="BD81" t="s">
        <v>19</v>
      </c>
      <c r="BE81" s="10" t="s">
        <v>25</v>
      </c>
      <c r="BF81" t="s">
        <v>24</v>
      </c>
      <c r="BG81" s="3" t="s">
        <v>1243</v>
      </c>
      <c r="BH81" t="s">
        <v>23</v>
      </c>
      <c r="BI81" t="s">
        <v>750</v>
      </c>
      <c r="BJ81" s="4" t="s">
        <v>22</v>
      </c>
      <c r="BK81" s="9">
        <v>53000</v>
      </c>
      <c r="HR81" t="s">
        <v>21</v>
      </c>
      <c r="HT81" s="4" t="s">
        <v>20</v>
      </c>
      <c r="HU81" s="58">
        <v>34335</v>
      </c>
      <c r="HV81" s="58">
        <v>36160</v>
      </c>
      <c r="HW81" s="58"/>
      <c r="IN81" t="s">
        <v>16</v>
      </c>
      <c r="IO81" s="54" t="s">
        <v>19</v>
      </c>
      <c r="IT81" s="4" t="s">
        <v>18</v>
      </c>
      <c r="IU81" t="s">
        <v>17</v>
      </c>
      <c r="IV81" s="54" t="s">
        <v>19</v>
      </c>
      <c r="IZ81">
        <v>0</v>
      </c>
      <c r="JA81">
        <v>0</v>
      </c>
      <c r="JB81">
        <v>0</v>
      </c>
      <c r="JC81">
        <v>0</v>
      </c>
      <c r="JD81">
        <v>0</v>
      </c>
      <c r="JE81">
        <v>0</v>
      </c>
      <c r="JF81">
        <v>0</v>
      </c>
      <c r="JG81">
        <v>0</v>
      </c>
      <c r="JH81">
        <v>0</v>
      </c>
      <c r="JI81" t="s">
        <v>16</v>
      </c>
      <c r="JJ81" t="s">
        <v>15</v>
      </c>
      <c r="JK81" s="8" t="s">
        <v>14</v>
      </c>
      <c r="JO81" s="4" t="s">
        <v>13</v>
      </c>
      <c r="JP81">
        <v>60</v>
      </c>
      <c r="JS81">
        <v>60</v>
      </c>
      <c r="JU81" s="4"/>
      <c r="JV81" s="4"/>
      <c r="JW81" s="4"/>
      <c r="JX81" s="4"/>
      <c r="JY81" s="4"/>
      <c r="JZ81" s="4"/>
      <c r="KE81" s="7" t="s">
        <v>12</v>
      </c>
      <c r="KI81" s="7" t="s">
        <v>720</v>
      </c>
      <c r="MS81" t="s">
        <v>11</v>
      </c>
      <c r="MT81">
        <v>42</v>
      </c>
      <c r="MW81" t="s">
        <v>710</v>
      </c>
      <c r="NB81" t="s">
        <v>205</v>
      </c>
      <c r="NC81" t="s">
        <v>712</v>
      </c>
      <c r="NE81" t="s">
        <v>204</v>
      </c>
      <c r="NG81" s="4" t="s">
        <v>203</v>
      </c>
      <c r="NH81" t="s">
        <v>202</v>
      </c>
      <c r="NI81">
        <v>15</v>
      </c>
      <c r="NJ81">
        <v>30</v>
      </c>
      <c r="NP81" t="s">
        <v>747</v>
      </c>
      <c r="NQ81" t="s">
        <v>6</v>
      </c>
      <c r="NR81" s="3">
        <v>57</v>
      </c>
      <c r="NS81" s="4" t="s">
        <v>4</v>
      </c>
      <c r="NT81" s="3">
        <v>26</v>
      </c>
      <c r="NW81">
        <v>4</v>
      </c>
      <c r="OH81" t="s">
        <v>201</v>
      </c>
      <c r="OJ81">
        <v>1996</v>
      </c>
      <c r="OM81" s="2" t="s">
        <v>1</v>
      </c>
      <c r="OO81" t="s">
        <v>1178</v>
      </c>
      <c r="OP81" s="58">
        <v>46094</v>
      </c>
    </row>
    <row r="82" spans="1:406" ht="15.75" thickBot="1">
      <c r="A82" s="11" t="s">
        <v>36</v>
      </c>
      <c r="B82" t="s">
        <v>35</v>
      </c>
      <c r="C82" t="s">
        <v>34</v>
      </c>
      <c r="D82" s="4" t="s">
        <v>33</v>
      </c>
      <c r="E82" t="s">
        <v>32</v>
      </c>
      <c r="F82" s="4" t="s">
        <v>31</v>
      </c>
      <c r="G82" t="s">
        <v>2</v>
      </c>
      <c r="H82" t="s">
        <v>30</v>
      </c>
      <c r="I82" s="10">
        <v>0.1</v>
      </c>
      <c r="J82" s="10">
        <v>34.566667000000002</v>
      </c>
      <c r="K82" t="s">
        <v>29</v>
      </c>
      <c r="AV82" t="s">
        <v>28</v>
      </c>
      <c r="AW82">
        <v>100</v>
      </c>
      <c r="AX82" t="s">
        <v>29</v>
      </c>
      <c r="AY82">
        <v>4</v>
      </c>
      <c r="AZ82" t="s">
        <v>27</v>
      </c>
      <c r="BA82">
        <v>1994</v>
      </c>
      <c r="BB82">
        <v>1998</v>
      </c>
      <c r="BC82" t="s">
        <v>26</v>
      </c>
      <c r="BD82" t="s">
        <v>59</v>
      </c>
      <c r="BE82" s="10" t="s">
        <v>65</v>
      </c>
      <c r="BF82" t="s">
        <v>64</v>
      </c>
      <c r="BG82" s="3" t="s">
        <v>1243</v>
      </c>
      <c r="BH82" t="s">
        <v>23</v>
      </c>
      <c r="BI82" t="s">
        <v>750</v>
      </c>
      <c r="BJ82" s="4" t="s">
        <v>22</v>
      </c>
      <c r="BK82" s="9">
        <v>53000</v>
      </c>
      <c r="EE82" t="s">
        <v>55</v>
      </c>
      <c r="EF82" s="4" t="s">
        <v>22</v>
      </c>
      <c r="EG82" s="9">
        <v>53000</v>
      </c>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K82" s="9"/>
      <c r="HR82" t="s">
        <v>21</v>
      </c>
      <c r="HT82" s="4" t="s">
        <v>20</v>
      </c>
      <c r="HU82" s="58">
        <v>34335</v>
      </c>
      <c r="HV82" s="58">
        <v>36160</v>
      </c>
      <c r="HW82" s="58"/>
      <c r="IM82" s="4"/>
      <c r="IN82" t="s">
        <v>63</v>
      </c>
      <c r="IO82" s="12" t="s">
        <v>1736</v>
      </c>
      <c r="IR82">
        <v>1995</v>
      </c>
      <c r="IS82">
        <v>1995.2</v>
      </c>
      <c r="IT82" s="4" t="s">
        <v>18</v>
      </c>
      <c r="IU82" t="s">
        <v>61</v>
      </c>
      <c r="IV82" s="12" t="s">
        <v>52</v>
      </c>
      <c r="IY82">
        <v>0.5</v>
      </c>
      <c r="IZ82" t="s">
        <v>29</v>
      </c>
      <c r="JA82" t="s">
        <v>29</v>
      </c>
      <c r="JB82" t="s">
        <v>29</v>
      </c>
      <c r="JC82" t="s">
        <v>29</v>
      </c>
      <c r="JD82" t="s">
        <v>29</v>
      </c>
      <c r="JE82" t="s">
        <v>29</v>
      </c>
      <c r="JF82" t="s">
        <v>29</v>
      </c>
      <c r="JG82" t="s">
        <v>29</v>
      </c>
      <c r="JH82" t="s">
        <v>29</v>
      </c>
      <c r="JJ82" s="12" t="s">
        <v>721</v>
      </c>
      <c r="JO82" s="4"/>
      <c r="JU82" s="4"/>
      <c r="JV82" s="4"/>
      <c r="JW82" s="4"/>
      <c r="JX82" s="4"/>
      <c r="JY82" s="4"/>
      <c r="JZ82" s="4"/>
      <c r="KE82" s="7" t="s">
        <v>12</v>
      </c>
      <c r="KI82" s="53" t="s">
        <v>719</v>
      </c>
      <c r="KJ82" s="8" t="s">
        <v>51</v>
      </c>
      <c r="KL82" t="s">
        <v>29</v>
      </c>
      <c r="MS82" t="s">
        <v>11</v>
      </c>
      <c r="MT82">
        <v>42</v>
      </c>
      <c r="MW82" s="4" t="s">
        <v>168</v>
      </c>
      <c r="NE82" t="s">
        <v>167</v>
      </c>
      <c r="NG82" s="4" t="s">
        <v>8</v>
      </c>
      <c r="NH82" s="6" t="s">
        <v>7</v>
      </c>
      <c r="NQ82" t="s">
        <v>6</v>
      </c>
      <c r="NR82" s="5" t="s">
        <v>200</v>
      </c>
      <c r="NS82" s="4" t="s">
        <v>4</v>
      </c>
      <c r="NT82" s="3">
        <v>0.27362216468398071</v>
      </c>
      <c r="NW82">
        <v>4</v>
      </c>
      <c r="OH82" t="s">
        <v>194</v>
      </c>
      <c r="OJ82">
        <v>1996</v>
      </c>
      <c r="OM82" s="2" t="s">
        <v>62</v>
      </c>
      <c r="OO82" t="s">
        <v>1178</v>
      </c>
      <c r="OP82" s="58">
        <v>46094</v>
      </c>
    </row>
    <row r="83" spans="1:406" ht="15.75" thickBot="1">
      <c r="A83" s="11" t="s">
        <v>36</v>
      </c>
      <c r="B83" t="s">
        <v>35</v>
      </c>
      <c r="C83" t="s">
        <v>34</v>
      </c>
      <c r="D83" s="4" t="s">
        <v>33</v>
      </c>
      <c r="E83" t="s">
        <v>32</v>
      </c>
      <c r="F83" s="4" t="s">
        <v>31</v>
      </c>
      <c r="G83" t="s">
        <v>2</v>
      </c>
      <c r="H83" t="s">
        <v>30</v>
      </c>
      <c r="I83" s="10">
        <v>0.1</v>
      </c>
      <c r="J83" s="10">
        <v>34.566667000000002</v>
      </c>
      <c r="K83" t="s">
        <v>29</v>
      </c>
      <c r="AV83" t="s">
        <v>28</v>
      </c>
      <c r="AW83">
        <v>100</v>
      </c>
      <c r="AX83" t="s">
        <v>29</v>
      </c>
      <c r="AY83">
        <v>4</v>
      </c>
      <c r="AZ83" t="s">
        <v>27</v>
      </c>
      <c r="BA83">
        <v>1994</v>
      </c>
      <c r="BB83">
        <v>1998</v>
      </c>
      <c r="BC83" t="s">
        <v>26</v>
      </c>
      <c r="BD83" t="s">
        <v>59</v>
      </c>
      <c r="BE83" s="10" t="s">
        <v>58</v>
      </c>
      <c r="BF83" t="s">
        <v>57</v>
      </c>
      <c r="BG83" s="3" t="s">
        <v>1243</v>
      </c>
      <c r="BH83" t="s">
        <v>23</v>
      </c>
      <c r="BI83" t="s">
        <v>750</v>
      </c>
      <c r="BJ83" s="4" t="s">
        <v>22</v>
      </c>
      <c r="BK83" s="9">
        <v>53000</v>
      </c>
      <c r="EE83" t="s">
        <v>55</v>
      </c>
      <c r="EF83" s="4" t="s">
        <v>22</v>
      </c>
      <c r="EG83" s="9">
        <v>53000</v>
      </c>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K83" s="9"/>
      <c r="HR83" t="s">
        <v>21</v>
      </c>
      <c r="HT83" s="4" t="s">
        <v>20</v>
      </c>
      <c r="HU83" s="58">
        <v>34335</v>
      </c>
      <c r="HV83" s="58">
        <v>36160</v>
      </c>
      <c r="HW83" s="58"/>
      <c r="IM83" s="4"/>
      <c r="IN83" t="s">
        <v>54</v>
      </c>
      <c r="IO83" s="12" t="s">
        <v>1737</v>
      </c>
      <c r="IR83">
        <v>1994</v>
      </c>
      <c r="IS83">
        <v>1994.2</v>
      </c>
      <c r="IT83" s="4" t="s">
        <v>18</v>
      </c>
      <c r="IU83" t="s">
        <v>53</v>
      </c>
      <c r="IV83" s="12" t="s">
        <v>52</v>
      </c>
      <c r="IY83">
        <v>0.5</v>
      </c>
      <c r="IZ83" t="s">
        <v>29</v>
      </c>
      <c r="JA83" t="s">
        <v>29</v>
      </c>
      <c r="JB83" t="s">
        <v>29</v>
      </c>
      <c r="JC83" t="s">
        <v>29</v>
      </c>
      <c r="JD83" t="s">
        <v>29</v>
      </c>
      <c r="JE83" t="s">
        <v>29</v>
      </c>
      <c r="JF83" t="s">
        <v>29</v>
      </c>
      <c r="JG83" t="s">
        <v>29</v>
      </c>
      <c r="JH83" t="s">
        <v>29</v>
      </c>
      <c r="JJ83" s="12" t="s">
        <v>721</v>
      </c>
      <c r="JO83" s="4"/>
      <c r="JU83" s="4"/>
      <c r="JV83" s="4"/>
      <c r="JW83" s="4"/>
      <c r="JX83" s="4"/>
      <c r="JY83" s="4"/>
      <c r="JZ83" s="4"/>
      <c r="KE83" s="7" t="s">
        <v>12</v>
      </c>
      <c r="KI83" s="53" t="s">
        <v>719</v>
      </c>
      <c r="KJ83" s="8" t="s">
        <v>51</v>
      </c>
      <c r="KL83" t="s">
        <v>29</v>
      </c>
      <c r="MS83" t="s">
        <v>11</v>
      </c>
      <c r="MT83">
        <v>42</v>
      </c>
      <c r="MW83" s="4" t="s">
        <v>168</v>
      </c>
      <c r="NE83" t="s">
        <v>167</v>
      </c>
      <c r="NG83" s="4" t="s">
        <v>8</v>
      </c>
      <c r="NH83" s="6" t="s">
        <v>7</v>
      </c>
      <c r="NQ83" t="s">
        <v>6</v>
      </c>
      <c r="NR83" s="5" t="s">
        <v>199</v>
      </c>
      <c r="NS83" s="4" t="s">
        <v>4</v>
      </c>
      <c r="NT83" s="3">
        <v>0.27362216468397982</v>
      </c>
      <c r="NW83">
        <v>4</v>
      </c>
      <c r="OH83" t="s">
        <v>194</v>
      </c>
      <c r="OJ83">
        <v>1996</v>
      </c>
      <c r="OM83" s="2" t="s">
        <v>62</v>
      </c>
      <c r="OO83" t="s">
        <v>1178</v>
      </c>
      <c r="OP83" s="58">
        <v>46094</v>
      </c>
    </row>
    <row r="84" spans="1:406" ht="15.75" thickBot="1">
      <c r="A84" s="11" t="s">
        <v>36</v>
      </c>
      <c r="B84" t="s">
        <v>35</v>
      </c>
      <c r="C84" t="s">
        <v>34</v>
      </c>
      <c r="D84" s="4" t="s">
        <v>33</v>
      </c>
      <c r="E84" t="s">
        <v>32</v>
      </c>
      <c r="F84" s="4" t="s">
        <v>31</v>
      </c>
      <c r="G84" t="s">
        <v>2</v>
      </c>
      <c r="H84" t="s">
        <v>30</v>
      </c>
      <c r="I84" s="10">
        <v>0.1</v>
      </c>
      <c r="J84" s="10">
        <v>34.566667000000002</v>
      </c>
      <c r="K84" t="s">
        <v>29</v>
      </c>
      <c r="AV84" t="s">
        <v>28</v>
      </c>
      <c r="AW84">
        <v>100</v>
      </c>
      <c r="AX84" t="s">
        <v>29</v>
      </c>
      <c r="AY84">
        <v>4</v>
      </c>
      <c r="AZ84" t="s">
        <v>27</v>
      </c>
      <c r="BA84">
        <v>1994</v>
      </c>
      <c r="BB84">
        <v>1998</v>
      </c>
      <c r="BC84" t="s">
        <v>26</v>
      </c>
      <c r="BD84" t="s">
        <v>45</v>
      </c>
      <c r="BE84" s="10" t="s">
        <v>49</v>
      </c>
      <c r="BF84" t="s">
        <v>48</v>
      </c>
      <c r="BG84" s="3" t="s">
        <v>1243</v>
      </c>
      <c r="BH84" t="s">
        <v>23</v>
      </c>
      <c r="BI84" t="s">
        <v>750</v>
      </c>
      <c r="BJ84" s="4" t="s">
        <v>22</v>
      </c>
      <c r="BK84" s="9">
        <v>53000</v>
      </c>
      <c r="EF84" s="4"/>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K84" s="9"/>
      <c r="HR84" t="s">
        <v>21</v>
      </c>
      <c r="HT84" s="4" t="s">
        <v>20</v>
      </c>
      <c r="HU84" s="58">
        <v>34335</v>
      </c>
      <c r="HV84" s="58">
        <v>36160</v>
      </c>
      <c r="HW84" s="58"/>
      <c r="IN84" t="s">
        <v>47</v>
      </c>
      <c r="IO84" s="54" t="s">
        <v>1236</v>
      </c>
      <c r="IR84">
        <v>1995</v>
      </c>
      <c r="IS84">
        <v>1995.2</v>
      </c>
      <c r="IT84" s="4" t="s">
        <v>18</v>
      </c>
      <c r="IU84" t="s">
        <v>38</v>
      </c>
      <c r="IV84" t="s">
        <v>19</v>
      </c>
      <c r="IZ84">
        <v>0</v>
      </c>
      <c r="JA84">
        <v>0</v>
      </c>
      <c r="JB84">
        <v>0</v>
      </c>
      <c r="JC84">
        <v>0</v>
      </c>
      <c r="JD84">
        <v>0</v>
      </c>
      <c r="JE84">
        <v>0</v>
      </c>
      <c r="JF84">
        <v>0</v>
      </c>
      <c r="JG84">
        <v>0</v>
      </c>
      <c r="JH84">
        <v>0</v>
      </c>
      <c r="JJ84" s="12" t="s">
        <v>721</v>
      </c>
      <c r="JO84" s="4"/>
      <c r="JU84" s="4"/>
      <c r="JV84" s="4"/>
      <c r="JW84" s="4"/>
      <c r="JX84" s="4"/>
      <c r="JY84" s="4"/>
      <c r="JZ84" s="4"/>
      <c r="KE84" s="7" t="s">
        <v>12</v>
      </c>
      <c r="KI84" s="7" t="s">
        <v>720</v>
      </c>
      <c r="MS84" t="s">
        <v>11</v>
      </c>
      <c r="MT84">
        <v>42</v>
      </c>
      <c r="MW84" s="4" t="s">
        <v>168</v>
      </c>
      <c r="NE84" t="s">
        <v>167</v>
      </c>
      <c r="NG84" s="4" t="s">
        <v>8</v>
      </c>
      <c r="NH84" s="6" t="s">
        <v>7</v>
      </c>
      <c r="NQ84" t="s">
        <v>6</v>
      </c>
      <c r="NR84" s="5" t="s">
        <v>198</v>
      </c>
      <c r="NS84" s="4" t="s">
        <v>4</v>
      </c>
      <c r="NT84" s="3">
        <v>0.25400613299288022</v>
      </c>
      <c r="NW84">
        <v>4</v>
      </c>
      <c r="OH84" t="s">
        <v>194</v>
      </c>
      <c r="OJ84">
        <v>1996</v>
      </c>
      <c r="OM84" s="2" t="s">
        <v>62</v>
      </c>
      <c r="OO84" t="s">
        <v>1178</v>
      </c>
      <c r="OP84" s="58">
        <v>46094</v>
      </c>
    </row>
    <row r="85" spans="1:406" ht="15.6" customHeight="1" thickBot="1">
      <c r="A85" s="11" t="s">
        <v>36</v>
      </c>
      <c r="B85" t="s">
        <v>35</v>
      </c>
      <c r="C85" t="s">
        <v>34</v>
      </c>
      <c r="D85" s="4" t="s">
        <v>33</v>
      </c>
      <c r="E85" t="s">
        <v>32</v>
      </c>
      <c r="F85" s="4" t="s">
        <v>31</v>
      </c>
      <c r="G85" t="s">
        <v>2</v>
      </c>
      <c r="H85" t="s">
        <v>30</v>
      </c>
      <c r="I85" s="10">
        <v>0.1</v>
      </c>
      <c r="J85" s="10">
        <v>34.566667000000002</v>
      </c>
      <c r="K85" t="s">
        <v>29</v>
      </c>
      <c r="AV85" t="s">
        <v>28</v>
      </c>
      <c r="AW85">
        <v>100</v>
      </c>
      <c r="AX85" t="s">
        <v>29</v>
      </c>
      <c r="AY85">
        <v>4</v>
      </c>
      <c r="AZ85" t="s">
        <v>27</v>
      </c>
      <c r="BA85">
        <v>1994</v>
      </c>
      <c r="BB85">
        <v>1998</v>
      </c>
      <c r="BC85" t="s">
        <v>26</v>
      </c>
      <c r="BD85" t="s">
        <v>45</v>
      </c>
      <c r="BE85" s="10" t="s">
        <v>44</v>
      </c>
      <c r="BF85" t="s">
        <v>43</v>
      </c>
      <c r="BG85" s="3" t="s">
        <v>1243</v>
      </c>
      <c r="BH85" t="s">
        <v>23</v>
      </c>
      <c r="BI85" t="s">
        <v>750</v>
      </c>
      <c r="BJ85" s="4" t="s">
        <v>22</v>
      </c>
      <c r="BK85" s="9">
        <v>53000</v>
      </c>
      <c r="EF85" s="4"/>
      <c r="EG85" s="9"/>
      <c r="EH85" s="9"/>
      <c r="EI85" s="9"/>
      <c r="EJ85" s="9"/>
      <c r="EK85" s="9"/>
      <c r="EL85" s="9"/>
      <c r="EM85" s="9"/>
      <c r="EN85" s="9"/>
      <c r="EO85" s="9"/>
      <c r="EP85" s="9"/>
      <c r="EQ85" s="9"/>
      <c r="ER85" s="9"/>
      <c r="ES85" s="9"/>
      <c r="ET85" s="9"/>
      <c r="EU85" s="9"/>
      <c r="EV85" s="9"/>
      <c r="EW85" s="9"/>
      <c r="EX85" s="9"/>
      <c r="EY85" s="9"/>
      <c r="EZ85" s="9"/>
      <c r="FA85" s="9"/>
      <c r="FB85" s="9"/>
      <c r="FC85" s="9"/>
      <c r="FD85" s="9"/>
      <c r="FE85" s="9"/>
      <c r="FF85" s="9"/>
      <c r="FG85" s="9"/>
      <c r="FH85" s="9"/>
      <c r="FI85" s="9"/>
      <c r="FJ85" s="9"/>
      <c r="FK85" s="9"/>
      <c r="FL85" s="9"/>
      <c r="FM85" s="9"/>
      <c r="FN85" s="9"/>
      <c r="FO85" s="9"/>
      <c r="FP85" s="9"/>
      <c r="FQ85" s="9"/>
      <c r="FR85" s="9"/>
      <c r="FS85" s="9"/>
      <c r="FT85" s="9"/>
      <c r="FU85" s="9"/>
      <c r="FV85" s="9"/>
      <c r="FW85" s="9"/>
      <c r="FX85" s="9"/>
      <c r="FY85" s="9"/>
      <c r="FZ85" s="9"/>
      <c r="GA85" s="9"/>
      <c r="GB85" s="9"/>
      <c r="GC85" s="9"/>
      <c r="GD85" s="9"/>
      <c r="GE85" s="9"/>
      <c r="GF85" s="9"/>
      <c r="GG85" s="9"/>
      <c r="GH85" s="9"/>
      <c r="GI85" s="9"/>
      <c r="GJ85" s="9"/>
      <c r="GK85" s="9"/>
      <c r="GL85" s="9"/>
      <c r="GM85" s="9"/>
      <c r="GN85" s="9"/>
      <c r="GO85" s="9"/>
      <c r="GP85" s="9"/>
      <c r="GQ85" s="9"/>
      <c r="GR85" s="9"/>
      <c r="GS85" s="9"/>
      <c r="GT85" s="9"/>
      <c r="GU85" s="9"/>
      <c r="GV85" s="9"/>
      <c r="GW85" s="9"/>
      <c r="GX85" s="9"/>
      <c r="GY85" s="9"/>
      <c r="GZ85" s="9"/>
      <c r="HA85" s="9"/>
      <c r="HB85" s="9"/>
      <c r="HC85" s="9"/>
      <c r="HD85" s="9"/>
      <c r="HE85" s="9"/>
      <c r="HF85" s="9"/>
      <c r="HG85" s="9"/>
      <c r="HH85" s="9"/>
      <c r="HI85" s="9"/>
      <c r="HJ85" s="9"/>
      <c r="HK85" s="9"/>
      <c r="HR85" t="s">
        <v>21</v>
      </c>
      <c r="HT85" s="4" t="s">
        <v>20</v>
      </c>
      <c r="HU85" s="58">
        <v>34335</v>
      </c>
      <c r="HV85" s="58">
        <v>36160</v>
      </c>
      <c r="HW85" s="58"/>
      <c r="IN85" t="s">
        <v>42</v>
      </c>
      <c r="IO85" s="13" t="s">
        <v>1237</v>
      </c>
      <c r="IR85">
        <v>1994</v>
      </c>
      <c r="IS85">
        <v>1994.2</v>
      </c>
      <c r="IT85" s="4" t="s">
        <v>18</v>
      </c>
      <c r="IU85" t="s">
        <v>38</v>
      </c>
      <c r="IV85" t="s">
        <v>19</v>
      </c>
      <c r="IZ85">
        <v>0</v>
      </c>
      <c r="JA85">
        <v>0</v>
      </c>
      <c r="JB85">
        <v>0</v>
      </c>
      <c r="JC85">
        <v>0</v>
      </c>
      <c r="JD85">
        <v>0</v>
      </c>
      <c r="JE85">
        <v>0</v>
      </c>
      <c r="JF85">
        <v>0</v>
      </c>
      <c r="JG85">
        <v>0</v>
      </c>
      <c r="JH85">
        <v>0</v>
      </c>
      <c r="JJ85" s="12" t="s">
        <v>721</v>
      </c>
      <c r="JO85" s="4"/>
      <c r="JU85" s="4"/>
      <c r="JV85" s="4"/>
      <c r="JW85" s="4"/>
      <c r="JX85" s="4"/>
      <c r="JY85" s="4"/>
      <c r="JZ85" s="4"/>
      <c r="KE85" s="7" t="s">
        <v>12</v>
      </c>
      <c r="KI85" s="7" t="s">
        <v>720</v>
      </c>
      <c r="MS85" t="s">
        <v>11</v>
      </c>
      <c r="MT85">
        <v>42</v>
      </c>
      <c r="MW85" s="4" t="s">
        <v>168</v>
      </c>
      <c r="NE85" t="s">
        <v>167</v>
      </c>
      <c r="NG85" s="4" t="s">
        <v>8</v>
      </c>
      <c r="NH85" s="6" t="s">
        <v>7</v>
      </c>
      <c r="NQ85" t="s">
        <v>6</v>
      </c>
      <c r="NR85" s="5" t="s">
        <v>197</v>
      </c>
      <c r="NS85" s="4" t="s">
        <v>4</v>
      </c>
      <c r="NT85" s="3">
        <v>0.29316660501855019</v>
      </c>
      <c r="NW85">
        <v>4</v>
      </c>
      <c r="OH85" t="s">
        <v>194</v>
      </c>
      <c r="OJ85">
        <v>1996</v>
      </c>
      <c r="OM85" s="2" t="s">
        <v>62</v>
      </c>
      <c r="OO85" t="s">
        <v>1178</v>
      </c>
      <c r="OP85" s="58">
        <v>46094</v>
      </c>
    </row>
    <row r="86" spans="1:406" ht="15.75" thickBot="1">
      <c r="A86" s="11" t="s">
        <v>36</v>
      </c>
      <c r="B86" t="s">
        <v>35</v>
      </c>
      <c r="C86" t="s">
        <v>34</v>
      </c>
      <c r="D86" s="4" t="s">
        <v>33</v>
      </c>
      <c r="E86" t="s">
        <v>32</v>
      </c>
      <c r="F86" s="4" t="s">
        <v>31</v>
      </c>
      <c r="G86" t="s">
        <v>2</v>
      </c>
      <c r="H86" t="s">
        <v>30</v>
      </c>
      <c r="I86" s="10">
        <v>0.1</v>
      </c>
      <c r="J86" s="10">
        <v>34.566667000000002</v>
      </c>
      <c r="K86" t="s">
        <v>29</v>
      </c>
      <c r="AV86" t="s">
        <v>28</v>
      </c>
      <c r="AW86">
        <v>100</v>
      </c>
      <c r="AX86" t="s">
        <v>29</v>
      </c>
      <c r="AY86">
        <v>4</v>
      </c>
      <c r="AZ86" t="s">
        <v>27</v>
      </c>
      <c r="BA86">
        <v>1994</v>
      </c>
      <c r="BB86">
        <v>1998</v>
      </c>
      <c r="BC86" t="s">
        <v>26</v>
      </c>
      <c r="BD86" t="s">
        <v>19</v>
      </c>
      <c r="BE86" s="10" t="s">
        <v>40</v>
      </c>
      <c r="BF86" t="s">
        <v>39</v>
      </c>
      <c r="BG86" s="3" t="s">
        <v>1243</v>
      </c>
      <c r="BH86" t="s">
        <v>23</v>
      </c>
      <c r="BI86" t="s">
        <v>750</v>
      </c>
      <c r="BJ86" s="4" t="s">
        <v>22</v>
      </c>
      <c r="BK86" s="9">
        <v>53000</v>
      </c>
      <c r="HR86" t="s">
        <v>21</v>
      </c>
      <c r="HT86" s="4" t="s">
        <v>20</v>
      </c>
      <c r="HU86" s="58">
        <v>34335</v>
      </c>
      <c r="HV86" s="58">
        <v>36160</v>
      </c>
      <c r="HW86" s="58"/>
      <c r="IN86" t="s">
        <v>38</v>
      </c>
      <c r="IO86" s="54" t="s">
        <v>19</v>
      </c>
      <c r="IT86" s="4" t="s">
        <v>18</v>
      </c>
      <c r="IU86" t="s">
        <v>38</v>
      </c>
      <c r="IV86" s="54" t="s">
        <v>19</v>
      </c>
      <c r="IZ86">
        <v>0</v>
      </c>
      <c r="JA86">
        <v>0</v>
      </c>
      <c r="JB86">
        <v>0</v>
      </c>
      <c r="JC86">
        <v>0</v>
      </c>
      <c r="JD86">
        <v>0</v>
      </c>
      <c r="JE86">
        <v>0</v>
      </c>
      <c r="JF86">
        <v>0</v>
      </c>
      <c r="JG86">
        <v>0</v>
      </c>
      <c r="JH86">
        <v>0</v>
      </c>
      <c r="JJ86" s="12" t="s">
        <v>721</v>
      </c>
      <c r="JO86" s="4"/>
      <c r="JU86" s="4"/>
      <c r="JV86" s="4"/>
      <c r="JW86" s="4"/>
      <c r="JX86" s="4"/>
      <c r="JY86" s="4"/>
      <c r="JZ86" s="4"/>
      <c r="KE86" s="7" t="s">
        <v>12</v>
      </c>
      <c r="KI86" s="7" t="s">
        <v>720</v>
      </c>
      <c r="MS86" t="s">
        <v>11</v>
      </c>
      <c r="MT86">
        <v>42</v>
      </c>
      <c r="MW86" s="4" t="s">
        <v>168</v>
      </c>
      <c r="NE86" t="s">
        <v>167</v>
      </c>
      <c r="NG86" s="4" t="s">
        <v>8</v>
      </c>
      <c r="NH86" s="6" t="s">
        <v>7</v>
      </c>
      <c r="NP86" t="s">
        <v>735</v>
      </c>
      <c r="NQ86" t="s">
        <v>6</v>
      </c>
      <c r="NR86" s="5" t="s">
        <v>196</v>
      </c>
      <c r="NS86" s="4" t="s">
        <v>4</v>
      </c>
      <c r="NT86" s="3">
        <v>0.23439010130176996</v>
      </c>
      <c r="NW86">
        <v>4</v>
      </c>
      <c r="OH86" t="s">
        <v>194</v>
      </c>
      <c r="OJ86">
        <v>1996</v>
      </c>
      <c r="OM86" s="2" t="s">
        <v>62</v>
      </c>
      <c r="OO86" t="s">
        <v>1178</v>
      </c>
      <c r="OP86" s="58">
        <v>46094</v>
      </c>
    </row>
    <row r="87" spans="1:406" ht="15.75" thickBot="1">
      <c r="A87" s="11" t="s">
        <v>36</v>
      </c>
      <c r="B87" t="s">
        <v>35</v>
      </c>
      <c r="C87" t="s">
        <v>34</v>
      </c>
      <c r="D87" s="4" t="s">
        <v>33</v>
      </c>
      <c r="E87" t="s">
        <v>32</v>
      </c>
      <c r="F87" s="4" t="s">
        <v>31</v>
      </c>
      <c r="G87" t="s">
        <v>2</v>
      </c>
      <c r="H87" t="s">
        <v>30</v>
      </c>
      <c r="I87" s="10">
        <v>0.1</v>
      </c>
      <c r="J87" s="10">
        <v>34.566667000000002</v>
      </c>
      <c r="K87" t="s">
        <v>29</v>
      </c>
      <c r="AV87" t="s">
        <v>28</v>
      </c>
      <c r="AW87">
        <v>100</v>
      </c>
      <c r="AX87" t="s">
        <v>29</v>
      </c>
      <c r="AY87">
        <v>4</v>
      </c>
      <c r="AZ87" t="s">
        <v>27</v>
      </c>
      <c r="BA87">
        <v>1994</v>
      </c>
      <c r="BB87">
        <v>1998</v>
      </c>
      <c r="BC87" t="s">
        <v>26</v>
      </c>
      <c r="BD87" t="s">
        <v>19</v>
      </c>
      <c r="BE87" s="10" t="s">
        <v>25</v>
      </c>
      <c r="BF87" t="s">
        <v>24</v>
      </c>
      <c r="BG87" s="3" t="s">
        <v>1243</v>
      </c>
      <c r="BH87" t="s">
        <v>23</v>
      </c>
      <c r="BI87" t="s">
        <v>750</v>
      </c>
      <c r="BJ87" s="4" t="s">
        <v>22</v>
      </c>
      <c r="BK87" s="9">
        <v>53000</v>
      </c>
      <c r="HR87" t="s">
        <v>21</v>
      </c>
      <c r="HT87" s="4" t="s">
        <v>20</v>
      </c>
      <c r="HU87" s="58">
        <v>34335</v>
      </c>
      <c r="HV87" s="58">
        <v>36160</v>
      </c>
      <c r="HW87" s="58"/>
      <c r="IN87" t="s">
        <v>16</v>
      </c>
      <c r="IO87" s="54" t="s">
        <v>19</v>
      </c>
      <c r="IT87" s="4" t="s">
        <v>18</v>
      </c>
      <c r="IU87" t="s">
        <v>17</v>
      </c>
      <c r="IV87" s="54" t="s">
        <v>19</v>
      </c>
      <c r="IZ87">
        <v>0</v>
      </c>
      <c r="JA87">
        <v>0</v>
      </c>
      <c r="JB87">
        <v>0</v>
      </c>
      <c r="JC87">
        <v>0</v>
      </c>
      <c r="JD87">
        <v>0</v>
      </c>
      <c r="JE87">
        <v>0</v>
      </c>
      <c r="JF87">
        <v>0</v>
      </c>
      <c r="JG87">
        <v>0</v>
      </c>
      <c r="JH87">
        <v>0</v>
      </c>
      <c r="JI87" t="s">
        <v>16</v>
      </c>
      <c r="JJ87" t="s">
        <v>15</v>
      </c>
      <c r="JK87" s="8" t="s">
        <v>14</v>
      </c>
      <c r="JO87" s="4" t="s">
        <v>13</v>
      </c>
      <c r="JP87">
        <v>60</v>
      </c>
      <c r="JS87">
        <v>60</v>
      </c>
      <c r="JU87" s="4"/>
      <c r="JV87" s="4"/>
      <c r="JW87" s="4"/>
      <c r="JX87" s="4"/>
      <c r="JY87" s="4"/>
      <c r="JZ87" s="4"/>
      <c r="KE87" s="7" t="s">
        <v>12</v>
      </c>
      <c r="KI87" s="7" t="s">
        <v>720</v>
      </c>
      <c r="MS87" t="s">
        <v>11</v>
      </c>
      <c r="MT87">
        <v>42</v>
      </c>
      <c r="MW87" s="4" t="s">
        <v>168</v>
      </c>
      <c r="NE87" t="s">
        <v>167</v>
      </c>
      <c r="NG87" s="4" t="s">
        <v>8</v>
      </c>
      <c r="NH87" s="6" t="s">
        <v>7</v>
      </c>
      <c r="NP87" t="s">
        <v>747</v>
      </c>
      <c r="NQ87" t="s">
        <v>6</v>
      </c>
      <c r="NR87" s="5" t="s">
        <v>195</v>
      </c>
      <c r="NS87" s="4" t="s">
        <v>4</v>
      </c>
      <c r="NT87" s="3">
        <v>0.15628393132001994</v>
      </c>
      <c r="NW87">
        <v>4</v>
      </c>
      <c r="OH87" t="s">
        <v>194</v>
      </c>
      <c r="OJ87">
        <v>1996</v>
      </c>
      <c r="OM87" s="2" t="s">
        <v>62</v>
      </c>
      <c r="OO87" t="s">
        <v>1178</v>
      </c>
      <c r="OP87" s="58">
        <v>46094</v>
      </c>
    </row>
    <row r="88" spans="1:406" ht="15.75" thickBot="1">
      <c r="A88" s="11" t="s">
        <v>36</v>
      </c>
      <c r="B88" t="s">
        <v>35</v>
      </c>
      <c r="C88" t="s">
        <v>34</v>
      </c>
      <c r="D88" s="4" t="s">
        <v>33</v>
      </c>
      <c r="E88" t="s">
        <v>32</v>
      </c>
      <c r="F88" s="4" t="s">
        <v>31</v>
      </c>
      <c r="G88" t="s">
        <v>2</v>
      </c>
      <c r="H88" t="s">
        <v>30</v>
      </c>
      <c r="I88" s="10">
        <v>0.1</v>
      </c>
      <c r="J88" s="10">
        <v>34.566667000000002</v>
      </c>
      <c r="K88" t="s">
        <v>29</v>
      </c>
      <c r="AV88" t="s">
        <v>28</v>
      </c>
      <c r="AW88">
        <v>100</v>
      </c>
      <c r="AX88" t="s">
        <v>29</v>
      </c>
      <c r="AY88">
        <v>4</v>
      </c>
      <c r="AZ88" t="s">
        <v>27</v>
      </c>
      <c r="BA88">
        <v>1994</v>
      </c>
      <c r="BB88">
        <v>1998</v>
      </c>
      <c r="BC88" t="s">
        <v>26</v>
      </c>
      <c r="BD88" t="s">
        <v>59</v>
      </c>
      <c r="BE88" s="10" t="s">
        <v>65</v>
      </c>
      <c r="BF88" t="s">
        <v>64</v>
      </c>
      <c r="BG88" s="3" t="s">
        <v>1243</v>
      </c>
      <c r="BH88" t="s">
        <v>23</v>
      </c>
      <c r="BI88" t="s">
        <v>750</v>
      </c>
      <c r="BJ88" s="4" t="s">
        <v>22</v>
      </c>
      <c r="BK88" s="9">
        <v>53000</v>
      </c>
      <c r="EE88" t="s">
        <v>55</v>
      </c>
      <c r="EF88" s="4" t="s">
        <v>22</v>
      </c>
      <c r="EG88" s="9">
        <v>53000</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R88" t="s">
        <v>21</v>
      </c>
      <c r="HT88" s="4" t="s">
        <v>20</v>
      </c>
      <c r="HU88" s="58">
        <v>34335</v>
      </c>
      <c r="HV88" s="58">
        <v>36160</v>
      </c>
      <c r="HW88" s="58"/>
      <c r="IM88" s="4"/>
      <c r="IN88" t="s">
        <v>63</v>
      </c>
      <c r="IO88" s="12" t="s">
        <v>1736</v>
      </c>
      <c r="IR88">
        <v>1995</v>
      </c>
      <c r="IS88">
        <v>1995.2</v>
      </c>
      <c r="IT88" s="4" t="s">
        <v>18</v>
      </c>
      <c r="IU88" t="s">
        <v>61</v>
      </c>
      <c r="IV88" s="12" t="s">
        <v>52</v>
      </c>
      <c r="IY88">
        <v>0.5</v>
      </c>
      <c r="IZ88" t="s">
        <v>29</v>
      </c>
      <c r="JA88" t="s">
        <v>29</v>
      </c>
      <c r="JB88" t="s">
        <v>29</v>
      </c>
      <c r="JC88" t="s">
        <v>29</v>
      </c>
      <c r="JD88" t="s">
        <v>29</v>
      </c>
      <c r="JE88" t="s">
        <v>29</v>
      </c>
      <c r="JF88" t="s">
        <v>29</v>
      </c>
      <c r="JG88" t="s">
        <v>29</v>
      </c>
      <c r="JH88" t="s">
        <v>29</v>
      </c>
      <c r="JJ88" s="12" t="s">
        <v>721</v>
      </c>
      <c r="JO88" s="4"/>
      <c r="JU88" s="4"/>
      <c r="JV88" s="4"/>
      <c r="JW88" s="4"/>
      <c r="JX88" s="4"/>
      <c r="JY88" s="4"/>
      <c r="JZ88" s="4"/>
      <c r="KE88" s="7" t="s">
        <v>12</v>
      </c>
      <c r="KI88" s="53" t="s">
        <v>719</v>
      </c>
      <c r="KJ88" s="8" t="s">
        <v>51</v>
      </c>
      <c r="KL88" t="s">
        <v>29</v>
      </c>
      <c r="MS88" t="s">
        <v>11</v>
      </c>
      <c r="MT88">
        <v>42</v>
      </c>
      <c r="MW88" s="4" t="s">
        <v>168</v>
      </c>
      <c r="NE88" t="s">
        <v>167</v>
      </c>
      <c r="NG88" s="4" t="s">
        <v>8</v>
      </c>
      <c r="NH88" s="6" t="s">
        <v>7</v>
      </c>
      <c r="NQ88" t="s">
        <v>6</v>
      </c>
      <c r="NR88" s="5" t="s">
        <v>193</v>
      </c>
      <c r="NS88" s="4" t="s">
        <v>4</v>
      </c>
      <c r="NT88" s="3">
        <v>0.48868259972078976</v>
      </c>
      <c r="NW88">
        <v>4</v>
      </c>
      <c r="OH88" t="s">
        <v>187</v>
      </c>
      <c r="OJ88">
        <v>1997</v>
      </c>
      <c r="OM88" s="2" t="s">
        <v>62</v>
      </c>
      <c r="OO88" t="s">
        <v>1178</v>
      </c>
      <c r="OP88" s="58">
        <v>46094</v>
      </c>
    </row>
    <row r="89" spans="1:406" ht="15.75" thickBot="1">
      <c r="A89" s="11" t="s">
        <v>36</v>
      </c>
      <c r="B89" t="s">
        <v>35</v>
      </c>
      <c r="C89" t="s">
        <v>34</v>
      </c>
      <c r="D89" s="4" t="s">
        <v>33</v>
      </c>
      <c r="E89" t="s">
        <v>32</v>
      </c>
      <c r="F89" s="4" t="s">
        <v>31</v>
      </c>
      <c r="G89" t="s">
        <v>2</v>
      </c>
      <c r="H89" t="s">
        <v>30</v>
      </c>
      <c r="I89" s="10">
        <v>0.1</v>
      </c>
      <c r="J89" s="10">
        <v>34.566667000000002</v>
      </c>
      <c r="K89" t="s">
        <v>29</v>
      </c>
      <c r="AV89" t="s">
        <v>28</v>
      </c>
      <c r="AW89">
        <v>100</v>
      </c>
      <c r="AX89" t="s">
        <v>29</v>
      </c>
      <c r="AY89">
        <v>4</v>
      </c>
      <c r="AZ89" t="s">
        <v>27</v>
      </c>
      <c r="BA89">
        <v>1994</v>
      </c>
      <c r="BB89">
        <v>1998</v>
      </c>
      <c r="BC89" t="s">
        <v>26</v>
      </c>
      <c r="BD89" t="s">
        <v>59</v>
      </c>
      <c r="BE89" s="10" t="s">
        <v>58</v>
      </c>
      <c r="BF89" t="s">
        <v>57</v>
      </c>
      <c r="BG89" s="3" t="s">
        <v>1243</v>
      </c>
      <c r="BH89" t="s">
        <v>23</v>
      </c>
      <c r="BI89" t="s">
        <v>750</v>
      </c>
      <c r="BJ89" s="4" t="s">
        <v>22</v>
      </c>
      <c r="BK89" s="9">
        <v>53000</v>
      </c>
      <c r="EE89" t="s">
        <v>55</v>
      </c>
      <c r="EF89" s="4" t="s">
        <v>22</v>
      </c>
      <c r="EG89" s="9">
        <v>53000</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R89" t="s">
        <v>21</v>
      </c>
      <c r="HT89" s="4" t="s">
        <v>20</v>
      </c>
      <c r="HU89" s="58">
        <v>34335</v>
      </c>
      <c r="HV89" s="58">
        <v>36160</v>
      </c>
      <c r="HW89" s="58"/>
      <c r="IM89" s="4"/>
      <c r="IN89" t="s">
        <v>54</v>
      </c>
      <c r="IO89" s="12" t="s">
        <v>1737</v>
      </c>
      <c r="IR89">
        <v>1994</v>
      </c>
      <c r="IS89">
        <v>1994.2</v>
      </c>
      <c r="IT89" s="4" t="s">
        <v>18</v>
      </c>
      <c r="IU89" t="s">
        <v>53</v>
      </c>
      <c r="IV89" s="12" t="s">
        <v>52</v>
      </c>
      <c r="IY89">
        <v>0.5</v>
      </c>
      <c r="IZ89" t="s">
        <v>29</v>
      </c>
      <c r="JA89" t="s">
        <v>29</v>
      </c>
      <c r="JB89" t="s">
        <v>29</v>
      </c>
      <c r="JC89" t="s">
        <v>29</v>
      </c>
      <c r="JD89" t="s">
        <v>29</v>
      </c>
      <c r="JE89" t="s">
        <v>29</v>
      </c>
      <c r="JF89" t="s">
        <v>29</v>
      </c>
      <c r="JG89" t="s">
        <v>29</v>
      </c>
      <c r="JH89" t="s">
        <v>29</v>
      </c>
      <c r="JJ89" s="12" t="s">
        <v>721</v>
      </c>
      <c r="JO89" s="4"/>
      <c r="JU89" s="4"/>
      <c r="JV89" s="4"/>
      <c r="JW89" s="4"/>
      <c r="JX89" s="4"/>
      <c r="JY89" s="4"/>
      <c r="JZ89" s="4"/>
      <c r="KE89" s="7" t="s">
        <v>12</v>
      </c>
      <c r="KI89" s="53" t="s">
        <v>719</v>
      </c>
      <c r="KJ89" s="8" t="s">
        <v>51</v>
      </c>
      <c r="KL89" t="s">
        <v>29</v>
      </c>
      <c r="MS89" t="s">
        <v>11</v>
      </c>
      <c r="MT89">
        <v>42</v>
      </c>
      <c r="MW89" s="4" t="s">
        <v>168</v>
      </c>
      <c r="NE89" t="s">
        <v>167</v>
      </c>
      <c r="NG89" s="4" t="s">
        <v>8</v>
      </c>
      <c r="NH89" s="6" t="s">
        <v>7</v>
      </c>
      <c r="NQ89" t="s">
        <v>6</v>
      </c>
      <c r="NR89" s="5" t="s">
        <v>192</v>
      </c>
      <c r="NS89" s="4" t="s">
        <v>4</v>
      </c>
      <c r="NT89" s="3">
        <v>0.25393454163634033</v>
      </c>
      <c r="NW89">
        <v>4</v>
      </c>
      <c r="OH89" t="s">
        <v>187</v>
      </c>
      <c r="OJ89">
        <v>1997</v>
      </c>
      <c r="OM89" s="2" t="s">
        <v>62</v>
      </c>
      <c r="OO89" t="s">
        <v>1178</v>
      </c>
      <c r="OP89" s="58">
        <v>46094</v>
      </c>
    </row>
    <row r="90" spans="1:406" ht="15.75" thickBot="1">
      <c r="A90" s="11" t="s">
        <v>36</v>
      </c>
      <c r="B90" t="s">
        <v>35</v>
      </c>
      <c r="C90" t="s">
        <v>34</v>
      </c>
      <c r="D90" s="4" t="s">
        <v>33</v>
      </c>
      <c r="E90" t="s">
        <v>32</v>
      </c>
      <c r="F90" s="4" t="s">
        <v>31</v>
      </c>
      <c r="G90" t="s">
        <v>2</v>
      </c>
      <c r="H90" t="s">
        <v>30</v>
      </c>
      <c r="I90" s="10">
        <v>0.1</v>
      </c>
      <c r="J90" s="10">
        <v>34.566667000000002</v>
      </c>
      <c r="K90" t="s">
        <v>29</v>
      </c>
      <c r="AV90" t="s">
        <v>28</v>
      </c>
      <c r="AW90">
        <v>100</v>
      </c>
      <c r="AX90" t="s">
        <v>29</v>
      </c>
      <c r="AY90">
        <v>4</v>
      </c>
      <c r="AZ90" t="s">
        <v>27</v>
      </c>
      <c r="BA90">
        <v>1994</v>
      </c>
      <c r="BB90">
        <v>1998</v>
      </c>
      <c r="BC90" t="s">
        <v>26</v>
      </c>
      <c r="BD90" t="s">
        <v>45</v>
      </c>
      <c r="BE90" s="10" t="s">
        <v>49</v>
      </c>
      <c r="BF90" t="s">
        <v>48</v>
      </c>
      <c r="BG90" s="3" t="s">
        <v>1243</v>
      </c>
      <c r="BH90" t="s">
        <v>23</v>
      </c>
      <c r="BI90" t="s">
        <v>750</v>
      </c>
      <c r="BJ90" s="4" t="s">
        <v>22</v>
      </c>
      <c r="BK90" s="9">
        <v>53000</v>
      </c>
      <c r="EF90" s="4"/>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R90" t="s">
        <v>21</v>
      </c>
      <c r="HT90" s="4" t="s">
        <v>20</v>
      </c>
      <c r="HU90" s="58">
        <v>34335</v>
      </c>
      <c r="HV90" s="58">
        <v>36160</v>
      </c>
      <c r="HW90" s="58"/>
      <c r="IN90" t="s">
        <v>47</v>
      </c>
      <c r="IO90" s="54" t="s">
        <v>1236</v>
      </c>
      <c r="IR90">
        <v>1995</v>
      </c>
      <c r="IS90">
        <v>1995.2</v>
      </c>
      <c r="IT90" s="4" t="s">
        <v>18</v>
      </c>
      <c r="IU90" t="s">
        <v>38</v>
      </c>
      <c r="IV90" t="s">
        <v>19</v>
      </c>
      <c r="IZ90">
        <v>0</v>
      </c>
      <c r="JA90">
        <v>0</v>
      </c>
      <c r="JB90">
        <v>0</v>
      </c>
      <c r="JC90">
        <v>0</v>
      </c>
      <c r="JD90">
        <v>0</v>
      </c>
      <c r="JE90">
        <v>0</v>
      </c>
      <c r="JF90">
        <v>0</v>
      </c>
      <c r="JG90">
        <v>0</v>
      </c>
      <c r="JH90">
        <v>0</v>
      </c>
      <c r="JJ90" s="12" t="s">
        <v>721</v>
      </c>
      <c r="JO90" s="4"/>
      <c r="JU90" s="4"/>
      <c r="JV90" s="4"/>
      <c r="JW90" s="4"/>
      <c r="JX90" s="4"/>
      <c r="JY90" s="4"/>
      <c r="JZ90" s="4"/>
      <c r="KE90" s="7" t="s">
        <v>12</v>
      </c>
      <c r="KI90" s="7" t="s">
        <v>720</v>
      </c>
      <c r="MS90" t="s">
        <v>11</v>
      </c>
      <c r="MT90">
        <v>42</v>
      </c>
      <c r="MW90" s="4" t="s">
        <v>168</v>
      </c>
      <c r="NE90" t="s">
        <v>167</v>
      </c>
      <c r="NG90" s="4" t="s">
        <v>8</v>
      </c>
      <c r="NH90" s="6" t="s">
        <v>7</v>
      </c>
      <c r="NQ90" t="s">
        <v>6</v>
      </c>
      <c r="NR90" s="5" t="s">
        <v>191</v>
      </c>
      <c r="NS90" s="4" t="s">
        <v>4</v>
      </c>
      <c r="NT90" s="3">
        <v>0.29323819637508963</v>
      </c>
      <c r="NW90">
        <v>4</v>
      </c>
      <c r="OH90" t="s">
        <v>187</v>
      </c>
      <c r="OJ90">
        <v>1997</v>
      </c>
      <c r="OM90" s="2" t="s">
        <v>62</v>
      </c>
      <c r="OO90" t="s">
        <v>1178</v>
      </c>
      <c r="OP90" s="58">
        <v>46094</v>
      </c>
    </row>
    <row r="91" spans="1:406" ht="15.75" thickBot="1">
      <c r="A91" s="11" t="s">
        <v>36</v>
      </c>
      <c r="B91" t="s">
        <v>35</v>
      </c>
      <c r="C91" t="s">
        <v>34</v>
      </c>
      <c r="D91" s="4" t="s">
        <v>33</v>
      </c>
      <c r="E91" t="s">
        <v>32</v>
      </c>
      <c r="F91" s="4" t="s">
        <v>31</v>
      </c>
      <c r="G91" t="s">
        <v>2</v>
      </c>
      <c r="H91" t="s">
        <v>30</v>
      </c>
      <c r="I91" s="10">
        <v>0.1</v>
      </c>
      <c r="J91" s="10">
        <v>34.566667000000002</v>
      </c>
      <c r="K91" t="s">
        <v>29</v>
      </c>
      <c r="AV91" t="s">
        <v>28</v>
      </c>
      <c r="AW91">
        <v>100</v>
      </c>
      <c r="AX91" t="s">
        <v>29</v>
      </c>
      <c r="AY91">
        <v>4</v>
      </c>
      <c r="AZ91" t="s">
        <v>27</v>
      </c>
      <c r="BA91">
        <v>1994</v>
      </c>
      <c r="BB91">
        <v>1998</v>
      </c>
      <c r="BC91" t="s">
        <v>26</v>
      </c>
      <c r="BD91" t="s">
        <v>45</v>
      </c>
      <c r="BE91" s="10" t="s">
        <v>44</v>
      </c>
      <c r="BF91" t="s">
        <v>43</v>
      </c>
      <c r="BG91" s="3" t="s">
        <v>1243</v>
      </c>
      <c r="BH91" t="s">
        <v>23</v>
      </c>
      <c r="BI91" t="s">
        <v>750</v>
      </c>
      <c r="BJ91" s="4" t="s">
        <v>22</v>
      </c>
      <c r="BK91" s="9">
        <v>53000</v>
      </c>
      <c r="EF91" s="4"/>
      <c r="EG91" s="9"/>
      <c r="EH91" s="9"/>
      <c r="EI91" s="9"/>
      <c r="EJ91" s="9"/>
      <c r="EK91" s="9"/>
      <c r="EL91" s="9"/>
      <c r="EM91" s="9"/>
      <c r="EN91" s="9"/>
      <c r="EO91" s="9"/>
      <c r="EP91" s="9"/>
      <c r="EQ91" s="9"/>
      <c r="ER91" s="9"/>
      <c r="ES91" s="9"/>
      <c r="ET91" s="9"/>
      <c r="EU91" s="9"/>
      <c r="EV91" s="9"/>
      <c r="EW91" s="9"/>
      <c r="EX91" s="9"/>
      <c r="EY91" s="9"/>
      <c r="EZ91" s="9"/>
      <c r="FA91" s="9"/>
      <c r="FB91" s="9"/>
      <c r="FC91" s="9"/>
      <c r="FD91" s="9"/>
      <c r="FE91" s="9"/>
      <c r="FF91" s="9"/>
      <c r="FG91" s="9"/>
      <c r="FH91" s="9"/>
      <c r="FI91" s="9"/>
      <c r="FJ91" s="9"/>
      <c r="FK91" s="9"/>
      <c r="FL91" s="9"/>
      <c r="FM91" s="9"/>
      <c r="FN91" s="9"/>
      <c r="FO91" s="9"/>
      <c r="FP91" s="9"/>
      <c r="FQ91" s="9"/>
      <c r="FR91" s="9"/>
      <c r="FS91" s="9"/>
      <c r="FT91" s="9"/>
      <c r="FU91" s="9"/>
      <c r="FV91" s="9"/>
      <c r="FW91" s="9"/>
      <c r="FX91" s="9"/>
      <c r="FY91" s="9"/>
      <c r="FZ91" s="9"/>
      <c r="GA91" s="9"/>
      <c r="GB91" s="9"/>
      <c r="GC91" s="9"/>
      <c r="GD91" s="9"/>
      <c r="GE91" s="9"/>
      <c r="GF91" s="9"/>
      <c r="GG91" s="9"/>
      <c r="GH91" s="9"/>
      <c r="GI91" s="9"/>
      <c r="GJ91" s="9"/>
      <c r="GK91" s="9"/>
      <c r="GL91" s="9"/>
      <c r="GM91" s="9"/>
      <c r="GN91" s="9"/>
      <c r="GO91" s="9"/>
      <c r="GP91" s="9"/>
      <c r="GQ91" s="9"/>
      <c r="GR91" s="9"/>
      <c r="GS91" s="9"/>
      <c r="GT91" s="9"/>
      <c r="GU91" s="9"/>
      <c r="GV91" s="9"/>
      <c r="GW91" s="9"/>
      <c r="GX91" s="9"/>
      <c r="GY91" s="9"/>
      <c r="GZ91" s="9"/>
      <c r="HA91" s="9"/>
      <c r="HB91" s="9"/>
      <c r="HC91" s="9"/>
      <c r="HD91" s="9"/>
      <c r="HE91" s="9"/>
      <c r="HF91" s="9"/>
      <c r="HG91" s="9"/>
      <c r="HH91" s="9"/>
      <c r="HI91" s="9"/>
      <c r="HJ91" s="9"/>
      <c r="HK91" s="9"/>
      <c r="HR91" t="s">
        <v>21</v>
      </c>
      <c r="HT91" s="4" t="s">
        <v>20</v>
      </c>
      <c r="HU91" s="58">
        <v>34335</v>
      </c>
      <c r="HV91" s="58">
        <v>36160</v>
      </c>
      <c r="HW91" s="58"/>
      <c r="IN91" t="s">
        <v>42</v>
      </c>
      <c r="IO91" s="13" t="s">
        <v>1237</v>
      </c>
      <c r="IR91">
        <v>1994</v>
      </c>
      <c r="IS91">
        <v>1994.2</v>
      </c>
      <c r="IT91" s="4" t="s">
        <v>18</v>
      </c>
      <c r="IU91" t="s">
        <v>38</v>
      </c>
      <c r="IV91" t="s">
        <v>19</v>
      </c>
      <c r="IZ91">
        <v>0</v>
      </c>
      <c r="JA91">
        <v>0</v>
      </c>
      <c r="JB91">
        <v>0</v>
      </c>
      <c r="JC91">
        <v>0</v>
      </c>
      <c r="JD91">
        <v>0</v>
      </c>
      <c r="JE91">
        <v>0</v>
      </c>
      <c r="JF91">
        <v>0</v>
      </c>
      <c r="JG91">
        <v>0</v>
      </c>
      <c r="JH91">
        <v>0</v>
      </c>
      <c r="JJ91" s="12" t="s">
        <v>721</v>
      </c>
      <c r="JO91" s="4"/>
      <c r="JU91" s="4"/>
      <c r="JV91" s="4"/>
      <c r="JW91" s="4"/>
      <c r="JX91" s="4"/>
      <c r="JY91" s="4"/>
      <c r="JZ91" s="4"/>
      <c r="KE91" s="7" t="s">
        <v>12</v>
      </c>
      <c r="KI91" s="7" t="s">
        <v>720</v>
      </c>
      <c r="MS91" t="s">
        <v>11</v>
      </c>
      <c r="MT91">
        <v>42</v>
      </c>
      <c r="MW91" s="4" t="s">
        <v>168</v>
      </c>
      <c r="NE91" t="s">
        <v>167</v>
      </c>
      <c r="NG91" s="4" t="s">
        <v>8</v>
      </c>
      <c r="NH91" s="6" t="s">
        <v>7</v>
      </c>
      <c r="NQ91" t="s">
        <v>6</v>
      </c>
      <c r="NR91" s="5" t="s">
        <v>190</v>
      </c>
      <c r="NS91" s="4" t="s">
        <v>4</v>
      </c>
      <c r="NT91" s="3">
        <v>0.44973690176473013</v>
      </c>
      <c r="NW91">
        <v>4</v>
      </c>
      <c r="OH91" t="s">
        <v>187</v>
      </c>
      <c r="OJ91">
        <v>1997</v>
      </c>
      <c r="OM91" s="2" t="s">
        <v>62</v>
      </c>
      <c r="OO91" t="s">
        <v>1178</v>
      </c>
      <c r="OP91" s="58">
        <v>46094</v>
      </c>
    </row>
    <row r="92" spans="1:406" ht="15.75" thickBot="1">
      <c r="A92" s="11" t="s">
        <v>36</v>
      </c>
      <c r="B92" t="s">
        <v>35</v>
      </c>
      <c r="C92" t="s">
        <v>34</v>
      </c>
      <c r="D92" s="4" t="s">
        <v>33</v>
      </c>
      <c r="E92" t="s">
        <v>32</v>
      </c>
      <c r="F92" s="4" t="s">
        <v>31</v>
      </c>
      <c r="G92" t="s">
        <v>2</v>
      </c>
      <c r="H92" t="s">
        <v>30</v>
      </c>
      <c r="I92" s="10">
        <v>0.1</v>
      </c>
      <c r="J92" s="10">
        <v>34.566667000000002</v>
      </c>
      <c r="K92" t="s">
        <v>29</v>
      </c>
      <c r="AV92" t="s">
        <v>28</v>
      </c>
      <c r="AW92">
        <v>100</v>
      </c>
      <c r="AX92" t="s">
        <v>29</v>
      </c>
      <c r="AY92">
        <v>4</v>
      </c>
      <c r="AZ92" t="s">
        <v>27</v>
      </c>
      <c r="BA92">
        <v>1994</v>
      </c>
      <c r="BB92">
        <v>1998</v>
      </c>
      <c r="BC92" t="s">
        <v>26</v>
      </c>
      <c r="BD92" t="s">
        <v>19</v>
      </c>
      <c r="BE92" s="10" t="s">
        <v>40</v>
      </c>
      <c r="BF92" t="s">
        <v>39</v>
      </c>
      <c r="BG92" s="3" t="s">
        <v>1243</v>
      </c>
      <c r="BH92" t="s">
        <v>23</v>
      </c>
      <c r="BI92" t="s">
        <v>750</v>
      </c>
      <c r="BJ92" s="4" t="s">
        <v>22</v>
      </c>
      <c r="BK92" s="9">
        <v>53000</v>
      </c>
      <c r="HR92" t="s">
        <v>21</v>
      </c>
      <c r="HT92" s="4" t="s">
        <v>20</v>
      </c>
      <c r="HU92" s="58">
        <v>34335</v>
      </c>
      <c r="HV92" s="58">
        <v>36160</v>
      </c>
      <c r="HW92" s="58"/>
      <c r="IN92" t="s">
        <v>38</v>
      </c>
      <c r="IO92" s="54" t="s">
        <v>19</v>
      </c>
      <c r="IT92" s="4" t="s">
        <v>18</v>
      </c>
      <c r="IU92" t="s">
        <v>38</v>
      </c>
      <c r="IV92" s="54" t="s">
        <v>19</v>
      </c>
      <c r="IZ92">
        <v>0</v>
      </c>
      <c r="JA92">
        <v>0</v>
      </c>
      <c r="JB92">
        <v>0</v>
      </c>
      <c r="JC92">
        <v>0</v>
      </c>
      <c r="JD92">
        <v>0</v>
      </c>
      <c r="JE92">
        <v>0</v>
      </c>
      <c r="JF92">
        <v>0</v>
      </c>
      <c r="JG92">
        <v>0</v>
      </c>
      <c r="JH92">
        <v>0</v>
      </c>
      <c r="JJ92" s="12" t="s">
        <v>721</v>
      </c>
      <c r="JO92" s="4"/>
      <c r="JU92" s="4"/>
      <c r="JV92" s="4"/>
      <c r="JW92" s="4"/>
      <c r="JX92" s="4"/>
      <c r="JY92" s="4"/>
      <c r="JZ92" s="4"/>
      <c r="KE92" s="7" t="s">
        <v>12</v>
      </c>
      <c r="KI92" s="7" t="s">
        <v>720</v>
      </c>
      <c r="MS92" t="s">
        <v>11</v>
      </c>
      <c r="MT92">
        <v>42</v>
      </c>
      <c r="MW92" s="4" t="s">
        <v>168</v>
      </c>
      <c r="NE92" t="s">
        <v>167</v>
      </c>
      <c r="NG92" s="4" t="s">
        <v>8</v>
      </c>
      <c r="NH92" s="6" t="s">
        <v>7</v>
      </c>
      <c r="NP92" t="s">
        <v>735</v>
      </c>
      <c r="NQ92" t="s">
        <v>6</v>
      </c>
      <c r="NR92" s="5" t="s">
        <v>189</v>
      </c>
      <c r="NS92" s="4" t="s">
        <v>4</v>
      </c>
      <c r="NT92" s="3">
        <v>0.15621233996348982</v>
      </c>
      <c r="NW92">
        <v>4</v>
      </c>
      <c r="OH92" t="s">
        <v>187</v>
      </c>
      <c r="OJ92">
        <v>1997</v>
      </c>
      <c r="OM92" s="2" t="s">
        <v>62</v>
      </c>
      <c r="OO92" t="s">
        <v>1178</v>
      </c>
      <c r="OP92" s="58">
        <v>46094</v>
      </c>
    </row>
    <row r="93" spans="1:406" ht="15.75" thickBot="1">
      <c r="A93" s="11" t="s">
        <v>36</v>
      </c>
      <c r="B93" t="s">
        <v>35</v>
      </c>
      <c r="C93" t="s">
        <v>34</v>
      </c>
      <c r="D93" s="4" t="s">
        <v>33</v>
      </c>
      <c r="E93" t="s">
        <v>32</v>
      </c>
      <c r="F93" s="4" t="s">
        <v>31</v>
      </c>
      <c r="G93" t="s">
        <v>2</v>
      </c>
      <c r="H93" t="s">
        <v>30</v>
      </c>
      <c r="I93" s="10">
        <v>0.1</v>
      </c>
      <c r="J93" s="10">
        <v>34.566667000000002</v>
      </c>
      <c r="K93" t="s">
        <v>29</v>
      </c>
      <c r="AV93" t="s">
        <v>28</v>
      </c>
      <c r="AW93">
        <v>100</v>
      </c>
      <c r="AX93" t="s">
        <v>29</v>
      </c>
      <c r="AY93">
        <v>4</v>
      </c>
      <c r="AZ93" t="s">
        <v>27</v>
      </c>
      <c r="BA93">
        <v>1994</v>
      </c>
      <c r="BB93">
        <v>1998</v>
      </c>
      <c r="BC93" t="s">
        <v>26</v>
      </c>
      <c r="BD93" t="s">
        <v>19</v>
      </c>
      <c r="BE93" s="10" t="s">
        <v>25</v>
      </c>
      <c r="BF93" t="s">
        <v>24</v>
      </c>
      <c r="BG93" s="3" t="s">
        <v>1243</v>
      </c>
      <c r="BH93" t="s">
        <v>23</v>
      </c>
      <c r="BI93" t="s">
        <v>750</v>
      </c>
      <c r="BJ93" s="4" t="s">
        <v>22</v>
      </c>
      <c r="BK93" s="9">
        <v>53000</v>
      </c>
      <c r="HR93" t="s">
        <v>21</v>
      </c>
      <c r="HT93" s="4" t="s">
        <v>20</v>
      </c>
      <c r="HU93" s="58">
        <v>34335</v>
      </c>
      <c r="HV93" s="58">
        <v>36160</v>
      </c>
      <c r="HW93" s="58"/>
      <c r="IN93" t="s">
        <v>16</v>
      </c>
      <c r="IO93" s="54" t="s">
        <v>19</v>
      </c>
      <c r="IT93" s="4" t="s">
        <v>18</v>
      </c>
      <c r="IU93" t="s">
        <v>17</v>
      </c>
      <c r="IV93" s="54" t="s">
        <v>19</v>
      </c>
      <c r="IZ93">
        <v>0</v>
      </c>
      <c r="JA93">
        <v>0</v>
      </c>
      <c r="JB93">
        <v>0</v>
      </c>
      <c r="JC93">
        <v>0</v>
      </c>
      <c r="JD93">
        <v>0</v>
      </c>
      <c r="JE93">
        <v>0</v>
      </c>
      <c r="JF93">
        <v>0</v>
      </c>
      <c r="JG93">
        <v>0</v>
      </c>
      <c r="JH93">
        <v>0</v>
      </c>
      <c r="JI93" t="s">
        <v>16</v>
      </c>
      <c r="JJ93" t="s">
        <v>15</v>
      </c>
      <c r="JK93" s="8" t="s">
        <v>14</v>
      </c>
      <c r="JO93" s="4" t="s">
        <v>13</v>
      </c>
      <c r="JP93">
        <v>60</v>
      </c>
      <c r="JS93">
        <v>60</v>
      </c>
      <c r="JU93" s="4"/>
      <c r="JV93" s="4"/>
      <c r="JW93" s="4"/>
      <c r="JX93" s="4"/>
      <c r="JY93" s="4"/>
      <c r="JZ93" s="4"/>
      <c r="KE93" s="7" t="s">
        <v>12</v>
      </c>
      <c r="KI93" s="7" t="s">
        <v>720</v>
      </c>
      <c r="MS93" t="s">
        <v>11</v>
      </c>
      <c r="MT93">
        <v>42</v>
      </c>
      <c r="MW93" s="4" t="s">
        <v>168</v>
      </c>
      <c r="NE93" t="s">
        <v>167</v>
      </c>
      <c r="NG93" s="4" t="s">
        <v>8</v>
      </c>
      <c r="NH93" s="6" t="s">
        <v>7</v>
      </c>
      <c r="NP93" t="s">
        <v>747</v>
      </c>
      <c r="NQ93" t="s">
        <v>6</v>
      </c>
      <c r="NR93" s="5" t="s">
        <v>188</v>
      </c>
      <c r="NS93" s="4" t="s">
        <v>4</v>
      </c>
      <c r="NT93" s="3">
        <v>0.19544440334570012</v>
      </c>
      <c r="NW93">
        <v>4</v>
      </c>
      <c r="OH93" t="s">
        <v>187</v>
      </c>
      <c r="OJ93">
        <v>1997</v>
      </c>
      <c r="OM93" s="2" t="s">
        <v>62</v>
      </c>
      <c r="OO93" t="s">
        <v>1178</v>
      </c>
      <c r="OP93" s="58">
        <v>46094</v>
      </c>
    </row>
    <row r="94" spans="1:406" ht="15.75" thickBot="1">
      <c r="A94" s="11" t="s">
        <v>36</v>
      </c>
      <c r="B94" t="s">
        <v>35</v>
      </c>
      <c r="C94" t="s">
        <v>34</v>
      </c>
      <c r="D94" s="4" t="s">
        <v>33</v>
      </c>
      <c r="E94" t="s">
        <v>32</v>
      </c>
      <c r="F94" s="4" t="s">
        <v>31</v>
      </c>
      <c r="G94" t="s">
        <v>2</v>
      </c>
      <c r="H94" t="s">
        <v>30</v>
      </c>
      <c r="I94" s="10">
        <v>0.1</v>
      </c>
      <c r="J94" s="10">
        <v>34.566667000000002</v>
      </c>
      <c r="K94" t="s">
        <v>29</v>
      </c>
      <c r="AV94" t="s">
        <v>28</v>
      </c>
      <c r="AW94">
        <v>100</v>
      </c>
      <c r="AX94" t="s">
        <v>29</v>
      </c>
      <c r="AY94">
        <v>4</v>
      </c>
      <c r="AZ94" t="s">
        <v>27</v>
      </c>
      <c r="BA94">
        <v>1994</v>
      </c>
      <c r="BB94">
        <v>1998</v>
      </c>
      <c r="BC94" t="s">
        <v>26</v>
      </c>
      <c r="BD94" t="s">
        <v>59</v>
      </c>
      <c r="BE94" s="10" t="s">
        <v>65</v>
      </c>
      <c r="BF94" t="s">
        <v>64</v>
      </c>
      <c r="BG94" s="3" t="s">
        <v>1243</v>
      </c>
      <c r="BH94" t="s">
        <v>23</v>
      </c>
      <c r="BI94" t="s">
        <v>750</v>
      </c>
      <c r="BJ94" s="4" t="s">
        <v>22</v>
      </c>
      <c r="BK94" s="9">
        <v>53000</v>
      </c>
      <c r="EE94" t="s">
        <v>55</v>
      </c>
      <c r="EF94" s="4" t="s">
        <v>22</v>
      </c>
      <c r="EG94" s="9">
        <v>53000</v>
      </c>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K94" s="9"/>
      <c r="HR94" t="s">
        <v>21</v>
      </c>
      <c r="HT94" s="4" t="s">
        <v>20</v>
      </c>
      <c r="HU94" s="58">
        <v>34335</v>
      </c>
      <c r="HV94" s="58">
        <v>36160</v>
      </c>
      <c r="HW94" s="58"/>
      <c r="IM94" s="4"/>
      <c r="IN94" t="s">
        <v>63</v>
      </c>
      <c r="IO94" s="12" t="s">
        <v>1736</v>
      </c>
      <c r="IR94">
        <v>1995</v>
      </c>
      <c r="IS94">
        <v>1995.2</v>
      </c>
      <c r="IT94" s="4" t="s">
        <v>18</v>
      </c>
      <c r="IU94" t="s">
        <v>61</v>
      </c>
      <c r="IV94" s="12" t="s">
        <v>52</v>
      </c>
      <c r="IY94">
        <v>0.5</v>
      </c>
      <c r="IZ94" t="s">
        <v>29</v>
      </c>
      <c r="JA94" t="s">
        <v>29</v>
      </c>
      <c r="JB94" t="s">
        <v>29</v>
      </c>
      <c r="JC94" t="s">
        <v>29</v>
      </c>
      <c r="JD94" t="s">
        <v>29</v>
      </c>
      <c r="JE94" t="s">
        <v>29</v>
      </c>
      <c r="JF94" t="s">
        <v>29</v>
      </c>
      <c r="JG94" t="s">
        <v>29</v>
      </c>
      <c r="JH94" t="s">
        <v>29</v>
      </c>
      <c r="JJ94" s="12" t="s">
        <v>721</v>
      </c>
      <c r="JO94" s="4"/>
      <c r="JU94" s="4"/>
      <c r="JV94" s="4"/>
      <c r="JW94" s="4"/>
      <c r="JX94" s="4"/>
      <c r="JY94" s="4"/>
      <c r="JZ94" s="4"/>
      <c r="KE94" s="7" t="s">
        <v>12</v>
      </c>
      <c r="KI94" s="53" t="s">
        <v>719</v>
      </c>
      <c r="KJ94" s="8" t="s">
        <v>51</v>
      </c>
      <c r="KL94" t="s">
        <v>29</v>
      </c>
      <c r="MS94" t="s">
        <v>11</v>
      </c>
      <c r="MT94">
        <v>42</v>
      </c>
      <c r="MW94" s="4" t="s">
        <v>168</v>
      </c>
      <c r="NE94" t="s">
        <v>167</v>
      </c>
      <c r="NG94" s="4" t="s">
        <v>8</v>
      </c>
      <c r="NH94" s="6" t="s">
        <v>7</v>
      </c>
      <c r="NQ94" t="s">
        <v>6</v>
      </c>
      <c r="NR94" s="5" t="s">
        <v>186</v>
      </c>
      <c r="NS94" s="4" t="s">
        <v>4</v>
      </c>
      <c r="NT94" s="3">
        <v>0.17582837165459986</v>
      </c>
      <c r="NW94">
        <v>4</v>
      </c>
      <c r="OH94" t="s">
        <v>180</v>
      </c>
      <c r="OJ94">
        <v>1998</v>
      </c>
      <c r="OM94" s="2" t="s">
        <v>62</v>
      </c>
      <c r="OO94" t="s">
        <v>1178</v>
      </c>
      <c r="OP94" s="58">
        <v>46094</v>
      </c>
    </row>
    <row r="95" spans="1:406" ht="15.75" thickBot="1">
      <c r="A95" s="11" t="s">
        <v>36</v>
      </c>
      <c r="B95" t="s">
        <v>35</v>
      </c>
      <c r="C95" t="s">
        <v>34</v>
      </c>
      <c r="D95" s="4" t="s">
        <v>33</v>
      </c>
      <c r="E95" t="s">
        <v>32</v>
      </c>
      <c r="F95" s="4" t="s">
        <v>31</v>
      </c>
      <c r="G95" t="s">
        <v>2</v>
      </c>
      <c r="H95" t="s">
        <v>30</v>
      </c>
      <c r="I95" s="10">
        <v>0.1</v>
      </c>
      <c r="J95" s="10">
        <v>34.566667000000002</v>
      </c>
      <c r="K95" t="s">
        <v>29</v>
      </c>
      <c r="AV95" t="s">
        <v>28</v>
      </c>
      <c r="AW95">
        <v>100</v>
      </c>
      <c r="AX95" t="s">
        <v>29</v>
      </c>
      <c r="AY95">
        <v>4</v>
      </c>
      <c r="AZ95" t="s">
        <v>27</v>
      </c>
      <c r="BA95">
        <v>1994</v>
      </c>
      <c r="BB95">
        <v>1998</v>
      </c>
      <c r="BC95" t="s">
        <v>26</v>
      </c>
      <c r="BD95" t="s">
        <v>59</v>
      </c>
      <c r="BE95" s="10" t="s">
        <v>58</v>
      </c>
      <c r="BF95" t="s">
        <v>57</v>
      </c>
      <c r="BG95" s="3" t="s">
        <v>1243</v>
      </c>
      <c r="BH95" t="s">
        <v>23</v>
      </c>
      <c r="BI95" t="s">
        <v>750</v>
      </c>
      <c r="BJ95" s="4" t="s">
        <v>22</v>
      </c>
      <c r="BK95" s="9">
        <v>53000</v>
      </c>
      <c r="EE95" t="s">
        <v>55</v>
      </c>
      <c r="EF95" s="4" t="s">
        <v>22</v>
      </c>
      <c r="EG95" s="9">
        <v>53000</v>
      </c>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K95" s="9"/>
      <c r="HR95" t="s">
        <v>21</v>
      </c>
      <c r="HT95" s="4" t="s">
        <v>20</v>
      </c>
      <c r="HU95" s="58">
        <v>34335</v>
      </c>
      <c r="HV95" s="58">
        <v>36160</v>
      </c>
      <c r="HW95" s="58"/>
      <c r="IM95" s="4"/>
      <c r="IN95" t="s">
        <v>54</v>
      </c>
      <c r="IO95" s="12" t="s">
        <v>1737</v>
      </c>
      <c r="IR95">
        <v>1994</v>
      </c>
      <c r="IS95">
        <v>1994.2</v>
      </c>
      <c r="IT95" s="4" t="s">
        <v>18</v>
      </c>
      <c r="IU95" t="s">
        <v>53</v>
      </c>
      <c r="IV95" s="12" t="s">
        <v>52</v>
      </c>
      <c r="IY95">
        <v>0.5</v>
      </c>
      <c r="IZ95" t="s">
        <v>29</v>
      </c>
      <c r="JA95" t="s">
        <v>29</v>
      </c>
      <c r="JB95" t="s">
        <v>29</v>
      </c>
      <c r="JC95" t="s">
        <v>29</v>
      </c>
      <c r="JD95" t="s">
        <v>29</v>
      </c>
      <c r="JE95" t="s">
        <v>29</v>
      </c>
      <c r="JF95" t="s">
        <v>29</v>
      </c>
      <c r="JG95" t="s">
        <v>29</v>
      </c>
      <c r="JH95" t="s">
        <v>29</v>
      </c>
      <c r="JJ95" s="12" t="s">
        <v>721</v>
      </c>
      <c r="JO95" s="4"/>
      <c r="JU95" s="4"/>
      <c r="JV95" s="4"/>
      <c r="JW95" s="4"/>
      <c r="JX95" s="4"/>
      <c r="JY95" s="4"/>
      <c r="JZ95" s="4"/>
      <c r="KE95" s="7" t="s">
        <v>12</v>
      </c>
      <c r="KI95" s="53" t="s">
        <v>719</v>
      </c>
      <c r="KJ95" s="8" t="s">
        <v>51</v>
      </c>
      <c r="KL95" t="s">
        <v>29</v>
      </c>
      <c r="MS95" t="s">
        <v>11</v>
      </c>
      <c r="MT95">
        <v>42</v>
      </c>
      <c r="MW95" s="4" t="s">
        <v>168</v>
      </c>
      <c r="NE95" t="s">
        <v>167</v>
      </c>
      <c r="NG95" s="4" t="s">
        <v>8</v>
      </c>
      <c r="NH95" s="6" t="s">
        <v>7</v>
      </c>
      <c r="NQ95" t="s">
        <v>6</v>
      </c>
      <c r="NR95" s="5" t="s">
        <v>185</v>
      </c>
      <c r="NS95" s="4" t="s">
        <v>4</v>
      </c>
      <c r="NT95" s="3">
        <v>0.11733823336394988</v>
      </c>
      <c r="NW95">
        <v>4</v>
      </c>
      <c r="OH95" t="s">
        <v>180</v>
      </c>
      <c r="OJ95">
        <v>1998</v>
      </c>
      <c r="OM95" s="2" t="s">
        <v>62</v>
      </c>
      <c r="OO95" t="s">
        <v>1178</v>
      </c>
      <c r="OP95" s="58">
        <v>46094</v>
      </c>
    </row>
    <row r="96" spans="1:406" ht="15.75" thickBot="1">
      <c r="A96" s="11" t="s">
        <v>36</v>
      </c>
      <c r="B96" t="s">
        <v>35</v>
      </c>
      <c r="C96" t="s">
        <v>34</v>
      </c>
      <c r="D96" s="4" t="s">
        <v>33</v>
      </c>
      <c r="E96" t="s">
        <v>32</v>
      </c>
      <c r="F96" s="4" t="s">
        <v>31</v>
      </c>
      <c r="G96" t="s">
        <v>2</v>
      </c>
      <c r="H96" t="s">
        <v>30</v>
      </c>
      <c r="I96" s="10">
        <v>0.1</v>
      </c>
      <c r="J96" s="10">
        <v>34.566667000000002</v>
      </c>
      <c r="K96" t="s">
        <v>29</v>
      </c>
      <c r="AV96" t="s">
        <v>28</v>
      </c>
      <c r="AW96">
        <v>100</v>
      </c>
      <c r="AX96" t="s">
        <v>29</v>
      </c>
      <c r="AY96">
        <v>4</v>
      </c>
      <c r="AZ96" t="s">
        <v>27</v>
      </c>
      <c r="BA96">
        <v>1994</v>
      </c>
      <c r="BB96">
        <v>1998</v>
      </c>
      <c r="BC96" t="s">
        <v>26</v>
      </c>
      <c r="BD96" t="s">
        <v>45</v>
      </c>
      <c r="BE96" s="10" t="s">
        <v>49</v>
      </c>
      <c r="BF96" t="s">
        <v>48</v>
      </c>
      <c r="BG96" s="3" t="s">
        <v>1243</v>
      </c>
      <c r="BH96" t="s">
        <v>23</v>
      </c>
      <c r="BI96" t="s">
        <v>750</v>
      </c>
      <c r="BJ96" s="4" t="s">
        <v>22</v>
      </c>
      <c r="BK96" s="9">
        <v>53000</v>
      </c>
      <c r="EF96" s="4"/>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K96" s="9"/>
      <c r="HR96" t="s">
        <v>21</v>
      </c>
      <c r="HT96" s="4" t="s">
        <v>20</v>
      </c>
      <c r="HU96" s="58">
        <v>34335</v>
      </c>
      <c r="HV96" s="58">
        <v>36160</v>
      </c>
      <c r="HW96" s="58"/>
      <c r="IN96" t="s">
        <v>47</v>
      </c>
      <c r="IO96" s="54" t="s">
        <v>1236</v>
      </c>
      <c r="IR96">
        <v>1995</v>
      </c>
      <c r="IS96">
        <v>1995.2</v>
      </c>
      <c r="IT96" s="4" t="s">
        <v>18</v>
      </c>
      <c r="IU96" t="s">
        <v>38</v>
      </c>
      <c r="IV96" t="s">
        <v>19</v>
      </c>
      <c r="IZ96">
        <v>0</v>
      </c>
      <c r="JA96">
        <v>0</v>
      </c>
      <c r="JB96">
        <v>0</v>
      </c>
      <c r="JC96">
        <v>0</v>
      </c>
      <c r="JD96">
        <v>0</v>
      </c>
      <c r="JE96">
        <v>0</v>
      </c>
      <c r="JF96">
        <v>0</v>
      </c>
      <c r="JG96">
        <v>0</v>
      </c>
      <c r="JH96">
        <v>0</v>
      </c>
      <c r="JJ96" s="12" t="s">
        <v>721</v>
      </c>
      <c r="JO96" s="4"/>
      <c r="JU96" s="4"/>
      <c r="JV96" s="4"/>
      <c r="JW96" s="4"/>
      <c r="JX96" s="4"/>
      <c r="JY96" s="4"/>
      <c r="JZ96" s="4"/>
      <c r="KE96" s="7" t="s">
        <v>12</v>
      </c>
      <c r="KI96" s="7" t="s">
        <v>720</v>
      </c>
      <c r="MS96" t="s">
        <v>11</v>
      </c>
      <c r="MT96">
        <v>42</v>
      </c>
      <c r="MW96" s="4" t="s">
        <v>168</v>
      </c>
      <c r="NE96" t="s">
        <v>167</v>
      </c>
      <c r="NG96" s="4" t="s">
        <v>8</v>
      </c>
      <c r="NH96" s="6" t="s">
        <v>7</v>
      </c>
      <c r="NQ96" t="s">
        <v>6</v>
      </c>
      <c r="NR96" s="5" t="s">
        <v>184</v>
      </c>
      <c r="NS96" s="4" t="s">
        <v>4</v>
      </c>
      <c r="NT96" s="3">
        <v>0.25414931570594979</v>
      </c>
      <c r="NW96">
        <v>4</v>
      </c>
      <c r="OH96" t="s">
        <v>180</v>
      </c>
      <c r="OJ96">
        <v>1998</v>
      </c>
      <c r="OM96" s="2" t="s">
        <v>62</v>
      </c>
      <c r="OO96" t="s">
        <v>1178</v>
      </c>
      <c r="OP96" s="58">
        <v>46094</v>
      </c>
    </row>
    <row r="97" spans="1:406" ht="15.75" thickBot="1">
      <c r="A97" s="11" t="s">
        <v>36</v>
      </c>
      <c r="B97" t="s">
        <v>35</v>
      </c>
      <c r="C97" t="s">
        <v>34</v>
      </c>
      <c r="D97" s="4" t="s">
        <v>33</v>
      </c>
      <c r="E97" t="s">
        <v>32</v>
      </c>
      <c r="F97" s="4" t="s">
        <v>31</v>
      </c>
      <c r="G97" t="s">
        <v>2</v>
      </c>
      <c r="H97" t="s">
        <v>30</v>
      </c>
      <c r="I97" s="10">
        <v>0.1</v>
      </c>
      <c r="J97" s="10">
        <v>34.566667000000002</v>
      </c>
      <c r="K97" t="s">
        <v>29</v>
      </c>
      <c r="AV97" t="s">
        <v>28</v>
      </c>
      <c r="AW97">
        <v>100</v>
      </c>
      <c r="AX97" t="s">
        <v>29</v>
      </c>
      <c r="AY97">
        <v>4</v>
      </c>
      <c r="AZ97" t="s">
        <v>27</v>
      </c>
      <c r="BA97">
        <v>1994</v>
      </c>
      <c r="BB97">
        <v>1998</v>
      </c>
      <c r="BC97" t="s">
        <v>26</v>
      </c>
      <c r="BD97" t="s">
        <v>45</v>
      </c>
      <c r="BE97" s="10" t="s">
        <v>44</v>
      </c>
      <c r="BF97" t="s">
        <v>43</v>
      </c>
      <c r="BG97" s="3" t="s">
        <v>1243</v>
      </c>
      <c r="BH97" t="s">
        <v>23</v>
      </c>
      <c r="BI97" t="s">
        <v>750</v>
      </c>
      <c r="BJ97" s="4" t="s">
        <v>22</v>
      </c>
      <c r="BK97" s="9">
        <v>53000</v>
      </c>
      <c r="EF97" s="4"/>
      <c r="EG97" s="9"/>
      <c r="EH97" s="9"/>
      <c r="EI97" s="9"/>
      <c r="EJ97" s="9"/>
      <c r="EK97" s="9"/>
      <c r="EL97" s="9"/>
      <c r="EM97" s="9"/>
      <c r="EN97" s="9"/>
      <c r="EO97" s="9"/>
      <c r="EP97" s="9"/>
      <c r="EQ97" s="9"/>
      <c r="ER97" s="9"/>
      <c r="ES97" s="9"/>
      <c r="ET97" s="9"/>
      <c r="EU97" s="9"/>
      <c r="EV97" s="9"/>
      <c r="EW97" s="9"/>
      <c r="EX97" s="9"/>
      <c r="EY97" s="9"/>
      <c r="EZ97" s="9"/>
      <c r="FA97" s="9"/>
      <c r="FB97" s="9"/>
      <c r="FC97" s="9"/>
      <c r="FD97" s="9"/>
      <c r="FE97" s="9"/>
      <c r="FF97" s="9"/>
      <c r="FG97" s="9"/>
      <c r="FH97" s="9"/>
      <c r="FI97" s="9"/>
      <c r="FJ97" s="9"/>
      <c r="FK97" s="9"/>
      <c r="FL97" s="9"/>
      <c r="FM97" s="9"/>
      <c r="FN97" s="9"/>
      <c r="FO97" s="9"/>
      <c r="FP97" s="9"/>
      <c r="FQ97" s="9"/>
      <c r="FR97" s="9"/>
      <c r="FS97" s="9"/>
      <c r="FT97" s="9"/>
      <c r="FU97" s="9"/>
      <c r="FV97" s="9"/>
      <c r="FW97" s="9"/>
      <c r="FX97" s="9"/>
      <c r="FY97" s="9"/>
      <c r="FZ97" s="9"/>
      <c r="GA97" s="9"/>
      <c r="GB97" s="9"/>
      <c r="GC97" s="9"/>
      <c r="GD97" s="9"/>
      <c r="GE97" s="9"/>
      <c r="GF97" s="9"/>
      <c r="GG97" s="9"/>
      <c r="GH97" s="9"/>
      <c r="GI97" s="9"/>
      <c r="GJ97" s="9"/>
      <c r="GK97" s="9"/>
      <c r="GL97" s="9"/>
      <c r="GM97" s="9"/>
      <c r="GN97" s="9"/>
      <c r="GO97" s="9"/>
      <c r="GP97" s="9"/>
      <c r="GQ97" s="9"/>
      <c r="GR97" s="9"/>
      <c r="GS97" s="9"/>
      <c r="GT97" s="9"/>
      <c r="GU97" s="9"/>
      <c r="GV97" s="9"/>
      <c r="GW97" s="9"/>
      <c r="GX97" s="9"/>
      <c r="GY97" s="9"/>
      <c r="GZ97" s="9"/>
      <c r="HA97" s="9"/>
      <c r="HB97" s="9"/>
      <c r="HC97" s="9"/>
      <c r="HD97" s="9"/>
      <c r="HE97" s="9"/>
      <c r="HF97" s="9"/>
      <c r="HG97" s="9"/>
      <c r="HH97" s="9"/>
      <c r="HI97" s="9"/>
      <c r="HJ97" s="9"/>
      <c r="HK97" s="9"/>
      <c r="HR97" t="s">
        <v>21</v>
      </c>
      <c r="HT97" s="4" t="s">
        <v>20</v>
      </c>
      <c r="HU97" s="58">
        <v>34335</v>
      </c>
      <c r="HV97" s="58">
        <v>36160</v>
      </c>
      <c r="HW97" s="58"/>
      <c r="IN97" t="s">
        <v>42</v>
      </c>
      <c r="IO97" s="13" t="s">
        <v>1237</v>
      </c>
      <c r="IR97">
        <v>1994</v>
      </c>
      <c r="IS97">
        <v>1994.2</v>
      </c>
      <c r="IT97" s="4" t="s">
        <v>18</v>
      </c>
      <c r="IU97" t="s">
        <v>38</v>
      </c>
      <c r="IV97" t="s">
        <v>19</v>
      </c>
      <c r="IZ97">
        <v>0</v>
      </c>
      <c r="JA97">
        <v>0</v>
      </c>
      <c r="JB97">
        <v>0</v>
      </c>
      <c r="JC97">
        <v>0</v>
      </c>
      <c r="JD97">
        <v>0</v>
      </c>
      <c r="JE97">
        <v>0</v>
      </c>
      <c r="JF97">
        <v>0</v>
      </c>
      <c r="JG97">
        <v>0</v>
      </c>
      <c r="JH97">
        <v>0</v>
      </c>
      <c r="JJ97" s="12" t="s">
        <v>721</v>
      </c>
      <c r="JO97" s="4"/>
      <c r="JU97" s="4"/>
      <c r="JV97" s="4"/>
      <c r="JW97" s="4"/>
      <c r="JX97" s="4"/>
      <c r="JY97" s="4"/>
      <c r="JZ97" s="4"/>
      <c r="KE97" s="7" t="s">
        <v>12</v>
      </c>
      <c r="KI97" s="7" t="s">
        <v>720</v>
      </c>
      <c r="MS97" t="s">
        <v>11</v>
      </c>
      <c r="MT97">
        <v>42</v>
      </c>
      <c r="MW97" s="4" t="s">
        <v>168</v>
      </c>
      <c r="NE97" t="s">
        <v>167</v>
      </c>
      <c r="NG97" s="4" t="s">
        <v>8</v>
      </c>
      <c r="NH97" s="6" t="s">
        <v>7</v>
      </c>
      <c r="NQ97" t="s">
        <v>6</v>
      </c>
      <c r="NR97" s="5" t="s">
        <v>183</v>
      </c>
      <c r="NS97" s="4" t="s">
        <v>4</v>
      </c>
      <c r="NT97" s="3">
        <v>0.3320407116180899</v>
      </c>
      <c r="NW97">
        <v>4</v>
      </c>
      <c r="OH97" t="s">
        <v>180</v>
      </c>
      <c r="OJ97">
        <v>1998</v>
      </c>
      <c r="OM97" s="2" t="s">
        <v>62</v>
      </c>
      <c r="OO97" t="s">
        <v>1178</v>
      </c>
      <c r="OP97" s="58">
        <v>46094</v>
      </c>
    </row>
    <row r="98" spans="1:406" ht="15.75" thickBot="1">
      <c r="A98" s="11" t="s">
        <v>36</v>
      </c>
      <c r="B98" t="s">
        <v>35</v>
      </c>
      <c r="C98" t="s">
        <v>34</v>
      </c>
      <c r="D98" s="4" t="s">
        <v>33</v>
      </c>
      <c r="E98" t="s">
        <v>32</v>
      </c>
      <c r="F98" s="4" t="s">
        <v>31</v>
      </c>
      <c r="G98" t="s">
        <v>2</v>
      </c>
      <c r="H98" t="s">
        <v>30</v>
      </c>
      <c r="I98" s="10">
        <v>0.1</v>
      </c>
      <c r="J98" s="10">
        <v>34.566667000000002</v>
      </c>
      <c r="K98" t="s">
        <v>29</v>
      </c>
      <c r="AV98" t="s">
        <v>28</v>
      </c>
      <c r="AW98">
        <v>100</v>
      </c>
      <c r="AX98" t="s">
        <v>29</v>
      </c>
      <c r="AY98">
        <v>4</v>
      </c>
      <c r="AZ98" t="s">
        <v>27</v>
      </c>
      <c r="BA98">
        <v>1994</v>
      </c>
      <c r="BB98">
        <v>1998</v>
      </c>
      <c r="BC98" t="s">
        <v>26</v>
      </c>
      <c r="BD98" t="s">
        <v>19</v>
      </c>
      <c r="BE98" s="10" t="s">
        <v>40</v>
      </c>
      <c r="BF98" t="s">
        <v>39</v>
      </c>
      <c r="BG98" s="3" t="s">
        <v>1243</v>
      </c>
      <c r="BH98" t="s">
        <v>23</v>
      </c>
      <c r="BI98" t="s">
        <v>750</v>
      </c>
      <c r="BJ98" s="4" t="s">
        <v>22</v>
      </c>
      <c r="BK98" s="9">
        <v>53000</v>
      </c>
      <c r="HR98" t="s">
        <v>21</v>
      </c>
      <c r="HT98" s="4" t="s">
        <v>20</v>
      </c>
      <c r="HU98" s="58">
        <v>34335</v>
      </c>
      <c r="HV98" s="58">
        <v>36160</v>
      </c>
      <c r="HW98" s="58"/>
      <c r="IN98" t="s">
        <v>38</v>
      </c>
      <c r="IO98" s="54" t="s">
        <v>19</v>
      </c>
      <c r="IT98" s="4" t="s">
        <v>18</v>
      </c>
      <c r="IU98" t="s">
        <v>38</v>
      </c>
      <c r="IV98" s="54" t="s">
        <v>19</v>
      </c>
      <c r="IZ98">
        <v>0</v>
      </c>
      <c r="JA98">
        <v>0</v>
      </c>
      <c r="JB98">
        <v>0</v>
      </c>
      <c r="JC98">
        <v>0</v>
      </c>
      <c r="JD98">
        <v>0</v>
      </c>
      <c r="JE98">
        <v>0</v>
      </c>
      <c r="JF98">
        <v>0</v>
      </c>
      <c r="JG98">
        <v>0</v>
      </c>
      <c r="JH98">
        <v>0</v>
      </c>
      <c r="JJ98" s="12" t="s">
        <v>721</v>
      </c>
      <c r="JO98" s="4"/>
      <c r="JU98" s="4"/>
      <c r="JV98" s="4"/>
      <c r="JW98" s="4"/>
      <c r="JX98" s="4"/>
      <c r="JY98" s="4"/>
      <c r="JZ98" s="4"/>
      <c r="KE98" s="7" t="s">
        <v>12</v>
      </c>
      <c r="KI98" s="7" t="s">
        <v>720</v>
      </c>
      <c r="MS98" t="s">
        <v>11</v>
      </c>
      <c r="MT98">
        <v>42</v>
      </c>
      <c r="MW98" s="4" t="s">
        <v>168</v>
      </c>
      <c r="NE98" t="s">
        <v>167</v>
      </c>
      <c r="NG98" s="4" t="s">
        <v>8</v>
      </c>
      <c r="NH98" s="6" t="s">
        <v>7</v>
      </c>
      <c r="NP98" t="s">
        <v>735</v>
      </c>
      <c r="NQ98" t="s">
        <v>6</v>
      </c>
      <c r="NR98" s="5" t="s">
        <v>182</v>
      </c>
      <c r="NS98" s="4" t="s">
        <v>4</v>
      </c>
      <c r="NT98" s="3">
        <v>0.19558758605877991</v>
      </c>
      <c r="NW98">
        <v>4</v>
      </c>
      <c r="OH98" t="s">
        <v>180</v>
      </c>
      <c r="OJ98">
        <v>1998</v>
      </c>
      <c r="OM98" s="2" t="s">
        <v>62</v>
      </c>
      <c r="OO98" t="s">
        <v>1178</v>
      </c>
      <c r="OP98" s="58">
        <v>46094</v>
      </c>
    </row>
    <row r="99" spans="1:406" ht="15.75" thickBot="1">
      <c r="A99" s="11" t="s">
        <v>36</v>
      </c>
      <c r="B99" t="s">
        <v>35</v>
      </c>
      <c r="C99" t="s">
        <v>34</v>
      </c>
      <c r="D99" s="4" t="s">
        <v>33</v>
      </c>
      <c r="E99" t="s">
        <v>32</v>
      </c>
      <c r="F99" s="4" t="s">
        <v>31</v>
      </c>
      <c r="G99" t="s">
        <v>2</v>
      </c>
      <c r="H99" t="s">
        <v>30</v>
      </c>
      <c r="I99" s="10">
        <v>0.1</v>
      </c>
      <c r="J99" s="10">
        <v>34.566667000000002</v>
      </c>
      <c r="K99" t="s">
        <v>29</v>
      </c>
      <c r="AV99" t="s">
        <v>28</v>
      </c>
      <c r="AW99">
        <v>100</v>
      </c>
      <c r="AX99" t="s">
        <v>29</v>
      </c>
      <c r="AY99">
        <v>4</v>
      </c>
      <c r="AZ99" t="s">
        <v>27</v>
      </c>
      <c r="BA99">
        <v>1994</v>
      </c>
      <c r="BB99">
        <v>1998</v>
      </c>
      <c r="BC99" t="s">
        <v>26</v>
      </c>
      <c r="BD99" t="s">
        <v>19</v>
      </c>
      <c r="BE99" s="10" t="s">
        <v>25</v>
      </c>
      <c r="BF99" t="s">
        <v>24</v>
      </c>
      <c r="BG99" s="3" t="s">
        <v>1243</v>
      </c>
      <c r="BH99" t="s">
        <v>23</v>
      </c>
      <c r="BI99" t="s">
        <v>750</v>
      </c>
      <c r="BJ99" s="4" t="s">
        <v>22</v>
      </c>
      <c r="BK99" s="9">
        <v>53000</v>
      </c>
      <c r="HR99" t="s">
        <v>21</v>
      </c>
      <c r="HT99" s="4" t="s">
        <v>20</v>
      </c>
      <c r="HU99" s="58">
        <v>34335</v>
      </c>
      <c r="HV99" s="58">
        <v>36160</v>
      </c>
      <c r="HW99" s="58"/>
      <c r="IN99" t="s">
        <v>16</v>
      </c>
      <c r="IO99" s="54" t="s">
        <v>19</v>
      </c>
      <c r="IT99" s="4" t="s">
        <v>18</v>
      </c>
      <c r="IU99" t="s">
        <v>17</v>
      </c>
      <c r="IV99" s="54" t="s">
        <v>19</v>
      </c>
      <c r="IZ99">
        <v>0</v>
      </c>
      <c r="JA99">
        <v>0</v>
      </c>
      <c r="JB99">
        <v>0</v>
      </c>
      <c r="JC99">
        <v>0</v>
      </c>
      <c r="JD99">
        <v>0</v>
      </c>
      <c r="JE99">
        <v>0</v>
      </c>
      <c r="JF99">
        <v>0</v>
      </c>
      <c r="JG99">
        <v>0</v>
      </c>
      <c r="JH99">
        <v>0</v>
      </c>
      <c r="JI99" t="s">
        <v>16</v>
      </c>
      <c r="JJ99" t="s">
        <v>15</v>
      </c>
      <c r="JK99" s="8" t="s">
        <v>14</v>
      </c>
      <c r="JO99" s="4" t="s">
        <v>13</v>
      </c>
      <c r="JP99">
        <v>60</v>
      </c>
      <c r="JS99">
        <v>60</v>
      </c>
      <c r="JU99" s="4"/>
      <c r="JV99" s="4"/>
      <c r="JW99" s="4"/>
      <c r="JX99" s="4"/>
      <c r="JY99" s="4"/>
      <c r="JZ99" s="4"/>
      <c r="KE99" s="7" t="s">
        <v>12</v>
      </c>
      <c r="KI99" s="7" t="s">
        <v>720</v>
      </c>
      <c r="MS99" t="s">
        <v>11</v>
      </c>
      <c r="MT99">
        <v>42</v>
      </c>
      <c r="MW99" s="4" t="s">
        <v>168</v>
      </c>
      <c r="NE99" t="s">
        <v>167</v>
      </c>
      <c r="NG99" s="4" t="s">
        <v>8</v>
      </c>
      <c r="NH99" s="6" t="s">
        <v>7</v>
      </c>
      <c r="NP99" t="s">
        <v>747</v>
      </c>
      <c r="NQ99" t="s">
        <v>6</v>
      </c>
      <c r="NR99" s="5" t="s">
        <v>181</v>
      </c>
      <c r="NS99" s="4" t="s">
        <v>4</v>
      </c>
      <c r="NT99" s="3">
        <v>9.7793793029389953E-2</v>
      </c>
      <c r="NW99">
        <v>4</v>
      </c>
      <c r="OH99" t="s">
        <v>180</v>
      </c>
      <c r="OJ99">
        <v>1998</v>
      </c>
      <c r="OM99" s="2" t="s">
        <v>62</v>
      </c>
      <c r="OO99" t="s">
        <v>1178</v>
      </c>
      <c r="OP99" s="58">
        <v>46094</v>
      </c>
    </row>
    <row r="100" spans="1:406" ht="15.75" thickBot="1">
      <c r="A100" s="11" t="s">
        <v>36</v>
      </c>
      <c r="B100" t="s">
        <v>35</v>
      </c>
      <c r="C100" t="s">
        <v>34</v>
      </c>
      <c r="D100" s="4" t="s">
        <v>33</v>
      </c>
      <c r="E100" t="s">
        <v>32</v>
      </c>
      <c r="F100" s="4" t="s">
        <v>31</v>
      </c>
      <c r="G100" t="s">
        <v>2</v>
      </c>
      <c r="H100" t="s">
        <v>30</v>
      </c>
      <c r="I100" s="10">
        <v>0.1</v>
      </c>
      <c r="J100" s="10">
        <v>34.566667000000002</v>
      </c>
      <c r="K100" t="s">
        <v>29</v>
      </c>
      <c r="AV100" t="s">
        <v>28</v>
      </c>
      <c r="AW100">
        <v>100</v>
      </c>
      <c r="AX100" t="s">
        <v>29</v>
      </c>
      <c r="AY100">
        <v>4</v>
      </c>
      <c r="AZ100" t="s">
        <v>27</v>
      </c>
      <c r="BA100">
        <v>1994</v>
      </c>
      <c r="BB100">
        <v>1998</v>
      </c>
      <c r="BC100" t="s">
        <v>26</v>
      </c>
      <c r="BD100" t="s">
        <v>59</v>
      </c>
      <c r="BE100" s="10" t="s">
        <v>65</v>
      </c>
      <c r="BF100" t="s">
        <v>64</v>
      </c>
      <c r="BG100" s="3" t="s">
        <v>1243</v>
      </c>
      <c r="BH100" t="s">
        <v>23</v>
      </c>
      <c r="BI100" t="s">
        <v>750</v>
      </c>
      <c r="BJ100" s="4" t="s">
        <v>22</v>
      </c>
      <c r="BK100" s="9">
        <v>53000</v>
      </c>
      <c r="EE100" t="s">
        <v>55</v>
      </c>
      <c r="EF100" s="4" t="s">
        <v>22</v>
      </c>
      <c r="EG100" s="9">
        <v>53000</v>
      </c>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K100" s="9"/>
      <c r="HR100" t="s">
        <v>21</v>
      </c>
      <c r="HT100" s="4" t="s">
        <v>20</v>
      </c>
      <c r="HU100" s="58">
        <v>34335</v>
      </c>
      <c r="HV100" s="58">
        <v>36160</v>
      </c>
      <c r="HW100" s="58"/>
      <c r="IM100" s="4"/>
      <c r="IN100" t="s">
        <v>63</v>
      </c>
      <c r="IO100" s="12" t="s">
        <v>1736</v>
      </c>
      <c r="IR100">
        <v>1995</v>
      </c>
      <c r="IS100">
        <v>1995.2</v>
      </c>
      <c r="IT100" s="4" t="s">
        <v>18</v>
      </c>
      <c r="IU100" t="s">
        <v>61</v>
      </c>
      <c r="IV100" s="12" t="s">
        <v>52</v>
      </c>
      <c r="IY100">
        <v>0.5</v>
      </c>
      <c r="IZ100" t="s">
        <v>29</v>
      </c>
      <c r="JA100" t="s">
        <v>29</v>
      </c>
      <c r="JB100" t="s">
        <v>29</v>
      </c>
      <c r="JC100" t="s">
        <v>29</v>
      </c>
      <c r="JD100" t="s">
        <v>29</v>
      </c>
      <c r="JE100" t="s">
        <v>29</v>
      </c>
      <c r="JF100" t="s">
        <v>29</v>
      </c>
      <c r="JG100" t="s">
        <v>29</v>
      </c>
      <c r="JH100" t="s">
        <v>29</v>
      </c>
      <c r="JJ100" s="12" t="s">
        <v>721</v>
      </c>
      <c r="JO100" s="4"/>
      <c r="JU100" s="4"/>
      <c r="JV100" s="4"/>
      <c r="JW100" s="4"/>
      <c r="JX100" s="4"/>
      <c r="JY100" s="4"/>
      <c r="JZ100" s="4"/>
      <c r="KE100" s="7" t="s">
        <v>12</v>
      </c>
      <c r="KI100" s="53" t="s">
        <v>719</v>
      </c>
      <c r="KJ100" s="8" t="s">
        <v>51</v>
      </c>
      <c r="KL100" t="s">
        <v>29</v>
      </c>
      <c r="MS100" t="s">
        <v>11</v>
      </c>
      <c r="MT100">
        <v>42</v>
      </c>
      <c r="MW100" s="4" t="s">
        <v>168</v>
      </c>
      <c r="NE100" t="s">
        <v>167</v>
      </c>
      <c r="NG100" s="4" t="s">
        <v>8</v>
      </c>
      <c r="NH100" s="6" t="s">
        <v>7</v>
      </c>
      <c r="NQ100" t="s">
        <v>6</v>
      </c>
      <c r="NR100" s="5" t="s">
        <v>179</v>
      </c>
      <c r="NS100" s="4" t="s">
        <v>4</v>
      </c>
      <c r="NT100" s="3">
        <v>0.4952380952380997</v>
      </c>
      <c r="NW100">
        <v>4</v>
      </c>
      <c r="OH100" t="s">
        <v>174</v>
      </c>
      <c r="OJ100">
        <v>1996</v>
      </c>
      <c r="OM100" s="2" t="s">
        <v>1</v>
      </c>
      <c r="OO100" t="s">
        <v>1178</v>
      </c>
      <c r="OP100" s="58">
        <v>46094</v>
      </c>
    </row>
    <row r="101" spans="1:406" ht="15.75" thickBot="1">
      <c r="A101" s="11" t="s">
        <v>36</v>
      </c>
      <c r="B101" t="s">
        <v>35</v>
      </c>
      <c r="C101" t="s">
        <v>34</v>
      </c>
      <c r="D101" s="4" t="s">
        <v>33</v>
      </c>
      <c r="E101" t="s">
        <v>32</v>
      </c>
      <c r="F101" s="4" t="s">
        <v>31</v>
      </c>
      <c r="G101" t="s">
        <v>2</v>
      </c>
      <c r="H101" t="s">
        <v>30</v>
      </c>
      <c r="I101" s="10">
        <v>0.1</v>
      </c>
      <c r="J101" s="10">
        <v>34.566667000000002</v>
      </c>
      <c r="K101" t="s">
        <v>29</v>
      </c>
      <c r="AV101" t="s">
        <v>28</v>
      </c>
      <c r="AW101">
        <v>100</v>
      </c>
      <c r="AX101" t="s">
        <v>29</v>
      </c>
      <c r="AY101">
        <v>4</v>
      </c>
      <c r="AZ101" t="s">
        <v>27</v>
      </c>
      <c r="BA101">
        <v>1994</v>
      </c>
      <c r="BB101">
        <v>1998</v>
      </c>
      <c r="BC101" t="s">
        <v>26</v>
      </c>
      <c r="BD101" t="s">
        <v>59</v>
      </c>
      <c r="BE101" s="10" t="s">
        <v>58</v>
      </c>
      <c r="BF101" t="s">
        <v>57</v>
      </c>
      <c r="BG101" s="3" t="s">
        <v>1243</v>
      </c>
      <c r="BH101" t="s">
        <v>23</v>
      </c>
      <c r="BI101" t="s">
        <v>750</v>
      </c>
      <c r="BJ101" s="4" t="s">
        <v>22</v>
      </c>
      <c r="BK101" s="9">
        <v>53000</v>
      </c>
      <c r="EE101" t="s">
        <v>55</v>
      </c>
      <c r="EF101" s="4" t="s">
        <v>22</v>
      </c>
      <c r="EG101" s="9">
        <v>53000</v>
      </c>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K101" s="9"/>
      <c r="HR101" t="s">
        <v>21</v>
      </c>
      <c r="HT101" s="4" t="s">
        <v>20</v>
      </c>
      <c r="HU101" s="58">
        <v>34335</v>
      </c>
      <c r="HV101" s="58">
        <v>36160</v>
      </c>
      <c r="HW101" s="58"/>
      <c r="IM101" s="4"/>
      <c r="IN101" t="s">
        <v>54</v>
      </c>
      <c r="IO101" s="12" t="s">
        <v>1737</v>
      </c>
      <c r="IR101">
        <v>1994</v>
      </c>
      <c r="IS101">
        <v>1994.2</v>
      </c>
      <c r="IT101" s="4" t="s">
        <v>18</v>
      </c>
      <c r="IU101" t="s">
        <v>53</v>
      </c>
      <c r="IV101" s="12" t="s">
        <v>52</v>
      </c>
      <c r="IY101">
        <v>0.5</v>
      </c>
      <c r="IZ101" t="s">
        <v>29</v>
      </c>
      <c r="JA101" t="s">
        <v>29</v>
      </c>
      <c r="JB101" t="s">
        <v>29</v>
      </c>
      <c r="JC101" t="s">
        <v>29</v>
      </c>
      <c r="JD101" t="s">
        <v>29</v>
      </c>
      <c r="JE101" t="s">
        <v>29</v>
      </c>
      <c r="JF101" t="s">
        <v>29</v>
      </c>
      <c r="JG101" t="s">
        <v>29</v>
      </c>
      <c r="JH101" t="s">
        <v>29</v>
      </c>
      <c r="JJ101" s="12" t="s">
        <v>721</v>
      </c>
      <c r="JO101" s="4"/>
      <c r="JU101" s="4"/>
      <c r="JV101" s="4"/>
      <c r="JW101" s="4"/>
      <c r="JX101" s="4"/>
      <c r="JY101" s="4"/>
      <c r="JZ101" s="4"/>
      <c r="KE101" s="7" t="s">
        <v>12</v>
      </c>
      <c r="KI101" s="53" t="s">
        <v>719</v>
      </c>
      <c r="KJ101" s="8" t="s">
        <v>51</v>
      </c>
      <c r="KL101" t="s">
        <v>29</v>
      </c>
      <c r="MS101" t="s">
        <v>11</v>
      </c>
      <c r="MT101">
        <v>42</v>
      </c>
      <c r="MW101" s="4" t="s">
        <v>168</v>
      </c>
      <c r="NE101" t="s">
        <v>167</v>
      </c>
      <c r="NG101" s="4" t="s">
        <v>8</v>
      </c>
      <c r="NH101" s="6" t="s">
        <v>7</v>
      </c>
      <c r="NQ101" t="s">
        <v>6</v>
      </c>
      <c r="NR101" s="5" t="s">
        <v>178</v>
      </c>
      <c r="NS101" s="4" t="s">
        <v>4</v>
      </c>
      <c r="NT101" s="3">
        <v>0.19047619047619002</v>
      </c>
      <c r="NW101">
        <v>4</v>
      </c>
      <c r="OH101" t="s">
        <v>174</v>
      </c>
      <c r="OJ101">
        <v>1996</v>
      </c>
      <c r="OM101" s="2" t="s">
        <v>1</v>
      </c>
      <c r="OO101" t="s">
        <v>1178</v>
      </c>
      <c r="OP101" s="58">
        <v>46094</v>
      </c>
    </row>
    <row r="102" spans="1:406" ht="15.75" thickBot="1">
      <c r="A102" s="11" t="s">
        <v>36</v>
      </c>
      <c r="B102" t="s">
        <v>35</v>
      </c>
      <c r="C102" t="s">
        <v>34</v>
      </c>
      <c r="D102" s="4" t="s">
        <v>33</v>
      </c>
      <c r="E102" t="s">
        <v>32</v>
      </c>
      <c r="F102" s="4" t="s">
        <v>31</v>
      </c>
      <c r="G102" t="s">
        <v>2</v>
      </c>
      <c r="H102" t="s">
        <v>30</v>
      </c>
      <c r="I102" s="10">
        <v>0.1</v>
      </c>
      <c r="J102" s="10">
        <v>34.566667000000002</v>
      </c>
      <c r="K102" t="s">
        <v>29</v>
      </c>
      <c r="AV102" t="s">
        <v>28</v>
      </c>
      <c r="AW102">
        <v>100</v>
      </c>
      <c r="AX102" t="s">
        <v>29</v>
      </c>
      <c r="AY102">
        <v>4</v>
      </c>
      <c r="AZ102" t="s">
        <v>27</v>
      </c>
      <c r="BA102">
        <v>1994</v>
      </c>
      <c r="BB102">
        <v>1998</v>
      </c>
      <c r="BC102" t="s">
        <v>26</v>
      </c>
      <c r="BD102" t="s">
        <v>45</v>
      </c>
      <c r="BE102" s="10" t="s">
        <v>49</v>
      </c>
      <c r="BF102" t="s">
        <v>48</v>
      </c>
      <c r="BG102" s="3" t="s">
        <v>1243</v>
      </c>
      <c r="BH102" t="s">
        <v>23</v>
      </c>
      <c r="BI102" t="s">
        <v>750</v>
      </c>
      <c r="BJ102" s="4" t="s">
        <v>22</v>
      </c>
      <c r="BK102" s="9">
        <v>53000</v>
      </c>
      <c r="EF102" s="4"/>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K102" s="9"/>
      <c r="HR102" t="s">
        <v>21</v>
      </c>
      <c r="HT102" s="4" t="s">
        <v>20</v>
      </c>
      <c r="HU102" s="58">
        <v>34335</v>
      </c>
      <c r="HV102" s="58">
        <v>36160</v>
      </c>
      <c r="HW102" s="58"/>
      <c r="IN102" t="s">
        <v>47</v>
      </c>
      <c r="IO102" s="54" t="s">
        <v>1236</v>
      </c>
      <c r="IR102">
        <v>1995</v>
      </c>
      <c r="IS102">
        <v>1995.2</v>
      </c>
      <c r="IT102" s="4" t="s">
        <v>18</v>
      </c>
      <c r="IU102" t="s">
        <v>38</v>
      </c>
      <c r="IV102" t="s">
        <v>19</v>
      </c>
      <c r="IZ102">
        <v>0</v>
      </c>
      <c r="JA102">
        <v>0</v>
      </c>
      <c r="JB102">
        <v>0</v>
      </c>
      <c r="JC102">
        <v>0</v>
      </c>
      <c r="JD102">
        <v>0</v>
      </c>
      <c r="JE102">
        <v>0</v>
      </c>
      <c r="JF102">
        <v>0</v>
      </c>
      <c r="JG102">
        <v>0</v>
      </c>
      <c r="JH102">
        <v>0</v>
      </c>
      <c r="JJ102" s="12" t="s">
        <v>721</v>
      </c>
      <c r="JO102" s="4"/>
      <c r="JU102" s="4"/>
      <c r="JV102" s="4"/>
      <c r="JW102" s="4"/>
      <c r="JX102" s="4"/>
      <c r="JY102" s="4"/>
      <c r="JZ102" s="4"/>
      <c r="KE102" s="7" t="s">
        <v>12</v>
      </c>
      <c r="KI102" s="7" t="s">
        <v>720</v>
      </c>
      <c r="MS102" t="s">
        <v>11</v>
      </c>
      <c r="MT102">
        <v>42</v>
      </c>
      <c r="MW102" s="4" t="s">
        <v>168</v>
      </c>
      <c r="NE102" t="s">
        <v>167</v>
      </c>
      <c r="NG102" s="4" t="s">
        <v>8</v>
      </c>
      <c r="NH102" s="6" t="s">
        <v>7</v>
      </c>
      <c r="NQ102" t="s">
        <v>6</v>
      </c>
      <c r="NR102" s="5" t="s">
        <v>177</v>
      </c>
      <c r="NS102" s="4" t="s">
        <v>4</v>
      </c>
      <c r="NT102" s="3">
        <v>0.20952380952380989</v>
      </c>
      <c r="NW102">
        <v>4</v>
      </c>
      <c r="OH102" t="s">
        <v>174</v>
      </c>
      <c r="OJ102">
        <v>1996</v>
      </c>
      <c r="OM102" s="2" t="s">
        <v>1</v>
      </c>
      <c r="OO102" t="s">
        <v>1178</v>
      </c>
      <c r="OP102" s="58">
        <v>46094</v>
      </c>
    </row>
    <row r="103" spans="1:406" ht="15.75" thickBot="1">
      <c r="A103" s="11" t="s">
        <v>36</v>
      </c>
      <c r="B103" t="s">
        <v>35</v>
      </c>
      <c r="C103" t="s">
        <v>34</v>
      </c>
      <c r="D103" s="4" t="s">
        <v>33</v>
      </c>
      <c r="E103" t="s">
        <v>32</v>
      </c>
      <c r="F103" s="4" t="s">
        <v>31</v>
      </c>
      <c r="G103" t="s">
        <v>2</v>
      </c>
      <c r="H103" t="s">
        <v>30</v>
      </c>
      <c r="I103" s="10">
        <v>0.1</v>
      </c>
      <c r="J103" s="10">
        <v>34.566667000000002</v>
      </c>
      <c r="K103" t="s">
        <v>29</v>
      </c>
      <c r="AV103" t="s">
        <v>28</v>
      </c>
      <c r="AW103">
        <v>100</v>
      </c>
      <c r="AX103" t="s">
        <v>29</v>
      </c>
      <c r="AY103">
        <v>4</v>
      </c>
      <c r="AZ103" t="s">
        <v>27</v>
      </c>
      <c r="BA103">
        <v>1994</v>
      </c>
      <c r="BB103">
        <v>1998</v>
      </c>
      <c r="BC103" t="s">
        <v>26</v>
      </c>
      <c r="BD103" t="s">
        <v>45</v>
      </c>
      <c r="BE103" s="10" t="s">
        <v>44</v>
      </c>
      <c r="BF103" t="s">
        <v>43</v>
      </c>
      <c r="BG103" s="3" t="s">
        <v>1243</v>
      </c>
      <c r="BH103" t="s">
        <v>23</v>
      </c>
      <c r="BI103" t="s">
        <v>750</v>
      </c>
      <c r="BJ103" s="4" t="s">
        <v>22</v>
      </c>
      <c r="BK103" s="9">
        <v>53000</v>
      </c>
      <c r="EF103" s="4"/>
      <c r="EG103" s="9"/>
      <c r="EH103" s="9"/>
      <c r="EI103" s="9"/>
      <c r="EJ103" s="9"/>
      <c r="EK103" s="9"/>
      <c r="EL103" s="9"/>
      <c r="EM103" s="9"/>
      <c r="EN103" s="9"/>
      <c r="EO103" s="9"/>
      <c r="EP103" s="9"/>
      <c r="EQ103" s="9"/>
      <c r="ER103" s="9"/>
      <c r="ES103" s="9"/>
      <c r="ET103" s="9"/>
      <c r="EU103" s="9"/>
      <c r="EV103" s="9"/>
      <c r="EW103" s="9"/>
      <c r="EX103" s="9"/>
      <c r="EY103" s="9"/>
      <c r="EZ103" s="9"/>
      <c r="FA103" s="9"/>
      <c r="FB103" s="9"/>
      <c r="FC103" s="9"/>
      <c r="FD103" s="9"/>
      <c r="FE103" s="9"/>
      <c r="FF103" s="9"/>
      <c r="FG103" s="9"/>
      <c r="FH103" s="9"/>
      <c r="FI103" s="9"/>
      <c r="FJ103" s="9"/>
      <c r="FK103" s="9"/>
      <c r="FL103" s="9"/>
      <c r="FM103" s="9"/>
      <c r="FN103" s="9"/>
      <c r="FO103" s="9"/>
      <c r="FP103" s="9"/>
      <c r="FQ103" s="9"/>
      <c r="FR103" s="9"/>
      <c r="FS103" s="9"/>
      <c r="FT103" s="9"/>
      <c r="FU103" s="9"/>
      <c r="FV103" s="9"/>
      <c r="FW103" s="9"/>
      <c r="FX103" s="9"/>
      <c r="FY103" s="9"/>
      <c r="FZ103" s="9"/>
      <c r="GA103" s="9"/>
      <c r="GB103" s="9"/>
      <c r="GC103" s="9"/>
      <c r="GD103" s="9"/>
      <c r="GE103" s="9"/>
      <c r="GF103" s="9"/>
      <c r="GG103" s="9"/>
      <c r="GH103" s="9"/>
      <c r="GI103" s="9"/>
      <c r="GJ103" s="9"/>
      <c r="GK103" s="9"/>
      <c r="GL103" s="9"/>
      <c r="GM103" s="9"/>
      <c r="GN103" s="9"/>
      <c r="GO103" s="9"/>
      <c r="GP103" s="9"/>
      <c r="GQ103" s="9"/>
      <c r="GR103" s="9"/>
      <c r="GS103" s="9"/>
      <c r="GT103" s="9"/>
      <c r="GU103" s="9"/>
      <c r="GV103" s="9"/>
      <c r="GW103" s="9"/>
      <c r="GX103" s="9"/>
      <c r="GY103" s="9"/>
      <c r="GZ103" s="9"/>
      <c r="HA103" s="9"/>
      <c r="HB103" s="9"/>
      <c r="HC103" s="9"/>
      <c r="HD103" s="9"/>
      <c r="HE103" s="9"/>
      <c r="HF103" s="9"/>
      <c r="HG103" s="9"/>
      <c r="HH103" s="9"/>
      <c r="HI103" s="9"/>
      <c r="HJ103" s="9"/>
      <c r="HK103" s="9"/>
      <c r="HR103" t="s">
        <v>21</v>
      </c>
      <c r="HT103" s="4" t="s">
        <v>20</v>
      </c>
      <c r="HU103" s="58">
        <v>34335</v>
      </c>
      <c r="HV103" s="58">
        <v>36160</v>
      </c>
      <c r="HW103" s="58"/>
      <c r="IN103" t="s">
        <v>42</v>
      </c>
      <c r="IO103" s="13" t="s">
        <v>1237</v>
      </c>
      <c r="IR103">
        <v>1994</v>
      </c>
      <c r="IS103">
        <v>1994.2</v>
      </c>
      <c r="IT103" s="4" t="s">
        <v>18</v>
      </c>
      <c r="IU103" t="s">
        <v>38</v>
      </c>
      <c r="IV103" t="s">
        <v>19</v>
      </c>
      <c r="IZ103">
        <v>0</v>
      </c>
      <c r="JA103">
        <v>0</v>
      </c>
      <c r="JB103">
        <v>0</v>
      </c>
      <c r="JC103">
        <v>0</v>
      </c>
      <c r="JD103">
        <v>0</v>
      </c>
      <c r="JE103">
        <v>0</v>
      </c>
      <c r="JF103">
        <v>0</v>
      </c>
      <c r="JG103">
        <v>0</v>
      </c>
      <c r="JH103">
        <v>0</v>
      </c>
      <c r="JJ103" s="12" t="s">
        <v>721</v>
      </c>
      <c r="JO103" s="4"/>
      <c r="JU103" s="4"/>
      <c r="JV103" s="4"/>
      <c r="JW103" s="4"/>
      <c r="JX103" s="4"/>
      <c r="JY103" s="4"/>
      <c r="JZ103" s="4"/>
      <c r="KE103" s="7" t="s">
        <v>12</v>
      </c>
      <c r="KI103" s="7" t="s">
        <v>720</v>
      </c>
      <c r="MS103" t="s">
        <v>11</v>
      </c>
      <c r="MT103">
        <v>42</v>
      </c>
      <c r="MW103" s="4" t="s">
        <v>168</v>
      </c>
      <c r="NE103" t="s">
        <v>167</v>
      </c>
      <c r="NG103" s="4" t="s">
        <v>8</v>
      </c>
      <c r="NH103" s="6" t="s">
        <v>7</v>
      </c>
      <c r="NQ103" t="s">
        <v>6</v>
      </c>
      <c r="NR103" s="5" t="s">
        <v>175</v>
      </c>
      <c r="NS103" s="4" t="s">
        <v>4</v>
      </c>
      <c r="NT103" s="3">
        <v>0.19047619047620001</v>
      </c>
      <c r="NW103">
        <v>4</v>
      </c>
      <c r="OH103" t="s">
        <v>174</v>
      </c>
      <c r="OJ103">
        <v>1996</v>
      </c>
      <c r="OM103" s="2" t="s">
        <v>1</v>
      </c>
      <c r="OO103" t="s">
        <v>1178</v>
      </c>
      <c r="OP103" s="58">
        <v>46094</v>
      </c>
    </row>
    <row r="104" spans="1:406" ht="15.75" thickBot="1">
      <c r="A104" s="11" t="s">
        <v>36</v>
      </c>
      <c r="B104" t="s">
        <v>35</v>
      </c>
      <c r="C104" t="s">
        <v>34</v>
      </c>
      <c r="D104" s="4" t="s">
        <v>33</v>
      </c>
      <c r="E104" t="s">
        <v>32</v>
      </c>
      <c r="F104" s="4" t="s">
        <v>31</v>
      </c>
      <c r="G104" t="s">
        <v>2</v>
      </c>
      <c r="H104" t="s">
        <v>30</v>
      </c>
      <c r="I104" s="10">
        <v>0.1</v>
      </c>
      <c r="J104" s="10">
        <v>34.566667000000002</v>
      </c>
      <c r="K104" t="s">
        <v>29</v>
      </c>
      <c r="AV104" t="s">
        <v>28</v>
      </c>
      <c r="AW104">
        <v>100</v>
      </c>
      <c r="AX104" t="s">
        <v>29</v>
      </c>
      <c r="AY104">
        <v>4</v>
      </c>
      <c r="AZ104" t="s">
        <v>27</v>
      </c>
      <c r="BA104">
        <v>1994</v>
      </c>
      <c r="BB104">
        <v>1998</v>
      </c>
      <c r="BC104" t="s">
        <v>26</v>
      </c>
      <c r="BD104" t="s">
        <v>19</v>
      </c>
      <c r="BE104" s="10" t="s">
        <v>40</v>
      </c>
      <c r="BF104" t="s">
        <v>39</v>
      </c>
      <c r="BG104" s="3" t="s">
        <v>1243</v>
      </c>
      <c r="BH104" t="s">
        <v>23</v>
      </c>
      <c r="BI104" t="s">
        <v>750</v>
      </c>
      <c r="BJ104" s="4" t="s">
        <v>22</v>
      </c>
      <c r="BK104" s="9">
        <v>53000</v>
      </c>
      <c r="HR104" t="s">
        <v>21</v>
      </c>
      <c r="HT104" s="4" t="s">
        <v>20</v>
      </c>
      <c r="HU104" s="58">
        <v>34335</v>
      </c>
      <c r="HV104" s="58">
        <v>36160</v>
      </c>
      <c r="HW104" s="58"/>
      <c r="IN104" t="s">
        <v>38</v>
      </c>
      <c r="IO104" s="54" t="s">
        <v>19</v>
      </c>
      <c r="IT104" s="4" t="s">
        <v>18</v>
      </c>
      <c r="IU104" t="s">
        <v>38</v>
      </c>
      <c r="IV104" s="54" t="s">
        <v>19</v>
      </c>
      <c r="IZ104">
        <v>0</v>
      </c>
      <c r="JA104">
        <v>0</v>
      </c>
      <c r="JB104">
        <v>0</v>
      </c>
      <c r="JC104">
        <v>0</v>
      </c>
      <c r="JD104">
        <v>0</v>
      </c>
      <c r="JE104">
        <v>0</v>
      </c>
      <c r="JF104">
        <v>0</v>
      </c>
      <c r="JG104">
        <v>0</v>
      </c>
      <c r="JH104">
        <v>0</v>
      </c>
      <c r="JJ104" s="12" t="s">
        <v>721</v>
      </c>
      <c r="JO104" s="4"/>
      <c r="JU104" s="4"/>
      <c r="JV104" s="4"/>
      <c r="JW104" s="4"/>
      <c r="JX104" s="4"/>
      <c r="JY104" s="4"/>
      <c r="JZ104" s="4"/>
      <c r="KE104" s="7" t="s">
        <v>12</v>
      </c>
      <c r="KI104" s="7" t="s">
        <v>720</v>
      </c>
      <c r="MS104" t="s">
        <v>11</v>
      </c>
      <c r="MT104">
        <v>42</v>
      </c>
      <c r="MW104" s="4" t="s">
        <v>168</v>
      </c>
      <c r="NE104" t="s">
        <v>167</v>
      </c>
      <c r="NG104" s="4" t="s">
        <v>8</v>
      </c>
      <c r="NH104" s="6" t="s">
        <v>7</v>
      </c>
      <c r="NP104" t="s">
        <v>735</v>
      </c>
      <c r="NQ104" t="s">
        <v>6</v>
      </c>
      <c r="NR104" s="5" t="s">
        <v>176</v>
      </c>
      <c r="NS104" s="4" t="s">
        <v>4</v>
      </c>
      <c r="NT104" s="3">
        <v>5.7142857142850056E-2</v>
      </c>
      <c r="NW104">
        <v>4</v>
      </c>
      <c r="OH104" t="s">
        <v>174</v>
      </c>
      <c r="OJ104">
        <v>1996</v>
      </c>
      <c r="OM104" s="2" t="s">
        <v>1</v>
      </c>
      <c r="OO104" t="s">
        <v>1178</v>
      </c>
      <c r="OP104" s="58">
        <v>46094</v>
      </c>
    </row>
    <row r="105" spans="1:406" ht="15.75" thickBot="1">
      <c r="A105" s="11" t="s">
        <v>36</v>
      </c>
      <c r="B105" t="s">
        <v>35</v>
      </c>
      <c r="C105" t="s">
        <v>34</v>
      </c>
      <c r="D105" s="4" t="s">
        <v>33</v>
      </c>
      <c r="E105" t="s">
        <v>32</v>
      </c>
      <c r="F105" s="4" t="s">
        <v>31</v>
      </c>
      <c r="G105" t="s">
        <v>2</v>
      </c>
      <c r="H105" t="s">
        <v>30</v>
      </c>
      <c r="I105" s="10">
        <v>0.1</v>
      </c>
      <c r="J105" s="10">
        <v>34.566667000000002</v>
      </c>
      <c r="K105" t="s">
        <v>29</v>
      </c>
      <c r="AV105" t="s">
        <v>28</v>
      </c>
      <c r="AW105">
        <v>100</v>
      </c>
      <c r="AX105" t="s">
        <v>29</v>
      </c>
      <c r="AY105">
        <v>4</v>
      </c>
      <c r="AZ105" t="s">
        <v>27</v>
      </c>
      <c r="BA105">
        <v>1994</v>
      </c>
      <c r="BB105">
        <v>1998</v>
      </c>
      <c r="BC105" t="s">
        <v>26</v>
      </c>
      <c r="BD105" t="s">
        <v>19</v>
      </c>
      <c r="BE105" s="10" t="s">
        <v>25</v>
      </c>
      <c r="BF105" t="s">
        <v>24</v>
      </c>
      <c r="BG105" s="3" t="s">
        <v>1243</v>
      </c>
      <c r="BH105" t="s">
        <v>23</v>
      </c>
      <c r="BI105" t="s">
        <v>750</v>
      </c>
      <c r="BJ105" s="4" t="s">
        <v>22</v>
      </c>
      <c r="BK105" s="9">
        <v>53000</v>
      </c>
      <c r="HR105" t="s">
        <v>21</v>
      </c>
      <c r="HT105" s="4" t="s">
        <v>20</v>
      </c>
      <c r="HU105" s="58">
        <v>34335</v>
      </c>
      <c r="HV105" s="58">
        <v>36160</v>
      </c>
      <c r="HW105" s="58"/>
      <c r="IN105" t="s">
        <v>16</v>
      </c>
      <c r="IO105" s="54" t="s">
        <v>19</v>
      </c>
      <c r="IT105" s="4" t="s">
        <v>18</v>
      </c>
      <c r="IU105" t="s">
        <v>17</v>
      </c>
      <c r="IV105" s="54" t="s">
        <v>19</v>
      </c>
      <c r="IZ105">
        <v>0</v>
      </c>
      <c r="JA105">
        <v>0</v>
      </c>
      <c r="JB105">
        <v>0</v>
      </c>
      <c r="JC105">
        <v>0</v>
      </c>
      <c r="JD105">
        <v>0</v>
      </c>
      <c r="JE105">
        <v>0</v>
      </c>
      <c r="JF105">
        <v>0</v>
      </c>
      <c r="JG105">
        <v>0</v>
      </c>
      <c r="JH105">
        <v>0</v>
      </c>
      <c r="JI105" t="s">
        <v>16</v>
      </c>
      <c r="JJ105" t="s">
        <v>15</v>
      </c>
      <c r="JK105" s="8" t="s">
        <v>14</v>
      </c>
      <c r="JO105" s="4" t="s">
        <v>13</v>
      </c>
      <c r="JP105">
        <v>60</v>
      </c>
      <c r="JS105">
        <v>60</v>
      </c>
      <c r="JU105" s="4"/>
      <c r="JV105" s="4"/>
      <c r="JW105" s="4"/>
      <c r="JX105" s="4"/>
      <c r="JY105" s="4"/>
      <c r="JZ105" s="4"/>
      <c r="KE105" s="7" t="s">
        <v>12</v>
      </c>
      <c r="KI105" s="7" t="s">
        <v>720</v>
      </c>
      <c r="KJ105" s="7"/>
      <c r="MS105" t="s">
        <v>11</v>
      </c>
      <c r="MT105">
        <v>42</v>
      </c>
      <c r="MW105" s="4" t="s">
        <v>168</v>
      </c>
      <c r="NE105" t="s">
        <v>167</v>
      </c>
      <c r="NG105" s="4" t="s">
        <v>8</v>
      </c>
      <c r="NH105" s="6" t="s">
        <v>7</v>
      </c>
      <c r="NP105" t="s">
        <v>747</v>
      </c>
      <c r="NQ105" t="s">
        <v>6</v>
      </c>
      <c r="NR105" s="5" t="s">
        <v>175</v>
      </c>
      <c r="NS105" s="4" t="s">
        <v>4</v>
      </c>
      <c r="NT105" s="3">
        <v>0.17142857142857992</v>
      </c>
      <c r="NW105">
        <v>4</v>
      </c>
      <c r="OH105" t="s">
        <v>174</v>
      </c>
      <c r="OJ105">
        <v>1996</v>
      </c>
      <c r="OM105" s="2" t="s">
        <v>1</v>
      </c>
      <c r="OO105" t="s">
        <v>1178</v>
      </c>
      <c r="OP105" s="58">
        <v>46094</v>
      </c>
    </row>
    <row r="106" spans="1:406" ht="15.75" thickBot="1">
      <c r="A106" s="11" t="s">
        <v>36</v>
      </c>
      <c r="B106" t="s">
        <v>35</v>
      </c>
      <c r="C106" t="s">
        <v>34</v>
      </c>
      <c r="D106" s="4" t="s">
        <v>33</v>
      </c>
      <c r="E106" t="s">
        <v>32</v>
      </c>
      <c r="F106" s="4" t="s">
        <v>31</v>
      </c>
      <c r="G106" t="s">
        <v>2</v>
      </c>
      <c r="H106" t="s">
        <v>30</v>
      </c>
      <c r="I106" s="10">
        <v>0.1</v>
      </c>
      <c r="J106" s="10">
        <v>34.566667000000002</v>
      </c>
      <c r="K106" t="s">
        <v>29</v>
      </c>
      <c r="AV106" t="s">
        <v>28</v>
      </c>
      <c r="AW106">
        <v>100</v>
      </c>
      <c r="AX106" t="s">
        <v>29</v>
      </c>
      <c r="AY106">
        <v>4</v>
      </c>
      <c r="AZ106" t="s">
        <v>27</v>
      </c>
      <c r="BA106">
        <v>1994</v>
      </c>
      <c r="BB106">
        <v>1998</v>
      </c>
      <c r="BC106" t="s">
        <v>26</v>
      </c>
      <c r="BD106" t="s">
        <v>59</v>
      </c>
      <c r="BE106" s="10" t="s">
        <v>65</v>
      </c>
      <c r="BF106" t="s">
        <v>64</v>
      </c>
      <c r="BG106" s="3" t="s">
        <v>1243</v>
      </c>
      <c r="BH106" t="s">
        <v>23</v>
      </c>
      <c r="BI106" t="s">
        <v>750</v>
      </c>
      <c r="BJ106" s="4" t="s">
        <v>22</v>
      </c>
      <c r="BK106" s="9">
        <v>53000</v>
      </c>
      <c r="EE106" t="s">
        <v>55</v>
      </c>
      <c r="EF106" s="4" t="s">
        <v>22</v>
      </c>
      <c r="EG106" s="9">
        <v>53000</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R106" t="s">
        <v>21</v>
      </c>
      <c r="HT106" s="4" t="s">
        <v>20</v>
      </c>
      <c r="HU106" s="58">
        <v>34335</v>
      </c>
      <c r="HV106" s="58">
        <v>36160</v>
      </c>
      <c r="HW106" s="58"/>
      <c r="IM106" s="4"/>
      <c r="IN106" t="s">
        <v>63</v>
      </c>
      <c r="IO106" s="12" t="s">
        <v>1736</v>
      </c>
      <c r="IR106">
        <v>1995</v>
      </c>
      <c r="IS106">
        <v>1995.2</v>
      </c>
      <c r="IT106" s="4" t="s">
        <v>18</v>
      </c>
      <c r="IU106" t="s">
        <v>61</v>
      </c>
      <c r="IV106" s="12" t="s">
        <v>52</v>
      </c>
      <c r="IY106">
        <v>0.5</v>
      </c>
      <c r="IZ106" t="s">
        <v>29</v>
      </c>
      <c r="JA106" t="s">
        <v>29</v>
      </c>
      <c r="JB106" t="s">
        <v>29</v>
      </c>
      <c r="JC106" t="s">
        <v>29</v>
      </c>
      <c r="JD106" t="s">
        <v>29</v>
      </c>
      <c r="JE106" t="s">
        <v>29</v>
      </c>
      <c r="JF106" t="s">
        <v>29</v>
      </c>
      <c r="JG106" t="s">
        <v>29</v>
      </c>
      <c r="JH106" t="s">
        <v>29</v>
      </c>
      <c r="JJ106" s="12" t="s">
        <v>721</v>
      </c>
      <c r="JO106" s="4"/>
      <c r="JU106" s="4"/>
      <c r="JV106" s="4"/>
      <c r="JW106" s="4"/>
      <c r="JX106" s="4"/>
      <c r="JY106" s="4"/>
      <c r="JZ106" s="4"/>
      <c r="KE106" s="7" t="s">
        <v>12</v>
      </c>
      <c r="KI106" s="7" t="s">
        <v>719</v>
      </c>
      <c r="KJ106" s="7" t="s">
        <v>51</v>
      </c>
      <c r="KL106" t="s">
        <v>29</v>
      </c>
      <c r="MS106" t="s">
        <v>11</v>
      </c>
      <c r="MT106">
        <v>42</v>
      </c>
      <c r="MW106" s="4" t="s">
        <v>168</v>
      </c>
      <c r="NE106" t="s">
        <v>167</v>
      </c>
      <c r="NG106" s="4" t="s">
        <v>8</v>
      </c>
      <c r="NH106" s="6" t="s">
        <v>7</v>
      </c>
      <c r="NQ106" t="s">
        <v>6</v>
      </c>
      <c r="NR106" s="5" t="s">
        <v>173</v>
      </c>
      <c r="NS106" s="4" t="s">
        <v>4</v>
      </c>
      <c r="NT106" s="3">
        <v>0.15238095238094984</v>
      </c>
      <c r="NW106">
        <v>4</v>
      </c>
      <c r="OH106" t="s">
        <v>165</v>
      </c>
      <c r="OJ106">
        <v>1997</v>
      </c>
      <c r="OM106" s="2" t="s">
        <v>1</v>
      </c>
      <c r="OO106" t="s">
        <v>1178</v>
      </c>
      <c r="OP106" s="58">
        <v>46094</v>
      </c>
    </row>
    <row r="107" spans="1:406" ht="15.75" thickBot="1">
      <c r="A107" s="11" t="s">
        <v>36</v>
      </c>
      <c r="B107" t="s">
        <v>35</v>
      </c>
      <c r="C107" t="s">
        <v>34</v>
      </c>
      <c r="D107" s="4" t="s">
        <v>33</v>
      </c>
      <c r="E107" t="s">
        <v>32</v>
      </c>
      <c r="F107" s="4" t="s">
        <v>31</v>
      </c>
      <c r="G107" t="s">
        <v>2</v>
      </c>
      <c r="H107" t="s">
        <v>30</v>
      </c>
      <c r="I107" s="10">
        <v>0.1</v>
      </c>
      <c r="J107" s="10">
        <v>34.566667000000002</v>
      </c>
      <c r="K107" t="s">
        <v>29</v>
      </c>
      <c r="AV107" t="s">
        <v>28</v>
      </c>
      <c r="AW107">
        <v>100</v>
      </c>
      <c r="AX107" t="s">
        <v>29</v>
      </c>
      <c r="AY107">
        <v>4</v>
      </c>
      <c r="AZ107" t="s">
        <v>27</v>
      </c>
      <c r="BA107">
        <v>1994</v>
      </c>
      <c r="BB107">
        <v>1998</v>
      </c>
      <c r="BC107" t="s">
        <v>26</v>
      </c>
      <c r="BD107" t="s">
        <v>59</v>
      </c>
      <c r="BE107" s="10" t="s">
        <v>58</v>
      </c>
      <c r="BF107" t="s">
        <v>57</v>
      </c>
      <c r="BG107" s="3" t="s">
        <v>1243</v>
      </c>
      <c r="BH107" t="s">
        <v>23</v>
      </c>
      <c r="BI107" t="s">
        <v>750</v>
      </c>
      <c r="BJ107" s="4" t="s">
        <v>22</v>
      </c>
      <c r="BK107" s="9">
        <v>53000</v>
      </c>
      <c r="EE107" t="s">
        <v>55</v>
      </c>
      <c r="EF107" s="4" t="s">
        <v>22</v>
      </c>
      <c r="EG107" s="9">
        <v>53000</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R107" t="s">
        <v>21</v>
      </c>
      <c r="HT107" s="4" t="s">
        <v>20</v>
      </c>
      <c r="HU107" s="58">
        <v>34335</v>
      </c>
      <c r="HV107" s="58">
        <v>36160</v>
      </c>
      <c r="HW107" s="58"/>
      <c r="IM107" s="4"/>
      <c r="IN107" t="s">
        <v>54</v>
      </c>
      <c r="IO107" s="12" t="s">
        <v>1737</v>
      </c>
      <c r="IR107">
        <v>1994</v>
      </c>
      <c r="IS107">
        <v>1994.2</v>
      </c>
      <c r="IT107" s="4" t="s">
        <v>18</v>
      </c>
      <c r="IU107" t="s">
        <v>53</v>
      </c>
      <c r="IV107" s="12" t="s">
        <v>52</v>
      </c>
      <c r="IY107">
        <v>0.5</v>
      </c>
      <c r="IZ107" t="s">
        <v>29</v>
      </c>
      <c r="JA107" t="s">
        <v>29</v>
      </c>
      <c r="JB107" t="s">
        <v>29</v>
      </c>
      <c r="JC107" t="s">
        <v>29</v>
      </c>
      <c r="JD107" t="s">
        <v>29</v>
      </c>
      <c r="JE107" t="s">
        <v>29</v>
      </c>
      <c r="JF107" t="s">
        <v>29</v>
      </c>
      <c r="JG107" t="s">
        <v>29</v>
      </c>
      <c r="JH107" t="s">
        <v>29</v>
      </c>
      <c r="JJ107" s="12" t="s">
        <v>721</v>
      </c>
      <c r="JO107" s="4"/>
      <c r="JU107" s="4"/>
      <c r="JV107" s="4"/>
      <c r="JW107" s="4"/>
      <c r="JX107" s="4"/>
      <c r="JY107" s="4"/>
      <c r="JZ107" s="4"/>
      <c r="KE107" s="7" t="s">
        <v>12</v>
      </c>
      <c r="KI107" s="7" t="s">
        <v>719</v>
      </c>
      <c r="KJ107" s="7" t="s">
        <v>51</v>
      </c>
      <c r="KL107" t="s">
        <v>29</v>
      </c>
      <c r="MS107" t="s">
        <v>11</v>
      </c>
      <c r="MT107">
        <v>42</v>
      </c>
      <c r="MW107" s="4" t="s">
        <v>168</v>
      </c>
      <c r="NE107" t="s">
        <v>167</v>
      </c>
      <c r="NG107" s="4" t="s">
        <v>8</v>
      </c>
      <c r="NH107" s="6" t="s">
        <v>7</v>
      </c>
      <c r="NQ107" t="s">
        <v>6</v>
      </c>
      <c r="NR107" s="5" t="s">
        <v>172</v>
      </c>
      <c r="NS107" s="4" t="s">
        <v>4</v>
      </c>
      <c r="NT107" s="3">
        <v>0.11428571428571399</v>
      </c>
      <c r="NW107">
        <v>4</v>
      </c>
      <c r="OH107" t="s">
        <v>165</v>
      </c>
      <c r="OJ107">
        <v>1997</v>
      </c>
      <c r="OM107" s="2" t="s">
        <v>1</v>
      </c>
      <c r="OO107" t="s">
        <v>1178</v>
      </c>
      <c r="OP107" s="58">
        <v>46094</v>
      </c>
    </row>
    <row r="108" spans="1:406" ht="15.75" thickBot="1">
      <c r="A108" s="11" t="s">
        <v>36</v>
      </c>
      <c r="B108" t="s">
        <v>35</v>
      </c>
      <c r="C108" t="s">
        <v>34</v>
      </c>
      <c r="D108" s="4" t="s">
        <v>33</v>
      </c>
      <c r="E108" t="s">
        <v>32</v>
      </c>
      <c r="F108" s="4" t="s">
        <v>31</v>
      </c>
      <c r="G108" t="s">
        <v>2</v>
      </c>
      <c r="H108" t="s">
        <v>30</v>
      </c>
      <c r="I108" s="10">
        <v>0.1</v>
      </c>
      <c r="J108" s="10">
        <v>34.566667000000002</v>
      </c>
      <c r="K108" t="s">
        <v>29</v>
      </c>
      <c r="AV108" t="s">
        <v>28</v>
      </c>
      <c r="AW108">
        <v>100</v>
      </c>
      <c r="AX108" t="s">
        <v>29</v>
      </c>
      <c r="AY108">
        <v>4</v>
      </c>
      <c r="AZ108" t="s">
        <v>27</v>
      </c>
      <c r="BA108">
        <v>1994</v>
      </c>
      <c r="BB108">
        <v>1998</v>
      </c>
      <c r="BC108" t="s">
        <v>26</v>
      </c>
      <c r="BD108" t="s">
        <v>45</v>
      </c>
      <c r="BE108" s="10" t="s">
        <v>49</v>
      </c>
      <c r="BF108" t="s">
        <v>48</v>
      </c>
      <c r="BG108" s="3" t="s">
        <v>1243</v>
      </c>
      <c r="BH108" t="s">
        <v>23</v>
      </c>
      <c r="BI108" t="s">
        <v>750</v>
      </c>
      <c r="BJ108" s="4" t="s">
        <v>22</v>
      </c>
      <c r="BK108" s="9">
        <v>53000</v>
      </c>
      <c r="EF108" s="4"/>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R108" t="s">
        <v>21</v>
      </c>
      <c r="HT108" s="4" t="s">
        <v>20</v>
      </c>
      <c r="HU108" s="58">
        <v>34335</v>
      </c>
      <c r="HV108" s="58">
        <v>36160</v>
      </c>
      <c r="HW108" s="58"/>
      <c r="IN108" t="s">
        <v>47</v>
      </c>
      <c r="IO108" s="54" t="s">
        <v>1236</v>
      </c>
      <c r="IR108">
        <v>1995</v>
      </c>
      <c r="IS108">
        <v>1995.2</v>
      </c>
      <c r="IT108" s="4" t="s">
        <v>18</v>
      </c>
      <c r="IU108" t="s">
        <v>38</v>
      </c>
      <c r="IV108" t="s">
        <v>19</v>
      </c>
      <c r="IZ108">
        <v>0</v>
      </c>
      <c r="JA108">
        <v>0</v>
      </c>
      <c r="JB108">
        <v>0</v>
      </c>
      <c r="JC108">
        <v>0</v>
      </c>
      <c r="JD108">
        <v>0</v>
      </c>
      <c r="JE108">
        <v>0</v>
      </c>
      <c r="JF108">
        <v>0</v>
      </c>
      <c r="JG108">
        <v>0</v>
      </c>
      <c r="JH108">
        <v>0</v>
      </c>
      <c r="JJ108" s="12" t="s">
        <v>721</v>
      </c>
      <c r="JO108" s="4"/>
      <c r="JU108" s="4"/>
      <c r="JV108" s="4"/>
      <c r="JW108" s="4"/>
      <c r="JX108" s="4"/>
      <c r="JY108" s="4"/>
      <c r="JZ108" s="4"/>
      <c r="KE108" s="7" t="s">
        <v>12</v>
      </c>
      <c r="KI108" s="7" t="s">
        <v>720</v>
      </c>
      <c r="KJ108" s="7"/>
      <c r="MS108" t="s">
        <v>11</v>
      </c>
      <c r="MT108">
        <v>42</v>
      </c>
      <c r="MW108" s="4" t="s">
        <v>168</v>
      </c>
      <c r="NE108" t="s">
        <v>167</v>
      </c>
      <c r="NG108" s="4" t="s">
        <v>8</v>
      </c>
      <c r="NH108" s="6" t="s">
        <v>7</v>
      </c>
      <c r="NQ108" t="s">
        <v>6</v>
      </c>
      <c r="NR108" s="5" t="s">
        <v>171</v>
      </c>
      <c r="NS108" s="4" t="s">
        <v>4</v>
      </c>
      <c r="NT108" s="3">
        <v>0.17142857142857093</v>
      </c>
      <c r="NW108">
        <v>4</v>
      </c>
      <c r="OH108" t="s">
        <v>165</v>
      </c>
      <c r="OJ108">
        <v>1997</v>
      </c>
      <c r="OM108" s="2" t="s">
        <v>1</v>
      </c>
      <c r="OO108" t="s">
        <v>1178</v>
      </c>
      <c r="OP108" s="58">
        <v>46094</v>
      </c>
    </row>
    <row r="109" spans="1:406" ht="15.75" thickBot="1">
      <c r="A109" s="11" t="s">
        <v>36</v>
      </c>
      <c r="B109" t="s">
        <v>35</v>
      </c>
      <c r="C109" t="s">
        <v>34</v>
      </c>
      <c r="D109" s="4" t="s">
        <v>33</v>
      </c>
      <c r="E109" t="s">
        <v>32</v>
      </c>
      <c r="F109" s="4" t="s">
        <v>31</v>
      </c>
      <c r="G109" t="s">
        <v>2</v>
      </c>
      <c r="H109" t="s">
        <v>30</v>
      </c>
      <c r="I109" s="10">
        <v>0.1</v>
      </c>
      <c r="J109" s="10">
        <v>34.566667000000002</v>
      </c>
      <c r="K109" t="s">
        <v>29</v>
      </c>
      <c r="AV109" t="s">
        <v>28</v>
      </c>
      <c r="AW109">
        <v>100</v>
      </c>
      <c r="AX109" t="s">
        <v>29</v>
      </c>
      <c r="AY109">
        <v>4</v>
      </c>
      <c r="AZ109" t="s">
        <v>27</v>
      </c>
      <c r="BA109">
        <v>1994</v>
      </c>
      <c r="BB109">
        <v>1998</v>
      </c>
      <c r="BC109" t="s">
        <v>26</v>
      </c>
      <c r="BD109" t="s">
        <v>45</v>
      </c>
      <c r="BE109" s="10" t="s">
        <v>44</v>
      </c>
      <c r="BF109" t="s">
        <v>43</v>
      </c>
      <c r="BG109" s="3" t="s">
        <v>1243</v>
      </c>
      <c r="BH109" t="s">
        <v>23</v>
      </c>
      <c r="BI109" t="s">
        <v>750</v>
      </c>
      <c r="BJ109" s="4" t="s">
        <v>22</v>
      </c>
      <c r="BK109" s="9">
        <v>53000</v>
      </c>
      <c r="EF109" s="4"/>
      <c r="EG109" s="9"/>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R109" t="s">
        <v>21</v>
      </c>
      <c r="HT109" s="4" t="s">
        <v>20</v>
      </c>
      <c r="HU109" s="58">
        <v>34335</v>
      </c>
      <c r="HV109" s="58">
        <v>36160</v>
      </c>
      <c r="HW109" s="58"/>
      <c r="IN109" t="s">
        <v>42</v>
      </c>
      <c r="IO109" s="13" t="s">
        <v>1237</v>
      </c>
      <c r="IR109">
        <v>1994</v>
      </c>
      <c r="IS109">
        <v>1994.2</v>
      </c>
      <c r="IT109" s="4" t="s">
        <v>18</v>
      </c>
      <c r="IU109" t="s">
        <v>38</v>
      </c>
      <c r="IV109" t="s">
        <v>19</v>
      </c>
      <c r="IZ109">
        <v>0</v>
      </c>
      <c r="JA109">
        <v>0</v>
      </c>
      <c r="JB109">
        <v>0</v>
      </c>
      <c r="JC109">
        <v>0</v>
      </c>
      <c r="JD109">
        <v>0</v>
      </c>
      <c r="JE109">
        <v>0</v>
      </c>
      <c r="JF109">
        <v>0</v>
      </c>
      <c r="JG109">
        <v>0</v>
      </c>
      <c r="JH109">
        <v>0</v>
      </c>
      <c r="JJ109" s="12" t="s">
        <v>721</v>
      </c>
      <c r="JO109" s="4"/>
      <c r="JU109" s="4"/>
      <c r="JV109" s="4"/>
      <c r="JW109" s="4"/>
      <c r="JX109" s="4"/>
      <c r="JY109" s="4"/>
      <c r="JZ109" s="4"/>
      <c r="KE109" s="7" t="s">
        <v>12</v>
      </c>
      <c r="KI109" s="7" t="s">
        <v>720</v>
      </c>
      <c r="KJ109" s="7"/>
      <c r="MS109" t="s">
        <v>11</v>
      </c>
      <c r="MT109">
        <v>42</v>
      </c>
      <c r="MW109" s="4" t="s">
        <v>168</v>
      </c>
      <c r="NE109" t="s">
        <v>167</v>
      </c>
      <c r="NG109" s="4" t="s">
        <v>8</v>
      </c>
      <c r="NH109" s="6" t="s">
        <v>7</v>
      </c>
      <c r="NQ109" t="s">
        <v>6</v>
      </c>
      <c r="NR109" s="5" t="s">
        <v>170</v>
      </c>
      <c r="NS109" s="4" t="s">
        <v>4</v>
      </c>
      <c r="NT109" s="3">
        <v>0.15238095238094995</v>
      </c>
      <c r="NW109">
        <v>4</v>
      </c>
      <c r="OH109" t="s">
        <v>165</v>
      </c>
      <c r="OJ109">
        <v>1997</v>
      </c>
      <c r="OM109" s="2" t="s">
        <v>1</v>
      </c>
      <c r="OO109" t="s">
        <v>1178</v>
      </c>
      <c r="OP109" s="58">
        <v>46094</v>
      </c>
    </row>
    <row r="110" spans="1:406" ht="15.75" thickBot="1">
      <c r="A110" s="11" t="s">
        <v>36</v>
      </c>
      <c r="B110" t="s">
        <v>35</v>
      </c>
      <c r="C110" t="s">
        <v>34</v>
      </c>
      <c r="D110" s="4" t="s">
        <v>33</v>
      </c>
      <c r="E110" t="s">
        <v>32</v>
      </c>
      <c r="F110" s="4" t="s">
        <v>31</v>
      </c>
      <c r="G110" t="s">
        <v>2</v>
      </c>
      <c r="H110" t="s">
        <v>30</v>
      </c>
      <c r="I110" s="10">
        <v>0.1</v>
      </c>
      <c r="J110" s="10">
        <v>34.566667000000002</v>
      </c>
      <c r="K110" t="s">
        <v>29</v>
      </c>
      <c r="AV110" t="s">
        <v>28</v>
      </c>
      <c r="AW110">
        <v>100</v>
      </c>
      <c r="AX110" t="s">
        <v>29</v>
      </c>
      <c r="AY110">
        <v>4</v>
      </c>
      <c r="AZ110" t="s">
        <v>27</v>
      </c>
      <c r="BA110">
        <v>1994</v>
      </c>
      <c r="BB110">
        <v>1998</v>
      </c>
      <c r="BC110" t="s">
        <v>26</v>
      </c>
      <c r="BD110" t="s">
        <v>19</v>
      </c>
      <c r="BE110" s="10" t="s">
        <v>40</v>
      </c>
      <c r="BF110" t="s">
        <v>39</v>
      </c>
      <c r="BG110" s="3" t="s">
        <v>1243</v>
      </c>
      <c r="BH110" t="s">
        <v>23</v>
      </c>
      <c r="BI110" t="s">
        <v>750</v>
      </c>
      <c r="BJ110" s="4" t="s">
        <v>22</v>
      </c>
      <c r="BK110" s="9">
        <v>53000</v>
      </c>
      <c r="HR110" t="s">
        <v>21</v>
      </c>
      <c r="HT110" s="4" t="s">
        <v>20</v>
      </c>
      <c r="HU110" s="58">
        <v>34335</v>
      </c>
      <c r="HV110" s="58">
        <v>36160</v>
      </c>
      <c r="HW110" s="58"/>
      <c r="IN110" t="s">
        <v>38</v>
      </c>
      <c r="IO110" s="54" t="s">
        <v>19</v>
      </c>
      <c r="IT110" s="4" t="s">
        <v>18</v>
      </c>
      <c r="IU110" t="s">
        <v>38</v>
      </c>
      <c r="IV110" s="54" t="s">
        <v>19</v>
      </c>
      <c r="IZ110">
        <v>0</v>
      </c>
      <c r="JA110">
        <v>0</v>
      </c>
      <c r="JB110">
        <v>0</v>
      </c>
      <c r="JC110">
        <v>0</v>
      </c>
      <c r="JD110">
        <v>0</v>
      </c>
      <c r="JE110">
        <v>0</v>
      </c>
      <c r="JF110">
        <v>0</v>
      </c>
      <c r="JG110">
        <v>0</v>
      </c>
      <c r="JH110">
        <v>0</v>
      </c>
      <c r="JJ110" s="12" t="s">
        <v>721</v>
      </c>
      <c r="JO110" s="4"/>
      <c r="JU110" s="4"/>
      <c r="JV110" s="4"/>
      <c r="JW110" s="4"/>
      <c r="JX110" s="4"/>
      <c r="JY110" s="4"/>
      <c r="JZ110" s="4"/>
      <c r="KE110" s="7" t="s">
        <v>12</v>
      </c>
      <c r="KI110" s="7" t="s">
        <v>720</v>
      </c>
      <c r="KJ110" s="7"/>
      <c r="MS110" t="s">
        <v>11</v>
      </c>
      <c r="MT110">
        <v>42</v>
      </c>
      <c r="MW110" s="4" t="s">
        <v>168</v>
      </c>
      <c r="NE110" t="s">
        <v>167</v>
      </c>
      <c r="NG110" s="4" t="s">
        <v>8</v>
      </c>
      <c r="NH110" s="6" t="s">
        <v>7</v>
      </c>
      <c r="NP110" t="s">
        <v>735</v>
      </c>
      <c r="NQ110" t="s">
        <v>6</v>
      </c>
      <c r="NR110" s="5" t="s">
        <v>169</v>
      </c>
      <c r="NS110" s="4" t="s">
        <v>4</v>
      </c>
      <c r="NT110" s="3">
        <v>0.20952380952380201</v>
      </c>
      <c r="NW110">
        <v>4</v>
      </c>
      <c r="OH110" t="s">
        <v>165</v>
      </c>
      <c r="OJ110">
        <v>1997</v>
      </c>
      <c r="OM110" s="2" t="s">
        <v>1</v>
      </c>
      <c r="OO110" t="s">
        <v>1178</v>
      </c>
      <c r="OP110" s="58">
        <v>46094</v>
      </c>
    </row>
    <row r="111" spans="1:406" ht="15.75" thickBot="1">
      <c r="A111" s="11" t="s">
        <v>36</v>
      </c>
      <c r="B111" t="s">
        <v>35</v>
      </c>
      <c r="C111" t="s">
        <v>34</v>
      </c>
      <c r="D111" s="4" t="s">
        <v>33</v>
      </c>
      <c r="E111" t="s">
        <v>32</v>
      </c>
      <c r="F111" s="4" t="s">
        <v>31</v>
      </c>
      <c r="G111" t="s">
        <v>2</v>
      </c>
      <c r="H111" t="s">
        <v>30</v>
      </c>
      <c r="I111" s="10">
        <v>0.1</v>
      </c>
      <c r="J111" s="10">
        <v>34.566667000000002</v>
      </c>
      <c r="K111" t="s">
        <v>29</v>
      </c>
      <c r="AV111" t="s">
        <v>28</v>
      </c>
      <c r="AW111">
        <v>100</v>
      </c>
      <c r="AX111" t="s">
        <v>29</v>
      </c>
      <c r="AY111">
        <v>4</v>
      </c>
      <c r="AZ111" t="s">
        <v>27</v>
      </c>
      <c r="BA111">
        <v>1994</v>
      </c>
      <c r="BB111">
        <v>1998</v>
      </c>
      <c r="BC111" t="s">
        <v>26</v>
      </c>
      <c r="BD111" t="s">
        <v>19</v>
      </c>
      <c r="BE111" s="10" t="s">
        <v>25</v>
      </c>
      <c r="BF111" t="s">
        <v>24</v>
      </c>
      <c r="BG111" s="3" t="s">
        <v>1243</v>
      </c>
      <c r="BH111" t="s">
        <v>23</v>
      </c>
      <c r="BI111" t="s">
        <v>750</v>
      </c>
      <c r="BJ111" s="4" t="s">
        <v>22</v>
      </c>
      <c r="BK111" s="9">
        <v>53000</v>
      </c>
      <c r="HR111" t="s">
        <v>21</v>
      </c>
      <c r="HT111" s="4" t="s">
        <v>20</v>
      </c>
      <c r="HU111" s="58">
        <v>34335</v>
      </c>
      <c r="HV111" s="58">
        <v>36160</v>
      </c>
      <c r="HW111" s="58"/>
      <c r="IN111" t="s">
        <v>16</v>
      </c>
      <c r="IO111" s="54" t="s">
        <v>19</v>
      </c>
      <c r="IT111" s="4" t="s">
        <v>18</v>
      </c>
      <c r="IU111" t="s">
        <v>17</v>
      </c>
      <c r="IV111" s="54" t="s">
        <v>19</v>
      </c>
      <c r="IZ111">
        <v>0</v>
      </c>
      <c r="JA111">
        <v>0</v>
      </c>
      <c r="JB111">
        <v>0</v>
      </c>
      <c r="JC111">
        <v>0</v>
      </c>
      <c r="JD111">
        <v>0</v>
      </c>
      <c r="JE111">
        <v>0</v>
      </c>
      <c r="JF111">
        <v>0</v>
      </c>
      <c r="JG111">
        <v>0</v>
      </c>
      <c r="JH111">
        <v>0</v>
      </c>
      <c r="JI111" t="s">
        <v>16</v>
      </c>
      <c r="JJ111" t="s">
        <v>15</v>
      </c>
      <c r="JK111" s="8" t="s">
        <v>14</v>
      </c>
      <c r="JO111" s="4" t="s">
        <v>13</v>
      </c>
      <c r="JP111">
        <v>60</v>
      </c>
      <c r="JS111">
        <v>60</v>
      </c>
      <c r="JU111" s="4"/>
      <c r="JV111" s="4"/>
      <c r="JW111" s="4"/>
      <c r="JX111" s="4"/>
      <c r="JY111" s="4"/>
      <c r="JZ111" s="4"/>
      <c r="KE111" s="7" t="s">
        <v>12</v>
      </c>
      <c r="KI111" s="7" t="s">
        <v>720</v>
      </c>
      <c r="KJ111" s="7"/>
      <c r="MS111" t="s">
        <v>11</v>
      </c>
      <c r="MT111">
        <v>42</v>
      </c>
      <c r="MW111" s="4" t="s">
        <v>168</v>
      </c>
      <c r="NE111" t="s">
        <v>167</v>
      </c>
      <c r="NG111" s="4" t="s">
        <v>8</v>
      </c>
      <c r="NH111" s="6" t="s">
        <v>7</v>
      </c>
      <c r="NP111" t="s">
        <v>747</v>
      </c>
      <c r="NQ111" t="s">
        <v>6</v>
      </c>
      <c r="NR111" s="5" t="s">
        <v>166</v>
      </c>
      <c r="NS111" s="4" t="s">
        <v>4</v>
      </c>
      <c r="NT111" s="3">
        <v>0.15238095238095006</v>
      </c>
      <c r="NW111">
        <v>4</v>
      </c>
      <c r="OH111" t="s">
        <v>165</v>
      </c>
      <c r="OJ111">
        <v>1997</v>
      </c>
      <c r="OM111" s="2" t="s">
        <v>1</v>
      </c>
      <c r="OO111" t="s">
        <v>1178</v>
      </c>
      <c r="OP111" s="58">
        <v>46094</v>
      </c>
    </row>
    <row r="112" spans="1:406" ht="15.75" thickBot="1">
      <c r="A112" s="11" t="s">
        <v>36</v>
      </c>
      <c r="B112" t="s">
        <v>35</v>
      </c>
      <c r="C112" t="s">
        <v>34</v>
      </c>
      <c r="D112" s="4" t="s">
        <v>33</v>
      </c>
      <c r="E112" t="s">
        <v>32</v>
      </c>
      <c r="F112" s="4" t="s">
        <v>31</v>
      </c>
      <c r="G112" t="s">
        <v>2</v>
      </c>
      <c r="H112" t="s">
        <v>30</v>
      </c>
      <c r="I112" s="10">
        <v>0.1</v>
      </c>
      <c r="J112" s="10">
        <v>34.566667000000002</v>
      </c>
      <c r="K112" t="s">
        <v>29</v>
      </c>
      <c r="AV112" t="s">
        <v>28</v>
      </c>
      <c r="AW112">
        <v>100</v>
      </c>
      <c r="AX112" t="s">
        <v>29</v>
      </c>
      <c r="AY112">
        <v>4</v>
      </c>
      <c r="AZ112" t="s">
        <v>27</v>
      </c>
      <c r="BA112">
        <v>1994</v>
      </c>
      <c r="BB112">
        <v>1998</v>
      </c>
      <c r="BC112" t="s">
        <v>26</v>
      </c>
      <c r="BD112" t="s">
        <v>59</v>
      </c>
      <c r="BE112" s="10" t="s">
        <v>65</v>
      </c>
      <c r="BF112" t="s">
        <v>64</v>
      </c>
      <c r="BG112" s="3" t="s">
        <v>1243</v>
      </c>
      <c r="BH112" t="s">
        <v>23</v>
      </c>
      <c r="BI112" t="s">
        <v>750</v>
      </c>
      <c r="BJ112" s="4" t="s">
        <v>22</v>
      </c>
      <c r="BK112" s="9">
        <v>53000</v>
      </c>
      <c r="EE112" t="s">
        <v>55</v>
      </c>
      <c r="EF112" s="4" t="s">
        <v>22</v>
      </c>
      <c r="EG112" s="9">
        <v>53000</v>
      </c>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K112" s="9"/>
      <c r="HR112" t="s">
        <v>21</v>
      </c>
      <c r="HT112" s="4" t="s">
        <v>20</v>
      </c>
      <c r="HU112" s="58">
        <v>34335</v>
      </c>
      <c r="HV112" s="58">
        <v>36160</v>
      </c>
      <c r="HW112" s="58"/>
      <c r="IM112" s="4"/>
      <c r="IN112" t="s">
        <v>63</v>
      </c>
      <c r="IO112" s="12" t="s">
        <v>1736</v>
      </c>
      <c r="IR112">
        <v>1995</v>
      </c>
      <c r="IS112">
        <v>1995.2</v>
      </c>
      <c r="IT112" s="4" t="s">
        <v>18</v>
      </c>
      <c r="IU112" t="s">
        <v>61</v>
      </c>
      <c r="IV112" s="12" t="s">
        <v>52</v>
      </c>
      <c r="IY112">
        <v>0.5</v>
      </c>
      <c r="IZ112" t="s">
        <v>29</v>
      </c>
      <c r="JA112" t="s">
        <v>29</v>
      </c>
      <c r="JB112" t="s">
        <v>29</v>
      </c>
      <c r="JC112" t="s">
        <v>29</v>
      </c>
      <c r="JD112" t="s">
        <v>29</v>
      </c>
      <c r="JE112" t="s">
        <v>29</v>
      </c>
      <c r="JF112" t="s">
        <v>29</v>
      </c>
      <c r="JG112" t="s">
        <v>29</v>
      </c>
      <c r="JH112" t="s">
        <v>29</v>
      </c>
      <c r="JJ112" s="12" t="s">
        <v>721</v>
      </c>
      <c r="JO112" s="4"/>
      <c r="JU112" s="4"/>
      <c r="JV112" s="4"/>
      <c r="JW112" s="4"/>
      <c r="JX112" s="4"/>
      <c r="JY112" s="4"/>
      <c r="JZ112" s="4"/>
      <c r="KE112" s="7" t="s">
        <v>12</v>
      </c>
      <c r="KI112" s="7" t="s">
        <v>719</v>
      </c>
      <c r="KJ112" s="7" t="s">
        <v>51</v>
      </c>
      <c r="KL112" t="s">
        <v>29</v>
      </c>
      <c r="MS112" t="s">
        <v>11</v>
      </c>
      <c r="MT112">
        <v>42</v>
      </c>
      <c r="MW112" s="4" t="s">
        <v>133</v>
      </c>
      <c r="NE112" t="s">
        <v>132</v>
      </c>
      <c r="NG112" s="4" t="s">
        <v>1165</v>
      </c>
      <c r="NH112" s="6" t="s">
        <v>7</v>
      </c>
      <c r="NQ112" t="s">
        <v>6</v>
      </c>
      <c r="NR112" s="5" t="s">
        <v>164</v>
      </c>
      <c r="NS112" s="4" t="s">
        <v>4</v>
      </c>
      <c r="NT112" s="3">
        <v>0.1080981327487569</v>
      </c>
      <c r="NW112">
        <v>4</v>
      </c>
      <c r="OH112" t="s">
        <v>158</v>
      </c>
      <c r="OJ112">
        <v>1996</v>
      </c>
      <c r="OM112" s="2" t="s">
        <v>62</v>
      </c>
      <c r="OO112" t="s">
        <v>1178</v>
      </c>
      <c r="OP112" s="58">
        <v>46094</v>
      </c>
    </row>
    <row r="113" spans="1:406" ht="15.75" thickBot="1">
      <c r="A113" s="11" t="s">
        <v>36</v>
      </c>
      <c r="B113" t="s">
        <v>35</v>
      </c>
      <c r="C113" t="s">
        <v>34</v>
      </c>
      <c r="D113" s="4" t="s">
        <v>33</v>
      </c>
      <c r="E113" t="s">
        <v>32</v>
      </c>
      <c r="F113" s="4" t="s">
        <v>31</v>
      </c>
      <c r="G113" t="s">
        <v>2</v>
      </c>
      <c r="H113" t="s">
        <v>30</v>
      </c>
      <c r="I113" s="10">
        <v>0.1</v>
      </c>
      <c r="J113" s="10">
        <v>34.566667000000002</v>
      </c>
      <c r="K113" t="s">
        <v>29</v>
      </c>
      <c r="AV113" t="s">
        <v>28</v>
      </c>
      <c r="AW113">
        <v>100</v>
      </c>
      <c r="AX113" t="s">
        <v>29</v>
      </c>
      <c r="AY113">
        <v>4</v>
      </c>
      <c r="AZ113" t="s">
        <v>27</v>
      </c>
      <c r="BA113">
        <v>1994</v>
      </c>
      <c r="BB113">
        <v>1998</v>
      </c>
      <c r="BC113" t="s">
        <v>26</v>
      </c>
      <c r="BD113" t="s">
        <v>59</v>
      </c>
      <c r="BE113" s="10" t="s">
        <v>58</v>
      </c>
      <c r="BF113" t="s">
        <v>57</v>
      </c>
      <c r="BG113" s="3" t="s">
        <v>1243</v>
      </c>
      <c r="BH113" t="s">
        <v>23</v>
      </c>
      <c r="BI113" t="s">
        <v>750</v>
      </c>
      <c r="BJ113" s="4" t="s">
        <v>22</v>
      </c>
      <c r="BK113" s="9">
        <v>53000</v>
      </c>
      <c r="EE113" t="s">
        <v>55</v>
      </c>
      <c r="EF113" s="4" t="s">
        <v>22</v>
      </c>
      <c r="EG113" s="9">
        <v>53000</v>
      </c>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K113" s="9"/>
      <c r="HR113" t="s">
        <v>21</v>
      </c>
      <c r="HT113" s="4" t="s">
        <v>20</v>
      </c>
      <c r="HU113" s="58">
        <v>34335</v>
      </c>
      <c r="HV113" s="58">
        <v>36160</v>
      </c>
      <c r="HW113" s="58"/>
      <c r="IM113" s="4"/>
      <c r="IN113" t="s">
        <v>54</v>
      </c>
      <c r="IO113" s="12" t="s">
        <v>1737</v>
      </c>
      <c r="IR113">
        <v>1994</v>
      </c>
      <c r="IS113">
        <v>1994.2</v>
      </c>
      <c r="IT113" s="4" t="s">
        <v>18</v>
      </c>
      <c r="IU113" t="s">
        <v>53</v>
      </c>
      <c r="IV113" s="12" t="s">
        <v>52</v>
      </c>
      <c r="IY113">
        <v>0.5</v>
      </c>
      <c r="IZ113" t="s">
        <v>29</v>
      </c>
      <c r="JA113" t="s">
        <v>29</v>
      </c>
      <c r="JB113" t="s">
        <v>29</v>
      </c>
      <c r="JC113" t="s">
        <v>29</v>
      </c>
      <c r="JD113" t="s">
        <v>29</v>
      </c>
      <c r="JE113" t="s">
        <v>29</v>
      </c>
      <c r="JF113" t="s">
        <v>29</v>
      </c>
      <c r="JG113" t="s">
        <v>29</v>
      </c>
      <c r="JH113" t="s">
        <v>29</v>
      </c>
      <c r="JJ113" s="12" t="s">
        <v>721</v>
      </c>
      <c r="JO113" s="4"/>
      <c r="JU113" s="4"/>
      <c r="JV113" s="4"/>
      <c r="JW113" s="4"/>
      <c r="JX113" s="4"/>
      <c r="JY113" s="4"/>
      <c r="JZ113" s="4"/>
      <c r="KE113" s="7" t="s">
        <v>12</v>
      </c>
      <c r="KI113" s="7" t="s">
        <v>719</v>
      </c>
      <c r="KJ113" s="7" t="s">
        <v>51</v>
      </c>
      <c r="KL113" t="s">
        <v>29</v>
      </c>
      <c r="MS113" t="s">
        <v>11</v>
      </c>
      <c r="MT113">
        <v>42</v>
      </c>
      <c r="MW113" s="4" t="s">
        <v>133</v>
      </c>
      <c r="NE113" t="s">
        <v>132</v>
      </c>
      <c r="NG113" s="4" t="s">
        <v>1165</v>
      </c>
      <c r="NH113" s="6" t="s">
        <v>7</v>
      </c>
      <c r="NQ113" t="s">
        <v>6</v>
      </c>
      <c r="NR113" s="5" t="s">
        <v>163</v>
      </c>
      <c r="NS113" s="4" t="s">
        <v>4</v>
      </c>
      <c r="NT113" s="3">
        <v>3.6025254587040978E-2</v>
      </c>
      <c r="NW113">
        <v>4</v>
      </c>
      <c r="OH113" t="s">
        <v>158</v>
      </c>
      <c r="OJ113">
        <v>1996</v>
      </c>
      <c r="OM113" s="2" t="s">
        <v>62</v>
      </c>
      <c r="OO113" t="s">
        <v>1178</v>
      </c>
      <c r="OP113" s="58">
        <v>46094</v>
      </c>
    </row>
    <row r="114" spans="1:406" ht="15.75" thickBot="1">
      <c r="A114" s="11" t="s">
        <v>36</v>
      </c>
      <c r="B114" t="s">
        <v>35</v>
      </c>
      <c r="C114" t="s">
        <v>34</v>
      </c>
      <c r="D114" s="4" t="s">
        <v>33</v>
      </c>
      <c r="E114" t="s">
        <v>32</v>
      </c>
      <c r="F114" s="4" t="s">
        <v>31</v>
      </c>
      <c r="G114" t="s">
        <v>2</v>
      </c>
      <c r="H114" t="s">
        <v>30</v>
      </c>
      <c r="I114" s="10">
        <v>0.1</v>
      </c>
      <c r="J114" s="10">
        <v>34.566667000000002</v>
      </c>
      <c r="K114" t="s">
        <v>29</v>
      </c>
      <c r="AV114" t="s">
        <v>28</v>
      </c>
      <c r="AW114">
        <v>100</v>
      </c>
      <c r="AX114" t="s">
        <v>29</v>
      </c>
      <c r="AY114">
        <v>4</v>
      </c>
      <c r="AZ114" t="s">
        <v>27</v>
      </c>
      <c r="BA114">
        <v>1994</v>
      </c>
      <c r="BB114">
        <v>1998</v>
      </c>
      <c r="BC114" t="s">
        <v>26</v>
      </c>
      <c r="BD114" t="s">
        <v>45</v>
      </c>
      <c r="BE114" s="10" t="s">
        <v>49</v>
      </c>
      <c r="BF114" t="s">
        <v>48</v>
      </c>
      <c r="BG114" s="3" t="s">
        <v>1243</v>
      </c>
      <c r="BH114" t="s">
        <v>23</v>
      </c>
      <c r="BI114" t="s">
        <v>750</v>
      </c>
      <c r="BJ114" s="4" t="s">
        <v>22</v>
      </c>
      <c r="BK114" s="9">
        <v>53000</v>
      </c>
      <c r="EF114" s="4"/>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K114" s="9"/>
      <c r="HR114" t="s">
        <v>21</v>
      </c>
      <c r="HT114" s="4" t="s">
        <v>20</v>
      </c>
      <c r="HU114" s="58">
        <v>34335</v>
      </c>
      <c r="HV114" s="58">
        <v>36160</v>
      </c>
      <c r="HW114" s="58"/>
      <c r="IN114" t="s">
        <v>47</v>
      </c>
      <c r="IO114" s="54" t="s">
        <v>1236</v>
      </c>
      <c r="IR114">
        <v>1995</v>
      </c>
      <c r="IS114">
        <v>1995.2</v>
      </c>
      <c r="IT114" s="4" t="s">
        <v>18</v>
      </c>
      <c r="IU114" t="s">
        <v>38</v>
      </c>
      <c r="IV114" t="s">
        <v>19</v>
      </c>
      <c r="IZ114">
        <v>0</v>
      </c>
      <c r="JA114">
        <v>0</v>
      </c>
      <c r="JB114">
        <v>0</v>
      </c>
      <c r="JC114">
        <v>0</v>
      </c>
      <c r="JD114">
        <v>0</v>
      </c>
      <c r="JE114">
        <v>0</v>
      </c>
      <c r="JF114">
        <v>0</v>
      </c>
      <c r="JG114">
        <v>0</v>
      </c>
      <c r="JH114">
        <v>0</v>
      </c>
      <c r="JJ114" s="12" t="s">
        <v>721</v>
      </c>
      <c r="JO114" s="4"/>
      <c r="JU114" s="4"/>
      <c r="JV114" s="4"/>
      <c r="JW114" s="4"/>
      <c r="JX114" s="4"/>
      <c r="JY114" s="4"/>
      <c r="JZ114" s="4"/>
      <c r="KE114" s="7" t="s">
        <v>12</v>
      </c>
      <c r="KI114" s="7" t="s">
        <v>720</v>
      </c>
      <c r="KJ114" s="7"/>
      <c r="MS114" t="s">
        <v>11</v>
      </c>
      <c r="MT114">
        <v>42</v>
      </c>
      <c r="MW114" s="4" t="s">
        <v>133</v>
      </c>
      <c r="NE114" t="s">
        <v>132</v>
      </c>
      <c r="NG114" s="4" t="s">
        <v>1165</v>
      </c>
      <c r="NH114" s="6" t="s">
        <v>7</v>
      </c>
      <c r="NQ114" t="s">
        <v>6</v>
      </c>
      <c r="NR114" s="5" t="s">
        <v>162</v>
      </c>
      <c r="NS114" s="4" t="s">
        <v>4</v>
      </c>
      <c r="NT114" s="3">
        <v>3.9061844658564993E-2</v>
      </c>
      <c r="NW114">
        <v>4</v>
      </c>
      <c r="OH114" t="s">
        <v>158</v>
      </c>
      <c r="OJ114">
        <v>1996</v>
      </c>
      <c r="OM114" s="2" t="s">
        <v>62</v>
      </c>
      <c r="OO114" t="s">
        <v>1178</v>
      </c>
      <c r="OP114" s="58">
        <v>46094</v>
      </c>
    </row>
    <row r="115" spans="1:406" ht="15.75" thickBot="1">
      <c r="A115" s="11" t="s">
        <v>36</v>
      </c>
      <c r="B115" t="s">
        <v>35</v>
      </c>
      <c r="C115" t="s">
        <v>34</v>
      </c>
      <c r="D115" s="4" t="s">
        <v>33</v>
      </c>
      <c r="E115" t="s">
        <v>32</v>
      </c>
      <c r="F115" s="4" t="s">
        <v>31</v>
      </c>
      <c r="G115" t="s">
        <v>2</v>
      </c>
      <c r="H115" t="s">
        <v>30</v>
      </c>
      <c r="I115" s="10">
        <v>0.1</v>
      </c>
      <c r="J115" s="10">
        <v>34.566667000000002</v>
      </c>
      <c r="K115" t="s">
        <v>29</v>
      </c>
      <c r="AV115" t="s">
        <v>28</v>
      </c>
      <c r="AW115">
        <v>100</v>
      </c>
      <c r="AX115" t="s">
        <v>29</v>
      </c>
      <c r="AY115">
        <v>4</v>
      </c>
      <c r="AZ115" t="s">
        <v>27</v>
      </c>
      <c r="BA115">
        <v>1994</v>
      </c>
      <c r="BB115">
        <v>1998</v>
      </c>
      <c r="BC115" t="s">
        <v>26</v>
      </c>
      <c r="BD115" t="s">
        <v>45</v>
      </c>
      <c r="BE115" s="10" t="s">
        <v>44</v>
      </c>
      <c r="BF115" t="s">
        <v>43</v>
      </c>
      <c r="BG115" s="3" t="s">
        <v>1243</v>
      </c>
      <c r="BH115" t="s">
        <v>23</v>
      </c>
      <c r="BI115" t="s">
        <v>750</v>
      </c>
      <c r="BJ115" s="4" t="s">
        <v>22</v>
      </c>
      <c r="BK115" s="9">
        <v>53000</v>
      </c>
      <c r="EF115" s="4"/>
      <c r="EG115" s="9"/>
      <c r="EH115" s="9"/>
      <c r="EI115" s="9"/>
      <c r="EJ115" s="9"/>
      <c r="EK115" s="9"/>
      <c r="EL115" s="9"/>
      <c r="EM115" s="9"/>
      <c r="EN115" s="9"/>
      <c r="EO115" s="9"/>
      <c r="EP115" s="9"/>
      <c r="EQ115" s="9"/>
      <c r="ER115" s="9"/>
      <c r="ES115" s="9"/>
      <c r="ET115" s="9"/>
      <c r="EU115" s="9"/>
      <c r="EV115" s="9"/>
      <c r="EW115" s="9"/>
      <c r="EX115" s="9"/>
      <c r="EY115" s="9"/>
      <c r="EZ115" s="9"/>
      <c r="FA115" s="9"/>
      <c r="FB115" s="9"/>
      <c r="FC115" s="9"/>
      <c r="FD115" s="9"/>
      <c r="FE115" s="9"/>
      <c r="FF115" s="9"/>
      <c r="FG115" s="9"/>
      <c r="FH115" s="9"/>
      <c r="FI115" s="9"/>
      <c r="FJ115" s="9"/>
      <c r="FK115" s="9"/>
      <c r="FL115" s="9"/>
      <c r="FM115" s="9"/>
      <c r="FN115" s="9"/>
      <c r="FO115" s="9"/>
      <c r="FP115" s="9"/>
      <c r="FQ115" s="9"/>
      <c r="FR115" s="9"/>
      <c r="FS115" s="9"/>
      <c r="FT115" s="9"/>
      <c r="FU115" s="9"/>
      <c r="FV115" s="9"/>
      <c r="FW115" s="9"/>
      <c r="FX115" s="9"/>
      <c r="FY115" s="9"/>
      <c r="FZ115" s="9"/>
      <c r="GA115" s="9"/>
      <c r="GB115" s="9"/>
      <c r="GC115" s="9"/>
      <c r="GD115" s="9"/>
      <c r="GE115" s="9"/>
      <c r="GF115" s="9"/>
      <c r="GG115" s="9"/>
      <c r="GH115" s="9"/>
      <c r="GI115" s="9"/>
      <c r="GJ115" s="9"/>
      <c r="GK115" s="9"/>
      <c r="GL115" s="9"/>
      <c r="GM115" s="9"/>
      <c r="GN115" s="9"/>
      <c r="GO115" s="9"/>
      <c r="GP115" s="9"/>
      <c r="GQ115" s="9"/>
      <c r="GR115" s="9"/>
      <c r="GS115" s="9"/>
      <c r="GT115" s="9"/>
      <c r="GU115" s="9"/>
      <c r="GV115" s="9"/>
      <c r="GW115" s="9"/>
      <c r="GX115" s="9"/>
      <c r="GY115" s="9"/>
      <c r="GZ115" s="9"/>
      <c r="HA115" s="9"/>
      <c r="HB115" s="9"/>
      <c r="HC115" s="9"/>
      <c r="HD115" s="9"/>
      <c r="HE115" s="9"/>
      <c r="HF115" s="9"/>
      <c r="HG115" s="9"/>
      <c r="HH115" s="9"/>
      <c r="HI115" s="9"/>
      <c r="HJ115" s="9"/>
      <c r="HK115" s="9"/>
      <c r="HR115" t="s">
        <v>21</v>
      </c>
      <c r="HT115" s="4" t="s">
        <v>20</v>
      </c>
      <c r="HU115" s="58">
        <v>34335</v>
      </c>
      <c r="HV115" s="58">
        <v>36160</v>
      </c>
      <c r="HW115" s="58"/>
      <c r="IN115" t="s">
        <v>42</v>
      </c>
      <c r="IO115" s="13" t="s">
        <v>1237</v>
      </c>
      <c r="IR115">
        <v>1994</v>
      </c>
      <c r="IS115">
        <v>1994.2</v>
      </c>
      <c r="IT115" s="4" t="s">
        <v>18</v>
      </c>
      <c r="IU115" t="s">
        <v>38</v>
      </c>
      <c r="IV115" t="s">
        <v>19</v>
      </c>
      <c r="IZ115">
        <v>0</v>
      </c>
      <c r="JA115">
        <v>0</v>
      </c>
      <c r="JB115">
        <v>0</v>
      </c>
      <c r="JC115">
        <v>0</v>
      </c>
      <c r="JD115">
        <v>0</v>
      </c>
      <c r="JE115">
        <v>0</v>
      </c>
      <c r="JF115">
        <v>0</v>
      </c>
      <c r="JG115">
        <v>0</v>
      </c>
      <c r="JH115">
        <v>0</v>
      </c>
      <c r="JJ115" s="12" t="s">
        <v>721</v>
      </c>
      <c r="JO115" s="4"/>
      <c r="JU115" s="4"/>
      <c r="JV115" s="4"/>
      <c r="JW115" s="4"/>
      <c r="JX115" s="4"/>
      <c r="JY115" s="4"/>
      <c r="JZ115" s="4"/>
      <c r="KE115" s="7" t="s">
        <v>12</v>
      </c>
      <c r="KI115" s="7" t="s">
        <v>720</v>
      </c>
      <c r="KJ115" s="7"/>
      <c r="MS115" t="s">
        <v>11</v>
      </c>
      <c r="MT115">
        <v>42</v>
      </c>
      <c r="MW115" s="4" t="s">
        <v>133</v>
      </c>
      <c r="NE115" t="s">
        <v>132</v>
      </c>
      <c r="NG115" s="4" t="s">
        <v>1165</v>
      </c>
      <c r="NH115" s="6" t="s">
        <v>7</v>
      </c>
      <c r="NQ115" t="s">
        <v>6</v>
      </c>
      <c r="NR115" s="5" t="s">
        <v>161</v>
      </c>
      <c r="NS115" s="4" t="s">
        <v>4</v>
      </c>
      <c r="NT115" s="3">
        <v>6.3086137379137985E-2</v>
      </c>
      <c r="NW115">
        <v>4</v>
      </c>
      <c r="OH115" t="s">
        <v>158</v>
      </c>
      <c r="OJ115">
        <v>1996</v>
      </c>
      <c r="OM115" s="2" t="s">
        <v>62</v>
      </c>
      <c r="OO115" t="s">
        <v>1178</v>
      </c>
      <c r="OP115" s="58">
        <v>46094</v>
      </c>
    </row>
    <row r="116" spans="1:406" ht="15.75" thickBot="1">
      <c r="A116" s="11" t="s">
        <v>36</v>
      </c>
      <c r="B116" t="s">
        <v>35</v>
      </c>
      <c r="C116" t="s">
        <v>34</v>
      </c>
      <c r="D116" s="4" t="s">
        <v>33</v>
      </c>
      <c r="E116" t="s">
        <v>32</v>
      </c>
      <c r="F116" s="4" t="s">
        <v>31</v>
      </c>
      <c r="G116" t="s">
        <v>2</v>
      </c>
      <c r="H116" t="s">
        <v>30</v>
      </c>
      <c r="I116" s="10">
        <v>0.1</v>
      </c>
      <c r="J116" s="10">
        <v>34.566667000000002</v>
      </c>
      <c r="K116" t="s">
        <v>29</v>
      </c>
      <c r="AV116" t="s">
        <v>28</v>
      </c>
      <c r="AW116">
        <v>100</v>
      </c>
      <c r="AX116" t="s">
        <v>29</v>
      </c>
      <c r="AY116">
        <v>4</v>
      </c>
      <c r="AZ116" t="s">
        <v>27</v>
      </c>
      <c r="BA116">
        <v>1994</v>
      </c>
      <c r="BB116">
        <v>1998</v>
      </c>
      <c r="BC116" t="s">
        <v>26</v>
      </c>
      <c r="BD116" t="s">
        <v>19</v>
      </c>
      <c r="BE116" s="10" t="s">
        <v>40</v>
      </c>
      <c r="BF116" t="s">
        <v>39</v>
      </c>
      <c r="BG116" s="3" t="s">
        <v>1243</v>
      </c>
      <c r="BH116" t="s">
        <v>23</v>
      </c>
      <c r="BI116" t="s">
        <v>750</v>
      </c>
      <c r="BJ116" s="4" t="s">
        <v>22</v>
      </c>
      <c r="BK116" s="9">
        <v>53000</v>
      </c>
      <c r="HR116" t="s">
        <v>21</v>
      </c>
      <c r="HT116" s="4" t="s">
        <v>20</v>
      </c>
      <c r="HU116" s="58">
        <v>34335</v>
      </c>
      <c r="HV116" s="58">
        <v>36160</v>
      </c>
      <c r="HW116" s="58"/>
      <c r="IN116" t="s">
        <v>38</v>
      </c>
      <c r="IO116" s="54" t="s">
        <v>19</v>
      </c>
      <c r="IT116" s="4" t="s">
        <v>18</v>
      </c>
      <c r="IU116" t="s">
        <v>38</v>
      </c>
      <c r="IV116" s="54" t="s">
        <v>19</v>
      </c>
      <c r="IZ116">
        <v>0</v>
      </c>
      <c r="JA116">
        <v>0</v>
      </c>
      <c r="JB116">
        <v>0</v>
      </c>
      <c r="JC116">
        <v>0</v>
      </c>
      <c r="JD116">
        <v>0</v>
      </c>
      <c r="JE116">
        <v>0</v>
      </c>
      <c r="JF116">
        <v>0</v>
      </c>
      <c r="JG116">
        <v>0</v>
      </c>
      <c r="JH116">
        <v>0</v>
      </c>
      <c r="JJ116" s="12" t="s">
        <v>721</v>
      </c>
      <c r="JO116" s="4"/>
      <c r="JU116" s="4"/>
      <c r="JV116" s="4"/>
      <c r="JW116" s="4"/>
      <c r="JX116" s="4"/>
      <c r="JY116" s="4"/>
      <c r="JZ116" s="4"/>
      <c r="KE116" s="7" t="s">
        <v>12</v>
      </c>
      <c r="KI116" s="7" t="s">
        <v>720</v>
      </c>
      <c r="KJ116" s="7"/>
      <c r="MS116" t="s">
        <v>11</v>
      </c>
      <c r="MT116">
        <v>42</v>
      </c>
      <c r="MW116" s="4" t="s">
        <v>133</v>
      </c>
      <c r="NE116" t="s">
        <v>132</v>
      </c>
      <c r="NG116" s="4" t="s">
        <v>1165</v>
      </c>
      <c r="NH116" s="6" t="s">
        <v>7</v>
      </c>
      <c r="NP116" t="s">
        <v>735</v>
      </c>
      <c r="NQ116" t="s">
        <v>6</v>
      </c>
      <c r="NR116" s="5" t="s">
        <v>160</v>
      </c>
      <c r="NS116" s="4" t="s">
        <v>4</v>
      </c>
      <c r="NT116" s="3">
        <v>3.601407009322305E-2</v>
      </c>
      <c r="NW116">
        <v>4</v>
      </c>
      <c r="OH116" t="s">
        <v>158</v>
      </c>
      <c r="OJ116">
        <v>1996</v>
      </c>
      <c r="OM116" s="2" t="s">
        <v>62</v>
      </c>
      <c r="OO116" t="s">
        <v>1178</v>
      </c>
      <c r="OP116" s="58">
        <v>46094</v>
      </c>
    </row>
    <row r="117" spans="1:406" ht="15.75" thickBot="1">
      <c r="A117" s="11" t="s">
        <v>36</v>
      </c>
      <c r="B117" t="s">
        <v>35</v>
      </c>
      <c r="C117" t="s">
        <v>34</v>
      </c>
      <c r="D117" s="4" t="s">
        <v>33</v>
      </c>
      <c r="E117" t="s">
        <v>32</v>
      </c>
      <c r="F117" s="4" t="s">
        <v>31</v>
      </c>
      <c r="G117" t="s">
        <v>2</v>
      </c>
      <c r="H117" t="s">
        <v>30</v>
      </c>
      <c r="I117" s="10">
        <v>0.1</v>
      </c>
      <c r="J117" s="10">
        <v>34.566667000000002</v>
      </c>
      <c r="K117" t="s">
        <v>29</v>
      </c>
      <c r="AV117" t="s">
        <v>28</v>
      </c>
      <c r="AW117">
        <v>100</v>
      </c>
      <c r="AX117" t="s">
        <v>29</v>
      </c>
      <c r="AY117">
        <v>4</v>
      </c>
      <c r="AZ117" t="s">
        <v>27</v>
      </c>
      <c r="BA117">
        <v>1994</v>
      </c>
      <c r="BB117">
        <v>1998</v>
      </c>
      <c r="BC117" t="s">
        <v>26</v>
      </c>
      <c r="BD117" t="s">
        <v>19</v>
      </c>
      <c r="BE117" s="10" t="s">
        <v>25</v>
      </c>
      <c r="BF117" t="s">
        <v>24</v>
      </c>
      <c r="BG117" s="3" t="s">
        <v>1243</v>
      </c>
      <c r="BH117" t="s">
        <v>23</v>
      </c>
      <c r="BI117" t="s">
        <v>750</v>
      </c>
      <c r="BJ117" s="4" t="s">
        <v>22</v>
      </c>
      <c r="BK117" s="9">
        <v>53000</v>
      </c>
      <c r="HR117" t="s">
        <v>21</v>
      </c>
      <c r="HT117" s="4" t="s">
        <v>20</v>
      </c>
      <c r="HU117" s="58">
        <v>34335</v>
      </c>
      <c r="HV117" s="58">
        <v>36160</v>
      </c>
      <c r="HW117" s="58"/>
      <c r="IN117" t="s">
        <v>16</v>
      </c>
      <c r="IO117" s="54" t="s">
        <v>19</v>
      </c>
      <c r="IT117" s="4" t="s">
        <v>18</v>
      </c>
      <c r="IU117" t="s">
        <v>17</v>
      </c>
      <c r="IV117" s="54" t="s">
        <v>19</v>
      </c>
      <c r="IZ117">
        <v>0</v>
      </c>
      <c r="JA117">
        <v>0</v>
      </c>
      <c r="JB117">
        <v>0</v>
      </c>
      <c r="JC117">
        <v>0</v>
      </c>
      <c r="JD117">
        <v>0</v>
      </c>
      <c r="JE117">
        <v>0</v>
      </c>
      <c r="JF117">
        <v>0</v>
      </c>
      <c r="JG117">
        <v>0</v>
      </c>
      <c r="JH117">
        <v>0</v>
      </c>
      <c r="JI117" t="s">
        <v>16</v>
      </c>
      <c r="JJ117" t="s">
        <v>15</v>
      </c>
      <c r="JK117" s="8" t="s">
        <v>14</v>
      </c>
      <c r="JO117" s="4" t="s">
        <v>13</v>
      </c>
      <c r="JP117">
        <v>60</v>
      </c>
      <c r="JS117">
        <v>60</v>
      </c>
      <c r="JU117" s="4"/>
      <c r="JV117" s="4"/>
      <c r="JW117" s="4"/>
      <c r="JX117" s="4"/>
      <c r="JY117" s="4"/>
      <c r="JZ117" s="4"/>
      <c r="KE117" s="7" t="s">
        <v>12</v>
      </c>
      <c r="KI117" s="7" t="s">
        <v>720</v>
      </c>
      <c r="KJ117" s="7"/>
      <c r="MS117" t="s">
        <v>11</v>
      </c>
      <c r="MT117">
        <v>42</v>
      </c>
      <c r="MW117" s="4" t="s">
        <v>133</v>
      </c>
      <c r="NE117" t="s">
        <v>132</v>
      </c>
      <c r="NG117" s="4" t="s">
        <v>1165</v>
      </c>
      <c r="NH117" s="6" t="s">
        <v>7</v>
      </c>
      <c r="NP117" t="s">
        <v>747</v>
      </c>
      <c r="NQ117" t="s">
        <v>6</v>
      </c>
      <c r="NR117" s="5" t="s">
        <v>159</v>
      </c>
      <c r="NS117" s="4" t="s">
        <v>4</v>
      </c>
      <c r="NT117" s="3">
        <v>3.0019181406897966E-2</v>
      </c>
      <c r="NW117">
        <v>4</v>
      </c>
      <c r="OH117" t="s">
        <v>158</v>
      </c>
      <c r="OJ117">
        <v>1996</v>
      </c>
      <c r="OM117" s="2" t="s">
        <v>62</v>
      </c>
      <c r="OO117" t="s">
        <v>1178</v>
      </c>
      <c r="OP117" s="58">
        <v>46094</v>
      </c>
    </row>
    <row r="118" spans="1:406" ht="15.75" thickBot="1">
      <c r="A118" s="11" t="s">
        <v>36</v>
      </c>
      <c r="B118" t="s">
        <v>35</v>
      </c>
      <c r="C118" t="s">
        <v>34</v>
      </c>
      <c r="D118" s="4" t="s">
        <v>33</v>
      </c>
      <c r="E118" t="s">
        <v>32</v>
      </c>
      <c r="F118" s="4" t="s">
        <v>31</v>
      </c>
      <c r="G118" t="s">
        <v>2</v>
      </c>
      <c r="H118" t="s">
        <v>30</v>
      </c>
      <c r="I118" s="10">
        <v>0.1</v>
      </c>
      <c r="J118" s="10">
        <v>34.566667000000002</v>
      </c>
      <c r="K118" t="s">
        <v>29</v>
      </c>
      <c r="AV118" t="s">
        <v>28</v>
      </c>
      <c r="AW118">
        <v>100</v>
      </c>
      <c r="AX118" t="s">
        <v>29</v>
      </c>
      <c r="AY118">
        <v>4</v>
      </c>
      <c r="AZ118" t="s">
        <v>27</v>
      </c>
      <c r="BA118">
        <v>1994</v>
      </c>
      <c r="BB118">
        <v>1998</v>
      </c>
      <c r="BC118" t="s">
        <v>26</v>
      </c>
      <c r="BD118" t="s">
        <v>59</v>
      </c>
      <c r="BE118" s="10" t="s">
        <v>65</v>
      </c>
      <c r="BF118" t="s">
        <v>64</v>
      </c>
      <c r="BG118" s="3" t="s">
        <v>1243</v>
      </c>
      <c r="BH118" t="s">
        <v>23</v>
      </c>
      <c r="BI118" t="s">
        <v>750</v>
      </c>
      <c r="BJ118" s="4" t="s">
        <v>22</v>
      </c>
      <c r="BK118" s="9">
        <v>53000</v>
      </c>
      <c r="EE118" t="s">
        <v>55</v>
      </c>
      <c r="EF118" s="4" t="s">
        <v>22</v>
      </c>
      <c r="EG118" s="9">
        <v>53000</v>
      </c>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K118" s="9"/>
      <c r="HR118" t="s">
        <v>21</v>
      </c>
      <c r="HT118" s="4" t="s">
        <v>20</v>
      </c>
      <c r="HU118" s="58">
        <v>34335</v>
      </c>
      <c r="HV118" s="58">
        <v>36160</v>
      </c>
      <c r="HW118" s="58"/>
      <c r="IM118" s="4"/>
      <c r="IN118" t="s">
        <v>63</v>
      </c>
      <c r="IO118" s="12" t="s">
        <v>1736</v>
      </c>
      <c r="IR118">
        <v>1995</v>
      </c>
      <c r="IS118">
        <v>1995.2</v>
      </c>
      <c r="IT118" s="4" t="s">
        <v>18</v>
      </c>
      <c r="IU118" t="s">
        <v>61</v>
      </c>
      <c r="IV118" s="12" t="s">
        <v>52</v>
      </c>
      <c r="IY118">
        <v>0.5</v>
      </c>
      <c r="IZ118" t="s">
        <v>29</v>
      </c>
      <c r="JA118" t="s">
        <v>29</v>
      </c>
      <c r="JB118" t="s">
        <v>29</v>
      </c>
      <c r="JC118" t="s">
        <v>29</v>
      </c>
      <c r="JD118" t="s">
        <v>29</v>
      </c>
      <c r="JE118" t="s">
        <v>29</v>
      </c>
      <c r="JF118" t="s">
        <v>29</v>
      </c>
      <c r="JG118" t="s">
        <v>29</v>
      </c>
      <c r="JH118" t="s">
        <v>29</v>
      </c>
      <c r="JJ118" s="12" t="s">
        <v>721</v>
      </c>
      <c r="JO118" s="4"/>
      <c r="JU118" s="4"/>
      <c r="JV118" s="4"/>
      <c r="JW118" s="4"/>
      <c r="JX118" s="4"/>
      <c r="JY118" s="4"/>
      <c r="JZ118" s="4"/>
      <c r="KE118" s="7" t="s">
        <v>12</v>
      </c>
      <c r="KI118" s="7" t="s">
        <v>719</v>
      </c>
      <c r="KJ118" s="7" t="s">
        <v>51</v>
      </c>
      <c r="KL118" t="s">
        <v>29</v>
      </c>
      <c r="MS118" t="s">
        <v>11</v>
      </c>
      <c r="MT118">
        <v>42</v>
      </c>
      <c r="MW118" s="4" t="s">
        <v>133</v>
      </c>
      <c r="NE118" t="s">
        <v>132</v>
      </c>
      <c r="NG118" s="4" t="s">
        <v>1165</v>
      </c>
      <c r="NH118" s="6" t="s">
        <v>7</v>
      </c>
      <c r="NQ118" t="s">
        <v>6</v>
      </c>
      <c r="NR118" s="5" t="s">
        <v>157</v>
      </c>
      <c r="NS118" s="4" t="s">
        <v>4</v>
      </c>
      <c r="NT118" s="3">
        <v>7.2095247149352004E-2</v>
      </c>
      <c r="NW118">
        <v>4</v>
      </c>
      <c r="OH118" t="s">
        <v>152</v>
      </c>
      <c r="OJ118">
        <v>1997</v>
      </c>
      <c r="OM118" s="2" t="s">
        <v>62</v>
      </c>
      <c r="OO118" t="s">
        <v>1178</v>
      </c>
      <c r="OP118" s="58">
        <v>46094</v>
      </c>
    </row>
    <row r="119" spans="1:406" ht="15.75" thickBot="1">
      <c r="A119" s="11" t="s">
        <v>36</v>
      </c>
      <c r="B119" t="s">
        <v>35</v>
      </c>
      <c r="C119" t="s">
        <v>34</v>
      </c>
      <c r="D119" s="4" t="s">
        <v>33</v>
      </c>
      <c r="E119" t="s">
        <v>32</v>
      </c>
      <c r="F119" s="4" t="s">
        <v>31</v>
      </c>
      <c r="G119" t="s">
        <v>2</v>
      </c>
      <c r="H119" t="s">
        <v>30</v>
      </c>
      <c r="I119" s="10">
        <v>0.1</v>
      </c>
      <c r="J119" s="10">
        <v>34.566667000000002</v>
      </c>
      <c r="K119" t="s">
        <v>29</v>
      </c>
      <c r="AV119" t="s">
        <v>28</v>
      </c>
      <c r="AW119">
        <v>100</v>
      </c>
      <c r="AX119" t="s">
        <v>29</v>
      </c>
      <c r="AY119">
        <v>4</v>
      </c>
      <c r="AZ119" t="s">
        <v>27</v>
      </c>
      <c r="BA119">
        <v>1994</v>
      </c>
      <c r="BB119">
        <v>1998</v>
      </c>
      <c r="BC119" t="s">
        <v>26</v>
      </c>
      <c r="BD119" t="s">
        <v>59</v>
      </c>
      <c r="BE119" s="10" t="s">
        <v>58</v>
      </c>
      <c r="BF119" t="s">
        <v>57</v>
      </c>
      <c r="BG119" s="3" t="s">
        <v>1243</v>
      </c>
      <c r="BH119" t="s">
        <v>23</v>
      </c>
      <c r="BI119" t="s">
        <v>750</v>
      </c>
      <c r="BJ119" s="4" t="s">
        <v>22</v>
      </c>
      <c r="BK119" s="9">
        <v>53000</v>
      </c>
      <c r="EE119" t="s">
        <v>55</v>
      </c>
      <c r="EF119" s="4" t="s">
        <v>22</v>
      </c>
      <c r="EG119" s="9">
        <v>53000</v>
      </c>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K119" s="9"/>
      <c r="HR119" t="s">
        <v>21</v>
      </c>
      <c r="HT119" s="4" t="s">
        <v>20</v>
      </c>
      <c r="HU119" s="58">
        <v>34335</v>
      </c>
      <c r="HV119" s="58">
        <v>36160</v>
      </c>
      <c r="HW119" s="58"/>
      <c r="IM119" s="4"/>
      <c r="IN119" t="s">
        <v>54</v>
      </c>
      <c r="IO119" s="12" t="s">
        <v>1737</v>
      </c>
      <c r="IR119">
        <v>1994</v>
      </c>
      <c r="IS119">
        <v>1994.2</v>
      </c>
      <c r="IT119" s="4" t="s">
        <v>18</v>
      </c>
      <c r="IU119" t="s">
        <v>53</v>
      </c>
      <c r="IV119" s="12" t="s">
        <v>52</v>
      </c>
      <c r="IY119">
        <v>0.5</v>
      </c>
      <c r="IZ119" t="s">
        <v>29</v>
      </c>
      <c r="JA119" t="s">
        <v>29</v>
      </c>
      <c r="JB119" t="s">
        <v>29</v>
      </c>
      <c r="JC119" t="s">
        <v>29</v>
      </c>
      <c r="JD119" t="s">
        <v>29</v>
      </c>
      <c r="JE119" t="s">
        <v>29</v>
      </c>
      <c r="JF119" t="s">
        <v>29</v>
      </c>
      <c r="JG119" t="s">
        <v>29</v>
      </c>
      <c r="JH119" t="s">
        <v>29</v>
      </c>
      <c r="JJ119" s="12" t="s">
        <v>721</v>
      </c>
      <c r="JO119" s="4"/>
      <c r="JU119" s="4"/>
      <c r="JV119" s="4"/>
      <c r="JW119" s="4"/>
      <c r="JX119" s="4"/>
      <c r="JY119" s="4"/>
      <c r="JZ119" s="4"/>
      <c r="KE119" s="7" t="s">
        <v>12</v>
      </c>
      <c r="KI119" s="7" t="s">
        <v>719</v>
      </c>
      <c r="KJ119" s="7" t="s">
        <v>51</v>
      </c>
      <c r="KL119" t="s">
        <v>29</v>
      </c>
      <c r="MS119" t="s">
        <v>11</v>
      </c>
      <c r="MT119">
        <v>42</v>
      </c>
      <c r="MW119" s="4" t="s">
        <v>133</v>
      </c>
      <c r="NE119" t="s">
        <v>132</v>
      </c>
      <c r="NG119" s="4" t="s">
        <v>1165</v>
      </c>
      <c r="NH119" s="6" t="s">
        <v>7</v>
      </c>
      <c r="NQ119" t="s">
        <v>6</v>
      </c>
      <c r="NR119">
        <v>0.44946566080785599</v>
      </c>
      <c r="NS119" s="4" t="s">
        <v>4</v>
      </c>
      <c r="NT119" s="3">
        <v>3.3011033503150988E-2</v>
      </c>
      <c r="NW119">
        <v>4</v>
      </c>
      <c r="OH119" t="s">
        <v>152</v>
      </c>
      <c r="OJ119">
        <v>1997</v>
      </c>
      <c r="OM119" s="2" t="s">
        <v>62</v>
      </c>
      <c r="OO119" t="s">
        <v>1178</v>
      </c>
      <c r="OP119" s="58">
        <v>46094</v>
      </c>
    </row>
    <row r="120" spans="1:406" ht="15.75" thickBot="1">
      <c r="A120" s="11" t="s">
        <v>36</v>
      </c>
      <c r="B120" t="s">
        <v>35</v>
      </c>
      <c r="C120" t="s">
        <v>34</v>
      </c>
      <c r="D120" s="4" t="s">
        <v>33</v>
      </c>
      <c r="E120" t="s">
        <v>32</v>
      </c>
      <c r="F120" s="4" t="s">
        <v>31</v>
      </c>
      <c r="G120" t="s">
        <v>2</v>
      </c>
      <c r="H120" t="s">
        <v>30</v>
      </c>
      <c r="I120" s="10">
        <v>0.1</v>
      </c>
      <c r="J120" s="10">
        <v>34.566667000000002</v>
      </c>
      <c r="K120" t="s">
        <v>29</v>
      </c>
      <c r="AV120" t="s">
        <v>28</v>
      </c>
      <c r="AW120">
        <v>100</v>
      </c>
      <c r="AX120" t="s">
        <v>29</v>
      </c>
      <c r="AY120">
        <v>4</v>
      </c>
      <c r="AZ120" t="s">
        <v>27</v>
      </c>
      <c r="BA120">
        <v>1994</v>
      </c>
      <c r="BB120">
        <v>1998</v>
      </c>
      <c r="BC120" t="s">
        <v>26</v>
      </c>
      <c r="BD120" t="s">
        <v>45</v>
      </c>
      <c r="BE120" s="10" t="s">
        <v>49</v>
      </c>
      <c r="BF120" t="s">
        <v>48</v>
      </c>
      <c r="BG120" s="3" t="s">
        <v>1243</v>
      </c>
      <c r="BH120" t="s">
        <v>23</v>
      </c>
      <c r="BI120" t="s">
        <v>750</v>
      </c>
      <c r="BJ120" s="4" t="s">
        <v>22</v>
      </c>
      <c r="BK120" s="9">
        <v>53000</v>
      </c>
      <c r="EF120" s="4"/>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K120" s="9"/>
      <c r="HR120" t="s">
        <v>21</v>
      </c>
      <c r="HT120" s="4" t="s">
        <v>20</v>
      </c>
      <c r="HU120" s="58">
        <v>34335</v>
      </c>
      <c r="HV120" s="58">
        <v>36160</v>
      </c>
      <c r="HW120" s="58"/>
      <c r="IN120" t="s">
        <v>47</v>
      </c>
      <c r="IO120" s="54" t="s">
        <v>1236</v>
      </c>
      <c r="IR120">
        <v>1995</v>
      </c>
      <c r="IS120">
        <v>1995.2</v>
      </c>
      <c r="IT120" s="4" t="s">
        <v>18</v>
      </c>
      <c r="IU120" t="s">
        <v>38</v>
      </c>
      <c r="IV120" t="s">
        <v>19</v>
      </c>
      <c r="IZ120">
        <v>0</v>
      </c>
      <c r="JA120">
        <v>0</v>
      </c>
      <c r="JB120">
        <v>0</v>
      </c>
      <c r="JC120">
        <v>0</v>
      </c>
      <c r="JD120">
        <v>0</v>
      </c>
      <c r="JE120">
        <v>0</v>
      </c>
      <c r="JF120">
        <v>0</v>
      </c>
      <c r="JG120">
        <v>0</v>
      </c>
      <c r="JH120">
        <v>0</v>
      </c>
      <c r="JJ120" s="12" t="s">
        <v>721</v>
      </c>
      <c r="JO120" s="4"/>
      <c r="JU120" s="4"/>
      <c r="JV120" s="4"/>
      <c r="JW120" s="4"/>
      <c r="JX120" s="4"/>
      <c r="JY120" s="4"/>
      <c r="JZ120" s="4"/>
      <c r="KE120" s="7" t="s">
        <v>12</v>
      </c>
      <c r="KI120" s="7" t="s">
        <v>720</v>
      </c>
      <c r="KJ120" s="7"/>
      <c r="MS120" t="s">
        <v>11</v>
      </c>
      <c r="MT120">
        <v>42</v>
      </c>
      <c r="MW120" s="4" t="s">
        <v>133</v>
      </c>
      <c r="NE120" t="s">
        <v>132</v>
      </c>
      <c r="NG120" s="4" t="s">
        <v>1165</v>
      </c>
      <c r="NH120" s="6" t="s">
        <v>7</v>
      </c>
      <c r="NQ120" t="s">
        <v>6</v>
      </c>
      <c r="NR120" s="5" t="s">
        <v>156</v>
      </c>
      <c r="NS120" s="4" t="s">
        <v>4</v>
      </c>
      <c r="NT120" s="3">
        <v>5.7057695211359005E-2</v>
      </c>
      <c r="NW120">
        <v>4</v>
      </c>
      <c r="OH120" t="s">
        <v>152</v>
      </c>
      <c r="OJ120">
        <v>1997</v>
      </c>
      <c r="OM120" s="2" t="s">
        <v>62</v>
      </c>
      <c r="OO120" t="s">
        <v>1178</v>
      </c>
      <c r="OP120" s="58">
        <v>46094</v>
      </c>
    </row>
    <row r="121" spans="1:406" ht="15.75" thickBot="1">
      <c r="A121" s="11" t="s">
        <v>36</v>
      </c>
      <c r="B121" t="s">
        <v>35</v>
      </c>
      <c r="C121" t="s">
        <v>34</v>
      </c>
      <c r="D121" s="4" t="s">
        <v>33</v>
      </c>
      <c r="E121" t="s">
        <v>32</v>
      </c>
      <c r="F121" s="4" t="s">
        <v>31</v>
      </c>
      <c r="G121" t="s">
        <v>2</v>
      </c>
      <c r="H121" t="s">
        <v>30</v>
      </c>
      <c r="I121" s="10">
        <v>0.1</v>
      </c>
      <c r="J121" s="10">
        <v>34.566667000000002</v>
      </c>
      <c r="K121" t="s">
        <v>29</v>
      </c>
      <c r="AV121" t="s">
        <v>28</v>
      </c>
      <c r="AW121">
        <v>100</v>
      </c>
      <c r="AX121" t="s">
        <v>29</v>
      </c>
      <c r="AY121">
        <v>4</v>
      </c>
      <c r="AZ121" t="s">
        <v>27</v>
      </c>
      <c r="BA121">
        <v>1994</v>
      </c>
      <c r="BB121">
        <v>1998</v>
      </c>
      <c r="BC121" t="s">
        <v>26</v>
      </c>
      <c r="BD121" t="s">
        <v>45</v>
      </c>
      <c r="BE121" s="10" t="s">
        <v>44</v>
      </c>
      <c r="BF121" t="s">
        <v>43</v>
      </c>
      <c r="BG121" s="3" t="s">
        <v>1243</v>
      </c>
      <c r="BH121" t="s">
        <v>23</v>
      </c>
      <c r="BI121" t="s">
        <v>750</v>
      </c>
      <c r="BJ121" s="4" t="s">
        <v>22</v>
      </c>
      <c r="BK121" s="9">
        <v>53000</v>
      </c>
      <c r="EF121" s="4"/>
      <c r="EG121" s="9"/>
      <c r="EH121" s="9"/>
      <c r="EI121" s="9"/>
      <c r="EJ121" s="9"/>
      <c r="EK121" s="9"/>
      <c r="EL121" s="9"/>
      <c r="EM121" s="9"/>
      <c r="EN121" s="9"/>
      <c r="EO121" s="9"/>
      <c r="EP121" s="9"/>
      <c r="EQ121" s="9"/>
      <c r="ER121" s="9"/>
      <c r="ES121" s="9"/>
      <c r="ET121" s="9"/>
      <c r="EU121" s="9"/>
      <c r="EV121" s="9"/>
      <c r="EW121" s="9"/>
      <c r="EX121" s="9"/>
      <c r="EY121" s="9"/>
      <c r="EZ121" s="9"/>
      <c r="FA121" s="9"/>
      <c r="FB121" s="9"/>
      <c r="FC121" s="9"/>
      <c r="FD121" s="9"/>
      <c r="FE121" s="9"/>
      <c r="FF121" s="9"/>
      <c r="FG121" s="9"/>
      <c r="FH121" s="9"/>
      <c r="FI121" s="9"/>
      <c r="FJ121" s="9"/>
      <c r="FK121" s="9"/>
      <c r="FL121" s="9"/>
      <c r="FM121" s="9"/>
      <c r="FN121" s="9"/>
      <c r="FO121" s="9"/>
      <c r="FP121" s="9"/>
      <c r="FQ121" s="9"/>
      <c r="FR121" s="9"/>
      <c r="FS121" s="9"/>
      <c r="FT121" s="9"/>
      <c r="FU121" s="9"/>
      <c r="FV121" s="9"/>
      <c r="FW121" s="9"/>
      <c r="FX121" s="9"/>
      <c r="FY121" s="9"/>
      <c r="FZ121" s="9"/>
      <c r="GA121" s="9"/>
      <c r="GB121" s="9"/>
      <c r="GC121" s="9"/>
      <c r="GD121" s="9"/>
      <c r="GE121" s="9"/>
      <c r="GF121" s="9"/>
      <c r="GG121" s="9"/>
      <c r="GH121" s="9"/>
      <c r="GI121" s="9"/>
      <c r="GJ121" s="9"/>
      <c r="GK121" s="9"/>
      <c r="GL121" s="9"/>
      <c r="GM121" s="9"/>
      <c r="GN121" s="9"/>
      <c r="GO121" s="9"/>
      <c r="GP121" s="9"/>
      <c r="GQ121" s="9"/>
      <c r="GR121" s="9"/>
      <c r="GS121" s="9"/>
      <c r="GT121" s="9"/>
      <c r="GU121" s="9"/>
      <c r="GV121" s="9"/>
      <c r="GW121" s="9"/>
      <c r="GX121" s="9"/>
      <c r="GY121" s="9"/>
      <c r="GZ121" s="9"/>
      <c r="HA121" s="9"/>
      <c r="HB121" s="9"/>
      <c r="HC121" s="9"/>
      <c r="HD121" s="9"/>
      <c r="HE121" s="9"/>
      <c r="HF121" s="9"/>
      <c r="HG121" s="9"/>
      <c r="HH121" s="9"/>
      <c r="HI121" s="9"/>
      <c r="HJ121" s="9"/>
      <c r="HK121" s="9"/>
      <c r="HR121" t="s">
        <v>21</v>
      </c>
      <c r="HT121" s="4" t="s">
        <v>20</v>
      </c>
      <c r="HU121" s="58">
        <v>34335</v>
      </c>
      <c r="HV121" s="58">
        <v>36160</v>
      </c>
      <c r="HW121" s="58"/>
      <c r="IN121" t="s">
        <v>42</v>
      </c>
      <c r="IO121" s="13" t="s">
        <v>1237</v>
      </c>
      <c r="IR121">
        <v>1994</v>
      </c>
      <c r="IS121">
        <v>1994.2</v>
      </c>
      <c r="IT121" s="4" t="s">
        <v>18</v>
      </c>
      <c r="IU121" t="s">
        <v>38</v>
      </c>
      <c r="IV121" t="s">
        <v>19</v>
      </c>
      <c r="IZ121">
        <v>0</v>
      </c>
      <c r="JA121">
        <v>0</v>
      </c>
      <c r="JB121">
        <v>0</v>
      </c>
      <c r="JC121">
        <v>0</v>
      </c>
      <c r="JD121">
        <v>0</v>
      </c>
      <c r="JE121">
        <v>0</v>
      </c>
      <c r="JF121">
        <v>0</v>
      </c>
      <c r="JG121">
        <v>0</v>
      </c>
      <c r="JH121">
        <v>0</v>
      </c>
      <c r="JJ121" s="12" t="s">
        <v>721</v>
      </c>
      <c r="JO121" s="4"/>
      <c r="JU121" s="4"/>
      <c r="JV121" s="4"/>
      <c r="JW121" s="4"/>
      <c r="JX121" s="4"/>
      <c r="JY121" s="4"/>
      <c r="JZ121" s="4"/>
      <c r="KE121" s="7" t="s">
        <v>12</v>
      </c>
      <c r="KI121" s="7" t="s">
        <v>720</v>
      </c>
      <c r="KJ121" s="7"/>
      <c r="MS121" t="s">
        <v>11</v>
      </c>
      <c r="MT121">
        <v>42</v>
      </c>
      <c r="MW121" s="4" t="s">
        <v>133</v>
      </c>
      <c r="NE121" t="s">
        <v>132</v>
      </c>
      <c r="NG121" s="4" t="s">
        <v>1165</v>
      </c>
      <c r="NH121" s="6" t="s">
        <v>7</v>
      </c>
      <c r="NQ121" t="s">
        <v>6</v>
      </c>
      <c r="NR121" s="5" t="s">
        <v>155</v>
      </c>
      <c r="NS121" s="4" t="s">
        <v>4</v>
      </c>
      <c r="NT121" s="3">
        <v>8.4073840028185021E-2</v>
      </c>
      <c r="NW121">
        <v>4</v>
      </c>
      <c r="OH121" t="s">
        <v>152</v>
      </c>
      <c r="OJ121">
        <v>1997</v>
      </c>
      <c r="OM121" s="2" t="s">
        <v>62</v>
      </c>
      <c r="OO121" t="s">
        <v>1178</v>
      </c>
      <c r="OP121" s="58">
        <v>46094</v>
      </c>
    </row>
    <row r="122" spans="1:406" ht="15.75" thickBot="1">
      <c r="A122" s="11" t="s">
        <v>36</v>
      </c>
      <c r="B122" t="s">
        <v>35</v>
      </c>
      <c r="C122" t="s">
        <v>34</v>
      </c>
      <c r="D122" s="4" t="s">
        <v>33</v>
      </c>
      <c r="E122" t="s">
        <v>32</v>
      </c>
      <c r="F122" s="4" t="s">
        <v>31</v>
      </c>
      <c r="G122" t="s">
        <v>2</v>
      </c>
      <c r="H122" t="s">
        <v>30</v>
      </c>
      <c r="I122" s="10">
        <v>0.1</v>
      </c>
      <c r="J122" s="10">
        <v>34.566667000000002</v>
      </c>
      <c r="K122" t="s">
        <v>29</v>
      </c>
      <c r="AV122" t="s">
        <v>28</v>
      </c>
      <c r="AW122">
        <v>100</v>
      </c>
      <c r="AX122" t="s">
        <v>29</v>
      </c>
      <c r="AY122">
        <v>4</v>
      </c>
      <c r="AZ122" t="s">
        <v>27</v>
      </c>
      <c r="BA122">
        <v>1994</v>
      </c>
      <c r="BB122">
        <v>1998</v>
      </c>
      <c r="BC122" t="s">
        <v>26</v>
      </c>
      <c r="BD122" t="s">
        <v>19</v>
      </c>
      <c r="BE122" s="10" t="s">
        <v>40</v>
      </c>
      <c r="BF122" t="s">
        <v>39</v>
      </c>
      <c r="BG122" s="3" t="s">
        <v>1243</v>
      </c>
      <c r="BH122" t="s">
        <v>23</v>
      </c>
      <c r="BI122" t="s">
        <v>750</v>
      </c>
      <c r="BJ122" s="4" t="s">
        <v>22</v>
      </c>
      <c r="BK122" s="9">
        <v>53000</v>
      </c>
      <c r="HR122" t="s">
        <v>21</v>
      </c>
      <c r="HT122" s="4" t="s">
        <v>20</v>
      </c>
      <c r="HU122" s="58">
        <v>34335</v>
      </c>
      <c r="HV122" s="58">
        <v>36160</v>
      </c>
      <c r="HW122" s="58"/>
      <c r="IN122" t="s">
        <v>38</v>
      </c>
      <c r="IO122" s="54" t="s">
        <v>19</v>
      </c>
      <c r="IT122" s="4" t="s">
        <v>18</v>
      </c>
      <c r="IU122" t="s">
        <v>38</v>
      </c>
      <c r="IV122" s="54" t="s">
        <v>19</v>
      </c>
      <c r="IZ122">
        <v>0</v>
      </c>
      <c r="JA122">
        <v>0</v>
      </c>
      <c r="JB122">
        <v>0</v>
      </c>
      <c r="JC122">
        <v>0</v>
      </c>
      <c r="JD122">
        <v>0</v>
      </c>
      <c r="JE122">
        <v>0</v>
      </c>
      <c r="JF122">
        <v>0</v>
      </c>
      <c r="JG122">
        <v>0</v>
      </c>
      <c r="JH122">
        <v>0</v>
      </c>
      <c r="JJ122" s="12" t="s">
        <v>721</v>
      </c>
      <c r="JO122" s="4"/>
      <c r="JU122" s="4"/>
      <c r="JV122" s="4"/>
      <c r="JW122" s="4"/>
      <c r="JX122" s="4"/>
      <c r="JY122" s="4"/>
      <c r="JZ122" s="4"/>
      <c r="KE122" s="7" t="s">
        <v>12</v>
      </c>
      <c r="KI122" s="7" t="s">
        <v>720</v>
      </c>
      <c r="KJ122" s="7"/>
      <c r="MS122" t="s">
        <v>11</v>
      </c>
      <c r="MT122">
        <v>42</v>
      </c>
      <c r="MW122" s="4" t="s">
        <v>133</v>
      </c>
      <c r="NE122" t="s">
        <v>132</v>
      </c>
      <c r="NG122" s="4" t="s">
        <v>1165</v>
      </c>
      <c r="NH122" s="6" t="s">
        <v>7</v>
      </c>
      <c r="NP122" t="s">
        <v>735</v>
      </c>
      <c r="NQ122" t="s">
        <v>6</v>
      </c>
      <c r="NR122" s="5" t="s">
        <v>154</v>
      </c>
      <c r="NS122" s="4" t="s">
        <v>4</v>
      </c>
      <c r="NT122" s="3">
        <v>4.8093323416414979E-2</v>
      </c>
      <c r="NW122">
        <v>4</v>
      </c>
      <c r="OH122" t="s">
        <v>152</v>
      </c>
      <c r="OJ122">
        <v>1997</v>
      </c>
      <c r="OM122" s="2" t="s">
        <v>62</v>
      </c>
      <c r="OO122" t="s">
        <v>1178</v>
      </c>
      <c r="OP122" s="58">
        <v>46094</v>
      </c>
    </row>
    <row r="123" spans="1:406" ht="15.75" thickBot="1">
      <c r="A123" s="11" t="s">
        <v>36</v>
      </c>
      <c r="B123" t="s">
        <v>35</v>
      </c>
      <c r="C123" t="s">
        <v>34</v>
      </c>
      <c r="D123" s="4" t="s">
        <v>33</v>
      </c>
      <c r="E123" t="s">
        <v>32</v>
      </c>
      <c r="F123" s="4" t="s">
        <v>31</v>
      </c>
      <c r="G123" t="s">
        <v>2</v>
      </c>
      <c r="H123" t="s">
        <v>30</v>
      </c>
      <c r="I123" s="10">
        <v>0.1</v>
      </c>
      <c r="J123" s="10">
        <v>34.566667000000002</v>
      </c>
      <c r="K123" t="s">
        <v>29</v>
      </c>
      <c r="AV123" t="s">
        <v>28</v>
      </c>
      <c r="AW123">
        <v>100</v>
      </c>
      <c r="AX123" t="s">
        <v>29</v>
      </c>
      <c r="AY123">
        <v>4</v>
      </c>
      <c r="AZ123" t="s">
        <v>27</v>
      </c>
      <c r="BA123">
        <v>1994</v>
      </c>
      <c r="BB123">
        <v>1998</v>
      </c>
      <c r="BC123" t="s">
        <v>26</v>
      </c>
      <c r="BD123" t="s">
        <v>19</v>
      </c>
      <c r="BE123" s="10" t="s">
        <v>25</v>
      </c>
      <c r="BF123" t="s">
        <v>24</v>
      </c>
      <c r="BG123" s="3" t="s">
        <v>1243</v>
      </c>
      <c r="BH123" t="s">
        <v>23</v>
      </c>
      <c r="BI123" t="s">
        <v>750</v>
      </c>
      <c r="BJ123" s="4" t="s">
        <v>22</v>
      </c>
      <c r="BK123" s="9">
        <v>53000</v>
      </c>
      <c r="HR123" t="s">
        <v>21</v>
      </c>
      <c r="HT123" s="4" t="s">
        <v>20</v>
      </c>
      <c r="HU123" s="58">
        <v>34335</v>
      </c>
      <c r="HV123" s="58">
        <v>36160</v>
      </c>
      <c r="HW123" s="58"/>
      <c r="IN123" t="s">
        <v>16</v>
      </c>
      <c r="IO123" s="54" t="s">
        <v>19</v>
      </c>
      <c r="IT123" s="4" t="s">
        <v>18</v>
      </c>
      <c r="IU123" t="s">
        <v>17</v>
      </c>
      <c r="IV123" s="54" t="s">
        <v>19</v>
      </c>
      <c r="IZ123">
        <v>0</v>
      </c>
      <c r="JA123">
        <v>0</v>
      </c>
      <c r="JB123">
        <v>0</v>
      </c>
      <c r="JC123">
        <v>0</v>
      </c>
      <c r="JD123">
        <v>0</v>
      </c>
      <c r="JE123">
        <v>0</v>
      </c>
      <c r="JF123">
        <v>0</v>
      </c>
      <c r="JG123">
        <v>0</v>
      </c>
      <c r="JH123">
        <v>0</v>
      </c>
      <c r="JI123" t="s">
        <v>16</v>
      </c>
      <c r="JJ123" t="s">
        <v>15</v>
      </c>
      <c r="JK123" s="8" t="s">
        <v>14</v>
      </c>
      <c r="JO123" s="4" t="s">
        <v>13</v>
      </c>
      <c r="JP123">
        <v>60</v>
      </c>
      <c r="JS123">
        <v>60</v>
      </c>
      <c r="JU123" s="4"/>
      <c r="JV123" s="4"/>
      <c r="JW123" s="4"/>
      <c r="JX123" s="4"/>
      <c r="JY123" s="4"/>
      <c r="JZ123" s="4"/>
      <c r="KE123" s="7" t="s">
        <v>12</v>
      </c>
      <c r="KI123" s="7" t="s">
        <v>720</v>
      </c>
      <c r="KJ123" s="7"/>
      <c r="MS123" t="s">
        <v>11</v>
      </c>
      <c r="MT123">
        <v>42</v>
      </c>
      <c r="MW123" s="4" t="s">
        <v>133</v>
      </c>
      <c r="NE123" t="s">
        <v>132</v>
      </c>
      <c r="NG123" s="4" t="s">
        <v>1165</v>
      </c>
      <c r="NH123" s="6" t="s">
        <v>7</v>
      </c>
      <c r="NP123" t="s">
        <v>747</v>
      </c>
      <c r="NQ123" t="s">
        <v>6</v>
      </c>
      <c r="NR123" s="5" t="s">
        <v>153</v>
      </c>
      <c r="NS123" s="4" t="s">
        <v>4</v>
      </c>
      <c r="NT123" s="3">
        <v>2.1021256130499988E-2</v>
      </c>
      <c r="NW123">
        <v>4</v>
      </c>
      <c r="OH123" t="s">
        <v>152</v>
      </c>
      <c r="OJ123">
        <v>1997</v>
      </c>
      <c r="OM123" s="2" t="s">
        <v>62</v>
      </c>
      <c r="OO123" t="s">
        <v>1178</v>
      </c>
      <c r="OP123" s="58">
        <v>46094</v>
      </c>
    </row>
    <row r="124" spans="1:406" ht="15.75" thickBot="1">
      <c r="A124" s="11" t="s">
        <v>36</v>
      </c>
      <c r="B124" t="s">
        <v>35</v>
      </c>
      <c r="C124" t="s">
        <v>34</v>
      </c>
      <c r="D124" s="4" t="s">
        <v>33</v>
      </c>
      <c r="E124" t="s">
        <v>32</v>
      </c>
      <c r="F124" s="4" t="s">
        <v>31</v>
      </c>
      <c r="G124" t="s">
        <v>2</v>
      </c>
      <c r="H124" t="s">
        <v>30</v>
      </c>
      <c r="I124" s="10">
        <v>0.1</v>
      </c>
      <c r="J124" s="10">
        <v>34.566667000000002</v>
      </c>
      <c r="K124" t="s">
        <v>29</v>
      </c>
      <c r="AV124" t="s">
        <v>28</v>
      </c>
      <c r="AW124">
        <v>100</v>
      </c>
      <c r="AX124" t="s">
        <v>29</v>
      </c>
      <c r="AY124">
        <v>4</v>
      </c>
      <c r="AZ124" t="s">
        <v>27</v>
      </c>
      <c r="BA124">
        <v>1994</v>
      </c>
      <c r="BB124">
        <v>1998</v>
      </c>
      <c r="BC124" t="s">
        <v>26</v>
      </c>
      <c r="BD124" t="s">
        <v>59</v>
      </c>
      <c r="BE124" s="10" t="s">
        <v>65</v>
      </c>
      <c r="BF124" t="s">
        <v>64</v>
      </c>
      <c r="BG124" s="3" t="s">
        <v>1243</v>
      </c>
      <c r="BH124" t="s">
        <v>23</v>
      </c>
      <c r="BI124" t="s">
        <v>750</v>
      </c>
      <c r="BJ124" s="4" t="s">
        <v>22</v>
      </c>
      <c r="BK124" s="9">
        <v>53000</v>
      </c>
      <c r="EE124" t="s">
        <v>55</v>
      </c>
      <c r="EF124" s="4" t="s">
        <v>22</v>
      </c>
      <c r="EG124" s="9">
        <v>53000</v>
      </c>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K124" s="9"/>
      <c r="HR124" t="s">
        <v>21</v>
      </c>
      <c r="HT124" s="4" t="s">
        <v>20</v>
      </c>
      <c r="HU124" s="58">
        <v>34335</v>
      </c>
      <c r="HV124" s="58">
        <v>36160</v>
      </c>
      <c r="HW124" s="58"/>
      <c r="IM124" s="4"/>
      <c r="IN124" t="s">
        <v>63</v>
      </c>
      <c r="IO124" s="12" t="s">
        <v>1736</v>
      </c>
      <c r="IR124">
        <v>1995</v>
      </c>
      <c r="IS124">
        <v>1995.2</v>
      </c>
      <c r="IT124" s="4" t="s">
        <v>18</v>
      </c>
      <c r="IU124" t="s">
        <v>61</v>
      </c>
      <c r="IV124" s="12" t="s">
        <v>52</v>
      </c>
      <c r="IY124">
        <v>0.5</v>
      </c>
      <c r="IZ124" t="s">
        <v>29</v>
      </c>
      <c r="JA124" t="s">
        <v>29</v>
      </c>
      <c r="JB124" t="s">
        <v>29</v>
      </c>
      <c r="JC124" t="s">
        <v>29</v>
      </c>
      <c r="JD124" t="s">
        <v>29</v>
      </c>
      <c r="JE124" t="s">
        <v>29</v>
      </c>
      <c r="JF124" t="s">
        <v>29</v>
      </c>
      <c r="JG124" t="s">
        <v>29</v>
      </c>
      <c r="JH124" t="s">
        <v>29</v>
      </c>
      <c r="JJ124" s="12" t="s">
        <v>721</v>
      </c>
      <c r="JO124" s="4"/>
      <c r="JU124" s="4"/>
      <c r="JV124" s="4"/>
      <c r="JW124" s="4"/>
      <c r="JX124" s="4"/>
      <c r="JY124" s="4"/>
      <c r="JZ124" s="4"/>
      <c r="KE124" s="7" t="s">
        <v>12</v>
      </c>
      <c r="KI124" s="7" t="s">
        <v>719</v>
      </c>
      <c r="KJ124" s="7" t="s">
        <v>51</v>
      </c>
      <c r="KL124" t="s">
        <v>29</v>
      </c>
      <c r="MS124" t="s">
        <v>11</v>
      </c>
      <c r="MT124">
        <v>42</v>
      </c>
      <c r="MW124" s="4" t="s">
        <v>133</v>
      </c>
      <c r="NE124" t="s">
        <v>132</v>
      </c>
      <c r="NG124" s="4" t="s">
        <v>1165</v>
      </c>
      <c r="NH124" s="6" t="s">
        <v>7</v>
      </c>
      <c r="NQ124" t="s">
        <v>6</v>
      </c>
      <c r="NR124" s="5" t="s">
        <v>151</v>
      </c>
      <c r="NS124" s="4" t="s">
        <v>4</v>
      </c>
      <c r="NT124" s="3">
        <v>6.0038362813794988E-2</v>
      </c>
      <c r="NW124">
        <v>4</v>
      </c>
      <c r="OH124" t="s">
        <v>145</v>
      </c>
      <c r="OJ124">
        <v>1998</v>
      </c>
      <c r="OM124" s="2" t="s">
        <v>62</v>
      </c>
      <c r="OO124" t="s">
        <v>1178</v>
      </c>
      <c r="OP124" s="58">
        <v>46094</v>
      </c>
    </row>
    <row r="125" spans="1:406" ht="15.75" thickBot="1">
      <c r="A125" s="11" t="s">
        <v>36</v>
      </c>
      <c r="B125" t="s">
        <v>35</v>
      </c>
      <c r="C125" t="s">
        <v>34</v>
      </c>
      <c r="D125" s="4" t="s">
        <v>33</v>
      </c>
      <c r="E125" t="s">
        <v>32</v>
      </c>
      <c r="F125" s="4" t="s">
        <v>31</v>
      </c>
      <c r="G125" t="s">
        <v>2</v>
      </c>
      <c r="H125" t="s">
        <v>30</v>
      </c>
      <c r="I125" s="10">
        <v>0.1</v>
      </c>
      <c r="J125" s="10">
        <v>34.566667000000002</v>
      </c>
      <c r="K125" t="s">
        <v>29</v>
      </c>
      <c r="AV125" t="s">
        <v>28</v>
      </c>
      <c r="AW125">
        <v>100</v>
      </c>
      <c r="AX125" t="s">
        <v>29</v>
      </c>
      <c r="AY125">
        <v>4</v>
      </c>
      <c r="AZ125" t="s">
        <v>27</v>
      </c>
      <c r="BA125">
        <v>1994</v>
      </c>
      <c r="BB125">
        <v>1998</v>
      </c>
      <c r="BC125" t="s">
        <v>26</v>
      </c>
      <c r="BD125" t="s">
        <v>59</v>
      </c>
      <c r="BE125" s="10" t="s">
        <v>58</v>
      </c>
      <c r="BF125" t="s">
        <v>57</v>
      </c>
      <c r="BG125" s="3" t="s">
        <v>1243</v>
      </c>
      <c r="BH125" t="s">
        <v>23</v>
      </c>
      <c r="BI125" t="s">
        <v>750</v>
      </c>
      <c r="BJ125" s="4" t="s">
        <v>22</v>
      </c>
      <c r="BK125" s="9">
        <v>53000</v>
      </c>
      <c r="EE125" t="s">
        <v>55</v>
      </c>
      <c r="EF125" s="4" t="s">
        <v>22</v>
      </c>
      <c r="EG125" s="9">
        <v>53000</v>
      </c>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K125" s="9"/>
      <c r="HR125" t="s">
        <v>21</v>
      </c>
      <c r="HT125" s="4" t="s">
        <v>20</v>
      </c>
      <c r="HU125" s="58">
        <v>34335</v>
      </c>
      <c r="HV125" s="58">
        <v>36160</v>
      </c>
      <c r="HW125" s="58"/>
      <c r="IM125" s="4"/>
      <c r="IN125" t="s">
        <v>54</v>
      </c>
      <c r="IO125" s="12" t="s">
        <v>1737</v>
      </c>
      <c r="IR125">
        <v>1994</v>
      </c>
      <c r="IS125">
        <v>1994.2</v>
      </c>
      <c r="IT125" s="4" t="s">
        <v>18</v>
      </c>
      <c r="IU125" t="s">
        <v>53</v>
      </c>
      <c r="IV125" s="12" t="s">
        <v>52</v>
      </c>
      <c r="IY125">
        <v>0.5</v>
      </c>
      <c r="IZ125" t="s">
        <v>29</v>
      </c>
      <c r="JA125" t="s">
        <v>29</v>
      </c>
      <c r="JB125" t="s">
        <v>29</v>
      </c>
      <c r="JC125" t="s">
        <v>29</v>
      </c>
      <c r="JD125" t="s">
        <v>29</v>
      </c>
      <c r="JE125" t="s">
        <v>29</v>
      </c>
      <c r="JF125" t="s">
        <v>29</v>
      </c>
      <c r="JG125" t="s">
        <v>29</v>
      </c>
      <c r="JH125" t="s">
        <v>29</v>
      </c>
      <c r="JJ125" s="12" t="s">
        <v>721</v>
      </c>
      <c r="JO125" s="4"/>
      <c r="JU125" s="4"/>
      <c r="JV125" s="4"/>
      <c r="JW125" s="4"/>
      <c r="JX125" s="4"/>
      <c r="JY125" s="4"/>
      <c r="JZ125" s="4"/>
      <c r="KE125" s="7" t="s">
        <v>12</v>
      </c>
      <c r="KI125" s="7" t="s">
        <v>719</v>
      </c>
      <c r="KJ125" s="7" t="s">
        <v>51</v>
      </c>
      <c r="KL125" t="s">
        <v>29</v>
      </c>
      <c r="MS125" t="s">
        <v>11</v>
      </c>
      <c r="MT125">
        <v>42</v>
      </c>
      <c r="MW125" s="4" t="s">
        <v>133</v>
      </c>
      <c r="NE125" t="s">
        <v>132</v>
      </c>
      <c r="NG125" s="4" t="s">
        <v>1165</v>
      </c>
      <c r="NH125" s="6" t="s">
        <v>7</v>
      </c>
      <c r="NQ125" t="s">
        <v>6</v>
      </c>
      <c r="NR125" s="5" t="s">
        <v>150</v>
      </c>
      <c r="NS125" s="4" t="s">
        <v>4</v>
      </c>
      <c r="NT125" s="3">
        <v>3.000799691307901E-2</v>
      </c>
      <c r="NW125">
        <v>4</v>
      </c>
      <c r="OH125" t="s">
        <v>145</v>
      </c>
      <c r="OJ125">
        <v>1998</v>
      </c>
      <c r="OM125" s="2" t="s">
        <v>62</v>
      </c>
      <c r="OO125" t="s">
        <v>1178</v>
      </c>
      <c r="OP125" s="58">
        <v>46094</v>
      </c>
    </row>
    <row r="126" spans="1:406" ht="15.75" thickBot="1">
      <c r="A126" s="11" t="s">
        <v>36</v>
      </c>
      <c r="B126" t="s">
        <v>35</v>
      </c>
      <c r="C126" t="s">
        <v>34</v>
      </c>
      <c r="D126" s="4" t="s">
        <v>33</v>
      </c>
      <c r="E126" t="s">
        <v>32</v>
      </c>
      <c r="F126" s="4" t="s">
        <v>31</v>
      </c>
      <c r="G126" t="s">
        <v>2</v>
      </c>
      <c r="H126" t="s">
        <v>30</v>
      </c>
      <c r="I126" s="10">
        <v>0.1</v>
      </c>
      <c r="J126" s="10">
        <v>34.566667000000002</v>
      </c>
      <c r="K126" t="s">
        <v>29</v>
      </c>
      <c r="AV126" t="s">
        <v>28</v>
      </c>
      <c r="AW126">
        <v>100</v>
      </c>
      <c r="AX126" t="s">
        <v>29</v>
      </c>
      <c r="AY126">
        <v>4</v>
      </c>
      <c r="AZ126" t="s">
        <v>27</v>
      </c>
      <c r="BA126">
        <v>1994</v>
      </c>
      <c r="BB126">
        <v>1998</v>
      </c>
      <c r="BC126" t="s">
        <v>26</v>
      </c>
      <c r="BD126" t="s">
        <v>45</v>
      </c>
      <c r="BE126" s="10" t="s">
        <v>49</v>
      </c>
      <c r="BF126" t="s">
        <v>48</v>
      </c>
      <c r="BG126" s="3" t="s">
        <v>1243</v>
      </c>
      <c r="BH126" t="s">
        <v>23</v>
      </c>
      <c r="BI126" t="s">
        <v>750</v>
      </c>
      <c r="BJ126" s="4" t="s">
        <v>22</v>
      </c>
      <c r="BK126" s="9">
        <v>53000</v>
      </c>
      <c r="EF126" s="4"/>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R126" t="s">
        <v>21</v>
      </c>
      <c r="HT126" s="4" t="s">
        <v>20</v>
      </c>
      <c r="HU126" s="58">
        <v>34335</v>
      </c>
      <c r="HV126" s="58">
        <v>36160</v>
      </c>
      <c r="HW126" s="58"/>
      <c r="IN126" t="s">
        <v>47</v>
      </c>
      <c r="IO126" s="54" t="s">
        <v>1236</v>
      </c>
      <c r="IR126">
        <v>1995</v>
      </c>
      <c r="IS126">
        <v>1995.2</v>
      </c>
      <c r="IT126" s="4" t="s">
        <v>18</v>
      </c>
      <c r="IU126" t="s">
        <v>38</v>
      </c>
      <c r="IV126" t="s">
        <v>19</v>
      </c>
      <c r="IZ126">
        <v>0</v>
      </c>
      <c r="JA126">
        <v>0</v>
      </c>
      <c r="JB126">
        <v>0</v>
      </c>
      <c r="JC126">
        <v>0</v>
      </c>
      <c r="JD126">
        <v>0</v>
      </c>
      <c r="JE126">
        <v>0</v>
      </c>
      <c r="JF126">
        <v>0</v>
      </c>
      <c r="JG126">
        <v>0</v>
      </c>
      <c r="JH126">
        <v>0</v>
      </c>
      <c r="JJ126" s="12" t="s">
        <v>721</v>
      </c>
      <c r="JO126" s="4"/>
      <c r="JU126" s="4"/>
      <c r="JV126" s="4"/>
      <c r="JW126" s="4"/>
      <c r="JX126" s="4"/>
      <c r="JY126" s="4"/>
      <c r="JZ126" s="4"/>
      <c r="KE126" s="7" t="s">
        <v>12</v>
      </c>
      <c r="KI126" s="7" t="s">
        <v>720</v>
      </c>
      <c r="KJ126" s="7"/>
      <c r="MS126" t="s">
        <v>11</v>
      </c>
      <c r="MT126">
        <v>42</v>
      </c>
      <c r="MW126" s="4" t="s">
        <v>133</v>
      </c>
      <c r="NE126" t="s">
        <v>132</v>
      </c>
      <c r="NG126" s="4" t="s">
        <v>1165</v>
      </c>
      <c r="NH126" s="6" t="s">
        <v>7</v>
      </c>
      <c r="NQ126" t="s">
        <v>6</v>
      </c>
      <c r="NR126" s="5" t="s">
        <v>149</v>
      </c>
      <c r="NS126" s="4" t="s">
        <v>4</v>
      </c>
      <c r="NT126" s="3">
        <v>4.2076065742454982E-2</v>
      </c>
      <c r="NW126">
        <v>4</v>
      </c>
      <c r="OH126" t="s">
        <v>145</v>
      </c>
      <c r="OJ126">
        <v>1998</v>
      </c>
      <c r="OM126" s="2" t="s">
        <v>62</v>
      </c>
      <c r="OO126" t="s">
        <v>1178</v>
      </c>
      <c r="OP126" s="58">
        <v>46094</v>
      </c>
    </row>
    <row r="127" spans="1:406" ht="15.75" thickBot="1">
      <c r="A127" s="11" t="s">
        <v>36</v>
      </c>
      <c r="B127" t="s">
        <v>35</v>
      </c>
      <c r="C127" t="s">
        <v>34</v>
      </c>
      <c r="D127" s="4" t="s">
        <v>33</v>
      </c>
      <c r="E127" t="s">
        <v>32</v>
      </c>
      <c r="F127" s="4" t="s">
        <v>31</v>
      </c>
      <c r="G127" t="s">
        <v>2</v>
      </c>
      <c r="H127" t="s">
        <v>30</v>
      </c>
      <c r="I127" s="10">
        <v>0.1</v>
      </c>
      <c r="J127" s="10">
        <v>34.566667000000002</v>
      </c>
      <c r="K127" t="s">
        <v>29</v>
      </c>
      <c r="AV127" t="s">
        <v>28</v>
      </c>
      <c r="AW127">
        <v>100</v>
      </c>
      <c r="AX127" t="s">
        <v>29</v>
      </c>
      <c r="AY127">
        <v>4</v>
      </c>
      <c r="AZ127" t="s">
        <v>27</v>
      </c>
      <c r="BA127">
        <v>1994</v>
      </c>
      <c r="BB127">
        <v>1998</v>
      </c>
      <c r="BC127" t="s">
        <v>26</v>
      </c>
      <c r="BD127" t="s">
        <v>45</v>
      </c>
      <c r="BE127" s="10" t="s">
        <v>44</v>
      </c>
      <c r="BF127" t="s">
        <v>43</v>
      </c>
      <c r="BG127" s="3" t="s">
        <v>1243</v>
      </c>
      <c r="BH127" t="s">
        <v>23</v>
      </c>
      <c r="BI127" t="s">
        <v>750</v>
      </c>
      <c r="BJ127" s="4" t="s">
        <v>22</v>
      </c>
      <c r="BK127" s="9">
        <v>53000</v>
      </c>
      <c r="EF127" s="4"/>
      <c r="EG127" s="9"/>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R127" t="s">
        <v>21</v>
      </c>
      <c r="HT127" s="4" t="s">
        <v>20</v>
      </c>
      <c r="HU127" s="58">
        <v>34335</v>
      </c>
      <c r="HV127" s="58">
        <v>36160</v>
      </c>
      <c r="HW127" s="58"/>
      <c r="IN127" t="s">
        <v>42</v>
      </c>
      <c r="IO127" s="13" t="s">
        <v>1237</v>
      </c>
      <c r="IR127">
        <v>1994</v>
      </c>
      <c r="IS127">
        <v>1994.2</v>
      </c>
      <c r="IT127" s="4" t="s">
        <v>18</v>
      </c>
      <c r="IU127" t="s">
        <v>38</v>
      </c>
      <c r="IV127" t="s">
        <v>19</v>
      </c>
      <c r="IZ127">
        <v>0</v>
      </c>
      <c r="JA127">
        <v>0</v>
      </c>
      <c r="JB127">
        <v>0</v>
      </c>
      <c r="JC127">
        <v>0</v>
      </c>
      <c r="JD127">
        <v>0</v>
      </c>
      <c r="JE127">
        <v>0</v>
      </c>
      <c r="JF127">
        <v>0</v>
      </c>
      <c r="JG127">
        <v>0</v>
      </c>
      <c r="JH127">
        <v>0</v>
      </c>
      <c r="JJ127" s="12" t="s">
        <v>721</v>
      </c>
      <c r="JO127" s="4"/>
      <c r="JU127" s="4"/>
      <c r="JV127" s="4"/>
      <c r="JW127" s="4"/>
      <c r="JX127" s="4"/>
      <c r="JY127" s="4"/>
      <c r="JZ127" s="4"/>
      <c r="KE127" s="7" t="s">
        <v>12</v>
      </c>
      <c r="KI127" s="7" t="s">
        <v>720</v>
      </c>
      <c r="KJ127" s="7"/>
      <c r="MS127" t="s">
        <v>11</v>
      </c>
      <c r="MT127">
        <v>42</v>
      </c>
      <c r="MW127" s="4" t="s">
        <v>133</v>
      </c>
      <c r="NE127" t="s">
        <v>132</v>
      </c>
      <c r="NG127" s="4" t="s">
        <v>1165</v>
      </c>
      <c r="NH127" s="6" t="s">
        <v>7</v>
      </c>
      <c r="NQ127" t="s">
        <v>6</v>
      </c>
      <c r="NR127" s="5" t="s">
        <v>148</v>
      </c>
      <c r="NS127" s="4" t="s">
        <v>4</v>
      </c>
      <c r="NT127" s="3">
        <v>6.306376839150199E-2</v>
      </c>
      <c r="NW127">
        <v>4</v>
      </c>
      <c r="OH127" t="s">
        <v>145</v>
      </c>
      <c r="OJ127">
        <v>1998</v>
      </c>
      <c r="OM127" s="2" t="s">
        <v>62</v>
      </c>
      <c r="OO127" t="s">
        <v>1178</v>
      </c>
      <c r="OP127" s="58">
        <v>46094</v>
      </c>
    </row>
    <row r="128" spans="1:406" ht="15.75" thickBot="1">
      <c r="A128" s="11" t="s">
        <v>36</v>
      </c>
      <c r="B128" t="s">
        <v>35</v>
      </c>
      <c r="C128" t="s">
        <v>34</v>
      </c>
      <c r="D128" s="4" t="s">
        <v>33</v>
      </c>
      <c r="E128" t="s">
        <v>32</v>
      </c>
      <c r="F128" s="4" t="s">
        <v>31</v>
      </c>
      <c r="G128" t="s">
        <v>2</v>
      </c>
      <c r="H128" t="s">
        <v>30</v>
      </c>
      <c r="I128" s="10">
        <v>0.1</v>
      </c>
      <c r="J128" s="10">
        <v>34.566667000000002</v>
      </c>
      <c r="K128" t="s">
        <v>29</v>
      </c>
      <c r="AV128" t="s">
        <v>28</v>
      </c>
      <c r="AW128">
        <v>100</v>
      </c>
      <c r="AX128" t="s">
        <v>29</v>
      </c>
      <c r="AY128">
        <v>4</v>
      </c>
      <c r="AZ128" t="s">
        <v>27</v>
      </c>
      <c r="BA128">
        <v>1994</v>
      </c>
      <c r="BB128">
        <v>1998</v>
      </c>
      <c r="BC128" t="s">
        <v>26</v>
      </c>
      <c r="BD128" t="s">
        <v>19</v>
      </c>
      <c r="BE128" s="10" t="s">
        <v>40</v>
      </c>
      <c r="BF128" t="s">
        <v>39</v>
      </c>
      <c r="BG128" s="3" t="s">
        <v>1243</v>
      </c>
      <c r="BH128" t="s">
        <v>23</v>
      </c>
      <c r="BI128" t="s">
        <v>750</v>
      </c>
      <c r="BJ128" s="4" t="s">
        <v>22</v>
      </c>
      <c r="BK128" s="9">
        <v>53000</v>
      </c>
      <c r="HR128" t="s">
        <v>21</v>
      </c>
      <c r="HT128" s="4" t="s">
        <v>20</v>
      </c>
      <c r="HU128" s="58">
        <v>34335</v>
      </c>
      <c r="HV128" s="58">
        <v>36160</v>
      </c>
      <c r="HW128" s="58"/>
      <c r="IN128" t="s">
        <v>38</v>
      </c>
      <c r="IO128" s="54" t="s">
        <v>19</v>
      </c>
      <c r="IT128" s="4" t="s">
        <v>18</v>
      </c>
      <c r="IU128" t="s">
        <v>38</v>
      </c>
      <c r="IV128" s="54" t="s">
        <v>19</v>
      </c>
      <c r="IZ128">
        <v>0</v>
      </c>
      <c r="JA128">
        <v>0</v>
      </c>
      <c r="JB128">
        <v>0</v>
      </c>
      <c r="JC128">
        <v>0</v>
      </c>
      <c r="JD128">
        <v>0</v>
      </c>
      <c r="JE128">
        <v>0</v>
      </c>
      <c r="JF128">
        <v>0</v>
      </c>
      <c r="JG128">
        <v>0</v>
      </c>
      <c r="JH128">
        <v>0</v>
      </c>
      <c r="JJ128" s="12" t="s">
        <v>721</v>
      </c>
      <c r="JO128" s="4"/>
      <c r="JU128" s="4"/>
      <c r="JV128" s="4"/>
      <c r="JW128" s="4"/>
      <c r="JX128" s="4"/>
      <c r="JY128" s="4"/>
      <c r="JZ128" s="4"/>
      <c r="KE128" s="7" t="s">
        <v>12</v>
      </c>
      <c r="KI128" s="7" t="s">
        <v>720</v>
      </c>
      <c r="KJ128" s="7"/>
      <c r="MS128" t="s">
        <v>11</v>
      </c>
      <c r="MT128">
        <v>42</v>
      </c>
      <c r="MW128" s="4" t="s">
        <v>133</v>
      </c>
      <c r="NE128" t="s">
        <v>132</v>
      </c>
      <c r="NG128" s="4" t="s">
        <v>1165</v>
      </c>
      <c r="NH128" s="6" t="s">
        <v>7</v>
      </c>
      <c r="NP128" t="s">
        <v>735</v>
      </c>
      <c r="NQ128" t="s">
        <v>6</v>
      </c>
      <c r="NR128" s="5" t="s">
        <v>147</v>
      </c>
      <c r="NS128" s="4" t="s">
        <v>4</v>
      </c>
      <c r="NT128" s="3">
        <v>5.7068879705177045E-2</v>
      </c>
      <c r="NW128">
        <v>4</v>
      </c>
      <c r="OH128" t="s">
        <v>145</v>
      </c>
      <c r="OJ128">
        <v>1998</v>
      </c>
      <c r="OM128" s="2" t="s">
        <v>62</v>
      </c>
      <c r="OO128" t="s">
        <v>1178</v>
      </c>
      <c r="OP128" s="58">
        <v>46094</v>
      </c>
    </row>
    <row r="129" spans="1:406" ht="15.75" thickBot="1">
      <c r="A129" s="11" t="s">
        <v>36</v>
      </c>
      <c r="B129" t="s">
        <v>35</v>
      </c>
      <c r="C129" t="s">
        <v>34</v>
      </c>
      <c r="D129" s="4" t="s">
        <v>33</v>
      </c>
      <c r="E129" t="s">
        <v>32</v>
      </c>
      <c r="F129" s="4" t="s">
        <v>31</v>
      </c>
      <c r="G129" t="s">
        <v>2</v>
      </c>
      <c r="H129" t="s">
        <v>30</v>
      </c>
      <c r="I129" s="10">
        <v>0.1</v>
      </c>
      <c r="J129" s="10">
        <v>34.566667000000002</v>
      </c>
      <c r="K129" t="s">
        <v>29</v>
      </c>
      <c r="AV129" t="s">
        <v>28</v>
      </c>
      <c r="AW129">
        <v>100</v>
      </c>
      <c r="AX129" t="s">
        <v>29</v>
      </c>
      <c r="AY129">
        <v>4</v>
      </c>
      <c r="AZ129" t="s">
        <v>27</v>
      </c>
      <c r="BA129">
        <v>1994</v>
      </c>
      <c r="BB129">
        <v>1998</v>
      </c>
      <c r="BC129" t="s">
        <v>26</v>
      </c>
      <c r="BD129" t="s">
        <v>19</v>
      </c>
      <c r="BE129" s="10" t="s">
        <v>25</v>
      </c>
      <c r="BF129" t="s">
        <v>24</v>
      </c>
      <c r="BG129" s="3" t="s">
        <v>1243</v>
      </c>
      <c r="BH129" t="s">
        <v>23</v>
      </c>
      <c r="BI129" t="s">
        <v>750</v>
      </c>
      <c r="BJ129" s="4" t="s">
        <v>22</v>
      </c>
      <c r="BK129" s="9">
        <v>53000</v>
      </c>
      <c r="HR129" t="s">
        <v>21</v>
      </c>
      <c r="HT129" s="4" t="s">
        <v>20</v>
      </c>
      <c r="HU129" s="58">
        <v>34335</v>
      </c>
      <c r="HV129" s="58">
        <v>36160</v>
      </c>
      <c r="HW129" s="58"/>
      <c r="IN129" t="s">
        <v>16</v>
      </c>
      <c r="IO129" s="54" t="s">
        <v>19</v>
      </c>
      <c r="IT129" s="4" t="s">
        <v>18</v>
      </c>
      <c r="IU129" t="s">
        <v>17</v>
      </c>
      <c r="IV129" s="54" t="s">
        <v>19</v>
      </c>
      <c r="IZ129">
        <v>0</v>
      </c>
      <c r="JA129">
        <v>0</v>
      </c>
      <c r="JB129">
        <v>0</v>
      </c>
      <c r="JC129">
        <v>0</v>
      </c>
      <c r="JD129">
        <v>0</v>
      </c>
      <c r="JE129">
        <v>0</v>
      </c>
      <c r="JF129">
        <v>0</v>
      </c>
      <c r="JG129">
        <v>0</v>
      </c>
      <c r="JH129">
        <v>0</v>
      </c>
      <c r="JI129" t="s">
        <v>16</v>
      </c>
      <c r="JJ129" t="s">
        <v>15</v>
      </c>
      <c r="JK129" s="8" t="s">
        <v>14</v>
      </c>
      <c r="JO129" s="4" t="s">
        <v>13</v>
      </c>
      <c r="JP129">
        <v>60</v>
      </c>
      <c r="JS129">
        <v>60</v>
      </c>
      <c r="JU129" s="4"/>
      <c r="JV129" s="4"/>
      <c r="JW129" s="4"/>
      <c r="JX129" s="4"/>
      <c r="JY129" s="4"/>
      <c r="JZ129" s="4"/>
      <c r="KE129" s="7" t="s">
        <v>12</v>
      </c>
      <c r="KI129" s="7" t="s">
        <v>720</v>
      </c>
      <c r="KJ129" s="7"/>
      <c r="MS129" t="s">
        <v>11</v>
      </c>
      <c r="MT129">
        <v>42</v>
      </c>
      <c r="MW129" s="4" t="s">
        <v>133</v>
      </c>
      <c r="NE129" t="s">
        <v>132</v>
      </c>
      <c r="NG129" s="4" t="s">
        <v>1165</v>
      </c>
      <c r="NH129" s="6" t="s">
        <v>7</v>
      </c>
      <c r="NP129" t="s">
        <v>747</v>
      </c>
      <c r="NQ129" t="s">
        <v>6</v>
      </c>
      <c r="NR129" s="5" t="s">
        <v>146</v>
      </c>
      <c r="NS129" s="4" t="s">
        <v>4</v>
      </c>
      <c r="NT129" s="3">
        <v>7.2050509174081068E-2</v>
      </c>
      <c r="NW129">
        <v>4</v>
      </c>
      <c r="OH129" t="s">
        <v>145</v>
      </c>
      <c r="OJ129">
        <v>1998</v>
      </c>
      <c r="OM129" s="2" t="s">
        <v>62</v>
      </c>
      <c r="OO129" t="s">
        <v>1178</v>
      </c>
      <c r="OP129" s="58">
        <v>46094</v>
      </c>
    </row>
    <row r="130" spans="1:406" ht="15.75" thickBot="1">
      <c r="A130" s="11" t="s">
        <v>36</v>
      </c>
      <c r="B130" t="s">
        <v>35</v>
      </c>
      <c r="C130" t="s">
        <v>34</v>
      </c>
      <c r="D130" s="4" t="s">
        <v>33</v>
      </c>
      <c r="E130" t="s">
        <v>32</v>
      </c>
      <c r="F130" s="4" t="s">
        <v>31</v>
      </c>
      <c r="G130" t="s">
        <v>2</v>
      </c>
      <c r="H130" t="s">
        <v>30</v>
      </c>
      <c r="I130" s="10">
        <v>0.1</v>
      </c>
      <c r="J130" s="10">
        <v>34.566667000000002</v>
      </c>
      <c r="K130" t="s">
        <v>29</v>
      </c>
      <c r="AV130" t="s">
        <v>28</v>
      </c>
      <c r="AW130">
        <v>100</v>
      </c>
      <c r="AX130" t="s">
        <v>29</v>
      </c>
      <c r="AY130">
        <v>4</v>
      </c>
      <c r="AZ130" t="s">
        <v>27</v>
      </c>
      <c r="BA130">
        <v>1994</v>
      </c>
      <c r="BB130">
        <v>1998</v>
      </c>
      <c r="BC130" t="s">
        <v>26</v>
      </c>
      <c r="BD130" t="s">
        <v>59</v>
      </c>
      <c r="BE130" s="10" t="s">
        <v>65</v>
      </c>
      <c r="BF130" t="s">
        <v>64</v>
      </c>
      <c r="BG130" s="3" t="s">
        <v>1243</v>
      </c>
      <c r="BH130" t="s">
        <v>23</v>
      </c>
      <c r="BI130" t="s">
        <v>750</v>
      </c>
      <c r="BJ130" s="4" t="s">
        <v>22</v>
      </c>
      <c r="BK130" s="9">
        <v>53000</v>
      </c>
      <c r="EE130" t="s">
        <v>55</v>
      </c>
      <c r="EF130" s="4" t="s">
        <v>22</v>
      </c>
      <c r="EG130" s="9">
        <v>53000</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R130" t="s">
        <v>21</v>
      </c>
      <c r="HT130" s="4" t="s">
        <v>20</v>
      </c>
      <c r="HU130" s="58">
        <v>34335</v>
      </c>
      <c r="HV130" s="58">
        <v>36160</v>
      </c>
      <c r="HW130" s="58"/>
      <c r="IM130" s="4"/>
      <c r="IN130" t="s">
        <v>63</v>
      </c>
      <c r="IO130" s="12" t="s">
        <v>1736</v>
      </c>
      <c r="IR130">
        <v>1995</v>
      </c>
      <c r="IS130">
        <v>1995.2</v>
      </c>
      <c r="IT130" s="4" t="s">
        <v>18</v>
      </c>
      <c r="IU130" t="s">
        <v>61</v>
      </c>
      <c r="IV130" s="12" t="s">
        <v>52</v>
      </c>
      <c r="IY130">
        <v>0.5</v>
      </c>
      <c r="IZ130" t="s">
        <v>29</v>
      </c>
      <c r="JA130" t="s">
        <v>29</v>
      </c>
      <c r="JB130" t="s">
        <v>29</v>
      </c>
      <c r="JC130" t="s">
        <v>29</v>
      </c>
      <c r="JD130" t="s">
        <v>29</v>
      </c>
      <c r="JE130" t="s">
        <v>29</v>
      </c>
      <c r="JF130" t="s">
        <v>29</v>
      </c>
      <c r="JG130" t="s">
        <v>29</v>
      </c>
      <c r="JH130" t="s">
        <v>29</v>
      </c>
      <c r="JJ130" s="12" t="s">
        <v>721</v>
      </c>
      <c r="JO130" s="4"/>
      <c r="JU130" s="4"/>
      <c r="JV130" s="4"/>
      <c r="JW130" s="4"/>
      <c r="JX130" s="4"/>
      <c r="JY130" s="4"/>
      <c r="JZ130" s="4"/>
      <c r="KE130" s="7" t="s">
        <v>12</v>
      </c>
      <c r="KI130" s="7" t="s">
        <v>719</v>
      </c>
      <c r="KJ130" s="7" t="s">
        <v>51</v>
      </c>
      <c r="KL130" t="s">
        <v>29</v>
      </c>
      <c r="MS130" t="s">
        <v>11</v>
      </c>
      <c r="MT130">
        <v>42</v>
      </c>
      <c r="MW130" s="4" t="s">
        <v>133</v>
      </c>
      <c r="NE130" t="s">
        <v>132</v>
      </c>
      <c r="NG130" s="4" t="s">
        <v>1165</v>
      </c>
      <c r="NH130" s="6" t="s">
        <v>7</v>
      </c>
      <c r="NQ130" t="s">
        <v>6</v>
      </c>
      <c r="NR130" s="5" t="s">
        <v>144</v>
      </c>
      <c r="NS130" s="4" t="s">
        <v>4</v>
      </c>
      <c r="NT130" s="3">
        <v>5.7576404974476025E-2</v>
      </c>
      <c r="NW130">
        <v>4</v>
      </c>
      <c r="OH130" t="s">
        <v>139</v>
      </c>
      <c r="OJ130">
        <v>1996</v>
      </c>
      <c r="OM130" s="2" t="s">
        <v>1</v>
      </c>
      <c r="OO130" t="s">
        <v>1178</v>
      </c>
      <c r="OP130" s="58">
        <v>46094</v>
      </c>
    </row>
    <row r="131" spans="1:406" ht="15.75" thickBot="1">
      <c r="A131" s="11" t="s">
        <v>36</v>
      </c>
      <c r="B131" t="s">
        <v>35</v>
      </c>
      <c r="C131" t="s">
        <v>34</v>
      </c>
      <c r="D131" s="4" t="s">
        <v>33</v>
      </c>
      <c r="E131" t="s">
        <v>32</v>
      </c>
      <c r="F131" s="4" t="s">
        <v>31</v>
      </c>
      <c r="G131" t="s">
        <v>2</v>
      </c>
      <c r="H131" t="s">
        <v>30</v>
      </c>
      <c r="I131" s="10">
        <v>0.1</v>
      </c>
      <c r="J131" s="10">
        <v>34.566667000000002</v>
      </c>
      <c r="K131" t="s">
        <v>29</v>
      </c>
      <c r="AV131" t="s">
        <v>28</v>
      </c>
      <c r="AW131">
        <v>100</v>
      </c>
      <c r="AX131" t="s">
        <v>29</v>
      </c>
      <c r="AY131">
        <v>4</v>
      </c>
      <c r="AZ131" t="s">
        <v>27</v>
      </c>
      <c r="BA131">
        <v>1994</v>
      </c>
      <c r="BB131">
        <v>1998</v>
      </c>
      <c r="BC131" t="s">
        <v>26</v>
      </c>
      <c r="BD131" t="s">
        <v>59</v>
      </c>
      <c r="BE131" s="10" t="s">
        <v>58</v>
      </c>
      <c r="BF131" t="s">
        <v>57</v>
      </c>
      <c r="BG131" s="3" t="s">
        <v>1243</v>
      </c>
      <c r="BH131" t="s">
        <v>23</v>
      </c>
      <c r="BI131" t="s">
        <v>750</v>
      </c>
      <c r="BJ131" s="4" t="s">
        <v>22</v>
      </c>
      <c r="BK131" s="9">
        <v>53000</v>
      </c>
      <c r="EE131" t="s">
        <v>55</v>
      </c>
      <c r="EF131" s="4" t="s">
        <v>22</v>
      </c>
      <c r="EG131" s="9">
        <v>53000</v>
      </c>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K131" s="9"/>
      <c r="HR131" t="s">
        <v>21</v>
      </c>
      <c r="HT131" s="4" t="s">
        <v>20</v>
      </c>
      <c r="HU131" s="58">
        <v>34335</v>
      </c>
      <c r="HV131" s="58">
        <v>36160</v>
      </c>
      <c r="HW131" s="58"/>
      <c r="IM131" s="4"/>
      <c r="IN131" t="s">
        <v>54</v>
      </c>
      <c r="IO131" s="12" t="s">
        <v>1737</v>
      </c>
      <c r="IR131">
        <v>1994</v>
      </c>
      <c r="IS131">
        <v>1994.2</v>
      </c>
      <c r="IT131" s="4" t="s">
        <v>18</v>
      </c>
      <c r="IU131" t="s">
        <v>53</v>
      </c>
      <c r="IV131" s="12" t="s">
        <v>52</v>
      </c>
      <c r="IY131">
        <v>0.5</v>
      </c>
      <c r="IZ131" t="s">
        <v>29</v>
      </c>
      <c r="JA131" t="s">
        <v>29</v>
      </c>
      <c r="JB131" t="s">
        <v>29</v>
      </c>
      <c r="JC131" t="s">
        <v>29</v>
      </c>
      <c r="JD131" t="s">
        <v>29</v>
      </c>
      <c r="JE131" t="s">
        <v>29</v>
      </c>
      <c r="JF131" t="s">
        <v>29</v>
      </c>
      <c r="JG131" t="s">
        <v>29</v>
      </c>
      <c r="JH131" t="s">
        <v>29</v>
      </c>
      <c r="JJ131" s="12" t="s">
        <v>721</v>
      </c>
      <c r="JO131" s="4"/>
      <c r="JU131" s="4"/>
      <c r="JV131" s="4"/>
      <c r="JW131" s="4"/>
      <c r="JX131" s="4"/>
      <c r="JY131" s="4"/>
      <c r="JZ131" s="4"/>
      <c r="KE131" s="7" t="s">
        <v>12</v>
      </c>
      <c r="KI131" s="7" t="s">
        <v>719</v>
      </c>
      <c r="KJ131" s="7" t="s">
        <v>51</v>
      </c>
      <c r="KL131" t="s">
        <v>29</v>
      </c>
      <c r="MS131" t="s">
        <v>11</v>
      </c>
      <c r="MT131">
        <v>42</v>
      </c>
      <c r="MW131" s="4" t="s">
        <v>133</v>
      </c>
      <c r="NE131" t="s">
        <v>132</v>
      </c>
      <c r="NG131" s="4" t="s">
        <v>1165</v>
      </c>
      <c r="NH131" s="6" t="s">
        <v>7</v>
      </c>
      <c r="NQ131" t="s">
        <v>6</v>
      </c>
      <c r="NR131" s="5" t="s">
        <v>143</v>
      </c>
      <c r="NS131" s="4" t="s">
        <v>4</v>
      </c>
      <c r="NT131" s="3">
        <v>3.9428115231519956E-2</v>
      </c>
      <c r="NW131">
        <v>4</v>
      </c>
      <c r="OH131" t="s">
        <v>139</v>
      </c>
      <c r="OJ131">
        <v>1996</v>
      </c>
      <c r="OM131" s="2" t="s">
        <v>1</v>
      </c>
      <c r="OO131" t="s">
        <v>1178</v>
      </c>
      <c r="OP131" s="58">
        <v>46094</v>
      </c>
    </row>
    <row r="132" spans="1:406" ht="15.75" thickBot="1">
      <c r="A132" s="11" t="s">
        <v>36</v>
      </c>
      <c r="B132" t="s">
        <v>35</v>
      </c>
      <c r="C132" t="s">
        <v>34</v>
      </c>
      <c r="D132" s="4" t="s">
        <v>33</v>
      </c>
      <c r="E132" t="s">
        <v>32</v>
      </c>
      <c r="F132" s="4" t="s">
        <v>31</v>
      </c>
      <c r="G132" t="s">
        <v>2</v>
      </c>
      <c r="H132" t="s">
        <v>30</v>
      </c>
      <c r="I132" s="10">
        <v>0.1</v>
      </c>
      <c r="J132" s="10">
        <v>34.566667000000002</v>
      </c>
      <c r="K132" t="s">
        <v>29</v>
      </c>
      <c r="AV132" t="s">
        <v>28</v>
      </c>
      <c r="AW132">
        <v>100</v>
      </c>
      <c r="AX132" t="s">
        <v>29</v>
      </c>
      <c r="AY132">
        <v>4</v>
      </c>
      <c r="AZ132" t="s">
        <v>27</v>
      </c>
      <c r="BA132">
        <v>1994</v>
      </c>
      <c r="BB132">
        <v>1998</v>
      </c>
      <c r="BC132" t="s">
        <v>26</v>
      </c>
      <c r="BD132" t="s">
        <v>45</v>
      </c>
      <c r="BE132" s="10" t="s">
        <v>49</v>
      </c>
      <c r="BF132" t="s">
        <v>48</v>
      </c>
      <c r="BG132" s="3" t="s">
        <v>1243</v>
      </c>
      <c r="BH132" t="s">
        <v>23</v>
      </c>
      <c r="BI132" t="s">
        <v>750</v>
      </c>
      <c r="BJ132" s="4" t="s">
        <v>22</v>
      </c>
      <c r="BK132" s="9">
        <v>53000</v>
      </c>
      <c r="EF132" s="4"/>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K132" s="9"/>
      <c r="HR132" t="s">
        <v>21</v>
      </c>
      <c r="HT132" s="4" t="s">
        <v>20</v>
      </c>
      <c r="HU132" s="58">
        <v>34335</v>
      </c>
      <c r="HV132" s="58">
        <v>36160</v>
      </c>
      <c r="HW132" s="58"/>
      <c r="IN132" t="s">
        <v>47</v>
      </c>
      <c r="IO132" s="54" t="s">
        <v>1236</v>
      </c>
      <c r="IR132">
        <v>1995</v>
      </c>
      <c r="IS132">
        <v>1995.2</v>
      </c>
      <c r="IT132" s="4" t="s">
        <v>18</v>
      </c>
      <c r="IU132" t="s">
        <v>38</v>
      </c>
      <c r="IV132" t="s">
        <v>19</v>
      </c>
      <c r="IZ132">
        <v>0</v>
      </c>
      <c r="JA132">
        <v>0</v>
      </c>
      <c r="JB132">
        <v>0</v>
      </c>
      <c r="JC132">
        <v>0</v>
      </c>
      <c r="JD132">
        <v>0</v>
      </c>
      <c r="JE132">
        <v>0</v>
      </c>
      <c r="JF132">
        <v>0</v>
      </c>
      <c r="JG132">
        <v>0</v>
      </c>
      <c r="JH132">
        <v>0</v>
      </c>
      <c r="JJ132" s="12" t="s">
        <v>721</v>
      </c>
      <c r="JO132" s="4"/>
      <c r="JU132" s="4"/>
      <c r="JV132" s="4"/>
      <c r="JW132" s="4"/>
      <c r="JX132" s="4"/>
      <c r="JY132" s="4"/>
      <c r="JZ132" s="4"/>
      <c r="KE132" s="7" t="s">
        <v>12</v>
      </c>
      <c r="KI132" s="7" t="s">
        <v>720</v>
      </c>
      <c r="KJ132" s="7"/>
      <c r="MS132" t="s">
        <v>11</v>
      </c>
      <c r="MT132">
        <v>42</v>
      </c>
      <c r="MW132" s="4" t="s">
        <v>133</v>
      </c>
      <c r="NE132" t="s">
        <v>132</v>
      </c>
      <c r="NG132" s="4" t="s">
        <v>1165</v>
      </c>
      <c r="NH132" s="6" t="s">
        <v>7</v>
      </c>
      <c r="NQ132" t="s">
        <v>6</v>
      </c>
      <c r="NR132" s="5" t="s">
        <v>142</v>
      </c>
      <c r="NS132" s="4" t="s">
        <v>4</v>
      </c>
      <c r="NT132" s="3">
        <v>2.7306766815840988E-2</v>
      </c>
      <c r="NW132">
        <v>4</v>
      </c>
      <c r="OH132" t="s">
        <v>139</v>
      </c>
      <c r="OJ132">
        <v>1996</v>
      </c>
      <c r="OM132" s="2" t="s">
        <v>1</v>
      </c>
      <c r="OO132" t="s">
        <v>1178</v>
      </c>
      <c r="OP132" s="58">
        <v>46094</v>
      </c>
    </row>
    <row r="133" spans="1:406" ht="15.75" thickBot="1">
      <c r="A133" s="11" t="s">
        <v>36</v>
      </c>
      <c r="B133" t="s">
        <v>35</v>
      </c>
      <c r="C133" t="s">
        <v>34</v>
      </c>
      <c r="D133" s="4" t="s">
        <v>33</v>
      </c>
      <c r="E133" t="s">
        <v>32</v>
      </c>
      <c r="F133" s="4" t="s">
        <v>31</v>
      </c>
      <c r="G133" t="s">
        <v>2</v>
      </c>
      <c r="H133" t="s">
        <v>30</v>
      </c>
      <c r="I133" s="10">
        <v>0.1</v>
      </c>
      <c r="J133" s="10">
        <v>34.566667000000002</v>
      </c>
      <c r="K133" t="s">
        <v>29</v>
      </c>
      <c r="AV133" t="s">
        <v>28</v>
      </c>
      <c r="AW133">
        <v>100</v>
      </c>
      <c r="AX133" t="s">
        <v>29</v>
      </c>
      <c r="AY133">
        <v>4</v>
      </c>
      <c r="AZ133" t="s">
        <v>27</v>
      </c>
      <c r="BA133">
        <v>1994</v>
      </c>
      <c r="BB133">
        <v>1998</v>
      </c>
      <c r="BC133" t="s">
        <v>26</v>
      </c>
      <c r="BD133" t="s">
        <v>45</v>
      </c>
      <c r="BE133" s="10" t="s">
        <v>44</v>
      </c>
      <c r="BF133" t="s">
        <v>43</v>
      </c>
      <c r="BG133" s="3" t="s">
        <v>1243</v>
      </c>
      <c r="BH133" t="s">
        <v>23</v>
      </c>
      <c r="BI133" t="s">
        <v>750</v>
      </c>
      <c r="BJ133" s="4" t="s">
        <v>22</v>
      </c>
      <c r="BK133" s="9">
        <v>53000</v>
      </c>
      <c r="EF133" s="4"/>
      <c r="EG133" s="9"/>
      <c r="EH133" s="9"/>
      <c r="EI133" s="9"/>
      <c r="EJ133" s="9"/>
      <c r="EK133" s="9"/>
      <c r="EL133" s="9"/>
      <c r="EM133" s="9"/>
      <c r="EN133" s="9"/>
      <c r="EO133" s="9"/>
      <c r="EP133" s="9"/>
      <c r="EQ133" s="9"/>
      <c r="ER133" s="9"/>
      <c r="ES133" s="9"/>
      <c r="ET133" s="9"/>
      <c r="EU133" s="9"/>
      <c r="EV133" s="9"/>
      <c r="EW133" s="9"/>
      <c r="EX133" s="9"/>
      <c r="EY133" s="9"/>
      <c r="EZ133" s="9"/>
      <c r="FA133" s="9"/>
      <c r="FB133" s="9"/>
      <c r="FC133" s="9"/>
      <c r="FD133" s="9"/>
      <c r="FE133" s="9"/>
      <c r="FF133" s="9"/>
      <c r="FG133" s="9"/>
      <c r="FH133" s="9"/>
      <c r="FI133" s="9"/>
      <c r="FJ133" s="9"/>
      <c r="FK133" s="9"/>
      <c r="FL133" s="9"/>
      <c r="FM133" s="9"/>
      <c r="FN133" s="9"/>
      <c r="FO133" s="9"/>
      <c r="FP133" s="9"/>
      <c r="FQ133" s="9"/>
      <c r="FR133" s="9"/>
      <c r="FS133" s="9"/>
      <c r="FT133" s="9"/>
      <c r="FU133" s="9"/>
      <c r="FV133" s="9"/>
      <c r="FW133" s="9"/>
      <c r="FX133" s="9"/>
      <c r="FY133" s="9"/>
      <c r="FZ133" s="9"/>
      <c r="GA133" s="9"/>
      <c r="GB133" s="9"/>
      <c r="GC133" s="9"/>
      <c r="GD133" s="9"/>
      <c r="GE133" s="9"/>
      <c r="GF133" s="9"/>
      <c r="GG133" s="9"/>
      <c r="GH133" s="9"/>
      <c r="GI133" s="9"/>
      <c r="GJ133" s="9"/>
      <c r="GK133" s="9"/>
      <c r="GL133" s="9"/>
      <c r="GM133" s="9"/>
      <c r="GN133" s="9"/>
      <c r="GO133" s="9"/>
      <c r="GP133" s="9"/>
      <c r="GQ133" s="9"/>
      <c r="GR133" s="9"/>
      <c r="GS133" s="9"/>
      <c r="GT133" s="9"/>
      <c r="GU133" s="9"/>
      <c r="GV133" s="9"/>
      <c r="GW133" s="9"/>
      <c r="GX133" s="9"/>
      <c r="GY133" s="9"/>
      <c r="GZ133" s="9"/>
      <c r="HA133" s="9"/>
      <c r="HB133" s="9"/>
      <c r="HC133" s="9"/>
      <c r="HD133" s="9"/>
      <c r="HE133" s="9"/>
      <c r="HF133" s="9"/>
      <c r="HG133" s="9"/>
      <c r="HH133" s="9"/>
      <c r="HI133" s="9"/>
      <c r="HJ133" s="9"/>
      <c r="HK133" s="9"/>
      <c r="HR133" t="s">
        <v>21</v>
      </c>
      <c r="HT133" s="4" t="s">
        <v>20</v>
      </c>
      <c r="HU133" s="58">
        <v>34335</v>
      </c>
      <c r="HV133" s="58">
        <v>36160</v>
      </c>
      <c r="HW133" s="58"/>
      <c r="IN133" t="s">
        <v>42</v>
      </c>
      <c r="IO133" s="13" t="s">
        <v>1237</v>
      </c>
      <c r="IR133">
        <v>1994</v>
      </c>
      <c r="IS133">
        <v>1994.2</v>
      </c>
      <c r="IT133" s="4" t="s">
        <v>18</v>
      </c>
      <c r="IU133" t="s">
        <v>38</v>
      </c>
      <c r="IV133" t="s">
        <v>19</v>
      </c>
      <c r="IZ133">
        <v>0</v>
      </c>
      <c r="JA133">
        <v>0</v>
      </c>
      <c r="JB133">
        <v>0</v>
      </c>
      <c r="JC133">
        <v>0</v>
      </c>
      <c r="JD133">
        <v>0</v>
      </c>
      <c r="JE133">
        <v>0</v>
      </c>
      <c r="JF133">
        <v>0</v>
      </c>
      <c r="JG133">
        <v>0</v>
      </c>
      <c r="JH133">
        <v>0</v>
      </c>
      <c r="JJ133" s="12" t="s">
        <v>721</v>
      </c>
      <c r="JO133" s="4"/>
      <c r="JU133" s="4"/>
      <c r="JV133" s="4"/>
      <c r="JW133" s="4"/>
      <c r="JX133" s="4"/>
      <c r="JY133" s="4"/>
      <c r="JZ133" s="4"/>
      <c r="KE133" s="7" t="s">
        <v>12</v>
      </c>
      <c r="KI133" s="7" t="s">
        <v>720</v>
      </c>
      <c r="KJ133" s="7"/>
      <c r="MS133" t="s">
        <v>11</v>
      </c>
      <c r="MT133">
        <v>42</v>
      </c>
      <c r="MW133" s="4" t="s">
        <v>133</v>
      </c>
      <c r="NE133" t="s">
        <v>132</v>
      </c>
      <c r="NG133" s="4" t="s">
        <v>1165</v>
      </c>
      <c r="NH133" s="6" t="s">
        <v>7</v>
      </c>
      <c r="NQ133" t="s">
        <v>6</v>
      </c>
      <c r="NR133" s="5" t="s">
        <v>141</v>
      </c>
      <c r="NS133" s="4" t="s">
        <v>4</v>
      </c>
      <c r="NT133" s="3">
        <v>4.5488789439359967E-2</v>
      </c>
      <c r="NW133">
        <v>4</v>
      </c>
      <c r="OH133" t="s">
        <v>139</v>
      </c>
      <c r="OJ133">
        <v>1996</v>
      </c>
      <c r="OM133" s="2" t="s">
        <v>1</v>
      </c>
      <c r="OO133" t="s">
        <v>1178</v>
      </c>
      <c r="OP133" s="58">
        <v>46094</v>
      </c>
    </row>
    <row r="134" spans="1:406" ht="15.75" thickBot="1">
      <c r="A134" s="11" t="s">
        <v>36</v>
      </c>
      <c r="B134" t="s">
        <v>35</v>
      </c>
      <c r="C134" t="s">
        <v>34</v>
      </c>
      <c r="D134" s="4" t="s">
        <v>33</v>
      </c>
      <c r="E134" t="s">
        <v>32</v>
      </c>
      <c r="F134" s="4" t="s">
        <v>31</v>
      </c>
      <c r="G134" t="s">
        <v>2</v>
      </c>
      <c r="H134" t="s">
        <v>30</v>
      </c>
      <c r="I134" s="10">
        <v>0.1</v>
      </c>
      <c r="J134" s="10">
        <v>34.566667000000002</v>
      </c>
      <c r="K134" t="s">
        <v>29</v>
      </c>
      <c r="AV134" t="s">
        <v>28</v>
      </c>
      <c r="AW134">
        <v>100</v>
      </c>
      <c r="AX134" t="s">
        <v>29</v>
      </c>
      <c r="AY134">
        <v>4</v>
      </c>
      <c r="AZ134" t="s">
        <v>27</v>
      </c>
      <c r="BA134">
        <v>1994</v>
      </c>
      <c r="BB134">
        <v>1998</v>
      </c>
      <c r="BC134" t="s">
        <v>26</v>
      </c>
      <c r="BD134" t="s">
        <v>19</v>
      </c>
      <c r="BE134" s="10" t="s">
        <v>40</v>
      </c>
      <c r="BF134" t="s">
        <v>39</v>
      </c>
      <c r="BG134" s="3" t="s">
        <v>1243</v>
      </c>
      <c r="BH134" t="s">
        <v>23</v>
      </c>
      <c r="BI134" t="s">
        <v>750</v>
      </c>
      <c r="BJ134" s="4" t="s">
        <v>22</v>
      </c>
      <c r="BK134" s="9">
        <v>53000</v>
      </c>
      <c r="HR134" t="s">
        <v>21</v>
      </c>
      <c r="HT134" s="4" t="s">
        <v>20</v>
      </c>
      <c r="HU134" s="58">
        <v>34335</v>
      </c>
      <c r="HV134" s="58">
        <v>36160</v>
      </c>
      <c r="HW134" s="58"/>
      <c r="IN134" t="s">
        <v>38</v>
      </c>
      <c r="IO134" s="54" t="s">
        <v>19</v>
      </c>
      <c r="IT134" s="4" t="s">
        <v>18</v>
      </c>
      <c r="IU134" t="s">
        <v>38</v>
      </c>
      <c r="IV134" s="54" t="s">
        <v>19</v>
      </c>
      <c r="IZ134">
        <v>0</v>
      </c>
      <c r="JA134">
        <v>0</v>
      </c>
      <c r="JB134">
        <v>0</v>
      </c>
      <c r="JC134">
        <v>0</v>
      </c>
      <c r="JD134">
        <v>0</v>
      </c>
      <c r="JE134">
        <v>0</v>
      </c>
      <c r="JF134">
        <v>0</v>
      </c>
      <c r="JG134">
        <v>0</v>
      </c>
      <c r="JH134">
        <v>0</v>
      </c>
      <c r="JJ134" s="12" t="s">
        <v>721</v>
      </c>
      <c r="JO134" s="4"/>
      <c r="JU134" s="4"/>
      <c r="JV134" s="4"/>
      <c r="JW134" s="4"/>
      <c r="JX134" s="4"/>
      <c r="JY134" s="4"/>
      <c r="JZ134" s="4"/>
      <c r="KE134" s="7" t="s">
        <v>12</v>
      </c>
      <c r="KI134" s="7" t="s">
        <v>720</v>
      </c>
      <c r="KJ134" s="7"/>
      <c r="MS134" t="s">
        <v>11</v>
      </c>
      <c r="MT134">
        <v>42</v>
      </c>
      <c r="MW134" s="4" t="s">
        <v>133</v>
      </c>
      <c r="NE134" t="s">
        <v>132</v>
      </c>
      <c r="NG134" s="4" t="s">
        <v>1165</v>
      </c>
      <c r="NH134" s="6" t="s">
        <v>7</v>
      </c>
      <c r="NP134" t="s">
        <v>735</v>
      </c>
      <c r="NQ134" t="s">
        <v>6</v>
      </c>
      <c r="NR134" s="5" t="s">
        <v>140</v>
      </c>
      <c r="NS134" s="4" t="s">
        <v>4</v>
      </c>
      <c r="NT134" s="3">
        <v>1.8170778329998E-2</v>
      </c>
      <c r="NW134">
        <v>4</v>
      </c>
      <c r="OH134" t="s">
        <v>139</v>
      </c>
      <c r="OJ134">
        <v>1996</v>
      </c>
      <c r="OM134" s="2" t="s">
        <v>1</v>
      </c>
      <c r="OO134" t="s">
        <v>1178</v>
      </c>
      <c r="OP134" s="58">
        <v>46094</v>
      </c>
    </row>
    <row r="135" spans="1:406" ht="15.75" thickBot="1">
      <c r="A135" s="11" t="s">
        <v>36</v>
      </c>
      <c r="B135" t="s">
        <v>35</v>
      </c>
      <c r="C135" t="s">
        <v>34</v>
      </c>
      <c r="D135" s="4" t="s">
        <v>33</v>
      </c>
      <c r="E135" t="s">
        <v>32</v>
      </c>
      <c r="F135" s="4" t="s">
        <v>31</v>
      </c>
      <c r="G135" t="s">
        <v>2</v>
      </c>
      <c r="H135" t="s">
        <v>30</v>
      </c>
      <c r="I135" s="10">
        <v>0.1</v>
      </c>
      <c r="J135" s="10">
        <v>34.566667000000002</v>
      </c>
      <c r="K135" t="s">
        <v>29</v>
      </c>
      <c r="AV135" t="s">
        <v>28</v>
      </c>
      <c r="AW135">
        <v>100</v>
      </c>
      <c r="AX135" t="s">
        <v>29</v>
      </c>
      <c r="AY135">
        <v>4</v>
      </c>
      <c r="AZ135" t="s">
        <v>27</v>
      </c>
      <c r="BA135">
        <v>1994</v>
      </c>
      <c r="BB135">
        <v>1998</v>
      </c>
      <c r="BC135" t="s">
        <v>26</v>
      </c>
      <c r="BD135" t="s">
        <v>19</v>
      </c>
      <c r="BE135" s="10" t="s">
        <v>25</v>
      </c>
      <c r="BF135" t="s">
        <v>24</v>
      </c>
      <c r="BG135" s="3" t="s">
        <v>1243</v>
      </c>
      <c r="BH135" t="s">
        <v>23</v>
      </c>
      <c r="BI135" t="s">
        <v>750</v>
      </c>
      <c r="BJ135" s="4" t="s">
        <v>22</v>
      </c>
      <c r="BK135" s="9">
        <v>53000</v>
      </c>
      <c r="HR135" t="s">
        <v>21</v>
      </c>
      <c r="HT135" s="4" t="s">
        <v>20</v>
      </c>
      <c r="HU135" s="58">
        <v>34335</v>
      </c>
      <c r="HV135" s="58">
        <v>36160</v>
      </c>
      <c r="HW135" s="58"/>
      <c r="IN135" t="s">
        <v>16</v>
      </c>
      <c r="IO135" s="54" t="s">
        <v>19</v>
      </c>
      <c r="IT135" s="4" t="s">
        <v>18</v>
      </c>
      <c r="IU135" t="s">
        <v>17</v>
      </c>
      <c r="IV135" s="54" t="s">
        <v>19</v>
      </c>
      <c r="IZ135">
        <v>0</v>
      </c>
      <c r="JA135">
        <v>0</v>
      </c>
      <c r="JB135">
        <v>0</v>
      </c>
      <c r="JC135">
        <v>0</v>
      </c>
      <c r="JD135">
        <v>0</v>
      </c>
      <c r="JE135">
        <v>0</v>
      </c>
      <c r="JF135">
        <v>0</v>
      </c>
      <c r="JG135">
        <v>0</v>
      </c>
      <c r="JH135">
        <v>0</v>
      </c>
      <c r="JI135" t="s">
        <v>16</v>
      </c>
      <c r="JJ135" t="s">
        <v>15</v>
      </c>
      <c r="JK135" s="8" t="s">
        <v>14</v>
      </c>
      <c r="JO135" s="4" t="s">
        <v>13</v>
      </c>
      <c r="JP135">
        <v>60</v>
      </c>
      <c r="JS135">
        <v>60</v>
      </c>
      <c r="JU135" s="4"/>
      <c r="JV135" s="4"/>
      <c r="JW135" s="4"/>
      <c r="JX135" s="4"/>
      <c r="JY135" s="4"/>
      <c r="JZ135" s="4"/>
      <c r="KE135" s="7" t="s">
        <v>12</v>
      </c>
      <c r="KI135" s="7" t="s">
        <v>720</v>
      </c>
      <c r="KJ135" s="7"/>
      <c r="MS135" t="s">
        <v>11</v>
      </c>
      <c r="MT135">
        <v>42</v>
      </c>
      <c r="MW135" s="4" t="s">
        <v>133</v>
      </c>
      <c r="NE135" t="s">
        <v>132</v>
      </c>
      <c r="NG135" s="4" t="s">
        <v>1165</v>
      </c>
      <c r="NH135" s="6" t="s">
        <v>7</v>
      </c>
      <c r="NP135" t="s">
        <v>747</v>
      </c>
      <c r="NQ135" t="s">
        <v>6</v>
      </c>
      <c r="NR135">
        <v>0.28012346234286101</v>
      </c>
      <c r="NS135" s="4" t="s">
        <v>4</v>
      </c>
      <c r="NT135" s="3">
        <v>2.7228056761192998E-2</v>
      </c>
      <c r="NW135">
        <v>4</v>
      </c>
      <c r="OH135" t="s">
        <v>139</v>
      </c>
      <c r="OJ135">
        <v>1996</v>
      </c>
      <c r="OM135" s="2" t="s">
        <v>1</v>
      </c>
      <c r="OO135" t="s">
        <v>1178</v>
      </c>
      <c r="OP135" s="58">
        <v>46094</v>
      </c>
    </row>
    <row r="136" spans="1:406" ht="15.75" thickBot="1">
      <c r="A136" s="11" t="s">
        <v>36</v>
      </c>
      <c r="B136" t="s">
        <v>35</v>
      </c>
      <c r="C136" t="s">
        <v>34</v>
      </c>
      <c r="D136" s="4" t="s">
        <v>33</v>
      </c>
      <c r="E136" t="s">
        <v>32</v>
      </c>
      <c r="F136" s="4" t="s">
        <v>31</v>
      </c>
      <c r="G136" t="s">
        <v>2</v>
      </c>
      <c r="H136" t="s">
        <v>30</v>
      </c>
      <c r="I136" s="10">
        <v>0.1</v>
      </c>
      <c r="J136" s="10">
        <v>34.566667000000002</v>
      </c>
      <c r="K136" t="s">
        <v>29</v>
      </c>
      <c r="AV136" t="s">
        <v>28</v>
      </c>
      <c r="AW136">
        <v>100</v>
      </c>
      <c r="AX136" t="s">
        <v>29</v>
      </c>
      <c r="AY136">
        <v>4</v>
      </c>
      <c r="AZ136" t="s">
        <v>27</v>
      </c>
      <c r="BA136">
        <v>1994</v>
      </c>
      <c r="BB136">
        <v>1998</v>
      </c>
      <c r="BC136" t="s">
        <v>26</v>
      </c>
      <c r="BD136" t="s">
        <v>59</v>
      </c>
      <c r="BE136" s="10" t="s">
        <v>65</v>
      </c>
      <c r="BF136" t="s">
        <v>64</v>
      </c>
      <c r="BG136" s="3" t="s">
        <v>1243</v>
      </c>
      <c r="BH136" t="s">
        <v>23</v>
      </c>
      <c r="BI136" t="s">
        <v>750</v>
      </c>
      <c r="BJ136" s="4" t="s">
        <v>22</v>
      </c>
      <c r="BK136" s="9">
        <v>53000</v>
      </c>
      <c r="EE136" t="s">
        <v>55</v>
      </c>
      <c r="EF136" s="4" t="s">
        <v>22</v>
      </c>
      <c r="EG136" s="9">
        <v>53000</v>
      </c>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K136" s="9"/>
      <c r="HR136" t="s">
        <v>21</v>
      </c>
      <c r="HT136" s="4" t="s">
        <v>20</v>
      </c>
      <c r="HU136" s="58">
        <v>34335</v>
      </c>
      <c r="HV136" s="58">
        <v>36160</v>
      </c>
      <c r="HW136" s="58"/>
      <c r="IM136" s="4"/>
      <c r="IN136" t="s">
        <v>63</v>
      </c>
      <c r="IO136" s="12" t="s">
        <v>1736</v>
      </c>
      <c r="IR136">
        <v>1995</v>
      </c>
      <c r="IS136">
        <v>1995.2</v>
      </c>
      <c r="IT136" s="4" t="s">
        <v>18</v>
      </c>
      <c r="IU136" t="s">
        <v>61</v>
      </c>
      <c r="IV136" s="12" t="s">
        <v>52</v>
      </c>
      <c r="IY136">
        <v>0.5</v>
      </c>
      <c r="IZ136" t="s">
        <v>29</v>
      </c>
      <c r="JA136" t="s">
        <v>29</v>
      </c>
      <c r="JB136" t="s">
        <v>29</v>
      </c>
      <c r="JC136" t="s">
        <v>29</v>
      </c>
      <c r="JD136" t="s">
        <v>29</v>
      </c>
      <c r="JE136" t="s">
        <v>29</v>
      </c>
      <c r="JF136" t="s">
        <v>29</v>
      </c>
      <c r="JG136" t="s">
        <v>29</v>
      </c>
      <c r="JH136" t="s">
        <v>29</v>
      </c>
      <c r="JJ136" s="12" t="s">
        <v>721</v>
      </c>
      <c r="JO136" s="4"/>
      <c r="JU136" s="4"/>
      <c r="JV136" s="4"/>
      <c r="JW136" s="4"/>
      <c r="JX136" s="4"/>
      <c r="JY136" s="4"/>
      <c r="JZ136" s="4"/>
      <c r="KE136" s="7" t="s">
        <v>12</v>
      </c>
      <c r="KI136" s="7" t="s">
        <v>719</v>
      </c>
      <c r="KJ136" s="7" t="s">
        <v>51</v>
      </c>
      <c r="KL136" t="s">
        <v>29</v>
      </c>
      <c r="MS136" t="s">
        <v>11</v>
      </c>
      <c r="MT136">
        <v>42</v>
      </c>
      <c r="MW136" s="4" t="s">
        <v>133</v>
      </c>
      <c r="NE136" t="s">
        <v>132</v>
      </c>
      <c r="NG136" s="4" t="s">
        <v>1165</v>
      </c>
      <c r="NH136" s="6" t="s">
        <v>7</v>
      </c>
      <c r="NQ136" t="s">
        <v>6</v>
      </c>
      <c r="NR136" s="5" t="s">
        <v>138</v>
      </c>
      <c r="NS136" s="4" t="s">
        <v>4</v>
      </c>
      <c r="NT136" s="3">
        <v>2.1189871140396999E-2</v>
      </c>
      <c r="NW136">
        <v>4</v>
      </c>
      <c r="OH136" t="s">
        <v>130</v>
      </c>
      <c r="OJ136">
        <v>1997</v>
      </c>
      <c r="OM136" s="2" t="s">
        <v>1</v>
      </c>
      <c r="OO136" t="s">
        <v>1178</v>
      </c>
      <c r="OP136" s="58">
        <v>46094</v>
      </c>
    </row>
    <row r="137" spans="1:406" ht="15.75" thickBot="1">
      <c r="A137" s="11" t="s">
        <v>36</v>
      </c>
      <c r="B137" t="s">
        <v>35</v>
      </c>
      <c r="C137" t="s">
        <v>34</v>
      </c>
      <c r="D137" s="4" t="s">
        <v>33</v>
      </c>
      <c r="E137" t="s">
        <v>32</v>
      </c>
      <c r="F137" s="4" t="s">
        <v>31</v>
      </c>
      <c r="G137" t="s">
        <v>2</v>
      </c>
      <c r="H137" t="s">
        <v>30</v>
      </c>
      <c r="I137" s="10">
        <v>0.1</v>
      </c>
      <c r="J137" s="10">
        <v>34.566667000000002</v>
      </c>
      <c r="K137" t="s">
        <v>29</v>
      </c>
      <c r="AV137" t="s">
        <v>28</v>
      </c>
      <c r="AW137">
        <v>100</v>
      </c>
      <c r="AX137" t="s">
        <v>29</v>
      </c>
      <c r="AY137">
        <v>4</v>
      </c>
      <c r="AZ137" t="s">
        <v>27</v>
      </c>
      <c r="BA137">
        <v>1994</v>
      </c>
      <c r="BB137">
        <v>1998</v>
      </c>
      <c r="BC137" t="s">
        <v>26</v>
      </c>
      <c r="BD137" t="s">
        <v>59</v>
      </c>
      <c r="BE137" s="10" t="s">
        <v>58</v>
      </c>
      <c r="BF137" t="s">
        <v>57</v>
      </c>
      <c r="BG137" s="3" t="s">
        <v>1243</v>
      </c>
      <c r="BH137" t="s">
        <v>23</v>
      </c>
      <c r="BI137" t="s">
        <v>750</v>
      </c>
      <c r="BJ137" s="4" t="s">
        <v>22</v>
      </c>
      <c r="BK137" s="9">
        <v>53000</v>
      </c>
      <c r="EE137" t="s">
        <v>55</v>
      </c>
      <c r="EF137" s="4" t="s">
        <v>22</v>
      </c>
      <c r="EG137" s="9">
        <v>53000</v>
      </c>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K137" s="9"/>
      <c r="HR137" t="s">
        <v>21</v>
      </c>
      <c r="HT137" s="4" t="s">
        <v>20</v>
      </c>
      <c r="HU137" s="58">
        <v>34335</v>
      </c>
      <c r="HV137" s="58">
        <v>36160</v>
      </c>
      <c r="HW137" s="58"/>
      <c r="IM137" s="4"/>
      <c r="IN137" t="s">
        <v>54</v>
      </c>
      <c r="IO137" s="12" t="s">
        <v>1737</v>
      </c>
      <c r="IR137">
        <v>1994</v>
      </c>
      <c r="IS137">
        <v>1994.2</v>
      </c>
      <c r="IT137" s="4" t="s">
        <v>18</v>
      </c>
      <c r="IU137" t="s">
        <v>53</v>
      </c>
      <c r="IV137" s="12" t="s">
        <v>52</v>
      </c>
      <c r="IY137">
        <v>0.5</v>
      </c>
      <c r="IZ137" t="s">
        <v>29</v>
      </c>
      <c r="JA137" t="s">
        <v>29</v>
      </c>
      <c r="JB137" t="s">
        <v>29</v>
      </c>
      <c r="JC137" t="s">
        <v>29</v>
      </c>
      <c r="JD137" t="s">
        <v>29</v>
      </c>
      <c r="JE137" t="s">
        <v>29</v>
      </c>
      <c r="JF137" t="s">
        <v>29</v>
      </c>
      <c r="JG137" t="s">
        <v>29</v>
      </c>
      <c r="JH137" t="s">
        <v>29</v>
      </c>
      <c r="JJ137" s="12" t="s">
        <v>721</v>
      </c>
      <c r="JO137" s="4"/>
      <c r="JU137" s="4"/>
      <c r="JV137" s="4"/>
      <c r="JW137" s="4"/>
      <c r="JX137" s="4"/>
      <c r="JY137" s="4"/>
      <c r="JZ137" s="4"/>
      <c r="KE137" s="7" t="s">
        <v>12</v>
      </c>
      <c r="KI137" s="7" t="s">
        <v>719</v>
      </c>
      <c r="KJ137" s="7" t="s">
        <v>51</v>
      </c>
      <c r="KL137" t="s">
        <v>29</v>
      </c>
      <c r="MS137" t="s">
        <v>11</v>
      </c>
      <c r="MT137">
        <v>42</v>
      </c>
      <c r="MW137" s="4" t="s">
        <v>133</v>
      </c>
      <c r="NE137" t="s">
        <v>132</v>
      </c>
      <c r="NG137" s="4" t="s">
        <v>1165</v>
      </c>
      <c r="NH137" s="6" t="s">
        <v>7</v>
      </c>
      <c r="NQ137" t="s">
        <v>6</v>
      </c>
      <c r="NR137" s="5" t="s">
        <v>137</v>
      </c>
      <c r="NS137" s="4" t="s">
        <v>4</v>
      </c>
      <c r="NT137" s="3">
        <v>2.4242696831358018E-2</v>
      </c>
      <c r="NW137">
        <v>4</v>
      </c>
      <c r="OH137" t="s">
        <v>130</v>
      </c>
      <c r="OJ137">
        <v>1997</v>
      </c>
      <c r="OM137" s="2" t="s">
        <v>1</v>
      </c>
      <c r="OO137" t="s">
        <v>1178</v>
      </c>
      <c r="OP137" s="58">
        <v>46094</v>
      </c>
    </row>
    <row r="138" spans="1:406" ht="15.75" thickBot="1">
      <c r="A138" s="11" t="s">
        <v>36</v>
      </c>
      <c r="B138" t="s">
        <v>35</v>
      </c>
      <c r="C138" t="s">
        <v>34</v>
      </c>
      <c r="D138" s="4" t="s">
        <v>33</v>
      </c>
      <c r="E138" t="s">
        <v>32</v>
      </c>
      <c r="F138" s="4" t="s">
        <v>31</v>
      </c>
      <c r="G138" t="s">
        <v>2</v>
      </c>
      <c r="H138" t="s">
        <v>30</v>
      </c>
      <c r="I138" s="10">
        <v>0.1</v>
      </c>
      <c r="J138" s="10">
        <v>34.566667000000002</v>
      </c>
      <c r="K138" t="s">
        <v>29</v>
      </c>
      <c r="AV138" t="s">
        <v>28</v>
      </c>
      <c r="AW138">
        <v>100</v>
      </c>
      <c r="AX138" t="s">
        <v>29</v>
      </c>
      <c r="AY138">
        <v>4</v>
      </c>
      <c r="AZ138" t="s">
        <v>27</v>
      </c>
      <c r="BA138">
        <v>1994</v>
      </c>
      <c r="BB138">
        <v>1998</v>
      </c>
      <c r="BC138" t="s">
        <v>26</v>
      </c>
      <c r="BD138" t="s">
        <v>45</v>
      </c>
      <c r="BE138" s="10" t="s">
        <v>49</v>
      </c>
      <c r="BF138" t="s">
        <v>48</v>
      </c>
      <c r="BG138" s="3" t="s">
        <v>1243</v>
      </c>
      <c r="BH138" t="s">
        <v>23</v>
      </c>
      <c r="BI138" t="s">
        <v>750</v>
      </c>
      <c r="BJ138" s="4" t="s">
        <v>22</v>
      </c>
      <c r="BK138" s="9">
        <v>53000</v>
      </c>
      <c r="EF138" s="4"/>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K138" s="9"/>
      <c r="HR138" t="s">
        <v>21</v>
      </c>
      <c r="HT138" s="4" t="s">
        <v>20</v>
      </c>
      <c r="HU138" s="58">
        <v>34335</v>
      </c>
      <c r="HV138" s="58">
        <v>36160</v>
      </c>
      <c r="HW138" s="58"/>
      <c r="IN138" t="s">
        <v>47</v>
      </c>
      <c r="IO138" s="54" t="s">
        <v>1236</v>
      </c>
      <c r="IR138">
        <v>1995</v>
      </c>
      <c r="IS138">
        <v>1995.2</v>
      </c>
      <c r="IT138" s="4" t="s">
        <v>18</v>
      </c>
      <c r="IU138" t="s">
        <v>38</v>
      </c>
      <c r="IV138" t="s">
        <v>19</v>
      </c>
      <c r="IZ138">
        <v>0</v>
      </c>
      <c r="JA138">
        <v>0</v>
      </c>
      <c r="JB138">
        <v>0</v>
      </c>
      <c r="JC138">
        <v>0</v>
      </c>
      <c r="JD138">
        <v>0</v>
      </c>
      <c r="JE138">
        <v>0</v>
      </c>
      <c r="JF138">
        <v>0</v>
      </c>
      <c r="JG138">
        <v>0</v>
      </c>
      <c r="JH138">
        <v>0</v>
      </c>
      <c r="JJ138" s="12" t="s">
        <v>721</v>
      </c>
      <c r="JO138" s="4"/>
      <c r="JU138" s="4"/>
      <c r="JV138" s="4"/>
      <c r="JW138" s="4"/>
      <c r="JX138" s="4"/>
      <c r="JY138" s="4"/>
      <c r="JZ138" s="4"/>
      <c r="KE138" s="7" t="s">
        <v>12</v>
      </c>
      <c r="KI138" s="7" t="s">
        <v>720</v>
      </c>
      <c r="KJ138" s="7"/>
      <c r="MS138" t="s">
        <v>11</v>
      </c>
      <c r="MT138">
        <v>42</v>
      </c>
      <c r="MW138" s="4" t="s">
        <v>133</v>
      </c>
      <c r="NE138" t="s">
        <v>132</v>
      </c>
      <c r="NG138" s="4" t="s">
        <v>1165</v>
      </c>
      <c r="NH138" s="6" t="s">
        <v>7</v>
      </c>
      <c r="NQ138" t="s">
        <v>6</v>
      </c>
      <c r="NR138" s="5" t="s">
        <v>136</v>
      </c>
      <c r="NS138" s="4" t="s">
        <v>4</v>
      </c>
      <c r="NT138" s="3">
        <v>3.0303371039197002E-2</v>
      </c>
      <c r="NW138">
        <v>4</v>
      </c>
      <c r="OH138" t="s">
        <v>130</v>
      </c>
      <c r="OJ138">
        <v>1997</v>
      </c>
      <c r="OM138" s="2" t="s">
        <v>1</v>
      </c>
      <c r="OO138" t="s">
        <v>1178</v>
      </c>
      <c r="OP138" s="58">
        <v>46094</v>
      </c>
    </row>
    <row r="139" spans="1:406" ht="15.75" thickBot="1">
      <c r="A139" s="11" t="s">
        <v>36</v>
      </c>
      <c r="B139" t="s">
        <v>35</v>
      </c>
      <c r="C139" t="s">
        <v>34</v>
      </c>
      <c r="D139" s="4" t="s">
        <v>33</v>
      </c>
      <c r="E139" t="s">
        <v>32</v>
      </c>
      <c r="F139" s="4" t="s">
        <v>31</v>
      </c>
      <c r="G139" t="s">
        <v>2</v>
      </c>
      <c r="H139" t="s">
        <v>30</v>
      </c>
      <c r="I139" s="10">
        <v>0.1</v>
      </c>
      <c r="J139" s="10">
        <v>34.566667000000002</v>
      </c>
      <c r="K139" t="s">
        <v>29</v>
      </c>
      <c r="AV139" t="s">
        <v>28</v>
      </c>
      <c r="AW139">
        <v>100</v>
      </c>
      <c r="AX139" t="s">
        <v>29</v>
      </c>
      <c r="AY139">
        <v>4</v>
      </c>
      <c r="AZ139" t="s">
        <v>27</v>
      </c>
      <c r="BA139">
        <v>1994</v>
      </c>
      <c r="BB139">
        <v>1998</v>
      </c>
      <c r="BC139" t="s">
        <v>26</v>
      </c>
      <c r="BD139" t="s">
        <v>45</v>
      </c>
      <c r="BE139" s="10" t="s">
        <v>44</v>
      </c>
      <c r="BF139" t="s">
        <v>43</v>
      </c>
      <c r="BG139" s="3" t="s">
        <v>1243</v>
      </c>
      <c r="BH139" t="s">
        <v>23</v>
      </c>
      <c r="BI139" t="s">
        <v>750</v>
      </c>
      <c r="BJ139" s="4" t="s">
        <v>22</v>
      </c>
      <c r="BK139" s="9">
        <v>53000</v>
      </c>
      <c r="EF139" s="4"/>
      <c r="EG139" s="9"/>
      <c r="EH139" s="9"/>
      <c r="EI139" s="9"/>
      <c r="EJ139" s="9"/>
      <c r="EK139" s="9"/>
      <c r="EL139" s="9"/>
      <c r="EM139" s="9"/>
      <c r="EN139" s="9"/>
      <c r="EO139" s="9"/>
      <c r="EP139" s="9"/>
      <c r="EQ139" s="9"/>
      <c r="ER139" s="9"/>
      <c r="ES139" s="9"/>
      <c r="ET139" s="9"/>
      <c r="EU139" s="9"/>
      <c r="EV139" s="9"/>
      <c r="EW139" s="9"/>
      <c r="EX139" s="9"/>
      <c r="EY139" s="9"/>
      <c r="EZ139" s="9"/>
      <c r="FA139" s="9"/>
      <c r="FB139" s="9"/>
      <c r="FC139" s="9"/>
      <c r="FD139" s="9"/>
      <c r="FE139" s="9"/>
      <c r="FF139" s="9"/>
      <c r="FG139" s="9"/>
      <c r="FH139" s="9"/>
      <c r="FI139" s="9"/>
      <c r="FJ139" s="9"/>
      <c r="FK139" s="9"/>
      <c r="FL139" s="9"/>
      <c r="FM139" s="9"/>
      <c r="FN139" s="9"/>
      <c r="FO139" s="9"/>
      <c r="FP139" s="9"/>
      <c r="FQ139" s="9"/>
      <c r="FR139" s="9"/>
      <c r="FS139" s="9"/>
      <c r="FT139" s="9"/>
      <c r="FU139" s="9"/>
      <c r="FV139" s="9"/>
      <c r="FW139" s="9"/>
      <c r="FX139" s="9"/>
      <c r="FY139" s="9"/>
      <c r="FZ139" s="9"/>
      <c r="GA139" s="9"/>
      <c r="GB139" s="9"/>
      <c r="GC139" s="9"/>
      <c r="GD139" s="9"/>
      <c r="GE139" s="9"/>
      <c r="GF139" s="9"/>
      <c r="GG139" s="9"/>
      <c r="GH139" s="9"/>
      <c r="GI139" s="9"/>
      <c r="GJ139" s="9"/>
      <c r="GK139" s="9"/>
      <c r="GL139" s="9"/>
      <c r="GM139" s="9"/>
      <c r="GN139" s="9"/>
      <c r="GO139" s="9"/>
      <c r="GP139" s="9"/>
      <c r="GQ139" s="9"/>
      <c r="GR139" s="9"/>
      <c r="GS139" s="9"/>
      <c r="GT139" s="9"/>
      <c r="GU139" s="9"/>
      <c r="GV139" s="9"/>
      <c r="GW139" s="9"/>
      <c r="GX139" s="9"/>
      <c r="GY139" s="9"/>
      <c r="GZ139" s="9"/>
      <c r="HA139" s="9"/>
      <c r="HB139" s="9"/>
      <c r="HC139" s="9"/>
      <c r="HD139" s="9"/>
      <c r="HE139" s="9"/>
      <c r="HF139" s="9"/>
      <c r="HG139" s="9"/>
      <c r="HH139" s="9"/>
      <c r="HI139" s="9"/>
      <c r="HJ139" s="9"/>
      <c r="HK139" s="9"/>
      <c r="HR139" t="s">
        <v>21</v>
      </c>
      <c r="HT139" s="4" t="s">
        <v>20</v>
      </c>
      <c r="HU139" s="58">
        <v>34335</v>
      </c>
      <c r="HV139" s="58">
        <v>36160</v>
      </c>
      <c r="HW139" s="58"/>
      <c r="IN139" t="s">
        <v>42</v>
      </c>
      <c r="IO139" s="13" t="s">
        <v>1237</v>
      </c>
      <c r="IR139">
        <v>1994</v>
      </c>
      <c r="IS139">
        <v>1994.2</v>
      </c>
      <c r="IT139" s="4" t="s">
        <v>18</v>
      </c>
      <c r="IU139" t="s">
        <v>38</v>
      </c>
      <c r="IV139" t="s">
        <v>19</v>
      </c>
      <c r="IZ139">
        <v>0</v>
      </c>
      <c r="JA139">
        <v>0</v>
      </c>
      <c r="JB139">
        <v>0</v>
      </c>
      <c r="JC139">
        <v>0</v>
      </c>
      <c r="JD139">
        <v>0</v>
      </c>
      <c r="JE139">
        <v>0</v>
      </c>
      <c r="JF139">
        <v>0</v>
      </c>
      <c r="JG139">
        <v>0</v>
      </c>
      <c r="JH139">
        <v>0</v>
      </c>
      <c r="JJ139" s="12" t="s">
        <v>721</v>
      </c>
      <c r="JO139" s="4"/>
      <c r="JU139" s="4"/>
      <c r="JV139" s="4"/>
      <c r="JW139" s="4"/>
      <c r="JX139" s="4"/>
      <c r="JY139" s="4"/>
      <c r="JZ139" s="4"/>
      <c r="KE139" s="7" t="s">
        <v>12</v>
      </c>
      <c r="KI139" s="7" t="s">
        <v>720</v>
      </c>
      <c r="KJ139" s="7"/>
      <c r="MS139" t="s">
        <v>11</v>
      </c>
      <c r="MT139">
        <v>42</v>
      </c>
      <c r="MW139" s="4" t="s">
        <v>133</v>
      </c>
      <c r="NE139" t="s">
        <v>132</v>
      </c>
      <c r="NG139" s="4" t="s">
        <v>1165</v>
      </c>
      <c r="NH139" s="6" t="s">
        <v>7</v>
      </c>
      <c r="NQ139" t="s">
        <v>6</v>
      </c>
      <c r="NR139" s="5" t="s">
        <v>135</v>
      </c>
      <c r="NS139" s="4" t="s">
        <v>4</v>
      </c>
      <c r="NT139" s="3">
        <v>2.7318011109362994E-2</v>
      </c>
      <c r="NW139">
        <v>4</v>
      </c>
      <c r="OH139" t="s">
        <v>130</v>
      </c>
      <c r="OJ139">
        <v>1997</v>
      </c>
      <c r="OM139" s="2" t="s">
        <v>1</v>
      </c>
      <c r="OO139" t="s">
        <v>1178</v>
      </c>
      <c r="OP139" s="58">
        <v>46094</v>
      </c>
    </row>
    <row r="140" spans="1:406" ht="15.75" thickBot="1">
      <c r="A140" s="11" t="s">
        <v>36</v>
      </c>
      <c r="B140" t="s">
        <v>35</v>
      </c>
      <c r="C140" t="s">
        <v>34</v>
      </c>
      <c r="D140" s="4" t="s">
        <v>33</v>
      </c>
      <c r="E140" t="s">
        <v>32</v>
      </c>
      <c r="F140" s="4" t="s">
        <v>31</v>
      </c>
      <c r="G140" t="s">
        <v>2</v>
      </c>
      <c r="H140" t="s">
        <v>30</v>
      </c>
      <c r="I140" s="10">
        <v>0.1</v>
      </c>
      <c r="J140" s="10">
        <v>34.566667000000002</v>
      </c>
      <c r="K140" t="s">
        <v>29</v>
      </c>
      <c r="AV140" t="s">
        <v>28</v>
      </c>
      <c r="AW140">
        <v>100</v>
      </c>
      <c r="AX140" t="s">
        <v>29</v>
      </c>
      <c r="AY140">
        <v>4</v>
      </c>
      <c r="AZ140" t="s">
        <v>27</v>
      </c>
      <c r="BA140">
        <v>1994</v>
      </c>
      <c r="BB140">
        <v>1998</v>
      </c>
      <c r="BC140" t="s">
        <v>26</v>
      </c>
      <c r="BD140" t="s">
        <v>19</v>
      </c>
      <c r="BE140" s="10" t="s">
        <v>40</v>
      </c>
      <c r="BF140" t="s">
        <v>39</v>
      </c>
      <c r="BG140" s="3" t="s">
        <v>1243</v>
      </c>
      <c r="BH140" t="s">
        <v>23</v>
      </c>
      <c r="BI140" t="s">
        <v>750</v>
      </c>
      <c r="BJ140" s="4" t="s">
        <v>22</v>
      </c>
      <c r="BK140" s="9">
        <v>53000</v>
      </c>
      <c r="HR140" t="s">
        <v>21</v>
      </c>
      <c r="HT140" s="4" t="s">
        <v>20</v>
      </c>
      <c r="HU140" s="58">
        <v>34335</v>
      </c>
      <c r="HV140" s="58">
        <v>36160</v>
      </c>
      <c r="HW140" s="58"/>
      <c r="IN140" t="s">
        <v>38</v>
      </c>
      <c r="IO140" s="54" t="s">
        <v>19</v>
      </c>
      <c r="IT140" s="4" t="s">
        <v>18</v>
      </c>
      <c r="IU140" t="s">
        <v>38</v>
      </c>
      <c r="IV140" s="54" t="s">
        <v>19</v>
      </c>
      <c r="IZ140">
        <v>0</v>
      </c>
      <c r="JA140">
        <v>0</v>
      </c>
      <c r="JB140">
        <v>0</v>
      </c>
      <c r="JC140">
        <v>0</v>
      </c>
      <c r="JD140">
        <v>0</v>
      </c>
      <c r="JE140">
        <v>0</v>
      </c>
      <c r="JF140">
        <v>0</v>
      </c>
      <c r="JG140">
        <v>0</v>
      </c>
      <c r="JH140">
        <v>0</v>
      </c>
      <c r="JJ140" s="12" t="s">
        <v>721</v>
      </c>
      <c r="JO140" s="4"/>
      <c r="JU140" s="4"/>
      <c r="JV140" s="4"/>
      <c r="JW140" s="4"/>
      <c r="JX140" s="4"/>
      <c r="JY140" s="4"/>
      <c r="JZ140" s="4"/>
      <c r="KE140" s="7" t="s">
        <v>12</v>
      </c>
      <c r="KI140" s="7" t="s">
        <v>720</v>
      </c>
      <c r="KJ140" s="7"/>
      <c r="MS140" t="s">
        <v>11</v>
      </c>
      <c r="MT140">
        <v>42</v>
      </c>
      <c r="MW140" s="4" t="s">
        <v>133</v>
      </c>
      <c r="NE140" t="s">
        <v>132</v>
      </c>
      <c r="NG140" s="4" t="s">
        <v>1165</v>
      </c>
      <c r="NH140" s="6" t="s">
        <v>7</v>
      </c>
      <c r="NP140" t="s">
        <v>735</v>
      </c>
      <c r="NQ140" t="s">
        <v>6</v>
      </c>
      <c r="NR140" s="5" t="s">
        <v>134</v>
      </c>
      <c r="NS140" s="4" t="s">
        <v>4</v>
      </c>
      <c r="NT140" s="3">
        <v>4.2435963748398003E-2</v>
      </c>
      <c r="NW140">
        <v>4</v>
      </c>
      <c r="OH140" t="s">
        <v>130</v>
      </c>
      <c r="OJ140">
        <v>1997</v>
      </c>
      <c r="OM140" s="2" t="s">
        <v>1</v>
      </c>
      <c r="OO140" t="s">
        <v>1178</v>
      </c>
      <c r="OP140" s="58">
        <v>46094</v>
      </c>
    </row>
    <row r="141" spans="1:406" ht="15.75" thickBot="1">
      <c r="A141" s="11" t="s">
        <v>36</v>
      </c>
      <c r="B141" t="s">
        <v>35</v>
      </c>
      <c r="C141" t="s">
        <v>34</v>
      </c>
      <c r="D141" s="4" t="s">
        <v>33</v>
      </c>
      <c r="E141" t="s">
        <v>32</v>
      </c>
      <c r="F141" s="4" t="s">
        <v>31</v>
      </c>
      <c r="G141" t="s">
        <v>2</v>
      </c>
      <c r="H141" t="s">
        <v>30</v>
      </c>
      <c r="I141" s="10">
        <v>0.1</v>
      </c>
      <c r="J141" s="10">
        <v>34.566667000000002</v>
      </c>
      <c r="K141" t="s">
        <v>29</v>
      </c>
      <c r="AV141" t="s">
        <v>28</v>
      </c>
      <c r="AW141">
        <v>100</v>
      </c>
      <c r="AX141" t="s">
        <v>29</v>
      </c>
      <c r="AY141">
        <v>4</v>
      </c>
      <c r="AZ141" t="s">
        <v>27</v>
      </c>
      <c r="BA141">
        <v>1994</v>
      </c>
      <c r="BB141">
        <v>1998</v>
      </c>
      <c r="BC141" t="s">
        <v>26</v>
      </c>
      <c r="BD141" t="s">
        <v>19</v>
      </c>
      <c r="BE141" s="10" t="s">
        <v>25</v>
      </c>
      <c r="BF141" t="s">
        <v>24</v>
      </c>
      <c r="BG141" s="3" t="s">
        <v>1243</v>
      </c>
      <c r="BH141" t="s">
        <v>23</v>
      </c>
      <c r="BI141" t="s">
        <v>750</v>
      </c>
      <c r="BJ141" s="4" t="s">
        <v>22</v>
      </c>
      <c r="BK141" s="9">
        <v>53000</v>
      </c>
      <c r="HR141" t="s">
        <v>21</v>
      </c>
      <c r="HT141" s="4" t="s">
        <v>20</v>
      </c>
      <c r="HU141" s="58">
        <v>34335</v>
      </c>
      <c r="HV141" s="58">
        <v>36160</v>
      </c>
      <c r="HW141" s="58"/>
      <c r="IN141" t="s">
        <v>16</v>
      </c>
      <c r="IO141" s="54" t="s">
        <v>19</v>
      </c>
      <c r="IT141" s="4" t="s">
        <v>18</v>
      </c>
      <c r="IU141" t="s">
        <v>17</v>
      </c>
      <c r="IV141" s="54" t="s">
        <v>19</v>
      </c>
      <c r="IZ141">
        <v>0</v>
      </c>
      <c r="JA141">
        <v>0</v>
      </c>
      <c r="JB141">
        <v>0</v>
      </c>
      <c r="JC141">
        <v>0</v>
      </c>
      <c r="JD141">
        <v>0</v>
      </c>
      <c r="JE141">
        <v>0</v>
      </c>
      <c r="JF141">
        <v>0</v>
      </c>
      <c r="JG141">
        <v>0</v>
      </c>
      <c r="JH141">
        <v>0</v>
      </c>
      <c r="JI141" t="s">
        <v>16</v>
      </c>
      <c r="JJ141" t="s">
        <v>15</v>
      </c>
      <c r="JK141" s="8" t="s">
        <v>14</v>
      </c>
      <c r="JO141" s="4" t="s">
        <v>13</v>
      </c>
      <c r="JP141">
        <v>60</v>
      </c>
      <c r="JS141">
        <v>60</v>
      </c>
      <c r="JU141" s="4"/>
      <c r="JV141" s="4"/>
      <c r="JW141" s="4"/>
      <c r="JX141" s="4"/>
      <c r="JY141" s="4"/>
      <c r="JZ141" s="4"/>
      <c r="KE141" s="7" t="s">
        <v>12</v>
      </c>
      <c r="KI141" s="7" t="s">
        <v>720</v>
      </c>
      <c r="KJ141" s="7"/>
      <c r="MS141" t="s">
        <v>11</v>
      </c>
      <c r="MT141">
        <v>42</v>
      </c>
      <c r="MW141" s="4" t="s">
        <v>133</v>
      </c>
      <c r="NE141" t="s">
        <v>132</v>
      </c>
      <c r="NG141" s="4" t="s">
        <v>1165</v>
      </c>
      <c r="NH141" s="6" t="s">
        <v>7</v>
      </c>
      <c r="NP141" t="s">
        <v>747</v>
      </c>
      <c r="NQ141" t="s">
        <v>6</v>
      </c>
      <c r="NR141" s="5" t="s">
        <v>131</v>
      </c>
      <c r="NS141" s="4" t="s">
        <v>4</v>
      </c>
      <c r="NT141" s="3">
        <v>3.0325859626239016E-2</v>
      </c>
      <c r="NW141">
        <v>4</v>
      </c>
      <c r="OH141" t="s">
        <v>130</v>
      </c>
      <c r="OJ141">
        <v>1997</v>
      </c>
      <c r="OM141" s="2" t="s">
        <v>1</v>
      </c>
      <c r="OO141" t="s">
        <v>1178</v>
      </c>
      <c r="OP141" s="58">
        <v>46094</v>
      </c>
    </row>
    <row r="142" spans="1:406" ht="15.75" thickBot="1">
      <c r="A142" s="11" t="s">
        <v>36</v>
      </c>
      <c r="B142" t="s">
        <v>35</v>
      </c>
      <c r="C142" t="s">
        <v>34</v>
      </c>
      <c r="D142" s="4" t="s">
        <v>33</v>
      </c>
      <c r="E142" t="s">
        <v>32</v>
      </c>
      <c r="F142" s="4" t="s">
        <v>31</v>
      </c>
      <c r="G142" t="s">
        <v>2</v>
      </c>
      <c r="H142" t="s">
        <v>30</v>
      </c>
      <c r="I142" s="10">
        <v>0.1</v>
      </c>
      <c r="J142" s="10">
        <v>34.566667000000002</v>
      </c>
      <c r="K142" t="s">
        <v>29</v>
      </c>
      <c r="AV142" t="s">
        <v>28</v>
      </c>
      <c r="AW142">
        <v>100</v>
      </c>
      <c r="AX142" t="s">
        <v>29</v>
      </c>
      <c r="AY142">
        <v>4</v>
      </c>
      <c r="AZ142" t="s">
        <v>27</v>
      </c>
      <c r="BA142">
        <v>1994</v>
      </c>
      <c r="BB142">
        <v>1998</v>
      </c>
      <c r="BC142" t="s">
        <v>26</v>
      </c>
      <c r="BD142" t="s">
        <v>59</v>
      </c>
      <c r="BE142" s="10" t="s">
        <v>65</v>
      </c>
      <c r="BF142" t="s">
        <v>64</v>
      </c>
      <c r="BG142" s="3" t="s">
        <v>1243</v>
      </c>
      <c r="BH142" t="s">
        <v>23</v>
      </c>
      <c r="BI142" t="s">
        <v>750</v>
      </c>
      <c r="BJ142" s="4" t="s">
        <v>22</v>
      </c>
      <c r="BK142" s="9">
        <v>53000</v>
      </c>
      <c r="EE142" t="s">
        <v>55</v>
      </c>
      <c r="EF142" s="4" t="s">
        <v>22</v>
      </c>
      <c r="EG142" s="9">
        <v>53000</v>
      </c>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K142" s="9"/>
      <c r="HR142" t="s">
        <v>21</v>
      </c>
      <c r="HT142" s="4" t="s">
        <v>20</v>
      </c>
      <c r="HU142" s="58">
        <v>34335</v>
      </c>
      <c r="HV142" s="58">
        <v>36160</v>
      </c>
      <c r="HW142" s="58"/>
      <c r="IM142" s="4"/>
      <c r="IN142" t="s">
        <v>63</v>
      </c>
      <c r="IO142" s="12" t="s">
        <v>1736</v>
      </c>
      <c r="IR142">
        <v>1995</v>
      </c>
      <c r="IS142">
        <v>1995.2</v>
      </c>
      <c r="IT142" s="4" t="s">
        <v>18</v>
      </c>
      <c r="IU142" t="s">
        <v>61</v>
      </c>
      <c r="IV142" s="12" t="s">
        <v>52</v>
      </c>
      <c r="IY142">
        <v>0.5</v>
      </c>
      <c r="IZ142" t="s">
        <v>29</v>
      </c>
      <c r="JA142" t="s">
        <v>29</v>
      </c>
      <c r="JB142" t="s">
        <v>29</v>
      </c>
      <c r="JC142" t="s">
        <v>29</v>
      </c>
      <c r="JD142" t="s">
        <v>29</v>
      </c>
      <c r="JE142" t="s">
        <v>29</v>
      </c>
      <c r="JF142" t="s">
        <v>29</v>
      </c>
      <c r="JG142" t="s">
        <v>29</v>
      </c>
      <c r="JH142" t="s">
        <v>29</v>
      </c>
      <c r="JJ142" s="12" t="s">
        <v>721</v>
      </c>
      <c r="JO142" s="4"/>
      <c r="JU142" s="4"/>
      <c r="JV142" s="4"/>
      <c r="JW142" s="4"/>
      <c r="JX142" s="4"/>
      <c r="JY142" s="4"/>
      <c r="JZ142" s="4"/>
      <c r="KE142" s="7" t="s">
        <v>12</v>
      </c>
      <c r="KI142" s="7" t="s">
        <v>719</v>
      </c>
      <c r="KJ142" s="7" t="s">
        <v>51</v>
      </c>
      <c r="KL142" t="s">
        <v>29</v>
      </c>
      <c r="MS142" t="s">
        <v>11</v>
      </c>
      <c r="MT142">
        <v>42</v>
      </c>
      <c r="MW142" s="4" t="s">
        <v>96</v>
      </c>
      <c r="NE142" t="s">
        <v>95</v>
      </c>
      <c r="NG142" s="4" t="s">
        <v>1165</v>
      </c>
      <c r="NH142" s="6" t="s">
        <v>7</v>
      </c>
      <c r="NQ142" t="s">
        <v>6</v>
      </c>
      <c r="NR142" s="5" t="s">
        <v>129</v>
      </c>
      <c r="NS142" s="4" t="s">
        <v>4</v>
      </c>
      <c r="NT142" s="3">
        <v>0.27494262741666997</v>
      </c>
      <c r="NW142">
        <v>4</v>
      </c>
      <c r="OH142" t="s">
        <v>123</v>
      </c>
      <c r="OJ142">
        <v>1996</v>
      </c>
      <c r="OM142" s="2" t="s">
        <v>62</v>
      </c>
      <c r="OO142" t="s">
        <v>1178</v>
      </c>
      <c r="OP142" s="58">
        <v>46094</v>
      </c>
    </row>
    <row r="143" spans="1:406" ht="15.75" thickBot="1">
      <c r="A143" s="11" t="s">
        <v>36</v>
      </c>
      <c r="B143" t="s">
        <v>35</v>
      </c>
      <c r="C143" t="s">
        <v>34</v>
      </c>
      <c r="D143" s="4" t="s">
        <v>33</v>
      </c>
      <c r="E143" t="s">
        <v>32</v>
      </c>
      <c r="F143" s="4" t="s">
        <v>31</v>
      </c>
      <c r="G143" t="s">
        <v>2</v>
      </c>
      <c r="H143" t="s">
        <v>30</v>
      </c>
      <c r="I143" s="10">
        <v>0.1</v>
      </c>
      <c r="J143" s="10">
        <v>34.566667000000002</v>
      </c>
      <c r="K143" t="s">
        <v>29</v>
      </c>
      <c r="AV143" t="s">
        <v>28</v>
      </c>
      <c r="AW143">
        <v>100</v>
      </c>
      <c r="AX143" t="s">
        <v>29</v>
      </c>
      <c r="AY143">
        <v>4</v>
      </c>
      <c r="AZ143" t="s">
        <v>27</v>
      </c>
      <c r="BA143">
        <v>1994</v>
      </c>
      <c r="BB143">
        <v>1998</v>
      </c>
      <c r="BC143" t="s">
        <v>26</v>
      </c>
      <c r="BD143" t="s">
        <v>59</v>
      </c>
      <c r="BE143" s="10" t="s">
        <v>58</v>
      </c>
      <c r="BF143" t="s">
        <v>57</v>
      </c>
      <c r="BG143" s="3" t="s">
        <v>1243</v>
      </c>
      <c r="BH143" t="s">
        <v>23</v>
      </c>
      <c r="BI143" t="s">
        <v>750</v>
      </c>
      <c r="BJ143" s="4" t="s">
        <v>22</v>
      </c>
      <c r="BK143" s="9">
        <v>53000</v>
      </c>
      <c r="EE143" t="s">
        <v>55</v>
      </c>
      <c r="EF143" s="4" t="s">
        <v>22</v>
      </c>
      <c r="EG143" s="9">
        <v>53000</v>
      </c>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K143" s="9"/>
      <c r="HR143" t="s">
        <v>21</v>
      </c>
      <c r="HT143" s="4" t="s">
        <v>20</v>
      </c>
      <c r="HU143" s="58">
        <v>34335</v>
      </c>
      <c r="HV143" s="58">
        <v>36160</v>
      </c>
      <c r="HW143" s="58"/>
      <c r="IM143" s="4"/>
      <c r="IN143" t="s">
        <v>54</v>
      </c>
      <c r="IO143" s="12" t="s">
        <v>1737</v>
      </c>
      <c r="IR143">
        <v>1994</v>
      </c>
      <c r="IS143">
        <v>1994.2</v>
      </c>
      <c r="IT143" s="4" t="s">
        <v>18</v>
      </c>
      <c r="IU143" t="s">
        <v>53</v>
      </c>
      <c r="IV143" s="12" t="s">
        <v>52</v>
      </c>
      <c r="IY143">
        <v>0.5</v>
      </c>
      <c r="IZ143" t="s">
        <v>29</v>
      </c>
      <c r="JA143" t="s">
        <v>29</v>
      </c>
      <c r="JB143" t="s">
        <v>29</v>
      </c>
      <c r="JC143" t="s">
        <v>29</v>
      </c>
      <c r="JD143" t="s">
        <v>29</v>
      </c>
      <c r="JE143" t="s">
        <v>29</v>
      </c>
      <c r="JF143" t="s">
        <v>29</v>
      </c>
      <c r="JG143" t="s">
        <v>29</v>
      </c>
      <c r="JH143" t="s">
        <v>29</v>
      </c>
      <c r="JJ143" s="12" t="s">
        <v>721</v>
      </c>
      <c r="JO143" s="4"/>
      <c r="JU143" s="4"/>
      <c r="JV143" s="4"/>
      <c r="JW143" s="4"/>
      <c r="JX143" s="4"/>
      <c r="JY143" s="4"/>
      <c r="JZ143" s="4"/>
      <c r="KE143" s="7" t="s">
        <v>12</v>
      </c>
      <c r="KI143" s="7" t="s">
        <v>719</v>
      </c>
      <c r="KJ143" s="7" t="s">
        <v>51</v>
      </c>
      <c r="KL143" t="s">
        <v>29</v>
      </c>
      <c r="MS143" t="s">
        <v>11</v>
      </c>
      <c r="MT143">
        <v>42</v>
      </c>
      <c r="MW143" s="4" t="s">
        <v>96</v>
      </c>
      <c r="NE143" t="s">
        <v>95</v>
      </c>
      <c r="NG143" s="4" t="s">
        <v>1165</v>
      </c>
      <c r="NH143" s="6" t="s">
        <v>7</v>
      </c>
      <c r="NQ143" t="s">
        <v>6</v>
      </c>
      <c r="NR143" s="5" t="s">
        <v>128</v>
      </c>
      <c r="NS143" s="4" t="s">
        <v>4</v>
      </c>
      <c r="NT143" s="3">
        <v>0.29593796606625</v>
      </c>
      <c r="NW143">
        <v>4</v>
      </c>
      <c r="OH143" t="s">
        <v>123</v>
      </c>
      <c r="OJ143">
        <v>1996</v>
      </c>
      <c r="OM143" s="2" t="s">
        <v>62</v>
      </c>
      <c r="OO143" t="s">
        <v>1178</v>
      </c>
      <c r="OP143" s="58">
        <v>46094</v>
      </c>
    </row>
    <row r="144" spans="1:406" ht="15.75" thickBot="1">
      <c r="A144" s="11" t="s">
        <v>36</v>
      </c>
      <c r="B144" t="s">
        <v>35</v>
      </c>
      <c r="C144" t="s">
        <v>34</v>
      </c>
      <c r="D144" s="4" t="s">
        <v>33</v>
      </c>
      <c r="E144" t="s">
        <v>32</v>
      </c>
      <c r="F144" s="4" t="s">
        <v>31</v>
      </c>
      <c r="G144" t="s">
        <v>2</v>
      </c>
      <c r="H144" t="s">
        <v>30</v>
      </c>
      <c r="I144" s="10">
        <v>0.1</v>
      </c>
      <c r="J144" s="10">
        <v>34.566667000000002</v>
      </c>
      <c r="K144" t="s">
        <v>29</v>
      </c>
      <c r="AV144" t="s">
        <v>28</v>
      </c>
      <c r="AW144">
        <v>100</v>
      </c>
      <c r="AX144" t="s">
        <v>29</v>
      </c>
      <c r="AY144">
        <v>4</v>
      </c>
      <c r="AZ144" t="s">
        <v>27</v>
      </c>
      <c r="BA144">
        <v>1994</v>
      </c>
      <c r="BB144">
        <v>1998</v>
      </c>
      <c r="BC144" t="s">
        <v>26</v>
      </c>
      <c r="BD144" t="s">
        <v>45</v>
      </c>
      <c r="BE144" s="10" t="s">
        <v>49</v>
      </c>
      <c r="BF144" t="s">
        <v>48</v>
      </c>
      <c r="BG144" s="3" t="s">
        <v>1243</v>
      </c>
      <c r="BH144" t="s">
        <v>23</v>
      </c>
      <c r="BI144" t="s">
        <v>750</v>
      </c>
      <c r="BJ144" s="4" t="s">
        <v>22</v>
      </c>
      <c r="BK144" s="9">
        <v>53000</v>
      </c>
      <c r="EF144" s="4"/>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K144" s="9"/>
      <c r="HR144" t="s">
        <v>21</v>
      </c>
      <c r="HT144" s="4" t="s">
        <v>20</v>
      </c>
      <c r="HU144" s="58">
        <v>34335</v>
      </c>
      <c r="HV144" s="58">
        <v>36160</v>
      </c>
      <c r="HW144" s="58"/>
      <c r="IN144" t="s">
        <v>47</v>
      </c>
      <c r="IO144" s="54" t="s">
        <v>1236</v>
      </c>
      <c r="IR144">
        <v>1995</v>
      </c>
      <c r="IS144">
        <v>1995.2</v>
      </c>
      <c r="IT144" s="4" t="s">
        <v>18</v>
      </c>
      <c r="IU144" t="s">
        <v>38</v>
      </c>
      <c r="IV144" t="s">
        <v>19</v>
      </c>
      <c r="IZ144">
        <v>0</v>
      </c>
      <c r="JA144">
        <v>0</v>
      </c>
      <c r="JB144">
        <v>0</v>
      </c>
      <c r="JC144">
        <v>0</v>
      </c>
      <c r="JD144">
        <v>0</v>
      </c>
      <c r="JE144">
        <v>0</v>
      </c>
      <c r="JF144">
        <v>0</v>
      </c>
      <c r="JG144">
        <v>0</v>
      </c>
      <c r="JH144">
        <v>0</v>
      </c>
      <c r="JJ144" s="12" t="s">
        <v>721</v>
      </c>
      <c r="JO144" s="4"/>
      <c r="JU144" s="4"/>
      <c r="JV144" s="4"/>
      <c r="JW144" s="4"/>
      <c r="JX144" s="4"/>
      <c r="JY144" s="4"/>
      <c r="JZ144" s="4"/>
      <c r="KE144" s="7" t="s">
        <v>12</v>
      </c>
      <c r="KI144" s="7" t="s">
        <v>720</v>
      </c>
      <c r="KJ144" s="7"/>
      <c r="MS144" t="s">
        <v>11</v>
      </c>
      <c r="MT144">
        <v>42</v>
      </c>
      <c r="MW144" s="4" t="s">
        <v>96</v>
      </c>
      <c r="NE144" t="s">
        <v>95</v>
      </c>
      <c r="NG144" s="4" t="s">
        <v>1165</v>
      </c>
      <c r="NH144" s="6" t="s">
        <v>7</v>
      </c>
      <c r="NQ144" t="s">
        <v>6</v>
      </c>
      <c r="NR144" s="5" t="s">
        <v>127</v>
      </c>
      <c r="NS144" s="4" t="s">
        <v>4</v>
      </c>
      <c r="NT144" s="3">
        <v>0.27509672164527998</v>
      </c>
      <c r="NW144">
        <v>4</v>
      </c>
      <c r="OH144" t="s">
        <v>123</v>
      </c>
      <c r="OJ144">
        <v>1996</v>
      </c>
      <c r="OM144" s="2" t="s">
        <v>62</v>
      </c>
      <c r="OO144" t="s">
        <v>1178</v>
      </c>
      <c r="OP144" s="58">
        <v>46094</v>
      </c>
    </row>
    <row r="145" spans="1:406" ht="15.75" thickBot="1">
      <c r="A145" s="11" t="s">
        <v>36</v>
      </c>
      <c r="B145" t="s">
        <v>35</v>
      </c>
      <c r="C145" t="s">
        <v>34</v>
      </c>
      <c r="D145" s="4" t="s">
        <v>33</v>
      </c>
      <c r="E145" t="s">
        <v>32</v>
      </c>
      <c r="F145" s="4" t="s">
        <v>31</v>
      </c>
      <c r="G145" t="s">
        <v>2</v>
      </c>
      <c r="H145" t="s">
        <v>30</v>
      </c>
      <c r="I145" s="10">
        <v>0.1</v>
      </c>
      <c r="J145" s="10">
        <v>34.566667000000002</v>
      </c>
      <c r="K145" t="s">
        <v>29</v>
      </c>
      <c r="AV145" t="s">
        <v>28</v>
      </c>
      <c r="AW145">
        <v>100</v>
      </c>
      <c r="AX145" t="s">
        <v>29</v>
      </c>
      <c r="AY145">
        <v>4</v>
      </c>
      <c r="AZ145" t="s">
        <v>27</v>
      </c>
      <c r="BA145">
        <v>1994</v>
      </c>
      <c r="BB145">
        <v>1998</v>
      </c>
      <c r="BC145" t="s">
        <v>26</v>
      </c>
      <c r="BD145" t="s">
        <v>45</v>
      </c>
      <c r="BE145" s="10" t="s">
        <v>44</v>
      </c>
      <c r="BF145" t="s">
        <v>43</v>
      </c>
      <c r="BG145" s="3" t="s">
        <v>1243</v>
      </c>
      <c r="BH145" t="s">
        <v>23</v>
      </c>
      <c r="BI145" t="s">
        <v>750</v>
      </c>
      <c r="BJ145" s="4" t="s">
        <v>22</v>
      </c>
      <c r="BK145" s="9">
        <v>53000</v>
      </c>
      <c r="EF145" s="4"/>
      <c r="EG145" s="9"/>
      <c r="EH145" s="9"/>
      <c r="EI145" s="9"/>
      <c r="EJ145" s="9"/>
      <c r="EK145" s="9"/>
      <c r="EL145" s="9"/>
      <c r="EM145" s="9"/>
      <c r="EN145" s="9"/>
      <c r="EO145" s="9"/>
      <c r="EP145" s="9"/>
      <c r="EQ145" s="9"/>
      <c r="ER145" s="9"/>
      <c r="ES145" s="9"/>
      <c r="ET145" s="9"/>
      <c r="EU145" s="9"/>
      <c r="EV145" s="9"/>
      <c r="EW145" s="9"/>
      <c r="EX145" s="9"/>
      <c r="EY145" s="9"/>
      <c r="EZ145" s="9"/>
      <c r="FA145" s="9"/>
      <c r="FB145" s="9"/>
      <c r="FC145" s="9"/>
      <c r="FD145" s="9"/>
      <c r="FE145" s="9"/>
      <c r="FF145" s="9"/>
      <c r="FG145" s="9"/>
      <c r="FH145" s="9"/>
      <c r="FI145" s="9"/>
      <c r="FJ145" s="9"/>
      <c r="FK145" s="9"/>
      <c r="FL145" s="9"/>
      <c r="FM145" s="9"/>
      <c r="FN145" s="9"/>
      <c r="FO145" s="9"/>
      <c r="FP145" s="9"/>
      <c r="FQ145" s="9"/>
      <c r="FR145" s="9"/>
      <c r="FS145" s="9"/>
      <c r="FT145" s="9"/>
      <c r="FU145" s="9"/>
      <c r="FV145" s="9"/>
      <c r="FW145" s="9"/>
      <c r="FX145" s="9"/>
      <c r="FY145" s="9"/>
      <c r="FZ145" s="9"/>
      <c r="GA145" s="9"/>
      <c r="GB145" s="9"/>
      <c r="GC145" s="9"/>
      <c r="GD145" s="9"/>
      <c r="GE145" s="9"/>
      <c r="GF145" s="9"/>
      <c r="GG145" s="9"/>
      <c r="GH145" s="9"/>
      <c r="GI145" s="9"/>
      <c r="GJ145" s="9"/>
      <c r="GK145" s="9"/>
      <c r="GL145" s="9"/>
      <c r="GM145" s="9"/>
      <c r="GN145" s="9"/>
      <c r="GO145" s="9"/>
      <c r="GP145" s="9"/>
      <c r="GQ145" s="9"/>
      <c r="GR145" s="9"/>
      <c r="GS145" s="9"/>
      <c r="GT145" s="9"/>
      <c r="GU145" s="9"/>
      <c r="GV145" s="9"/>
      <c r="GW145" s="9"/>
      <c r="GX145" s="9"/>
      <c r="GY145" s="9"/>
      <c r="GZ145" s="9"/>
      <c r="HA145" s="9"/>
      <c r="HB145" s="9"/>
      <c r="HC145" s="9"/>
      <c r="HD145" s="9"/>
      <c r="HE145" s="9"/>
      <c r="HF145" s="9"/>
      <c r="HG145" s="9"/>
      <c r="HH145" s="9"/>
      <c r="HI145" s="9"/>
      <c r="HJ145" s="9"/>
      <c r="HK145" s="9"/>
      <c r="HR145" t="s">
        <v>21</v>
      </c>
      <c r="HT145" s="4" t="s">
        <v>20</v>
      </c>
      <c r="HU145" s="58">
        <v>34335</v>
      </c>
      <c r="HV145" s="58">
        <v>36160</v>
      </c>
      <c r="HW145" s="58"/>
      <c r="IN145" t="s">
        <v>42</v>
      </c>
      <c r="IO145" s="13" t="s">
        <v>1237</v>
      </c>
      <c r="IR145">
        <v>1994</v>
      </c>
      <c r="IS145">
        <v>1994.2</v>
      </c>
      <c r="IT145" s="4" t="s">
        <v>18</v>
      </c>
      <c r="IU145" t="s">
        <v>38</v>
      </c>
      <c r="IV145" t="s">
        <v>19</v>
      </c>
      <c r="IZ145">
        <v>0</v>
      </c>
      <c r="JA145">
        <v>0</v>
      </c>
      <c r="JB145">
        <v>0</v>
      </c>
      <c r="JC145">
        <v>0</v>
      </c>
      <c r="JD145">
        <v>0</v>
      </c>
      <c r="JE145">
        <v>0</v>
      </c>
      <c r="JF145">
        <v>0</v>
      </c>
      <c r="JG145">
        <v>0</v>
      </c>
      <c r="JH145">
        <v>0</v>
      </c>
      <c r="JJ145" s="12" t="s">
        <v>721</v>
      </c>
      <c r="JO145" s="4"/>
      <c r="JU145" s="4"/>
      <c r="JV145" s="4"/>
      <c r="JW145" s="4"/>
      <c r="JX145" s="4"/>
      <c r="JY145" s="4"/>
      <c r="JZ145" s="4"/>
      <c r="KE145" s="7" t="s">
        <v>12</v>
      </c>
      <c r="KI145" s="7" t="s">
        <v>720</v>
      </c>
      <c r="KJ145" s="7"/>
      <c r="MS145" t="s">
        <v>11</v>
      </c>
      <c r="MT145">
        <v>42</v>
      </c>
      <c r="MW145" s="4" t="s">
        <v>96</v>
      </c>
      <c r="NE145" t="s">
        <v>95</v>
      </c>
      <c r="NG145" s="4" t="s">
        <v>1165</v>
      </c>
      <c r="NH145" s="6" t="s">
        <v>7</v>
      </c>
      <c r="NQ145" t="s">
        <v>6</v>
      </c>
      <c r="NR145" s="5" t="s">
        <v>126</v>
      </c>
      <c r="NS145" s="4" t="s">
        <v>4</v>
      </c>
      <c r="NT145" s="3">
        <v>0.38076683892200025</v>
      </c>
      <c r="NW145">
        <v>4</v>
      </c>
      <c r="OH145" t="s">
        <v>123</v>
      </c>
      <c r="OJ145">
        <v>1996</v>
      </c>
      <c r="OM145" s="2" t="s">
        <v>62</v>
      </c>
      <c r="OO145" t="s">
        <v>1178</v>
      </c>
      <c r="OP145" s="58">
        <v>46094</v>
      </c>
    </row>
    <row r="146" spans="1:406" ht="15.75" thickBot="1">
      <c r="A146" s="11" t="s">
        <v>36</v>
      </c>
      <c r="B146" t="s">
        <v>35</v>
      </c>
      <c r="C146" t="s">
        <v>34</v>
      </c>
      <c r="D146" s="4" t="s">
        <v>33</v>
      </c>
      <c r="E146" t="s">
        <v>32</v>
      </c>
      <c r="F146" s="4" t="s">
        <v>31</v>
      </c>
      <c r="G146" t="s">
        <v>2</v>
      </c>
      <c r="H146" t="s">
        <v>30</v>
      </c>
      <c r="I146" s="10">
        <v>0.1</v>
      </c>
      <c r="J146" s="10">
        <v>34.566667000000002</v>
      </c>
      <c r="K146" t="s">
        <v>29</v>
      </c>
      <c r="AV146" t="s">
        <v>28</v>
      </c>
      <c r="AW146">
        <v>100</v>
      </c>
      <c r="AX146" t="s">
        <v>29</v>
      </c>
      <c r="AY146">
        <v>4</v>
      </c>
      <c r="AZ146" t="s">
        <v>27</v>
      </c>
      <c r="BA146">
        <v>1994</v>
      </c>
      <c r="BB146">
        <v>1998</v>
      </c>
      <c r="BC146" t="s">
        <v>26</v>
      </c>
      <c r="BD146" t="s">
        <v>19</v>
      </c>
      <c r="BE146" s="10" t="s">
        <v>40</v>
      </c>
      <c r="BF146" t="s">
        <v>39</v>
      </c>
      <c r="BG146" s="3" t="s">
        <v>1243</v>
      </c>
      <c r="BH146" t="s">
        <v>23</v>
      </c>
      <c r="BI146" t="s">
        <v>750</v>
      </c>
      <c r="BJ146" s="4" t="s">
        <v>22</v>
      </c>
      <c r="BK146" s="9">
        <v>53000</v>
      </c>
      <c r="HR146" t="s">
        <v>21</v>
      </c>
      <c r="HT146" s="4" t="s">
        <v>20</v>
      </c>
      <c r="HU146" s="58">
        <v>34335</v>
      </c>
      <c r="HV146" s="58">
        <v>36160</v>
      </c>
      <c r="HW146" s="58"/>
      <c r="IN146" t="s">
        <v>38</v>
      </c>
      <c r="IO146" s="54" t="s">
        <v>19</v>
      </c>
      <c r="IT146" s="4" t="s">
        <v>18</v>
      </c>
      <c r="IU146" t="s">
        <v>38</v>
      </c>
      <c r="IV146" s="54" t="s">
        <v>19</v>
      </c>
      <c r="IZ146">
        <v>0</v>
      </c>
      <c r="JA146">
        <v>0</v>
      </c>
      <c r="JB146">
        <v>0</v>
      </c>
      <c r="JC146">
        <v>0</v>
      </c>
      <c r="JD146">
        <v>0</v>
      </c>
      <c r="JE146">
        <v>0</v>
      </c>
      <c r="JF146">
        <v>0</v>
      </c>
      <c r="JG146">
        <v>0</v>
      </c>
      <c r="JH146">
        <v>0</v>
      </c>
      <c r="JJ146" s="12" t="s">
        <v>721</v>
      </c>
      <c r="JO146" s="4"/>
      <c r="JU146" s="4"/>
      <c r="JV146" s="4"/>
      <c r="JW146" s="4"/>
      <c r="JX146" s="4"/>
      <c r="JY146" s="4"/>
      <c r="JZ146" s="4"/>
      <c r="KE146" s="7" t="s">
        <v>12</v>
      </c>
      <c r="KI146" s="7" t="s">
        <v>720</v>
      </c>
      <c r="KJ146" s="7"/>
      <c r="MS146" t="s">
        <v>11</v>
      </c>
      <c r="MT146">
        <v>42</v>
      </c>
      <c r="MW146" s="4" t="s">
        <v>96</v>
      </c>
      <c r="NE146" t="s">
        <v>95</v>
      </c>
      <c r="NG146" s="4" t="s">
        <v>1165</v>
      </c>
      <c r="NH146" s="6" t="s">
        <v>7</v>
      </c>
      <c r="NP146" t="s">
        <v>735</v>
      </c>
      <c r="NQ146" t="s">
        <v>6</v>
      </c>
      <c r="NR146" s="5" t="s">
        <v>125</v>
      </c>
      <c r="NS146" s="4" t="s">
        <v>4</v>
      </c>
      <c r="NT146" s="3">
        <v>0.29601501318055989</v>
      </c>
      <c r="NW146">
        <v>4</v>
      </c>
      <c r="OH146" t="s">
        <v>123</v>
      </c>
      <c r="OJ146">
        <v>1996</v>
      </c>
      <c r="OM146" s="2" t="s">
        <v>62</v>
      </c>
      <c r="OO146" t="s">
        <v>1178</v>
      </c>
      <c r="OP146" s="58">
        <v>46094</v>
      </c>
    </row>
    <row r="147" spans="1:406" ht="15.75" thickBot="1">
      <c r="A147" s="11" t="s">
        <v>36</v>
      </c>
      <c r="B147" t="s">
        <v>35</v>
      </c>
      <c r="C147" t="s">
        <v>34</v>
      </c>
      <c r="D147" s="4" t="s">
        <v>33</v>
      </c>
      <c r="E147" t="s">
        <v>32</v>
      </c>
      <c r="F147" s="4" t="s">
        <v>31</v>
      </c>
      <c r="G147" t="s">
        <v>2</v>
      </c>
      <c r="H147" t="s">
        <v>30</v>
      </c>
      <c r="I147" s="10">
        <v>0.1</v>
      </c>
      <c r="J147" s="10">
        <v>34.566667000000002</v>
      </c>
      <c r="K147" t="s">
        <v>29</v>
      </c>
      <c r="AV147" t="s">
        <v>28</v>
      </c>
      <c r="AW147">
        <v>100</v>
      </c>
      <c r="AX147" t="s">
        <v>29</v>
      </c>
      <c r="AY147">
        <v>4</v>
      </c>
      <c r="AZ147" t="s">
        <v>27</v>
      </c>
      <c r="BA147">
        <v>1994</v>
      </c>
      <c r="BB147">
        <v>1998</v>
      </c>
      <c r="BC147" t="s">
        <v>26</v>
      </c>
      <c r="BD147" t="s">
        <v>19</v>
      </c>
      <c r="BE147" s="10" t="s">
        <v>25</v>
      </c>
      <c r="BF147" t="s">
        <v>24</v>
      </c>
      <c r="BG147" s="3" t="s">
        <v>1243</v>
      </c>
      <c r="BH147" t="s">
        <v>23</v>
      </c>
      <c r="BI147" t="s">
        <v>750</v>
      </c>
      <c r="BJ147" s="4" t="s">
        <v>22</v>
      </c>
      <c r="BK147" s="9">
        <v>53000</v>
      </c>
      <c r="HR147" t="s">
        <v>21</v>
      </c>
      <c r="HT147" s="4" t="s">
        <v>20</v>
      </c>
      <c r="HU147" s="58">
        <v>34335</v>
      </c>
      <c r="HV147" s="58">
        <v>36160</v>
      </c>
      <c r="HW147" s="58"/>
      <c r="IN147" t="s">
        <v>16</v>
      </c>
      <c r="IO147" s="54" t="s">
        <v>19</v>
      </c>
      <c r="IT147" s="4" t="s">
        <v>18</v>
      </c>
      <c r="IU147" t="s">
        <v>17</v>
      </c>
      <c r="IV147" s="54" t="s">
        <v>19</v>
      </c>
      <c r="IZ147">
        <v>0</v>
      </c>
      <c r="JA147">
        <v>0</v>
      </c>
      <c r="JB147">
        <v>0</v>
      </c>
      <c r="JC147">
        <v>0</v>
      </c>
      <c r="JD147">
        <v>0</v>
      </c>
      <c r="JE147">
        <v>0</v>
      </c>
      <c r="JF147">
        <v>0</v>
      </c>
      <c r="JG147">
        <v>0</v>
      </c>
      <c r="JH147">
        <v>0</v>
      </c>
      <c r="JI147" t="s">
        <v>16</v>
      </c>
      <c r="JJ147" t="s">
        <v>15</v>
      </c>
      <c r="JK147" s="8" t="s">
        <v>14</v>
      </c>
      <c r="JO147" s="4" t="s">
        <v>13</v>
      </c>
      <c r="JP147">
        <v>60</v>
      </c>
      <c r="JS147">
        <v>60</v>
      </c>
      <c r="JU147" s="4"/>
      <c r="JV147" s="4"/>
      <c r="JW147" s="4"/>
      <c r="JX147" s="4"/>
      <c r="JY147" s="4"/>
      <c r="JZ147" s="4"/>
      <c r="KE147" s="7" t="s">
        <v>12</v>
      </c>
      <c r="KI147" s="7" t="s">
        <v>720</v>
      </c>
      <c r="KJ147" s="7"/>
      <c r="MS147" t="s">
        <v>11</v>
      </c>
      <c r="MT147">
        <v>42</v>
      </c>
      <c r="MW147" s="4" t="s">
        <v>96</v>
      </c>
      <c r="NE147" t="s">
        <v>95</v>
      </c>
      <c r="NG147" s="4" t="s">
        <v>1165</v>
      </c>
      <c r="NH147" s="6" t="s">
        <v>7</v>
      </c>
      <c r="NP147" t="s">
        <v>747</v>
      </c>
      <c r="NQ147" t="s">
        <v>6</v>
      </c>
      <c r="NR147" s="5" t="s">
        <v>124</v>
      </c>
      <c r="NS147" s="4" t="s">
        <v>4</v>
      </c>
      <c r="NT147" s="3">
        <v>0.16911841591132992</v>
      </c>
      <c r="NW147">
        <v>4</v>
      </c>
      <c r="OH147" t="s">
        <v>123</v>
      </c>
      <c r="OJ147">
        <v>1996</v>
      </c>
      <c r="OM147" s="2" t="s">
        <v>62</v>
      </c>
      <c r="OO147" t="s">
        <v>1178</v>
      </c>
      <c r="OP147" s="58">
        <v>46094</v>
      </c>
    </row>
    <row r="148" spans="1:406" ht="15.75" thickBot="1">
      <c r="A148" s="11" t="s">
        <v>36</v>
      </c>
      <c r="B148" t="s">
        <v>35</v>
      </c>
      <c r="C148" t="s">
        <v>34</v>
      </c>
      <c r="D148" s="4" t="s">
        <v>33</v>
      </c>
      <c r="E148" t="s">
        <v>32</v>
      </c>
      <c r="F148" s="4" t="s">
        <v>31</v>
      </c>
      <c r="G148" t="s">
        <v>2</v>
      </c>
      <c r="H148" t="s">
        <v>30</v>
      </c>
      <c r="I148" s="10">
        <v>0.1</v>
      </c>
      <c r="J148" s="10">
        <v>34.566667000000002</v>
      </c>
      <c r="K148" t="s">
        <v>29</v>
      </c>
      <c r="AV148" t="s">
        <v>28</v>
      </c>
      <c r="AW148">
        <v>100</v>
      </c>
      <c r="AX148" t="s">
        <v>29</v>
      </c>
      <c r="AY148">
        <v>4</v>
      </c>
      <c r="AZ148" t="s">
        <v>27</v>
      </c>
      <c r="BA148">
        <v>1994</v>
      </c>
      <c r="BB148">
        <v>1998</v>
      </c>
      <c r="BC148" t="s">
        <v>26</v>
      </c>
      <c r="BD148" t="s">
        <v>59</v>
      </c>
      <c r="BE148" s="10" t="s">
        <v>65</v>
      </c>
      <c r="BF148" t="s">
        <v>64</v>
      </c>
      <c r="BG148" s="3" t="s">
        <v>1243</v>
      </c>
      <c r="BH148" t="s">
        <v>23</v>
      </c>
      <c r="BI148" t="s">
        <v>750</v>
      </c>
      <c r="BJ148" s="4" t="s">
        <v>22</v>
      </c>
      <c r="BK148" s="9">
        <v>53000</v>
      </c>
      <c r="EE148" t="s">
        <v>55</v>
      </c>
      <c r="EF148" s="4" t="s">
        <v>22</v>
      </c>
      <c r="EG148" s="9">
        <v>53000</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R148" t="s">
        <v>21</v>
      </c>
      <c r="HT148" s="4" t="s">
        <v>20</v>
      </c>
      <c r="HU148" s="58">
        <v>34335</v>
      </c>
      <c r="HV148" s="58">
        <v>36160</v>
      </c>
      <c r="HW148" s="58"/>
      <c r="IM148" s="4"/>
      <c r="IN148" t="s">
        <v>63</v>
      </c>
      <c r="IO148" s="12" t="s">
        <v>1736</v>
      </c>
      <c r="IR148">
        <v>1995</v>
      </c>
      <c r="IS148">
        <v>1995.2</v>
      </c>
      <c r="IT148" s="4" t="s">
        <v>18</v>
      </c>
      <c r="IU148" t="s">
        <v>61</v>
      </c>
      <c r="IV148" s="12" t="s">
        <v>52</v>
      </c>
      <c r="IY148">
        <v>0.5</v>
      </c>
      <c r="IZ148" t="s">
        <v>29</v>
      </c>
      <c r="JA148" t="s">
        <v>29</v>
      </c>
      <c r="JB148" t="s">
        <v>29</v>
      </c>
      <c r="JC148" t="s">
        <v>29</v>
      </c>
      <c r="JD148" t="s">
        <v>29</v>
      </c>
      <c r="JE148" t="s">
        <v>29</v>
      </c>
      <c r="JF148" t="s">
        <v>29</v>
      </c>
      <c r="JG148" t="s">
        <v>29</v>
      </c>
      <c r="JH148" t="s">
        <v>29</v>
      </c>
      <c r="JJ148" s="12" t="s">
        <v>721</v>
      </c>
      <c r="JO148" s="4"/>
      <c r="JU148" s="4"/>
      <c r="JV148" s="4"/>
      <c r="JW148" s="4"/>
      <c r="JX148" s="4"/>
      <c r="JY148" s="4"/>
      <c r="JZ148" s="4"/>
      <c r="KE148" s="7" t="s">
        <v>12</v>
      </c>
      <c r="KI148" s="7" t="s">
        <v>719</v>
      </c>
      <c r="KJ148" s="7" t="s">
        <v>51</v>
      </c>
      <c r="KL148" t="s">
        <v>29</v>
      </c>
      <c r="MS148" t="s">
        <v>11</v>
      </c>
      <c r="MT148">
        <v>42</v>
      </c>
      <c r="MW148" s="4" t="s">
        <v>96</v>
      </c>
      <c r="NE148" t="s">
        <v>95</v>
      </c>
      <c r="NG148" s="4" t="s">
        <v>1165</v>
      </c>
      <c r="NH148" s="6" t="s">
        <v>7</v>
      </c>
      <c r="NQ148" t="s">
        <v>6</v>
      </c>
      <c r="NR148" s="5" t="s">
        <v>122</v>
      </c>
      <c r="NS148" s="4" t="s">
        <v>4</v>
      </c>
      <c r="NT148" s="3">
        <v>0.52888991618373993</v>
      </c>
      <c r="NW148">
        <v>4</v>
      </c>
      <c r="OH148" t="s">
        <v>116</v>
      </c>
      <c r="OJ148">
        <v>1997</v>
      </c>
      <c r="OM148" s="2" t="s">
        <v>62</v>
      </c>
      <c r="OO148" t="s">
        <v>1178</v>
      </c>
      <c r="OP148" s="58">
        <v>46094</v>
      </c>
    </row>
    <row r="149" spans="1:406" ht="15.75" thickBot="1">
      <c r="A149" s="11" t="s">
        <v>36</v>
      </c>
      <c r="B149" t="s">
        <v>35</v>
      </c>
      <c r="C149" t="s">
        <v>34</v>
      </c>
      <c r="D149" s="4" t="s">
        <v>33</v>
      </c>
      <c r="E149" t="s">
        <v>32</v>
      </c>
      <c r="F149" s="4" t="s">
        <v>31</v>
      </c>
      <c r="G149" t="s">
        <v>2</v>
      </c>
      <c r="H149" t="s">
        <v>30</v>
      </c>
      <c r="I149" s="10">
        <v>0.1</v>
      </c>
      <c r="J149" s="10">
        <v>34.566667000000002</v>
      </c>
      <c r="K149" t="s">
        <v>29</v>
      </c>
      <c r="AV149" t="s">
        <v>28</v>
      </c>
      <c r="AW149">
        <v>100</v>
      </c>
      <c r="AX149" t="s">
        <v>29</v>
      </c>
      <c r="AY149">
        <v>4</v>
      </c>
      <c r="AZ149" t="s">
        <v>27</v>
      </c>
      <c r="BA149">
        <v>1994</v>
      </c>
      <c r="BB149">
        <v>1998</v>
      </c>
      <c r="BC149" t="s">
        <v>26</v>
      </c>
      <c r="BD149" t="s">
        <v>59</v>
      </c>
      <c r="BE149" s="10" t="s">
        <v>58</v>
      </c>
      <c r="BF149" t="s">
        <v>57</v>
      </c>
      <c r="BG149" s="3" t="s">
        <v>1243</v>
      </c>
      <c r="BH149" t="s">
        <v>23</v>
      </c>
      <c r="BI149" t="s">
        <v>750</v>
      </c>
      <c r="BJ149" s="4" t="s">
        <v>22</v>
      </c>
      <c r="BK149" s="9">
        <v>53000</v>
      </c>
      <c r="EE149" t="s">
        <v>55</v>
      </c>
      <c r="EF149" s="4" t="s">
        <v>22</v>
      </c>
      <c r="EG149" s="9">
        <v>53000</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R149" t="s">
        <v>21</v>
      </c>
      <c r="HT149" s="4" t="s">
        <v>20</v>
      </c>
      <c r="HU149" s="58">
        <v>34335</v>
      </c>
      <c r="HV149" s="58">
        <v>36160</v>
      </c>
      <c r="HW149" s="58"/>
      <c r="IM149" s="4"/>
      <c r="IN149" t="s">
        <v>54</v>
      </c>
      <c r="IO149" s="12" t="s">
        <v>1737</v>
      </c>
      <c r="IR149">
        <v>1994</v>
      </c>
      <c r="IS149">
        <v>1994.2</v>
      </c>
      <c r="IT149" s="4" t="s">
        <v>18</v>
      </c>
      <c r="IU149" t="s">
        <v>53</v>
      </c>
      <c r="IV149" s="12" t="s">
        <v>52</v>
      </c>
      <c r="IY149">
        <v>0.5</v>
      </c>
      <c r="IZ149" t="s">
        <v>29</v>
      </c>
      <c r="JA149" t="s">
        <v>29</v>
      </c>
      <c r="JB149" t="s">
        <v>29</v>
      </c>
      <c r="JC149" t="s">
        <v>29</v>
      </c>
      <c r="JD149" t="s">
        <v>29</v>
      </c>
      <c r="JE149" t="s">
        <v>29</v>
      </c>
      <c r="JF149" t="s">
        <v>29</v>
      </c>
      <c r="JG149" t="s">
        <v>29</v>
      </c>
      <c r="JH149" t="s">
        <v>29</v>
      </c>
      <c r="JJ149" s="12" t="s">
        <v>721</v>
      </c>
      <c r="JO149" s="4"/>
      <c r="JU149" s="4"/>
      <c r="JV149" s="4"/>
      <c r="JW149" s="4"/>
      <c r="JX149" s="4"/>
      <c r="JY149" s="4"/>
      <c r="JZ149" s="4"/>
      <c r="KE149" s="7" t="s">
        <v>12</v>
      </c>
      <c r="KI149" s="7" t="s">
        <v>719</v>
      </c>
      <c r="KJ149" s="7" t="s">
        <v>51</v>
      </c>
      <c r="KL149" t="s">
        <v>29</v>
      </c>
      <c r="MS149" t="s">
        <v>11</v>
      </c>
      <c r="MT149">
        <v>42</v>
      </c>
      <c r="MW149" s="4" t="s">
        <v>96</v>
      </c>
      <c r="NE149" t="s">
        <v>95</v>
      </c>
      <c r="NG149" s="4" t="s">
        <v>1165</v>
      </c>
      <c r="NH149" s="6" t="s">
        <v>7</v>
      </c>
      <c r="NQ149" t="s">
        <v>6</v>
      </c>
      <c r="NR149" s="5" t="s">
        <v>121</v>
      </c>
      <c r="NS149" s="4" t="s">
        <v>4</v>
      </c>
      <c r="NT149" s="3">
        <v>0.29586091895194011</v>
      </c>
      <c r="NW149">
        <v>4</v>
      </c>
      <c r="OH149" t="s">
        <v>116</v>
      </c>
      <c r="OJ149">
        <v>1997</v>
      </c>
      <c r="OM149" s="2" t="s">
        <v>62</v>
      </c>
      <c r="OO149" t="s">
        <v>1178</v>
      </c>
      <c r="OP149" s="58">
        <v>46094</v>
      </c>
    </row>
    <row r="150" spans="1:406" ht="15.75" thickBot="1">
      <c r="A150" s="11" t="s">
        <v>36</v>
      </c>
      <c r="B150" t="s">
        <v>35</v>
      </c>
      <c r="C150" t="s">
        <v>34</v>
      </c>
      <c r="D150" s="4" t="s">
        <v>33</v>
      </c>
      <c r="E150" t="s">
        <v>32</v>
      </c>
      <c r="F150" s="4" t="s">
        <v>31</v>
      </c>
      <c r="G150" t="s">
        <v>2</v>
      </c>
      <c r="H150" t="s">
        <v>30</v>
      </c>
      <c r="I150" s="10">
        <v>0.1</v>
      </c>
      <c r="J150" s="10">
        <v>34.566667000000002</v>
      </c>
      <c r="K150" t="s">
        <v>29</v>
      </c>
      <c r="AV150" t="s">
        <v>28</v>
      </c>
      <c r="AW150">
        <v>100</v>
      </c>
      <c r="AX150" t="s">
        <v>29</v>
      </c>
      <c r="AY150">
        <v>4</v>
      </c>
      <c r="AZ150" t="s">
        <v>27</v>
      </c>
      <c r="BA150">
        <v>1994</v>
      </c>
      <c r="BB150">
        <v>1998</v>
      </c>
      <c r="BC150" t="s">
        <v>26</v>
      </c>
      <c r="BD150" t="s">
        <v>45</v>
      </c>
      <c r="BE150" s="10" t="s">
        <v>49</v>
      </c>
      <c r="BF150" t="s">
        <v>48</v>
      </c>
      <c r="BG150" s="3" t="s">
        <v>1243</v>
      </c>
      <c r="BH150" t="s">
        <v>23</v>
      </c>
      <c r="BI150" t="s">
        <v>750</v>
      </c>
      <c r="BJ150" s="4" t="s">
        <v>22</v>
      </c>
      <c r="BK150" s="9">
        <v>53000</v>
      </c>
      <c r="EF150" s="4"/>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R150" t="s">
        <v>21</v>
      </c>
      <c r="HT150" s="4" t="s">
        <v>20</v>
      </c>
      <c r="HU150" s="58">
        <v>34335</v>
      </c>
      <c r="HV150" s="58">
        <v>36160</v>
      </c>
      <c r="HW150" s="58"/>
      <c r="IN150" t="s">
        <v>47</v>
      </c>
      <c r="IO150" s="54" t="s">
        <v>1236</v>
      </c>
      <c r="IR150">
        <v>1995</v>
      </c>
      <c r="IS150">
        <v>1995.2</v>
      </c>
      <c r="IT150" s="4" t="s">
        <v>18</v>
      </c>
      <c r="IU150" t="s">
        <v>38</v>
      </c>
      <c r="IV150" t="s">
        <v>19</v>
      </c>
      <c r="IZ150">
        <v>0</v>
      </c>
      <c r="JA150">
        <v>0</v>
      </c>
      <c r="JB150">
        <v>0</v>
      </c>
      <c r="JC150">
        <v>0</v>
      </c>
      <c r="JD150">
        <v>0</v>
      </c>
      <c r="JE150">
        <v>0</v>
      </c>
      <c r="JF150">
        <v>0</v>
      </c>
      <c r="JG150">
        <v>0</v>
      </c>
      <c r="JH150">
        <v>0</v>
      </c>
      <c r="JJ150" s="12" t="s">
        <v>721</v>
      </c>
      <c r="JO150" s="4"/>
      <c r="JU150" s="4"/>
      <c r="JV150" s="4"/>
      <c r="JW150" s="4"/>
      <c r="JX150" s="4"/>
      <c r="JY150" s="4"/>
      <c r="JZ150" s="4"/>
      <c r="KE150" s="7" t="s">
        <v>12</v>
      </c>
      <c r="KI150" s="7" t="s">
        <v>720</v>
      </c>
      <c r="KJ150" s="7"/>
      <c r="MS150" t="s">
        <v>11</v>
      </c>
      <c r="MT150">
        <v>42</v>
      </c>
      <c r="MW150" s="4" t="s">
        <v>96</v>
      </c>
      <c r="NE150" t="s">
        <v>95</v>
      </c>
      <c r="NG150" s="4" t="s">
        <v>1165</v>
      </c>
      <c r="NH150" s="6" t="s">
        <v>7</v>
      </c>
      <c r="NQ150" t="s">
        <v>6</v>
      </c>
      <c r="NR150" s="5" t="s">
        <v>120</v>
      </c>
      <c r="NS150" s="4" t="s">
        <v>4</v>
      </c>
      <c r="NT150" s="3">
        <v>0.3595403589294901</v>
      </c>
      <c r="NW150">
        <v>4</v>
      </c>
      <c r="OH150" t="s">
        <v>116</v>
      </c>
      <c r="OJ150">
        <v>1997</v>
      </c>
      <c r="OM150" s="2" t="s">
        <v>62</v>
      </c>
      <c r="OO150" t="s">
        <v>1178</v>
      </c>
      <c r="OP150" s="58">
        <v>46094</v>
      </c>
    </row>
    <row r="151" spans="1:406" ht="15.75" thickBot="1">
      <c r="A151" s="11" t="s">
        <v>36</v>
      </c>
      <c r="B151" t="s">
        <v>35</v>
      </c>
      <c r="C151" t="s">
        <v>34</v>
      </c>
      <c r="D151" s="4" t="s">
        <v>33</v>
      </c>
      <c r="E151" t="s">
        <v>32</v>
      </c>
      <c r="F151" s="4" t="s">
        <v>31</v>
      </c>
      <c r="G151" t="s">
        <v>2</v>
      </c>
      <c r="H151" t="s">
        <v>30</v>
      </c>
      <c r="I151" s="10">
        <v>0.1</v>
      </c>
      <c r="J151" s="10">
        <v>34.566667000000002</v>
      </c>
      <c r="K151" t="s">
        <v>29</v>
      </c>
      <c r="AV151" t="s">
        <v>28</v>
      </c>
      <c r="AW151">
        <v>100</v>
      </c>
      <c r="AX151" t="s">
        <v>29</v>
      </c>
      <c r="AY151">
        <v>4</v>
      </c>
      <c r="AZ151" t="s">
        <v>27</v>
      </c>
      <c r="BA151">
        <v>1994</v>
      </c>
      <c r="BB151">
        <v>1998</v>
      </c>
      <c r="BC151" t="s">
        <v>26</v>
      </c>
      <c r="BD151" t="s">
        <v>45</v>
      </c>
      <c r="BE151" s="10" t="s">
        <v>44</v>
      </c>
      <c r="BF151" t="s">
        <v>43</v>
      </c>
      <c r="BG151" s="3" t="s">
        <v>1243</v>
      </c>
      <c r="BH151" t="s">
        <v>23</v>
      </c>
      <c r="BI151" t="s">
        <v>750</v>
      </c>
      <c r="BJ151" s="4" t="s">
        <v>22</v>
      </c>
      <c r="BK151" s="9">
        <v>53000</v>
      </c>
      <c r="EF151" s="4"/>
      <c r="EG151" s="9"/>
      <c r="EH151" s="9"/>
      <c r="EI151" s="9"/>
      <c r="EJ151" s="9"/>
      <c r="EK151" s="9"/>
      <c r="EL151" s="9"/>
      <c r="EM151" s="9"/>
      <c r="EN151" s="9"/>
      <c r="EO151" s="9"/>
      <c r="EP151" s="9"/>
      <c r="EQ151" s="9"/>
      <c r="ER151" s="9"/>
      <c r="ES151" s="9"/>
      <c r="ET151" s="9"/>
      <c r="EU151" s="9"/>
      <c r="EV151" s="9"/>
      <c r="EW151" s="9"/>
      <c r="EX151" s="9"/>
      <c r="EY151" s="9"/>
      <c r="EZ151" s="9"/>
      <c r="FA151" s="9"/>
      <c r="FB151" s="9"/>
      <c r="FC151" s="9"/>
      <c r="FD151" s="9"/>
      <c r="FE151" s="9"/>
      <c r="FF151" s="9"/>
      <c r="FG151" s="9"/>
      <c r="FH151" s="9"/>
      <c r="FI151" s="9"/>
      <c r="FJ151" s="9"/>
      <c r="FK151" s="9"/>
      <c r="FL151" s="9"/>
      <c r="FM151" s="9"/>
      <c r="FN151" s="9"/>
      <c r="FO151" s="9"/>
      <c r="FP151" s="9"/>
      <c r="FQ151" s="9"/>
      <c r="FR151" s="9"/>
      <c r="FS151" s="9"/>
      <c r="FT151" s="9"/>
      <c r="FU151" s="9"/>
      <c r="FV151" s="9"/>
      <c r="FW151" s="9"/>
      <c r="FX151" s="9"/>
      <c r="FY151" s="9"/>
      <c r="FZ151" s="9"/>
      <c r="GA151" s="9"/>
      <c r="GB151" s="9"/>
      <c r="GC151" s="9"/>
      <c r="GD151" s="9"/>
      <c r="GE151" s="9"/>
      <c r="GF151" s="9"/>
      <c r="GG151" s="9"/>
      <c r="GH151" s="9"/>
      <c r="GI151" s="9"/>
      <c r="GJ151" s="9"/>
      <c r="GK151" s="9"/>
      <c r="GL151" s="9"/>
      <c r="GM151" s="9"/>
      <c r="GN151" s="9"/>
      <c r="GO151" s="9"/>
      <c r="GP151" s="9"/>
      <c r="GQ151" s="9"/>
      <c r="GR151" s="9"/>
      <c r="GS151" s="9"/>
      <c r="GT151" s="9"/>
      <c r="GU151" s="9"/>
      <c r="GV151" s="9"/>
      <c r="GW151" s="9"/>
      <c r="GX151" s="9"/>
      <c r="GY151" s="9"/>
      <c r="GZ151" s="9"/>
      <c r="HA151" s="9"/>
      <c r="HB151" s="9"/>
      <c r="HC151" s="9"/>
      <c r="HD151" s="9"/>
      <c r="HE151" s="9"/>
      <c r="HF151" s="9"/>
      <c r="HG151" s="9"/>
      <c r="HH151" s="9"/>
      <c r="HI151" s="9"/>
      <c r="HJ151" s="9"/>
      <c r="HK151" s="9"/>
      <c r="HR151" t="s">
        <v>21</v>
      </c>
      <c r="HT151" s="4" t="s">
        <v>20</v>
      </c>
      <c r="HU151" s="58">
        <v>34335</v>
      </c>
      <c r="HV151" s="58">
        <v>36160</v>
      </c>
      <c r="HW151" s="58"/>
      <c r="IN151" t="s">
        <v>42</v>
      </c>
      <c r="IO151" s="13" t="s">
        <v>1237</v>
      </c>
      <c r="IR151">
        <v>1994</v>
      </c>
      <c r="IS151">
        <v>1994.2</v>
      </c>
      <c r="IT151" s="4" t="s">
        <v>18</v>
      </c>
      <c r="IU151" t="s">
        <v>38</v>
      </c>
      <c r="IV151" t="s">
        <v>19</v>
      </c>
      <c r="IZ151">
        <v>0</v>
      </c>
      <c r="JA151">
        <v>0</v>
      </c>
      <c r="JB151">
        <v>0</v>
      </c>
      <c r="JC151">
        <v>0</v>
      </c>
      <c r="JD151">
        <v>0</v>
      </c>
      <c r="JE151">
        <v>0</v>
      </c>
      <c r="JF151">
        <v>0</v>
      </c>
      <c r="JG151">
        <v>0</v>
      </c>
      <c r="JH151">
        <v>0</v>
      </c>
      <c r="JJ151" s="12" t="s">
        <v>721</v>
      </c>
      <c r="JO151" s="4"/>
      <c r="JU151" s="4"/>
      <c r="JV151" s="4"/>
      <c r="JW151" s="4"/>
      <c r="JX151" s="4"/>
      <c r="JY151" s="4"/>
      <c r="JZ151" s="4"/>
      <c r="KE151" s="7" t="s">
        <v>12</v>
      </c>
      <c r="KI151" s="7" t="s">
        <v>720</v>
      </c>
      <c r="KJ151" s="7"/>
      <c r="MS151" t="s">
        <v>11</v>
      </c>
      <c r="MT151">
        <v>42</v>
      </c>
      <c r="MW151" s="4" t="s">
        <v>96</v>
      </c>
      <c r="NE151" t="s">
        <v>95</v>
      </c>
      <c r="NG151" s="4" t="s">
        <v>1165</v>
      </c>
      <c r="NH151" s="6" t="s">
        <v>7</v>
      </c>
      <c r="NQ151" t="s">
        <v>6</v>
      </c>
      <c r="NR151" s="5" t="s">
        <v>119</v>
      </c>
      <c r="NS151" s="4" t="s">
        <v>4</v>
      </c>
      <c r="NT151" s="3">
        <v>0.48635990908440041</v>
      </c>
      <c r="NW151">
        <v>4</v>
      </c>
      <c r="OH151" t="s">
        <v>116</v>
      </c>
      <c r="OJ151">
        <v>1997</v>
      </c>
      <c r="OM151" s="2" t="s">
        <v>62</v>
      </c>
      <c r="OO151" t="s">
        <v>1178</v>
      </c>
      <c r="OP151" s="58">
        <v>46094</v>
      </c>
    </row>
    <row r="152" spans="1:406" ht="15.75" thickBot="1">
      <c r="A152" s="11" t="s">
        <v>36</v>
      </c>
      <c r="B152" t="s">
        <v>35</v>
      </c>
      <c r="C152" t="s">
        <v>34</v>
      </c>
      <c r="D152" s="4" t="s">
        <v>33</v>
      </c>
      <c r="E152" t="s">
        <v>32</v>
      </c>
      <c r="F152" s="4" t="s">
        <v>31</v>
      </c>
      <c r="G152" t="s">
        <v>2</v>
      </c>
      <c r="H152" t="s">
        <v>30</v>
      </c>
      <c r="I152" s="10">
        <v>0.1</v>
      </c>
      <c r="J152" s="10">
        <v>34.566667000000002</v>
      </c>
      <c r="K152" t="s">
        <v>29</v>
      </c>
      <c r="AV152" t="s">
        <v>28</v>
      </c>
      <c r="AW152">
        <v>100</v>
      </c>
      <c r="AX152" t="s">
        <v>29</v>
      </c>
      <c r="AY152">
        <v>4</v>
      </c>
      <c r="AZ152" t="s">
        <v>27</v>
      </c>
      <c r="BA152">
        <v>1994</v>
      </c>
      <c r="BB152">
        <v>1998</v>
      </c>
      <c r="BC152" t="s">
        <v>26</v>
      </c>
      <c r="BD152" t="s">
        <v>19</v>
      </c>
      <c r="BE152" s="10" t="s">
        <v>40</v>
      </c>
      <c r="BF152" t="s">
        <v>39</v>
      </c>
      <c r="BG152" s="3" t="s">
        <v>1243</v>
      </c>
      <c r="BH152" t="s">
        <v>23</v>
      </c>
      <c r="BI152" t="s">
        <v>750</v>
      </c>
      <c r="BJ152" s="4" t="s">
        <v>22</v>
      </c>
      <c r="BK152" s="9">
        <v>53000</v>
      </c>
      <c r="HR152" t="s">
        <v>21</v>
      </c>
      <c r="HT152" s="4" t="s">
        <v>20</v>
      </c>
      <c r="HU152" s="58">
        <v>34335</v>
      </c>
      <c r="HV152" s="58">
        <v>36160</v>
      </c>
      <c r="HW152" s="58"/>
      <c r="IN152" t="s">
        <v>38</v>
      </c>
      <c r="IO152" s="54" t="s">
        <v>19</v>
      </c>
      <c r="IT152" s="4" t="s">
        <v>18</v>
      </c>
      <c r="IU152" t="s">
        <v>38</v>
      </c>
      <c r="IV152" s="54" t="s">
        <v>19</v>
      </c>
      <c r="IZ152">
        <v>0</v>
      </c>
      <c r="JA152">
        <v>0</v>
      </c>
      <c r="JB152">
        <v>0</v>
      </c>
      <c r="JC152">
        <v>0</v>
      </c>
      <c r="JD152">
        <v>0</v>
      </c>
      <c r="JE152">
        <v>0</v>
      </c>
      <c r="JF152">
        <v>0</v>
      </c>
      <c r="JG152">
        <v>0</v>
      </c>
      <c r="JH152">
        <v>0</v>
      </c>
      <c r="JJ152" s="12" t="s">
        <v>721</v>
      </c>
      <c r="JO152" s="4"/>
      <c r="JU152" s="4"/>
      <c r="JV152" s="4"/>
      <c r="JW152" s="4"/>
      <c r="JX152" s="4"/>
      <c r="JY152" s="4"/>
      <c r="JZ152" s="4"/>
      <c r="KE152" s="7" t="s">
        <v>12</v>
      </c>
      <c r="KI152" s="7" t="s">
        <v>720</v>
      </c>
      <c r="KJ152" s="7"/>
      <c r="MS152" t="s">
        <v>11</v>
      </c>
      <c r="MT152">
        <v>42</v>
      </c>
      <c r="MW152" s="4" t="s">
        <v>96</v>
      </c>
      <c r="NE152" t="s">
        <v>95</v>
      </c>
      <c r="NG152" s="4" t="s">
        <v>1165</v>
      </c>
      <c r="NH152" s="6" t="s">
        <v>7</v>
      </c>
      <c r="NP152" t="s">
        <v>735</v>
      </c>
      <c r="NQ152" t="s">
        <v>6</v>
      </c>
      <c r="NR152" s="5" t="s">
        <v>118</v>
      </c>
      <c r="NS152" s="4" t="s">
        <v>4</v>
      </c>
      <c r="NT152" s="3">
        <v>0.25356205319553027</v>
      </c>
      <c r="NW152">
        <v>4</v>
      </c>
      <c r="OH152" t="s">
        <v>116</v>
      </c>
      <c r="OJ152">
        <v>1997</v>
      </c>
      <c r="OM152" s="2" t="s">
        <v>62</v>
      </c>
      <c r="OO152" t="s">
        <v>1178</v>
      </c>
      <c r="OP152" s="58">
        <v>46094</v>
      </c>
    </row>
    <row r="153" spans="1:406" ht="15.75" thickBot="1">
      <c r="A153" s="11" t="s">
        <v>36</v>
      </c>
      <c r="B153" t="s">
        <v>35</v>
      </c>
      <c r="C153" t="s">
        <v>34</v>
      </c>
      <c r="D153" s="4" t="s">
        <v>33</v>
      </c>
      <c r="E153" t="s">
        <v>32</v>
      </c>
      <c r="F153" s="4" t="s">
        <v>31</v>
      </c>
      <c r="G153" t="s">
        <v>2</v>
      </c>
      <c r="H153" t="s">
        <v>30</v>
      </c>
      <c r="I153" s="10">
        <v>0.1</v>
      </c>
      <c r="J153" s="10">
        <v>34.566667000000002</v>
      </c>
      <c r="K153" t="s">
        <v>29</v>
      </c>
      <c r="AV153" t="s">
        <v>28</v>
      </c>
      <c r="AW153">
        <v>100</v>
      </c>
      <c r="AX153" t="s">
        <v>29</v>
      </c>
      <c r="AY153">
        <v>4</v>
      </c>
      <c r="AZ153" t="s">
        <v>27</v>
      </c>
      <c r="BA153">
        <v>1994</v>
      </c>
      <c r="BB153">
        <v>1998</v>
      </c>
      <c r="BC153" t="s">
        <v>26</v>
      </c>
      <c r="BD153" t="s">
        <v>19</v>
      </c>
      <c r="BE153" s="10" t="s">
        <v>25</v>
      </c>
      <c r="BF153" t="s">
        <v>24</v>
      </c>
      <c r="BG153" s="3" t="s">
        <v>1243</v>
      </c>
      <c r="BH153" t="s">
        <v>23</v>
      </c>
      <c r="BI153" t="s">
        <v>750</v>
      </c>
      <c r="BJ153" s="4" t="s">
        <v>22</v>
      </c>
      <c r="BK153" s="9">
        <v>53000</v>
      </c>
      <c r="HR153" t="s">
        <v>21</v>
      </c>
      <c r="HT153" s="4" t="s">
        <v>20</v>
      </c>
      <c r="HU153" s="58">
        <v>34335</v>
      </c>
      <c r="HV153" s="58">
        <v>36160</v>
      </c>
      <c r="HW153" s="58"/>
      <c r="IN153" t="s">
        <v>16</v>
      </c>
      <c r="IO153" s="54" t="s">
        <v>19</v>
      </c>
      <c r="IT153" s="4" t="s">
        <v>18</v>
      </c>
      <c r="IU153" t="s">
        <v>17</v>
      </c>
      <c r="IV153" s="54" t="s">
        <v>19</v>
      </c>
      <c r="IZ153">
        <v>0</v>
      </c>
      <c r="JA153">
        <v>0</v>
      </c>
      <c r="JB153">
        <v>0</v>
      </c>
      <c r="JC153">
        <v>0</v>
      </c>
      <c r="JD153">
        <v>0</v>
      </c>
      <c r="JE153">
        <v>0</v>
      </c>
      <c r="JF153">
        <v>0</v>
      </c>
      <c r="JG153">
        <v>0</v>
      </c>
      <c r="JH153">
        <v>0</v>
      </c>
      <c r="JI153" t="s">
        <v>16</v>
      </c>
      <c r="JJ153" t="s">
        <v>15</v>
      </c>
      <c r="JK153" s="8" t="s">
        <v>14</v>
      </c>
      <c r="JO153" s="4" t="s">
        <v>13</v>
      </c>
      <c r="JP153">
        <v>60</v>
      </c>
      <c r="JS153">
        <v>60</v>
      </c>
      <c r="JU153" s="4"/>
      <c r="JV153" s="4"/>
      <c r="JW153" s="4"/>
      <c r="JX153" s="4"/>
      <c r="JY153" s="4"/>
      <c r="JZ153" s="4"/>
      <c r="KE153" s="7" t="s">
        <v>12</v>
      </c>
      <c r="KI153" s="7" t="s">
        <v>720</v>
      </c>
      <c r="KJ153" s="7"/>
      <c r="MS153" t="s">
        <v>11</v>
      </c>
      <c r="MT153">
        <v>42</v>
      </c>
      <c r="MW153" s="4" t="s">
        <v>96</v>
      </c>
      <c r="NE153" t="s">
        <v>95</v>
      </c>
      <c r="NG153" s="4" t="s">
        <v>1165</v>
      </c>
      <c r="NH153" s="6" t="s">
        <v>7</v>
      </c>
      <c r="NP153" t="s">
        <v>747</v>
      </c>
      <c r="NQ153" t="s">
        <v>6</v>
      </c>
      <c r="NR153" s="5" t="s">
        <v>117</v>
      </c>
      <c r="NS153" s="4" t="s">
        <v>4</v>
      </c>
      <c r="NT153" s="3">
        <v>0.29586091895194055</v>
      </c>
      <c r="NW153">
        <v>4</v>
      </c>
      <c r="OH153" t="s">
        <v>116</v>
      </c>
      <c r="OJ153">
        <v>1997</v>
      </c>
      <c r="OM153" s="2" t="s">
        <v>62</v>
      </c>
      <c r="OO153" t="s">
        <v>1178</v>
      </c>
      <c r="OP153" s="58">
        <v>46094</v>
      </c>
    </row>
    <row r="154" spans="1:406" ht="15.75" thickBot="1">
      <c r="A154" s="11" t="s">
        <v>36</v>
      </c>
      <c r="B154" t="s">
        <v>35</v>
      </c>
      <c r="C154" t="s">
        <v>34</v>
      </c>
      <c r="D154" s="4" t="s">
        <v>33</v>
      </c>
      <c r="E154" t="s">
        <v>32</v>
      </c>
      <c r="F154" s="4" t="s">
        <v>31</v>
      </c>
      <c r="G154" t="s">
        <v>2</v>
      </c>
      <c r="H154" t="s">
        <v>30</v>
      </c>
      <c r="I154" s="10">
        <v>0.1</v>
      </c>
      <c r="J154" s="10">
        <v>34.566667000000002</v>
      </c>
      <c r="K154" t="s">
        <v>29</v>
      </c>
      <c r="AV154" t="s">
        <v>28</v>
      </c>
      <c r="AW154">
        <v>100</v>
      </c>
      <c r="AX154" t="s">
        <v>29</v>
      </c>
      <c r="AY154">
        <v>4</v>
      </c>
      <c r="AZ154" t="s">
        <v>27</v>
      </c>
      <c r="BA154">
        <v>1994</v>
      </c>
      <c r="BB154">
        <v>1998</v>
      </c>
      <c r="BC154" t="s">
        <v>26</v>
      </c>
      <c r="BD154" t="s">
        <v>59</v>
      </c>
      <c r="BE154" s="10" t="s">
        <v>65</v>
      </c>
      <c r="BF154" t="s">
        <v>64</v>
      </c>
      <c r="BG154" s="3" t="s">
        <v>1243</v>
      </c>
      <c r="BH154" t="s">
        <v>23</v>
      </c>
      <c r="BI154" t="s">
        <v>750</v>
      </c>
      <c r="BJ154" s="4" t="s">
        <v>22</v>
      </c>
      <c r="BK154" s="9">
        <v>53000</v>
      </c>
      <c r="EE154" t="s">
        <v>55</v>
      </c>
      <c r="EF154" s="4" t="s">
        <v>22</v>
      </c>
      <c r="EG154" s="9">
        <v>53000</v>
      </c>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K154" s="9"/>
      <c r="HR154" t="s">
        <v>21</v>
      </c>
      <c r="HT154" s="4" t="s">
        <v>20</v>
      </c>
      <c r="HU154" s="58">
        <v>34335</v>
      </c>
      <c r="HV154" s="58">
        <v>36160</v>
      </c>
      <c r="HW154" s="58"/>
      <c r="IM154" s="4"/>
      <c r="IN154" t="s">
        <v>63</v>
      </c>
      <c r="IO154" s="12" t="s">
        <v>1736</v>
      </c>
      <c r="IR154">
        <v>1995</v>
      </c>
      <c r="IS154">
        <v>1995.2</v>
      </c>
      <c r="IT154" s="4" t="s">
        <v>18</v>
      </c>
      <c r="IU154" t="s">
        <v>61</v>
      </c>
      <c r="IV154" s="12" t="s">
        <v>52</v>
      </c>
      <c r="IY154">
        <v>0.5</v>
      </c>
      <c r="IZ154" t="s">
        <v>29</v>
      </c>
      <c r="JA154" t="s">
        <v>29</v>
      </c>
      <c r="JB154" t="s">
        <v>29</v>
      </c>
      <c r="JC154" t="s">
        <v>29</v>
      </c>
      <c r="JD154" t="s">
        <v>29</v>
      </c>
      <c r="JE154" t="s">
        <v>29</v>
      </c>
      <c r="JF154" t="s">
        <v>29</v>
      </c>
      <c r="JG154" t="s">
        <v>29</v>
      </c>
      <c r="JH154" t="s">
        <v>29</v>
      </c>
      <c r="JJ154" s="12" t="s">
        <v>721</v>
      </c>
      <c r="JO154" s="4"/>
      <c r="JU154" s="4"/>
      <c r="JV154" s="4"/>
      <c r="JW154" s="4"/>
      <c r="JX154" s="4"/>
      <c r="JY154" s="4"/>
      <c r="JZ154" s="4"/>
      <c r="KE154" s="7" t="s">
        <v>12</v>
      </c>
      <c r="KI154" s="7" t="s">
        <v>719</v>
      </c>
      <c r="KJ154" s="7" t="s">
        <v>51</v>
      </c>
      <c r="KL154" t="s">
        <v>29</v>
      </c>
      <c r="MS154" t="s">
        <v>11</v>
      </c>
      <c r="MT154">
        <v>42</v>
      </c>
      <c r="MW154" s="4" t="s">
        <v>96</v>
      </c>
      <c r="NE154" t="s">
        <v>95</v>
      </c>
      <c r="NG154" s="4" t="s">
        <v>1165</v>
      </c>
      <c r="NH154" s="6" t="s">
        <v>7</v>
      </c>
      <c r="NQ154" t="s">
        <v>6</v>
      </c>
      <c r="NR154" s="5" t="s">
        <v>115</v>
      </c>
      <c r="NS154" s="4" t="s">
        <v>4</v>
      </c>
      <c r="NT154" s="3">
        <v>0.25356205319553005</v>
      </c>
      <c r="NW154">
        <v>4</v>
      </c>
      <c r="OH154" t="s">
        <v>109</v>
      </c>
      <c r="OJ154">
        <v>1998</v>
      </c>
      <c r="OM154" s="2" t="s">
        <v>62</v>
      </c>
      <c r="OO154" t="s">
        <v>1178</v>
      </c>
      <c r="OP154" s="58">
        <v>46094</v>
      </c>
    </row>
    <row r="155" spans="1:406" ht="15.75" thickBot="1">
      <c r="A155" s="11" t="s">
        <v>36</v>
      </c>
      <c r="B155" t="s">
        <v>35</v>
      </c>
      <c r="C155" t="s">
        <v>34</v>
      </c>
      <c r="D155" s="4" t="s">
        <v>33</v>
      </c>
      <c r="E155" t="s">
        <v>32</v>
      </c>
      <c r="F155" s="4" t="s">
        <v>31</v>
      </c>
      <c r="G155" t="s">
        <v>2</v>
      </c>
      <c r="H155" t="s">
        <v>30</v>
      </c>
      <c r="I155" s="10">
        <v>0.1</v>
      </c>
      <c r="J155" s="10">
        <v>34.566667000000002</v>
      </c>
      <c r="K155" t="s">
        <v>29</v>
      </c>
      <c r="AV155" t="s">
        <v>28</v>
      </c>
      <c r="AW155">
        <v>100</v>
      </c>
      <c r="AX155" t="s">
        <v>29</v>
      </c>
      <c r="AY155">
        <v>4</v>
      </c>
      <c r="AZ155" t="s">
        <v>27</v>
      </c>
      <c r="BA155">
        <v>1994</v>
      </c>
      <c r="BB155">
        <v>1998</v>
      </c>
      <c r="BC155" t="s">
        <v>26</v>
      </c>
      <c r="BD155" t="s">
        <v>59</v>
      </c>
      <c r="BE155" s="10" t="s">
        <v>58</v>
      </c>
      <c r="BF155" t="s">
        <v>57</v>
      </c>
      <c r="BG155" s="3" t="s">
        <v>1243</v>
      </c>
      <c r="BH155" t="s">
        <v>23</v>
      </c>
      <c r="BI155" t="s">
        <v>750</v>
      </c>
      <c r="BJ155" s="4" t="s">
        <v>22</v>
      </c>
      <c r="BK155" s="9">
        <v>53000</v>
      </c>
      <c r="EE155" t="s">
        <v>55</v>
      </c>
      <c r="EF155" s="4" t="s">
        <v>22</v>
      </c>
      <c r="EG155" s="9">
        <v>53000</v>
      </c>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K155" s="9"/>
      <c r="HR155" t="s">
        <v>21</v>
      </c>
      <c r="HT155" s="4" t="s">
        <v>20</v>
      </c>
      <c r="HU155" s="58">
        <v>34335</v>
      </c>
      <c r="HV155" s="58">
        <v>36160</v>
      </c>
      <c r="HW155" s="58"/>
      <c r="IM155" s="4"/>
      <c r="IN155" t="s">
        <v>54</v>
      </c>
      <c r="IO155" s="12" t="s">
        <v>1737</v>
      </c>
      <c r="IR155">
        <v>1994</v>
      </c>
      <c r="IS155">
        <v>1994.2</v>
      </c>
      <c r="IT155" s="4" t="s">
        <v>18</v>
      </c>
      <c r="IU155" t="s">
        <v>53</v>
      </c>
      <c r="IV155" s="12" t="s">
        <v>52</v>
      </c>
      <c r="IY155">
        <v>0.5</v>
      </c>
      <c r="IZ155" t="s">
        <v>29</v>
      </c>
      <c r="JA155" t="s">
        <v>29</v>
      </c>
      <c r="JB155" t="s">
        <v>29</v>
      </c>
      <c r="JC155" t="s">
        <v>29</v>
      </c>
      <c r="JD155" t="s">
        <v>29</v>
      </c>
      <c r="JE155" t="s">
        <v>29</v>
      </c>
      <c r="JF155" t="s">
        <v>29</v>
      </c>
      <c r="JG155" t="s">
        <v>29</v>
      </c>
      <c r="JH155" t="s">
        <v>29</v>
      </c>
      <c r="JJ155" s="12" t="s">
        <v>721</v>
      </c>
      <c r="JO155" s="4"/>
      <c r="JU155" s="4"/>
      <c r="JV155" s="4"/>
      <c r="JW155" s="4"/>
      <c r="JX155" s="4"/>
      <c r="JY155" s="4"/>
      <c r="JZ155" s="4"/>
      <c r="KE155" s="7" t="s">
        <v>12</v>
      </c>
      <c r="KI155" s="7" t="s">
        <v>719</v>
      </c>
      <c r="KJ155" s="7" t="s">
        <v>51</v>
      </c>
      <c r="KL155" t="s">
        <v>29</v>
      </c>
      <c r="MS155" t="s">
        <v>11</v>
      </c>
      <c r="MT155">
        <v>42</v>
      </c>
      <c r="MW155" s="4" t="s">
        <v>96</v>
      </c>
      <c r="NE155" t="s">
        <v>95</v>
      </c>
      <c r="NG155" s="4" t="s">
        <v>1165</v>
      </c>
      <c r="NH155" s="6" t="s">
        <v>7</v>
      </c>
      <c r="NQ155" t="s">
        <v>6</v>
      </c>
      <c r="NR155" s="5" t="s">
        <v>114</v>
      </c>
      <c r="NS155" s="4" t="s">
        <v>4</v>
      </c>
      <c r="NT155" s="3">
        <v>0.31693330471583003</v>
      </c>
      <c r="NW155">
        <v>4</v>
      </c>
      <c r="OH155" t="s">
        <v>109</v>
      </c>
      <c r="OJ155">
        <v>1998</v>
      </c>
      <c r="OM155" s="2" t="s">
        <v>62</v>
      </c>
      <c r="OO155" t="s">
        <v>1178</v>
      </c>
      <c r="OP155" s="58">
        <v>46094</v>
      </c>
    </row>
    <row r="156" spans="1:406" ht="15.75" thickBot="1">
      <c r="A156" s="11" t="s">
        <v>36</v>
      </c>
      <c r="B156" t="s">
        <v>35</v>
      </c>
      <c r="C156" t="s">
        <v>34</v>
      </c>
      <c r="D156" s="4" t="s">
        <v>33</v>
      </c>
      <c r="E156" t="s">
        <v>32</v>
      </c>
      <c r="F156" s="4" t="s">
        <v>31</v>
      </c>
      <c r="G156" t="s">
        <v>2</v>
      </c>
      <c r="H156" t="s">
        <v>30</v>
      </c>
      <c r="I156" s="10">
        <v>0.1</v>
      </c>
      <c r="J156" s="10">
        <v>34.566667000000002</v>
      </c>
      <c r="K156" t="s">
        <v>29</v>
      </c>
      <c r="AV156" t="s">
        <v>28</v>
      </c>
      <c r="AW156">
        <v>100</v>
      </c>
      <c r="AX156" t="s">
        <v>29</v>
      </c>
      <c r="AY156">
        <v>4</v>
      </c>
      <c r="AZ156" t="s">
        <v>27</v>
      </c>
      <c r="BA156">
        <v>1994</v>
      </c>
      <c r="BB156">
        <v>1998</v>
      </c>
      <c r="BC156" t="s">
        <v>26</v>
      </c>
      <c r="BD156" t="s">
        <v>45</v>
      </c>
      <c r="BE156" s="10" t="s">
        <v>49</v>
      </c>
      <c r="BF156" t="s">
        <v>48</v>
      </c>
      <c r="BG156" s="3" t="s">
        <v>1243</v>
      </c>
      <c r="BH156" t="s">
        <v>23</v>
      </c>
      <c r="BI156" t="s">
        <v>750</v>
      </c>
      <c r="BJ156" s="4" t="s">
        <v>22</v>
      </c>
      <c r="BK156" s="9">
        <v>53000</v>
      </c>
      <c r="EF156" s="4"/>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K156" s="9"/>
      <c r="HR156" t="s">
        <v>21</v>
      </c>
      <c r="HT156" s="4" t="s">
        <v>20</v>
      </c>
      <c r="HU156" s="58">
        <v>34335</v>
      </c>
      <c r="HV156" s="58">
        <v>36160</v>
      </c>
      <c r="HW156" s="58"/>
      <c r="IN156" t="s">
        <v>47</v>
      </c>
      <c r="IO156" s="54" t="s">
        <v>1236</v>
      </c>
      <c r="IR156">
        <v>1995</v>
      </c>
      <c r="IS156">
        <v>1995.2</v>
      </c>
      <c r="IT156" s="4" t="s">
        <v>18</v>
      </c>
      <c r="IU156" t="s">
        <v>38</v>
      </c>
      <c r="IV156" t="s">
        <v>19</v>
      </c>
      <c r="IZ156">
        <v>0</v>
      </c>
      <c r="JA156">
        <v>0</v>
      </c>
      <c r="JB156">
        <v>0</v>
      </c>
      <c r="JC156">
        <v>0</v>
      </c>
      <c r="JD156">
        <v>0</v>
      </c>
      <c r="JE156">
        <v>0</v>
      </c>
      <c r="JF156">
        <v>0</v>
      </c>
      <c r="JG156">
        <v>0</v>
      </c>
      <c r="JH156">
        <v>0</v>
      </c>
      <c r="JJ156" s="12" t="s">
        <v>721</v>
      </c>
      <c r="JO156" s="4"/>
      <c r="JU156" s="4"/>
      <c r="JV156" s="4"/>
      <c r="JW156" s="4"/>
      <c r="JX156" s="4"/>
      <c r="JY156" s="4"/>
      <c r="JZ156" s="4"/>
      <c r="KE156" s="7" t="s">
        <v>12</v>
      </c>
      <c r="KI156" s="7" t="s">
        <v>720</v>
      </c>
      <c r="KJ156" s="7"/>
      <c r="MS156" t="s">
        <v>11</v>
      </c>
      <c r="MT156">
        <v>42</v>
      </c>
      <c r="MW156" s="4" t="s">
        <v>96</v>
      </c>
      <c r="NE156" t="s">
        <v>95</v>
      </c>
      <c r="NG156" s="4" t="s">
        <v>1165</v>
      </c>
      <c r="NH156" s="6" t="s">
        <v>7</v>
      </c>
      <c r="NQ156" t="s">
        <v>6</v>
      </c>
      <c r="NR156" s="5" t="s">
        <v>113</v>
      </c>
      <c r="NS156" s="4" t="s">
        <v>4</v>
      </c>
      <c r="NT156" s="3">
        <v>0.42314275179272021</v>
      </c>
      <c r="NW156">
        <v>4</v>
      </c>
      <c r="OH156" t="s">
        <v>109</v>
      </c>
      <c r="OJ156">
        <v>1998</v>
      </c>
      <c r="OM156" s="2" t="s">
        <v>62</v>
      </c>
      <c r="OO156" t="s">
        <v>1178</v>
      </c>
      <c r="OP156" s="58">
        <v>46094</v>
      </c>
    </row>
    <row r="157" spans="1:406" ht="15.75" thickBot="1">
      <c r="A157" s="11" t="s">
        <v>36</v>
      </c>
      <c r="B157" t="s">
        <v>35</v>
      </c>
      <c r="C157" t="s">
        <v>34</v>
      </c>
      <c r="D157" s="4" t="s">
        <v>33</v>
      </c>
      <c r="E157" t="s">
        <v>32</v>
      </c>
      <c r="F157" s="4" t="s">
        <v>31</v>
      </c>
      <c r="G157" t="s">
        <v>2</v>
      </c>
      <c r="H157" t="s">
        <v>30</v>
      </c>
      <c r="I157" s="10">
        <v>0.1</v>
      </c>
      <c r="J157" s="10">
        <v>34.566667000000002</v>
      </c>
      <c r="K157" t="s">
        <v>29</v>
      </c>
      <c r="AV157" t="s">
        <v>28</v>
      </c>
      <c r="AW157">
        <v>100</v>
      </c>
      <c r="AX157" t="s">
        <v>29</v>
      </c>
      <c r="AY157">
        <v>4</v>
      </c>
      <c r="AZ157" t="s">
        <v>27</v>
      </c>
      <c r="BA157">
        <v>1994</v>
      </c>
      <c r="BB157">
        <v>1998</v>
      </c>
      <c r="BC157" t="s">
        <v>26</v>
      </c>
      <c r="BD157" t="s">
        <v>45</v>
      </c>
      <c r="BE157" s="10" t="s">
        <v>44</v>
      </c>
      <c r="BF157" t="s">
        <v>43</v>
      </c>
      <c r="BG157" s="3" t="s">
        <v>1243</v>
      </c>
      <c r="BH157" t="s">
        <v>23</v>
      </c>
      <c r="BI157" t="s">
        <v>750</v>
      </c>
      <c r="BJ157" s="4" t="s">
        <v>22</v>
      </c>
      <c r="BK157" s="9">
        <v>53000</v>
      </c>
      <c r="EF157" s="4"/>
      <c r="EG157" s="9"/>
      <c r="EH157" s="9"/>
      <c r="EI157" s="9"/>
      <c r="EJ157" s="9"/>
      <c r="EK157" s="9"/>
      <c r="EL157" s="9"/>
      <c r="EM157" s="9"/>
      <c r="EN157" s="9"/>
      <c r="EO157" s="9"/>
      <c r="EP157" s="9"/>
      <c r="EQ157" s="9"/>
      <c r="ER157" s="9"/>
      <c r="ES157" s="9"/>
      <c r="ET157" s="9"/>
      <c r="EU157" s="9"/>
      <c r="EV157" s="9"/>
      <c r="EW157" s="9"/>
      <c r="EX157" s="9"/>
      <c r="EY157" s="9"/>
      <c r="EZ157" s="9"/>
      <c r="FA157" s="9"/>
      <c r="FB157" s="9"/>
      <c r="FC157" s="9"/>
      <c r="FD157" s="9"/>
      <c r="FE157" s="9"/>
      <c r="FF157" s="9"/>
      <c r="FG157" s="9"/>
      <c r="FH157" s="9"/>
      <c r="FI157" s="9"/>
      <c r="FJ157" s="9"/>
      <c r="FK157" s="9"/>
      <c r="FL157" s="9"/>
      <c r="FM157" s="9"/>
      <c r="FN157" s="9"/>
      <c r="FO157" s="9"/>
      <c r="FP157" s="9"/>
      <c r="FQ157" s="9"/>
      <c r="FR157" s="9"/>
      <c r="FS157" s="9"/>
      <c r="FT157" s="9"/>
      <c r="FU157" s="9"/>
      <c r="FV157" s="9"/>
      <c r="FW157" s="9"/>
      <c r="FX157" s="9"/>
      <c r="FY157" s="9"/>
      <c r="FZ157" s="9"/>
      <c r="GA157" s="9"/>
      <c r="GB157" s="9"/>
      <c r="GC157" s="9"/>
      <c r="GD157" s="9"/>
      <c r="GE157" s="9"/>
      <c r="GF157" s="9"/>
      <c r="GG157" s="9"/>
      <c r="GH157" s="9"/>
      <c r="GI157" s="9"/>
      <c r="GJ157" s="9"/>
      <c r="GK157" s="9"/>
      <c r="GL157" s="9"/>
      <c r="GM157" s="9"/>
      <c r="GN157" s="9"/>
      <c r="GO157" s="9"/>
      <c r="GP157" s="9"/>
      <c r="GQ157" s="9"/>
      <c r="GR157" s="9"/>
      <c r="GS157" s="9"/>
      <c r="GT157" s="9"/>
      <c r="GU157" s="9"/>
      <c r="GV157" s="9"/>
      <c r="GW157" s="9"/>
      <c r="GX157" s="9"/>
      <c r="GY157" s="9"/>
      <c r="GZ157" s="9"/>
      <c r="HA157" s="9"/>
      <c r="HB157" s="9"/>
      <c r="HC157" s="9"/>
      <c r="HD157" s="9"/>
      <c r="HE157" s="9"/>
      <c r="HF157" s="9"/>
      <c r="HG157" s="9"/>
      <c r="HH157" s="9"/>
      <c r="HI157" s="9"/>
      <c r="HJ157" s="9"/>
      <c r="HK157" s="9"/>
      <c r="HR157" t="s">
        <v>21</v>
      </c>
      <c r="HT157" s="4" t="s">
        <v>20</v>
      </c>
      <c r="HU157" s="58">
        <v>34335</v>
      </c>
      <c r="HV157" s="58">
        <v>36160</v>
      </c>
      <c r="HW157" s="58"/>
      <c r="IN157" t="s">
        <v>42</v>
      </c>
      <c r="IO157" s="13" t="s">
        <v>1237</v>
      </c>
      <c r="IR157">
        <v>1994</v>
      </c>
      <c r="IS157">
        <v>1994.2</v>
      </c>
      <c r="IT157" s="4" t="s">
        <v>18</v>
      </c>
      <c r="IU157" t="s">
        <v>38</v>
      </c>
      <c r="IV157" t="s">
        <v>19</v>
      </c>
      <c r="IZ157">
        <v>0</v>
      </c>
      <c r="JA157">
        <v>0</v>
      </c>
      <c r="JB157">
        <v>0</v>
      </c>
      <c r="JC157">
        <v>0</v>
      </c>
      <c r="JD157">
        <v>0</v>
      </c>
      <c r="JE157">
        <v>0</v>
      </c>
      <c r="JF157">
        <v>0</v>
      </c>
      <c r="JG157">
        <v>0</v>
      </c>
      <c r="JH157">
        <v>0</v>
      </c>
      <c r="JJ157" s="12" t="s">
        <v>721</v>
      </c>
      <c r="JO157" s="4"/>
      <c r="KE157" s="7" t="s">
        <v>12</v>
      </c>
      <c r="KI157" s="7" t="s">
        <v>720</v>
      </c>
      <c r="KJ157" s="7"/>
      <c r="MS157" t="s">
        <v>11</v>
      </c>
      <c r="MT157">
        <v>42</v>
      </c>
      <c r="MW157" s="4" t="s">
        <v>96</v>
      </c>
      <c r="NE157" t="s">
        <v>95</v>
      </c>
      <c r="NG157" s="4" t="s">
        <v>1165</v>
      </c>
      <c r="NH157" s="6" t="s">
        <v>7</v>
      </c>
      <c r="NQ157" t="s">
        <v>6</v>
      </c>
      <c r="NR157" s="5" t="s">
        <v>112</v>
      </c>
      <c r="NS157" s="4" t="s">
        <v>4</v>
      </c>
      <c r="NT157" s="3">
        <v>0.38076683892201002</v>
      </c>
      <c r="NW157">
        <v>4</v>
      </c>
      <c r="OH157" t="s">
        <v>109</v>
      </c>
      <c r="OJ157">
        <v>1998</v>
      </c>
      <c r="OM157" s="2" t="s">
        <v>62</v>
      </c>
      <c r="OO157" t="s">
        <v>1178</v>
      </c>
      <c r="OP157" s="58">
        <v>46094</v>
      </c>
    </row>
    <row r="158" spans="1:406" ht="15.75" thickBot="1">
      <c r="A158" s="11" t="s">
        <v>36</v>
      </c>
      <c r="B158" t="s">
        <v>35</v>
      </c>
      <c r="C158" t="s">
        <v>34</v>
      </c>
      <c r="D158" s="4" t="s">
        <v>33</v>
      </c>
      <c r="E158" t="s">
        <v>32</v>
      </c>
      <c r="F158" s="4" t="s">
        <v>31</v>
      </c>
      <c r="G158" t="s">
        <v>2</v>
      </c>
      <c r="H158" t="s">
        <v>30</v>
      </c>
      <c r="I158" s="10">
        <v>0.1</v>
      </c>
      <c r="J158" s="10">
        <v>34.566667000000002</v>
      </c>
      <c r="K158" t="s">
        <v>29</v>
      </c>
      <c r="AV158" t="s">
        <v>28</v>
      </c>
      <c r="AW158">
        <v>100</v>
      </c>
      <c r="AX158" t="s">
        <v>29</v>
      </c>
      <c r="AY158">
        <v>4</v>
      </c>
      <c r="AZ158" t="s">
        <v>27</v>
      </c>
      <c r="BA158">
        <v>1994</v>
      </c>
      <c r="BB158">
        <v>1998</v>
      </c>
      <c r="BC158" t="s">
        <v>26</v>
      </c>
      <c r="BD158" t="s">
        <v>19</v>
      </c>
      <c r="BE158" s="10" t="s">
        <v>40</v>
      </c>
      <c r="BF158" t="s">
        <v>39</v>
      </c>
      <c r="BG158" s="3" t="s">
        <v>1243</v>
      </c>
      <c r="BH158" t="s">
        <v>23</v>
      </c>
      <c r="BI158" t="s">
        <v>750</v>
      </c>
      <c r="BJ158" s="4" t="s">
        <v>22</v>
      </c>
      <c r="BK158" s="9">
        <v>53000</v>
      </c>
      <c r="HR158" t="s">
        <v>21</v>
      </c>
      <c r="HT158" s="4" t="s">
        <v>20</v>
      </c>
      <c r="HU158" s="58">
        <v>34335</v>
      </c>
      <c r="HV158" s="58">
        <v>36160</v>
      </c>
      <c r="HW158" s="58"/>
      <c r="IN158" t="s">
        <v>38</v>
      </c>
      <c r="IO158" s="54" t="s">
        <v>19</v>
      </c>
      <c r="IT158" s="4" t="s">
        <v>18</v>
      </c>
      <c r="IU158" t="s">
        <v>38</v>
      </c>
      <c r="IV158" s="54" t="s">
        <v>19</v>
      </c>
      <c r="IZ158">
        <v>0</v>
      </c>
      <c r="JA158">
        <v>0</v>
      </c>
      <c r="JB158">
        <v>0</v>
      </c>
      <c r="JC158">
        <v>0</v>
      </c>
      <c r="JD158">
        <v>0</v>
      </c>
      <c r="JE158">
        <v>0</v>
      </c>
      <c r="JF158">
        <v>0</v>
      </c>
      <c r="JG158">
        <v>0</v>
      </c>
      <c r="JH158">
        <v>0</v>
      </c>
      <c r="JJ158" s="12" t="s">
        <v>721</v>
      </c>
      <c r="JO158" s="4"/>
      <c r="KE158" s="7" t="s">
        <v>12</v>
      </c>
      <c r="KI158" s="7" t="s">
        <v>720</v>
      </c>
      <c r="KJ158" s="7"/>
      <c r="MS158" t="s">
        <v>11</v>
      </c>
      <c r="MT158">
        <v>42</v>
      </c>
      <c r="MW158" s="4" t="s">
        <v>96</v>
      </c>
      <c r="NE158" t="s">
        <v>95</v>
      </c>
      <c r="NG158" s="4" t="s">
        <v>1165</v>
      </c>
      <c r="NH158" s="6" t="s">
        <v>7</v>
      </c>
      <c r="NP158" t="s">
        <v>735</v>
      </c>
      <c r="NQ158" t="s">
        <v>6</v>
      </c>
      <c r="NR158" s="5" t="s">
        <v>111</v>
      </c>
      <c r="NS158" s="4" t="s">
        <v>4</v>
      </c>
      <c r="NT158" s="3">
        <v>0.38045865046476002</v>
      </c>
      <c r="NW158">
        <v>4</v>
      </c>
      <c r="OH158" t="s">
        <v>109</v>
      </c>
      <c r="OJ158">
        <v>1998</v>
      </c>
      <c r="OM158" s="2" t="s">
        <v>62</v>
      </c>
      <c r="OO158" t="s">
        <v>1178</v>
      </c>
      <c r="OP158" s="58">
        <v>46094</v>
      </c>
    </row>
    <row r="159" spans="1:406" ht="15.75" thickBot="1">
      <c r="A159" s="11" t="s">
        <v>36</v>
      </c>
      <c r="B159" t="s">
        <v>35</v>
      </c>
      <c r="C159" t="s">
        <v>34</v>
      </c>
      <c r="D159" s="4" t="s">
        <v>33</v>
      </c>
      <c r="E159" t="s">
        <v>32</v>
      </c>
      <c r="F159" s="4" t="s">
        <v>31</v>
      </c>
      <c r="G159" t="s">
        <v>2</v>
      </c>
      <c r="H159" t="s">
        <v>30</v>
      </c>
      <c r="I159" s="10">
        <v>0.1</v>
      </c>
      <c r="J159" s="10">
        <v>34.566667000000002</v>
      </c>
      <c r="K159" t="s">
        <v>29</v>
      </c>
      <c r="AV159" t="s">
        <v>28</v>
      </c>
      <c r="AW159">
        <v>100</v>
      </c>
      <c r="AX159" t="s">
        <v>29</v>
      </c>
      <c r="AY159">
        <v>4</v>
      </c>
      <c r="AZ159" t="s">
        <v>27</v>
      </c>
      <c r="BA159">
        <v>1994</v>
      </c>
      <c r="BB159">
        <v>1998</v>
      </c>
      <c r="BC159" t="s">
        <v>26</v>
      </c>
      <c r="BD159" t="s">
        <v>19</v>
      </c>
      <c r="BE159" s="10" t="s">
        <v>25</v>
      </c>
      <c r="BF159" t="s">
        <v>24</v>
      </c>
      <c r="BG159" s="3" t="s">
        <v>1243</v>
      </c>
      <c r="BH159" t="s">
        <v>23</v>
      </c>
      <c r="BI159" t="s">
        <v>750</v>
      </c>
      <c r="BJ159" s="4" t="s">
        <v>22</v>
      </c>
      <c r="BK159" s="9">
        <v>53000</v>
      </c>
      <c r="HR159" t="s">
        <v>21</v>
      </c>
      <c r="HT159" s="4" t="s">
        <v>20</v>
      </c>
      <c r="HU159" s="58">
        <v>34335</v>
      </c>
      <c r="HV159" s="58">
        <v>36160</v>
      </c>
      <c r="HW159" s="58"/>
      <c r="IN159" t="s">
        <v>16</v>
      </c>
      <c r="IO159" s="54" t="s">
        <v>19</v>
      </c>
      <c r="IT159" s="4" t="s">
        <v>18</v>
      </c>
      <c r="IU159" t="s">
        <v>17</v>
      </c>
      <c r="IV159" s="54" t="s">
        <v>19</v>
      </c>
      <c r="IZ159">
        <v>0</v>
      </c>
      <c r="JA159">
        <v>0</v>
      </c>
      <c r="JB159">
        <v>0</v>
      </c>
      <c r="JC159">
        <v>0</v>
      </c>
      <c r="JD159">
        <v>0</v>
      </c>
      <c r="JE159">
        <v>0</v>
      </c>
      <c r="JF159">
        <v>0</v>
      </c>
      <c r="JG159">
        <v>0</v>
      </c>
      <c r="JH159">
        <v>0</v>
      </c>
      <c r="JI159" t="s">
        <v>16</v>
      </c>
      <c r="JJ159" t="s">
        <v>15</v>
      </c>
      <c r="JK159" s="8" t="s">
        <v>14</v>
      </c>
      <c r="JO159" s="4" t="s">
        <v>13</v>
      </c>
      <c r="JP159">
        <v>60</v>
      </c>
      <c r="JS159">
        <v>60</v>
      </c>
      <c r="KE159" s="7" t="s">
        <v>12</v>
      </c>
      <c r="KI159" s="7" t="s">
        <v>720</v>
      </c>
      <c r="KJ159" s="7"/>
      <c r="MS159" t="s">
        <v>11</v>
      </c>
      <c r="MT159">
        <v>42</v>
      </c>
      <c r="MW159" s="4" t="s">
        <v>96</v>
      </c>
      <c r="NE159" t="s">
        <v>95</v>
      </c>
      <c r="NG159" s="4" t="s">
        <v>1165</v>
      </c>
      <c r="NH159" s="6" t="s">
        <v>7</v>
      </c>
      <c r="NP159" t="s">
        <v>747</v>
      </c>
      <c r="NQ159" t="s">
        <v>6</v>
      </c>
      <c r="NR159" s="5" t="s">
        <v>110</v>
      </c>
      <c r="NS159" s="4" t="s">
        <v>4</v>
      </c>
      <c r="NT159" s="3">
        <v>0.16881022745408991</v>
      </c>
      <c r="NW159">
        <v>4</v>
      </c>
      <c r="OH159" t="s">
        <v>109</v>
      </c>
      <c r="OJ159">
        <v>1998</v>
      </c>
      <c r="OM159" s="2" t="s">
        <v>62</v>
      </c>
      <c r="OO159" t="s">
        <v>1178</v>
      </c>
      <c r="OP159" s="58">
        <v>46094</v>
      </c>
    </row>
    <row r="160" spans="1:406" ht="15.75" thickBot="1">
      <c r="A160" s="11" t="s">
        <v>36</v>
      </c>
      <c r="B160" t="s">
        <v>35</v>
      </c>
      <c r="C160" t="s">
        <v>34</v>
      </c>
      <c r="D160" s="4" t="s">
        <v>33</v>
      </c>
      <c r="E160" t="s">
        <v>32</v>
      </c>
      <c r="F160" s="4" t="s">
        <v>31</v>
      </c>
      <c r="G160" t="s">
        <v>2</v>
      </c>
      <c r="H160" t="s">
        <v>30</v>
      </c>
      <c r="I160" s="10">
        <v>0.1</v>
      </c>
      <c r="J160" s="10">
        <v>34.566667000000002</v>
      </c>
      <c r="K160" t="s">
        <v>29</v>
      </c>
      <c r="AV160" t="s">
        <v>28</v>
      </c>
      <c r="AW160">
        <v>100</v>
      </c>
      <c r="AX160" t="s">
        <v>29</v>
      </c>
      <c r="AY160">
        <v>4</v>
      </c>
      <c r="AZ160" t="s">
        <v>27</v>
      </c>
      <c r="BA160">
        <v>1994</v>
      </c>
      <c r="BB160">
        <v>1998</v>
      </c>
      <c r="BC160" t="s">
        <v>26</v>
      </c>
      <c r="BD160" t="s">
        <v>59</v>
      </c>
      <c r="BE160" s="10" t="s">
        <v>65</v>
      </c>
      <c r="BF160" t="s">
        <v>64</v>
      </c>
      <c r="BG160" s="3" t="s">
        <v>1243</v>
      </c>
      <c r="BH160" t="s">
        <v>23</v>
      </c>
      <c r="BI160" t="s">
        <v>750</v>
      </c>
      <c r="BJ160" s="4" t="s">
        <v>22</v>
      </c>
      <c r="BK160" s="9">
        <v>53000</v>
      </c>
      <c r="EE160" t="s">
        <v>55</v>
      </c>
      <c r="EF160" s="4" t="s">
        <v>22</v>
      </c>
      <c r="EG160" s="9">
        <v>53000</v>
      </c>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K160" s="9"/>
      <c r="HR160" t="s">
        <v>21</v>
      </c>
      <c r="HT160" s="4" t="s">
        <v>20</v>
      </c>
      <c r="HU160" s="58">
        <v>34335</v>
      </c>
      <c r="HV160" s="58">
        <v>36160</v>
      </c>
      <c r="HW160" s="58"/>
      <c r="IM160" s="4"/>
      <c r="IN160" t="s">
        <v>63</v>
      </c>
      <c r="IO160" s="12" t="s">
        <v>1736</v>
      </c>
      <c r="IR160">
        <v>1995</v>
      </c>
      <c r="IS160">
        <v>1995.2</v>
      </c>
      <c r="IT160" s="4" t="s">
        <v>18</v>
      </c>
      <c r="IU160" t="s">
        <v>61</v>
      </c>
      <c r="IV160" s="12" t="s">
        <v>52</v>
      </c>
      <c r="IY160">
        <v>0.5</v>
      </c>
      <c r="IZ160" t="s">
        <v>29</v>
      </c>
      <c r="JA160" t="s">
        <v>29</v>
      </c>
      <c r="JB160" t="s">
        <v>29</v>
      </c>
      <c r="JC160" t="s">
        <v>29</v>
      </c>
      <c r="JD160" t="s">
        <v>29</v>
      </c>
      <c r="JE160" t="s">
        <v>29</v>
      </c>
      <c r="JF160" t="s">
        <v>29</v>
      </c>
      <c r="JG160" t="s">
        <v>29</v>
      </c>
      <c r="JH160" t="s">
        <v>29</v>
      </c>
      <c r="JJ160" s="12" t="s">
        <v>721</v>
      </c>
      <c r="JO160" s="4"/>
      <c r="KE160" s="7" t="s">
        <v>12</v>
      </c>
      <c r="KI160" s="7" t="s">
        <v>719</v>
      </c>
      <c r="KJ160" s="7" t="s">
        <v>51</v>
      </c>
      <c r="KL160" t="s">
        <v>29</v>
      </c>
      <c r="MS160" t="s">
        <v>11</v>
      </c>
      <c r="MT160">
        <v>42</v>
      </c>
      <c r="MW160" s="4" t="s">
        <v>96</v>
      </c>
      <c r="NE160" t="s">
        <v>95</v>
      </c>
      <c r="NG160" s="4" t="s">
        <v>1165</v>
      </c>
      <c r="NH160" s="6" t="s">
        <v>7</v>
      </c>
      <c r="NQ160" t="s">
        <v>6</v>
      </c>
      <c r="NR160" s="5" t="s">
        <v>108</v>
      </c>
      <c r="NS160" s="4" t="s">
        <v>4</v>
      </c>
      <c r="NT160" s="3">
        <v>0.57416550362152963</v>
      </c>
      <c r="NW160">
        <v>4</v>
      </c>
      <c r="OH160" t="s">
        <v>102</v>
      </c>
      <c r="OJ160">
        <v>1996</v>
      </c>
      <c r="OM160" s="2" t="s">
        <v>1</v>
      </c>
      <c r="OO160" t="s">
        <v>1178</v>
      </c>
      <c r="OP160" s="58">
        <v>46094</v>
      </c>
    </row>
    <row r="161" spans="1:406" ht="15.75" thickBot="1">
      <c r="A161" s="11" t="s">
        <v>36</v>
      </c>
      <c r="B161" t="s">
        <v>35</v>
      </c>
      <c r="C161" t="s">
        <v>34</v>
      </c>
      <c r="D161" s="4" t="s">
        <v>33</v>
      </c>
      <c r="E161" t="s">
        <v>32</v>
      </c>
      <c r="F161" s="4" t="s">
        <v>31</v>
      </c>
      <c r="G161" t="s">
        <v>2</v>
      </c>
      <c r="H161" t="s">
        <v>30</v>
      </c>
      <c r="I161" s="10">
        <v>0.1</v>
      </c>
      <c r="J161" s="10">
        <v>34.566667000000002</v>
      </c>
      <c r="K161" t="s">
        <v>29</v>
      </c>
      <c r="AV161" t="s">
        <v>28</v>
      </c>
      <c r="AW161">
        <v>100</v>
      </c>
      <c r="AX161" t="s">
        <v>29</v>
      </c>
      <c r="AY161">
        <v>4</v>
      </c>
      <c r="AZ161" t="s">
        <v>27</v>
      </c>
      <c r="BA161">
        <v>1994</v>
      </c>
      <c r="BB161">
        <v>1998</v>
      </c>
      <c r="BC161" t="s">
        <v>26</v>
      </c>
      <c r="BD161" t="s">
        <v>59</v>
      </c>
      <c r="BE161" s="10" t="s">
        <v>58</v>
      </c>
      <c r="BF161" t="s">
        <v>57</v>
      </c>
      <c r="BG161" s="3" t="s">
        <v>1243</v>
      </c>
      <c r="BH161" t="s">
        <v>23</v>
      </c>
      <c r="BI161" t="s">
        <v>750</v>
      </c>
      <c r="BJ161" s="4" t="s">
        <v>22</v>
      </c>
      <c r="BK161" s="9">
        <v>53000</v>
      </c>
      <c r="EE161" t="s">
        <v>55</v>
      </c>
      <c r="EF161" s="4" t="s">
        <v>22</v>
      </c>
      <c r="EG161" s="9">
        <v>53000</v>
      </c>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K161" s="9"/>
      <c r="HR161" t="s">
        <v>21</v>
      </c>
      <c r="HT161" s="4" t="s">
        <v>20</v>
      </c>
      <c r="HU161" s="58">
        <v>34335</v>
      </c>
      <c r="HV161" s="58">
        <v>36160</v>
      </c>
      <c r="HW161" s="58"/>
      <c r="IM161" s="4"/>
      <c r="IN161" t="s">
        <v>54</v>
      </c>
      <c r="IO161" s="12" t="s">
        <v>1737</v>
      </c>
      <c r="IR161">
        <v>1994</v>
      </c>
      <c r="IS161">
        <v>1994.2</v>
      </c>
      <c r="IT161" s="4" t="s">
        <v>18</v>
      </c>
      <c r="IU161" t="s">
        <v>53</v>
      </c>
      <c r="IV161" s="12" t="s">
        <v>52</v>
      </c>
      <c r="IY161">
        <v>0.5</v>
      </c>
      <c r="IZ161" t="s">
        <v>29</v>
      </c>
      <c r="JA161" t="s">
        <v>29</v>
      </c>
      <c r="JB161" t="s">
        <v>29</v>
      </c>
      <c r="JC161" t="s">
        <v>29</v>
      </c>
      <c r="JD161" t="s">
        <v>29</v>
      </c>
      <c r="JE161" t="s">
        <v>29</v>
      </c>
      <c r="JF161" t="s">
        <v>29</v>
      </c>
      <c r="JG161" t="s">
        <v>29</v>
      </c>
      <c r="JH161" t="s">
        <v>29</v>
      </c>
      <c r="JJ161" s="12" t="s">
        <v>721</v>
      </c>
      <c r="JO161" s="4"/>
      <c r="KE161" s="7" t="s">
        <v>12</v>
      </c>
      <c r="KI161" s="7" t="s">
        <v>719</v>
      </c>
      <c r="KJ161" s="7" t="s">
        <v>51</v>
      </c>
      <c r="KL161" t="s">
        <v>29</v>
      </c>
      <c r="MS161" t="s">
        <v>11</v>
      </c>
      <c r="MT161">
        <v>42</v>
      </c>
      <c r="MW161" s="4" t="s">
        <v>96</v>
      </c>
      <c r="NE161" t="s">
        <v>95</v>
      </c>
      <c r="NG161" s="4" t="s">
        <v>1165</v>
      </c>
      <c r="NH161" s="6" t="s">
        <v>7</v>
      </c>
      <c r="NQ161" t="s">
        <v>6</v>
      </c>
      <c r="NR161" s="5" t="s">
        <v>107</v>
      </c>
      <c r="NS161" s="4" t="s">
        <v>4</v>
      </c>
      <c r="NT161" s="3">
        <v>0.27675325606668011</v>
      </c>
      <c r="NW161">
        <v>4</v>
      </c>
      <c r="OH161" t="s">
        <v>102</v>
      </c>
      <c r="OJ161">
        <v>1996</v>
      </c>
      <c r="OM161" s="2" t="s">
        <v>1</v>
      </c>
      <c r="OO161" t="s">
        <v>1178</v>
      </c>
      <c r="OP161" s="58">
        <v>46094</v>
      </c>
    </row>
    <row r="162" spans="1:406" ht="15.75" thickBot="1">
      <c r="A162" s="11" t="s">
        <v>36</v>
      </c>
      <c r="B162" t="s">
        <v>35</v>
      </c>
      <c r="C162" t="s">
        <v>34</v>
      </c>
      <c r="D162" s="4" t="s">
        <v>33</v>
      </c>
      <c r="E162" t="s">
        <v>32</v>
      </c>
      <c r="F162" s="4" t="s">
        <v>31</v>
      </c>
      <c r="G162" t="s">
        <v>2</v>
      </c>
      <c r="H162" t="s">
        <v>30</v>
      </c>
      <c r="I162" s="10">
        <v>0.1</v>
      </c>
      <c r="J162" s="10">
        <v>34.566667000000002</v>
      </c>
      <c r="K162" t="s">
        <v>29</v>
      </c>
      <c r="AV162" t="s">
        <v>28</v>
      </c>
      <c r="AW162">
        <v>100</v>
      </c>
      <c r="AX162" t="s">
        <v>29</v>
      </c>
      <c r="AY162">
        <v>4</v>
      </c>
      <c r="AZ162" t="s">
        <v>27</v>
      </c>
      <c r="BA162">
        <v>1994</v>
      </c>
      <c r="BB162">
        <v>1998</v>
      </c>
      <c r="BC162" t="s">
        <v>26</v>
      </c>
      <c r="BD162" t="s">
        <v>45</v>
      </c>
      <c r="BE162" s="10" t="s">
        <v>49</v>
      </c>
      <c r="BF162" t="s">
        <v>48</v>
      </c>
      <c r="BG162" s="3" t="s">
        <v>1243</v>
      </c>
      <c r="BH162" t="s">
        <v>23</v>
      </c>
      <c r="BI162" t="s">
        <v>750</v>
      </c>
      <c r="BJ162" s="4" t="s">
        <v>22</v>
      </c>
      <c r="BK162" s="9">
        <v>53000</v>
      </c>
      <c r="EF162" s="4"/>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K162" s="9"/>
      <c r="HR162" t="s">
        <v>21</v>
      </c>
      <c r="HT162" s="4" t="s">
        <v>20</v>
      </c>
      <c r="HU162" s="58">
        <v>34335</v>
      </c>
      <c r="HV162" s="58">
        <v>36160</v>
      </c>
      <c r="HW162" s="58"/>
      <c r="IN162" t="s">
        <v>47</v>
      </c>
      <c r="IO162" s="54" t="s">
        <v>1236</v>
      </c>
      <c r="IR162">
        <v>1995</v>
      </c>
      <c r="IS162">
        <v>1995.2</v>
      </c>
      <c r="IT162" s="4" t="s">
        <v>18</v>
      </c>
      <c r="IU162" t="s">
        <v>38</v>
      </c>
      <c r="IV162" t="s">
        <v>19</v>
      </c>
      <c r="IZ162">
        <v>0</v>
      </c>
      <c r="JA162">
        <v>0</v>
      </c>
      <c r="JB162">
        <v>0</v>
      </c>
      <c r="JC162">
        <v>0</v>
      </c>
      <c r="JD162">
        <v>0</v>
      </c>
      <c r="JE162">
        <v>0</v>
      </c>
      <c r="JF162">
        <v>0</v>
      </c>
      <c r="JG162">
        <v>0</v>
      </c>
      <c r="JH162">
        <v>0</v>
      </c>
      <c r="JJ162" s="12" t="s">
        <v>721</v>
      </c>
      <c r="JO162" s="4"/>
      <c r="KE162" s="7" t="s">
        <v>12</v>
      </c>
      <c r="KI162" s="7" t="s">
        <v>720</v>
      </c>
      <c r="KJ162" s="7"/>
      <c r="MS162" t="s">
        <v>11</v>
      </c>
      <c r="MT162">
        <v>42</v>
      </c>
      <c r="MW162" s="4" t="s">
        <v>96</v>
      </c>
      <c r="NE162" t="s">
        <v>95</v>
      </c>
      <c r="NG162" s="4" t="s">
        <v>1165</v>
      </c>
      <c r="NH162" s="6" t="s">
        <v>7</v>
      </c>
      <c r="NQ162" t="s">
        <v>6</v>
      </c>
      <c r="NR162" s="5" t="s">
        <v>106</v>
      </c>
      <c r="NS162" s="4" t="s">
        <v>4</v>
      </c>
      <c r="NT162" s="3">
        <v>0.21261384510997017</v>
      </c>
      <c r="NW162">
        <v>4</v>
      </c>
      <c r="OH162" t="s">
        <v>102</v>
      </c>
      <c r="OJ162">
        <v>1996</v>
      </c>
      <c r="OM162" s="2" t="s">
        <v>1</v>
      </c>
      <c r="OO162" t="s">
        <v>1178</v>
      </c>
      <c r="OP162" s="58">
        <v>46094</v>
      </c>
    </row>
    <row r="163" spans="1:406" ht="15.75" thickBot="1">
      <c r="A163" s="11" t="s">
        <v>36</v>
      </c>
      <c r="B163" t="s">
        <v>35</v>
      </c>
      <c r="C163" t="s">
        <v>34</v>
      </c>
      <c r="D163" s="4" t="s">
        <v>33</v>
      </c>
      <c r="E163" t="s">
        <v>32</v>
      </c>
      <c r="F163" s="4" t="s">
        <v>31</v>
      </c>
      <c r="G163" t="s">
        <v>2</v>
      </c>
      <c r="H163" t="s">
        <v>30</v>
      </c>
      <c r="I163" s="10">
        <v>0.1</v>
      </c>
      <c r="J163" s="10">
        <v>34.566667000000002</v>
      </c>
      <c r="K163" t="s">
        <v>29</v>
      </c>
      <c r="AV163" t="s">
        <v>28</v>
      </c>
      <c r="AW163">
        <v>100</v>
      </c>
      <c r="AX163" t="s">
        <v>29</v>
      </c>
      <c r="AY163">
        <v>4</v>
      </c>
      <c r="AZ163" t="s">
        <v>27</v>
      </c>
      <c r="BA163">
        <v>1994</v>
      </c>
      <c r="BB163">
        <v>1998</v>
      </c>
      <c r="BC163" t="s">
        <v>26</v>
      </c>
      <c r="BD163" t="s">
        <v>45</v>
      </c>
      <c r="BE163" s="10" t="s">
        <v>44</v>
      </c>
      <c r="BF163" t="s">
        <v>43</v>
      </c>
      <c r="BG163" s="3" t="s">
        <v>1243</v>
      </c>
      <c r="BH163" t="s">
        <v>23</v>
      </c>
      <c r="BI163" t="s">
        <v>750</v>
      </c>
      <c r="BJ163" s="4" t="s">
        <v>22</v>
      </c>
      <c r="BK163" s="9">
        <v>53000</v>
      </c>
      <c r="EF163" s="4"/>
      <c r="EG163" s="9"/>
      <c r="EH163" s="9"/>
      <c r="EI163" s="9"/>
      <c r="EJ163" s="9"/>
      <c r="EK163" s="9"/>
      <c r="EL163" s="9"/>
      <c r="EM163" s="9"/>
      <c r="EN163" s="9"/>
      <c r="EO163" s="9"/>
      <c r="EP163" s="9"/>
      <c r="EQ163" s="9"/>
      <c r="ER163" s="9"/>
      <c r="ES163" s="9"/>
      <c r="ET163" s="9"/>
      <c r="EU163" s="9"/>
      <c r="EV163" s="9"/>
      <c r="EW163" s="9"/>
      <c r="EX163" s="9"/>
      <c r="EY163" s="9"/>
      <c r="EZ163" s="9"/>
      <c r="FA163" s="9"/>
      <c r="FB163" s="9"/>
      <c r="FC163" s="9"/>
      <c r="FD163" s="9"/>
      <c r="FE163" s="9"/>
      <c r="FF163" s="9"/>
      <c r="FG163" s="9"/>
      <c r="FH163" s="9"/>
      <c r="FI163" s="9"/>
      <c r="FJ163" s="9"/>
      <c r="FK163" s="9"/>
      <c r="FL163" s="9"/>
      <c r="FM163" s="9"/>
      <c r="FN163" s="9"/>
      <c r="FO163" s="9"/>
      <c r="FP163" s="9"/>
      <c r="FQ163" s="9"/>
      <c r="FR163" s="9"/>
      <c r="FS163" s="9"/>
      <c r="FT163" s="9"/>
      <c r="FU163" s="9"/>
      <c r="FV163" s="9"/>
      <c r="FW163" s="9"/>
      <c r="FX163" s="9"/>
      <c r="FY163" s="9"/>
      <c r="FZ163" s="9"/>
      <c r="GA163" s="9"/>
      <c r="GB163" s="9"/>
      <c r="GC163" s="9"/>
      <c r="GD163" s="9"/>
      <c r="GE163" s="9"/>
      <c r="GF163" s="9"/>
      <c r="GG163" s="9"/>
      <c r="GH163" s="9"/>
      <c r="GI163" s="9"/>
      <c r="GJ163" s="9"/>
      <c r="GK163" s="9"/>
      <c r="GL163" s="9"/>
      <c r="GM163" s="9"/>
      <c r="GN163" s="9"/>
      <c r="GO163" s="9"/>
      <c r="GP163" s="9"/>
      <c r="GQ163" s="9"/>
      <c r="GR163" s="9"/>
      <c r="GS163" s="9"/>
      <c r="GT163" s="9"/>
      <c r="GU163" s="9"/>
      <c r="GV163" s="9"/>
      <c r="GW163" s="9"/>
      <c r="GX163" s="9"/>
      <c r="GY163" s="9"/>
      <c r="GZ163" s="9"/>
      <c r="HA163" s="9"/>
      <c r="HB163" s="9"/>
      <c r="HC163" s="9"/>
      <c r="HD163" s="9"/>
      <c r="HE163" s="9"/>
      <c r="HF163" s="9"/>
      <c r="HG163" s="9"/>
      <c r="HH163" s="9"/>
      <c r="HI163" s="9"/>
      <c r="HJ163" s="9"/>
      <c r="HK163" s="9"/>
      <c r="HR163" t="s">
        <v>21</v>
      </c>
      <c r="HT163" s="4" t="s">
        <v>20</v>
      </c>
      <c r="HU163" s="58">
        <v>34335</v>
      </c>
      <c r="HV163" s="58">
        <v>36160</v>
      </c>
      <c r="HW163" s="58"/>
      <c r="IN163" t="s">
        <v>42</v>
      </c>
      <c r="IO163" s="13" t="s">
        <v>1237</v>
      </c>
      <c r="IR163">
        <v>1994</v>
      </c>
      <c r="IS163">
        <v>1994.2</v>
      </c>
      <c r="IT163" s="4" t="s">
        <v>18</v>
      </c>
      <c r="IU163" t="s">
        <v>38</v>
      </c>
      <c r="IV163" t="s">
        <v>19</v>
      </c>
      <c r="IZ163">
        <v>0</v>
      </c>
      <c r="JA163">
        <v>0</v>
      </c>
      <c r="JB163">
        <v>0</v>
      </c>
      <c r="JC163">
        <v>0</v>
      </c>
      <c r="JD163">
        <v>0</v>
      </c>
      <c r="JE163">
        <v>0</v>
      </c>
      <c r="JF163">
        <v>0</v>
      </c>
      <c r="JG163">
        <v>0</v>
      </c>
      <c r="JH163">
        <v>0</v>
      </c>
      <c r="JJ163" s="12" t="s">
        <v>721</v>
      </c>
      <c r="JO163" s="4"/>
      <c r="KE163" s="7" t="s">
        <v>12</v>
      </c>
      <c r="KI163" s="7" t="s">
        <v>720</v>
      </c>
      <c r="KJ163" s="7"/>
      <c r="MS163" t="s">
        <v>11</v>
      </c>
      <c r="MT163">
        <v>42</v>
      </c>
      <c r="MW163" s="4" t="s">
        <v>96</v>
      </c>
      <c r="NE163" t="s">
        <v>95</v>
      </c>
      <c r="NG163" s="4" t="s">
        <v>1165</v>
      </c>
      <c r="NH163" s="6" t="s">
        <v>7</v>
      </c>
      <c r="NQ163" t="s">
        <v>6</v>
      </c>
      <c r="NR163" s="5" t="s">
        <v>105</v>
      </c>
      <c r="NS163" s="4" t="s">
        <v>4</v>
      </c>
      <c r="NT163" s="3">
        <v>0.21330891398247021</v>
      </c>
      <c r="NW163">
        <v>4</v>
      </c>
      <c r="OH163" t="s">
        <v>102</v>
      </c>
      <c r="OJ163">
        <v>1996</v>
      </c>
      <c r="OM163" s="2" t="s">
        <v>1</v>
      </c>
      <c r="OO163" t="s">
        <v>1178</v>
      </c>
      <c r="OP163" s="58">
        <v>46094</v>
      </c>
    </row>
    <row r="164" spans="1:406" ht="15.75" thickBot="1">
      <c r="A164" s="11" t="s">
        <v>36</v>
      </c>
      <c r="B164" t="s">
        <v>35</v>
      </c>
      <c r="C164" t="s">
        <v>34</v>
      </c>
      <c r="D164" s="4" t="s">
        <v>33</v>
      </c>
      <c r="E164" t="s">
        <v>32</v>
      </c>
      <c r="F164" s="4" t="s">
        <v>31</v>
      </c>
      <c r="G164" t="s">
        <v>2</v>
      </c>
      <c r="H164" t="s">
        <v>30</v>
      </c>
      <c r="I164" s="10">
        <v>0.1</v>
      </c>
      <c r="J164" s="10">
        <v>34.566667000000002</v>
      </c>
      <c r="K164" t="s">
        <v>29</v>
      </c>
      <c r="AV164" t="s">
        <v>28</v>
      </c>
      <c r="AW164">
        <v>100</v>
      </c>
      <c r="AX164" t="s">
        <v>29</v>
      </c>
      <c r="AY164">
        <v>4</v>
      </c>
      <c r="AZ164" t="s">
        <v>27</v>
      </c>
      <c r="BA164">
        <v>1994</v>
      </c>
      <c r="BB164">
        <v>1998</v>
      </c>
      <c r="BC164" t="s">
        <v>26</v>
      </c>
      <c r="BD164" t="s">
        <v>19</v>
      </c>
      <c r="BE164" s="10" t="s">
        <v>40</v>
      </c>
      <c r="BF164" t="s">
        <v>39</v>
      </c>
      <c r="BG164" s="3" t="s">
        <v>1243</v>
      </c>
      <c r="BH164" t="s">
        <v>23</v>
      </c>
      <c r="BI164" t="s">
        <v>750</v>
      </c>
      <c r="BJ164" s="4" t="s">
        <v>22</v>
      </c>
      <c r="BK164" s="9">
        <v>53000</v>
      </c>
      <c r="HR164" t="s">
        <v>21</v>
      </c>
      <c r="HT164" s="4" t="s">
        <v>20</v>
      </c>
      <c r="HU164" s="58">
        <v>34335</v>
      </c>
      <c r="HV164" s="58">
        <v>36160</v>
      </c>
      <c r="HW164" s="58"/>
      <c r="IN164" t="s">
        <v>38</v>
      </c>
      <c r="IO164" s="54" t="s">
        <v>19</v>
      </c>
      <c r="IT164" s="4" t="s">
        <v>18</v>
      </c>
      <c r="IU164" t="s">
        <v>38</v>
      </c>
      <c r="IV164" s="54" t="s">
        <v>19</v>
      </c>
      <c r="IZ164">
        <v>0</v>
      </c>
      <c r="JA164">
        <v>0</v>
      </c>
      <c r="JB164">
        <v>0</v>
      </c>
      <c r="JC164">
        <v>0</v>
      </c>
      <c r="JD164">
        <v>0</v>
      </c>
      <c r="JE164">
        <v>0</v>
      </c>
      <c r="JF164">
        <v>0</v>
      </c>
      <c r="JG164">
        <v>0</v>
      </c>
      <c r="JH164">
        <v>0</v>
      </c>
      <c r="JJ164" s="12" t="s">
        <v>721</v>
      </c>
      <c r="JO164" s="4"/>
      <c r="KE164" s="7" t="s">
        <v>12</v>
      </c>
      <c r="KI164" s="7" t="s">
        <v>720</v>
      </c>
      <c r="KJ164" s="7"/>
      <c r="MS164" t="s">
        <v>11</v>
      </c>
      <c r="MT164">
        <v>42</v>
      </c>
      <c r="MW164" s="4" t="s">
        <v>96</v>
      </c>
      <c r="NE164" t="s">
        <v>95</v>
      </c>
      <c r="NG164" s="4" t="s">
        <v>1165</v>
      </c>
      <c r="NH164" s="6" t="s">
        <v>7</v>
      </c>
      <c r="NP164" t="s">
        <v>735</v>
      </c>
      <c r="NQ164" t="s">
        <v>6</v>
      </c>
      <c r="NR164" s="5" t="s">
        <v>104</v>
      </c>
      <c r="NS164" s="4" t="s">
        <v>4</v>
      </c>
      <c r="NT164" s="3">
        <v>8.5107321943770131E-2</v>
      </c>
      <c r="NW164">
        <v>4</v>
      </c>
      <c r="OH164" t="s">
        <v>102</v>
      </c>
      <c r="OJ164">
        <v>1996</v>
      </c>
      <c r="OM164" s="2" t="s">
        <v>1</v>
      </c>
      <c r="OO164" t="s">
        <v>1178</v>
      </c>
      <c r="OP164" s="58">
        <v>46094</v>
      </c>
    </row>
    <row r="165" spans="1:406" ht="15.75" thickBot="1">
      <c r="A165" s="11" t="s">
        <v>36</v>
      </c>
      <c r="B165" t="s">
        <v>35</v>
      </c>
      <c r="C165" t="s">
        <v>34</v>
      </c>
      <c r="D165" s="4" t="s">
        <v>33</v>
      </c>
      <c r="E165" t="s">
        <v>32</v>
      </c>
      <c r="F165" s="4" t="s">
        <v>31</v>
      </c>
      <c r="G165" t="s">
        <v>2</v>
      </c>
      <c r="H165" t="s">
        <v>30</v>
      </c>
      <c r="I165" s="10">
        <v>0.1</v>
      </c>
      <c r="J165" s="10">
        <v>34.566667000000002</v>
      </c>
      <c r="K165" t="s">
        <v>29</v>
      </c>
      <c r="AV165" t="s">
        <v>28</v>
      </c>
      <c r="AW165">
        <v>100</v>
      </c>
      <c r="AX165" t="s">
        <v>29</v>
      </c>
      <c r="AY165">
        <v>4</v>
      </c>
      <c r="AZ165" t="s">
        <v>27</v>
      </c>
      <c r="BA165">
        <v>1994</v>
      </c>
      <c r="BB165">
        <v>1998</v>
      </c>
      <c r="BC165" t="s">
        <v>26</v>
      </c>
      <c r="BD165" t="s">
        <v>19</v>
      </c>
      <c r="BE165" s="10" t="s">
        <v>25</v>
      </c>
      <c r="BF165" t="s">
        <v>24</v>
      </c>
      <c r="BG165" s="3" t="s">
        <v>1243</v>
      </c>
      <c r="BH165" t="s">
        <v>23</v>
      </c>
      <c r="BI165" t="s">
        <v>750</v>
      </c>
      <c r="BJ165" s="4" t="s">
        <v>22</v>
      </c>
      <c r="BK165" s="9">
        <v>53000</v>
      </c>
      <c r="HR165" t="s">
        <v>21</v>
      </c>
      <c r="HT165" s="4" t="s">
        <v>20</v>
      </c>
      <c r="HU165" s="58">
        <v>34335</v>
      </c>
      <c r="HV165" s="58">
        <v>36160</v>
      </c>
      <c r="HW165" s="58"/>
      <c r="IN165" t="s">
        <v>16</v>
      </c>
      <c r="IO165" s="54" t="s">
        <v>19</v>
      </c>
      <c r="IT165" s="4" t="s">
        <v>18</v>
      </c>
      <c r="IU165" t="s">
        <v>17</v>
      </c>
      <c r="IV165" s="54" t="s">
        <v>19</v>
      </c>
      <c r="IZ165">
        <v>0</v>
      </c>
      <c r="JA165">
        <v>0</v>
      </c>
      <c r="JB165">
        <v>0</v>
      </c>
      <c r="JC165">
        <v>0</v>
      </c>
      <c r="JD165">
        <v>0</v>
      </c>
      <c r="JE165">
        <v>0</v>
      </c>
      <c r="JF165">
        <v>0</v>
      </c>
      <c r="JG165">
        <v>0</v>
      </c>
      <c r="JH165">
        <v>0</v>
      </c>
      <c r="JI165" t="s">
        <v>16</v>
      </c>
      <c r="JJ165" t="s">
        <v>15</v>
      </c>
      <c r="JK165" s="8" t="s">
        <v>14</v>
      </c>
      <c r="JO165" s="4" t="s">
        <v>13</v>
      </c>
      <c r="JP165">
        <v>60</v>
      </c>
      <c r="JS165">
        <v>60</v>
      </c>
      <c r="KE165" s="7" t="s">
        <v>12</v>
      </c>
      <c r="KI165" s="7" t="s">
        <v>720</v>
      </c>
      <c r="KJ165" s="7"/>
      <c r="MS165" t="s">
        <v>11</v>
      </c>
      <c r="MT165">
        <v>42</v>
      </c>
      <c r="MW165" s="4" t="s">
        <v>96</v>
      </c>
      <c r="NE165" t="s">
        <v>95</v>
      </c>
      <c r="NG165" s="4" t="s">
        <v>1165</v>
      </c>
      <c r="NH165" s="6" t="s">
        <v>7</v>
      </c>
      <c r="NP165" t="s">
        <v>747</v>
      </c>
      <c r="NQ165" t="s">
        <v>6</v>
      </c>
      <c r="NR165" s="5" t="s">
        <v>103</v>
      </c>
      <c r="NS165" s="4" t="s">
        <v>4</v>
      </c>
      <c r="NT165" s="3">
        <v>0.12781544266508993</v>
      </c>
      <c r="NW165">
        <v>4</v>
      </c>
      <c r="OH165" t="s">
        <v>102</v>
      </c>
      <c r="OJ165">
        <v>1996</v>
      </c>
      <c r="OM165" s="2" t="s">
        <v>1</v>
      </c>
      <c r="OO165" t="s">
        <v>1178</v>
      </c>
      <c r="OP165" s="58">
        <v>46094</v>
      </c>
    </row>
    <row r="166" spans="1:406" ht="15.75" thickBot="1">
      <c r="A166" s="11" t="s">
        <v>36</v>
      </c>
      <c r="B166" t="s">
        <v>35</v>
      </c>
      <c r="C166" t="s">
        <v>34</v>
      </c>
      <c r="D166" s="4" t="s">
        <v>33</v>
      </c>
      <c r="E166" t="s">
        <v>32</v>
      </c>
      <c r="F166" s="4" t="s">
        <v>31</v>
      </c>
      <c r="G166" t="s">
        <v>2</v>
      </c>
      <c r="H166" t="s">
        <v>30</v>
      </c>
      <c r="I166" s="10">
        <v>0.1</v>
      </c>
      <c r="J166" s="10">
        <v>34.566667000000002</v>
      </c>
      <c r="K166" t="s">
        <v>29</v>
      </c>
      <c r="AV166" t="s">
        <v>28</v>
      </c>
      <c r="AW166">
        <v>100</v>
      </c>
      <c r="AX166" t="s">
        <v>29</v>
      </c>
      <c r="AY166">
        <v>4</v>
      </c>
      <c r="AZ166" t="s">
        <v>27</v>
      </c>
      <c r="BA166">
        <v>1994</v>
      </c>
      <c r="BB166">
        <v>1998</v>
      </c>
      <c r="BC166" t="s">
        <v>26</v>
      </c>
      <c r="BD166" t="s">
        <v>59</v>
      </c>
      <c r="BE166" s="10" t="s">
        <v>65</v>
      </c>
      <c r="BF166" t="s">
        <v>64</v>
      </c>
      <c r="BG166" s="3" t="s">
        <v>1243</v>
      </c>
      <c r="BH166" t="s">
        <v>23</v>
      </c>
      <c r="BI166" t="s">
        <v>750</v>
      </c>
      <c r="BJ166" s="4" t="s">
        <v>22</v>
      </c>
      <c r="BK166" s="9">
        <v>53000</v>
      </c>
      <c r="EE166" t="s">
        <v>55</v>
      </c>
      <c r="EF166" s="4" t="s">
        <v>22</v>
      </c>
      <c r="EG166" s="9">
        <v>53000</v>
      </c>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K166" s="9"/>
      <c r="HR166" t="s">
        <v>21</v>
      </c>
      <c r="HT166" s="4" t="s">
        <v>20</v>
      </c>
      <c r="HU166" s="58">
        <v>34335</v>
      </c>
      <c r="HV166" s="58">
        <v>36160</v>
      </c>
      <c r="HW166" s="58"/>
      <c r="IM166" s="4"/>
      <c r="IN166" t="s">
        <v>63</v>
      </c>
      <c r="IO166" s="12" t="s">
        <v>1736</v>
      </c>
      <c r="IR166">
        <v>1995</v>
      </c>
      <c r="IS166">
        <v>1995.2</v>
      </c>
      <c r="IT166" s="4" t="s">
        <v>18</v>
      </c>
      <c r="IU166" t="s">
        <v>61</v>
      </c>
      <c r="IV166" s="12" t="s">
        <v>52</v>
      </c>
      <c r="IY166">
        <v>0.5</v>
      </c>
      <c r="IZ166" t="s">
        <v>29</v>
      </c>
      <c r="JA166" t="s">
        <v>29</v>
      </c>
      <c r="JB166" t="s">
        <v>29</v>
      </c>
      <c r="JC166" t="s">
        <v>29</v>
      </c>
      <c r="JD166" t="s">
        <v>29</v>
      </c>
      <c r="JE166" t="s">
        <v>29</v>
      </c>
      <c r="JF166" t="s">
        <v>29</v>
      </c>
      <c r="JG166" t="s">
        <v>29</v>
      </c>
      <c r="JH166" t="s">
        <v>29</v>
      </c>
      <c r="JJ166" s="12" t="s">
        <v>721</v>
      </c>
      <c r="JO166" s="4"/>
      <c r="KE166" s="7" t="s">
        <v>12</v>
      </c>
      <c r="KI166" s="7" t="s">
        <v>719</v>
      </c>
      <c r="KJ166" s="7" t="s">
        <v>51</v>
      </c>
      <c r="KL166" t="s">
        <v>29</v>
      </c>
      <c r="MS166" t="s">
        <v>11</v>
      </c>
      <c r="MT166">
        <v>42</v>
      </c>
      <c r="MW166" s="4" t="s">
        <v>96</v>
      </c>
      <c r="NE166" t="s">
        <v>95</v>
      </c>
      <c r="NG166" s="4" t="s">
        <v>1165</v>
      </c>
      <c r="NH166" s="6" t="s">
        <v>7</v>
      </c>
      <c r="NQ166" t="s">
        <v>6</v>
      </c>
      <c r="NR166" s="5" t="s">
        <v>101</v>
      </c>
      <c r="NS166" s="4" t="s">
        <v>4</v>
      </c>
      <c r="NT166" s="3">
        <v>0.16982849451392013</v>
      </c>
      <c r="NW166">
        <v>4</v>
      </c>
      <c r="OH166" t="s">
        <v>93</v>
      </c>
      <c r="OJ166">
        <v>1997</v>
      </c>
      <c r="OM166" s="2" t="s">
        <v>1</v>
      </c>
      <c r="OO166" t="s">
        <v>1178</v>
      </c>
      <c r="OP166" s="58">
        <v>46094</v>
      </c>
    </row>
    <row r="167" spans="1:406" ht="15.75" thickBot="1">
      <c r="A167" s="11" t="s">
        <v>36</v>
      </c>
      <c r="B167" t="s">
        <v>35</v>
      </c>
      <c r="C167" t="s">
        <v>34</v>
      </c>
      <c r="D167" s="4" t="s">
        <v>33</v>
      </c>
      <c r="E167" t="s">
        <v>32</v>
      </c>
      <c r="F167" s="4" t="s">
        <v>31</v>
      </c>
      <c r="G167" t="s">
        <v>2</v>
      </c>
      <c r="H167" t="s">
        <v>30</v>
      </c>
      <c r="I167" s="10">
        <v>0.1</v>
      </c>
      <c r="J167" s="10">
        <v>34.566667000000002</v>
      </c>
      <c r="K167" t="s">
        <v>29</v>
      </c>
      <c r="AV167" t="s">
        <v>28</v>
      </c>
      <c r="AW167">
        <v>100</v>
      </c>
      <c r="AX167" t="s">
        <v>29</v>
      </c>
      <c r="AY167">
        <v>4</v>
      </c>
      <c r="AZ167" t="s">
        <v>27</v>
      </c>
      <c r="BA167">
        <v>1994</v>
      </c>
      <c r="BB167">
        <v>1998</v>
      </c>
      <c r="BC167" t="s">
        <v>26</v>
      </c>
      <c r="BD167" t="s">
        <v>59</v>
      </c>
      <c r="BE167" s="10" t="s">
        <v>58</v>
      </c>
      <c r="BF167" t="s">
        <v>57</v>
      </c>
      <c r="BG167" s="3" t="s">
        <v>1243</v>
      </c>
      <c r="BH167" t="s">
        <v>23</v>
      </c>
      <c r="BI167" t="s">
        <v>750</v>
      </c>
      <c r="BJ167" s="4" t="s">
        <v>22</v>
      </c>
      <c r="BK167" s="9">
        <v>53000</v>
      </c>
      <c r="EE167" t="s">
        <v>55</v>
      </c>
      <c r="EF167" s="4" t="s">
        <v>22</v>
      </c>
      <c r="EG167" s="9">
        <v>53000</v>
      </c>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R167" t="s">
        <v>21</v>
      </c>
      <c r="HT167" s="4" t="s">
        <v>20</v>
      </c>
      <c r="HU167" s="58">
        <v>34335</v>
      </c>
      <c r="HV167" s="58">
        <v>36160</v>
      </c>
      <c r="HW167" s="58"/>
      <c r="IM167" s="4"/>
      <c r="IN167" t="s">
        <v>54</v>
      </c>
      <c r="IO167" s="12" t="s">
        <v>1737</v>
      </c>
      <c r="IR167">
        <v>1994</v>
      </c>
      <c r="IS167">
        <v>1994.2</v>
      </c>
      <c r="IT167" s="4" t="s">
        <v>18</v>
      </c>
      <c r="IU167" t="s">
        <v>53</v>
      </c>
      <c r="IV167" s="12" t="s">
        <v>52</v>
      </c>
      <c r="IY167">
        <v>0.5</v>
      </c>
      <c r="IZ167" t="s">
        <v>29</v>
      </c>
      <c r="JA167" t="s">
        <v>29</v>
      </c>
      <c r="JB167" t="s">
        <v>29</v>
      </c>
      <c r="JC167" t="s">
        <v>29</v>
      </c>
      <c r="JD167" t="s">
        <v>29</v>
      </c>
      <c r="JE167" t="s">
        <v>29</v>
      </c>
      <c r="JF167" t="s">
        <v>29</v>
      </c>
      <c r="JG167" t="s">
        <v>29</v>
      </c>
      <c r="JH167" t="s">
        <v>29</v>
      </c>
      <c r="JJ167" s="12" t="s">
        <v>721</v>
      </c>
      <c r="JO167" s="4"/>
      <c r="KE167" s="7" t="s">
        <v>12</v>
      </c>
      <c r="KI167" s="7" t="s">
        <v>719</v>
      </c>
      <c r="KJ167" s="7" t="s">
        <v>51</v>
      </c>
      <c r="KL167" t="s">
        <v>29</v>
      </c>
      <c r="MS167" t="s">
        <v>11</v>
      </c>
      <c r="MT167">
        <v>42</v>
      </c>
      <c r="MW167" s="4" t="s">
        <v>96</v>
      </c>
      <c r="NE167" t="s">
        <v>95</v>
      </c>
      <c r="NG167" s="4" t="s">
        <v>1165</v>
      </c>
      <c r="NH167" s="6" t="s">
        <v>7</v>
      </c>
      <c r="NQ167" t="s">
        <v>6</v>
      </c>
      <c r="NR167" s="5" t="s">
        <v>100</v>
      </c>
      <c r="NS167" s="4" t="s">
        <v>4</v>
      </c>
      <c r="NT167" s="3">
        <v>8.5030092069049878E-2</v>
      </c>
      <c r="NW167">
        <v>4</v>
      </c>
      <c r="OH167" t="s">
        <v>93</v>
      </c>
      <c r="OJ167">
        <v>1997</v>
      </c>
      <c r="OM167" s="2" t="s">
        <v>1</v>
      </c>
      <c r="OO167" t="s">
        <v>1178</v>
      </c>
      <c r="OP167" s="58">
        <v>46094</v>
      </c>
    </row>
    <row r="168" spans="1:406" ht="15.75" thickBot="1">
      <c r="A168" s="11" t="s">
        <v>36</v>
      </c>
      <c r="B168" t="s">
        <v>35</v>
      </c>
      <c r="C168" t="s">
        <v>34</v>
      </c>
      <c r="D168" s="4" t="s">
        <v>33</v>
      </c>
      <c r="E168" t="s">
        <v>32</v>
      </c>
      <c r="F168" s="4" t="s">
        <v>31</v>
      </c>
      <c r="G168" t="s">
        <v>2</v>
      </c>
      <c r="H168" t="s">
        <v>30</v>
      </c>
      <c r="I168" s="10">
        <v>0.1</v>
      </c>
      <c r="J168" s="10">
        <v>34.566667000000002</v>
      </c>
      <c r="K168" t="s">
        <v>29</v>
      </c>
      <c r="AV168" t="s">
        <v>28</v>
      </c>
      <c r="AW168">
        <v>100</v>
      </c>
      <c r="AX168" t="s">
        <v>29</v>
      </c>
      <c r="AY168">
        <v>4</v>
      </c>
      <c r="AZ168" t="s">
        <v>27</v>
      </c>
      <c r="BA168">
        <v>1994</v>
      </c>
      <c r="BB168">
        <v>1998</v>
      </c>
      <c r="BC168" t="s">
        <v>26</v>
      </c>
      <c r="BD168" t="s">
        <v>45</v>
      </c>
      <c r="BE168" s="10" t="s">
        <v>49</v>
      </c>
      <c r="BF168" t="s">
        <v>48</v>
      </c>
      <c r="BG168" s="3" t="s">
        <v>1243</v>
      </c>
      <c r="BH168" t="s">
        <v>23</v>
      </c>
      <c r="BI168" t="s">
        <v>750</v>
      </c>
      <c r="BJ168" s="4" t="s">
        <v>22</v>
      </c>
      <c r="BK168" s="9">
        <v>53000</v>
      </c>
      <c r="EF168" s="4"/>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K168" s="9"/>
      <c r="HR168" t="s">
        <v>21</v>
      </c>
      <c r="HT168" s="4" t="s">
        <v>20</v>
      </c>
      <c r="HU168" s="58">
        <v>34335</v>
      </c>
      <c r="HV168" s="58">
        <v>36160</v>
      </c>
      <c r="HW168" s="58"/>
      <c r="IN168" t="s">
        <v>47</v>
      </c>
      <c r="IO168" s="54" t="s">
        <v>1236</v>
      </c>
      <c r="IR168">
        <v>1995</v>
      </c>
      <c r="IS168">
        <v>1995.2</v>
      </c>
      <c r="IT168" s="4" t="s">
        <v>18</v>
      </c>
      <c r="IU168" t="s">
        <v>38</v>
      </c>
      <c r="IV168" t="s">
        <v>19</v>
      </c>
      <c r="IZ168">
        <v>0</v>
      </c>
      <c r="JA168">
        <v>0</v>
      </c>
      <c r="JB168">
        <v>0</v>
      </c>
      <c r="JC168">
        <v>0</v>
      </c>
      <c r="JD168">
        <v>0</v>
      </c>
      <c r="JE168">
        <v>0</v>
      </c>
      <c r="JF168">
        <v>0</v>
      </c>
      <c r="JG168">
        <v>0</v>
      </c>
      <c r="JH168">
        <v>0</v>
      </c>
      <c r="JJ168" s="12" t="s">
        <v>721</v>
      </c>
      <c r="JO168" s="4"/>
      <c r="KE168" s="7" t="s">
        <v>12</v>
      </c>
      <c r="KI168" s="7" t="s">
        <v>720</v>
      </c>
      <c r="KJ168" s="7"/>
      <c r="MS168" t="s">
        <v>11</v>
      </c>
      <c r="MT168">
        <v>42</v>
      </c>
      <c r="MW168" s="4" t="s">
        <v>96</v>
      </c>
      <c r="NE168" t="s">
        <v>95</v>
      </c>
      <c r="NG168" s="4" t="s">
        <v>1165</v>
      </c>
      <c r="NH168" s="6" t="s">
        <v>7</v>
      </c>
      <c r="NQ168" t="s">
        <v>6</v>
      </c>
      <c r="NR168" s="5" t="s">
        <v>99</v>
      </c>
      <c r="NS168" s="4" t="s">
        <v>4</v>
      </c>
      <c r="NT168" s="3">
        <v>0.1487833536521499</v>
      </c>
      <c r="NW168">
        <v>4</v>
      </c>
      <c r="OH168" t="s">
        <v>93</v>
      </c>
      <c r="OJ168">
        <v>1997</v>
      </c>
      <c r="OM168" s="2" t="s">
        <v>1</v>
      </c>
      <c r="OO168" t="s">
        <v>1178</v>
      </c>
      <c r="OP168" s="58">
        <v>46094</v>
      </c>
    </row>
    <row r="169" spans="1:406" ht="15.75" thickBot="1">
      <c r="A169" s="11" t="s">
        <v>36</v>
      </c>
      <c r="B169" t="s">
        <v>35</v>
      </c>
      <c r="C169" t="s">
        <v>34</v>
      </c>
      <c r="D169" s="4" t="s">
        <v>33</v>
      </c>
      <c r="E169" t="s">
        <v>32</v>
      </c>
      <c r="F169" s="4" t="s">
        <v>31</v>
      </c>
      <c r="G169" t="s">
        <v>2</v>
      </c>
      <c r="H169" t="s">
        <v>30</v>
      </c>
      <c r="I169" s="10">
        <v>0.1</v>
      </c>
      <c r="J169" s="10">
        <v>34.566667000000002</v>
      </c>
      <c r="K169" t="s">
        <v>29</v>
      </c>
      <c r="AV169" t="s">
        <v>28</v>
      </c>
      <c r="AW169">
        <v>100</v>
      </c>
      <c r="AX169" t="s">
        <v>29</v>
      </c>
      <c r="AY169">
        <v>4</v>
      </c>
      <c r="AZ169" t="s">
        <v>27</v>
      </c>
      <c r="BA169">
        <v>1994</v>
      </c>
      <c r="BB169">
        <v>1998</v>
      </c>
      <c r="BC169" t="s">
        <v>26</v>
      </c>
      <c r="BD169" t="s">
        <v>45</v>
      </c>
      <c r="BE169" s="10" t="s">
        <v>44</v>
      </c>
      <c r="BF169" t="s">
        <v>43</v>
      </c>
      <c r="BG169" s="3" t="s">
        <v>1243</v>
      </c>
      <c r="BH169" t="s">
        <v>23</v>
      </c>
      <c r="BI169" t="s">
        <v>750</v>
      </c>
      <c r="BJ169" s="4" t="s">
        <v>22</v>
      </c>
      <c r="BK169" s="9">
        <v>53000</v>
      </c>
      <c r="EF169" s="4"/>
      <c r="EG169" s="9"/>
      <c r="EH169" s="9"/>
      <c r="EI169" s="9"/>
      <c r="EJ169" s="9"/>
      <c r="EK169" s="9"/>
      <c r="EL169" s="9"/>
      <c r="EM169" s="9"/>
      <c r="EN169" s="9"/>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R169" t="s">
        <v>21</v>
      </c>
      <c r="HT169" s="4" t="s">
        <v>20</v>
      </c>
      <c r="HU169" s="58">
        <v>34335</v>
      </c>
      <c r="HV169" s="58">
        <v>36160</v>
      </c>
      <c r="HW169" s="58"/>
      <c r="IN169" t="s">
        <v>42</v>
      </c>
      <c r="IO169" s="13" t="s">
        <v>1237</v>
      </c>
      <c r="IR169">
        <v>1994</v>
      </c>
      <c r="IS169">
        <v>1994.2</v>
      </c>
      <c r="IT169" s="4" t="s">
        <v>18</v>
      </c>
      <c r="IU169" t="s">
        <v>38</v>
      </c>
      <c r="IV169" t="s">
        <v>19</v>
      </c>
      <c r="IZ169">
        <v>0</v>
      </c>
      <c r="JA169">
        <v>0</v>
      </c>
      <c r="JB169">
        <v>0</v>
      </c>
      <c r="JC169">
        <v>0</v>
      </c>
      <c r="JD169">
        <v>0</v>
      </c>
      <c r="JE169">
        <v>0</v>
      </c>
      <c r="JF169">
        <v>0</v>
      </c>
      <c r="JG169">
        <v>0</v>
      </c>
      <c r="JH169">
        <v>0</v>
      </c>
      <c r="JJ169" s="12" t="s">
        <v>721</v>
      </c>
      <c r="JO169" s="4"/>
      <c r="KE169" s="7" t="s">
        <v>12</v>
      </c>
      <c r="KI169" s="7" t="s">
        <v>720</v>
      </c>
      <c r="KJ169" s="7"/>
      <c r="MS169" t="s">
        <v>11</v>
      </c>
      <c r="MT169">
        <v>42</v>
      </c>
      <c r="MW169" s="4" t="s">
        <v>96</v>
      </c>
      <c r="NE169" t="s">
        <v>95</v>
      </c>
      <c r="NG169" s="4" t="s">
        <v>1165</v>
      </c>
      <c r="NH169" s="6" t="s">
        <v>7</v>
      </c>
      <c r="NQ169" t="s">
        <v>6</v>
      </c>
      <c r="NR169" s="5" t="s">
        <v>98</v>
      </c>
      <c r="NS169" s="4" t="s">
        <v>4</v>
      </c>
      <c r="NT169" s="3">
        <v>0.16990572438863993</v>
      </c>
      <c r="NW169">
        <v>4</v>
      </c>
      <c r="OH169" t="s">
        <v>93</v>
      </c>
      <c r="OJ169">
        <v>1997</v>
      </c>
      <c r="OM169" s="2" t="s">
        <v>1</v>
      </c>
      <c r="OO169" t="s">
        <v>1178</v>
      </c>
      <c r="OP169" s="58">
        <v>46094</v>
      </c>
    </row>
    <row r="170" spans="1:406" ht="15.75" thickBot="1">
      <c r="A170" s="11" t="s">
        <v>36</v>
      </c>
      <c r="B170" t="s">
        <v>35</v>
      </c>
      <c r="C170" t="s">
        <v>34</v>
      </c>
      <c r="D170" s="4" t="s">
        <v>33</v>
      </c>
      <c r="E170" t="s">
        <v>32</v>
      </c>
      <c r="F170" s="4" t="s">
        <v>31</v>
      </c>
      <c r="G170" t="s">
        <v>2</v>
      </c>
      <c r="H170" t="s">
        <v>30</v>
      </c>
      <c r="I170" s="10">
        <v>0.1</v>
      </c>
      <c r="J170" s="10">
        <v>34.566667000000002</v>
      </c>
      <c r="K170" t="s">
        <v>29</v>
      </c>
      <c r="AV170" t="s">
        <v>28</v>
      </c>
      <c r="AW170">
        <v>100</v>
      </c>
      <c r="AX170" t="s">
        <v>29</v>
      </c>
      <c r="AY170">
        <v>4</v>
      </c>
      <c r="AZ170" t="s">
        <v>27</v>
      </c>
      <c r="BA170">
        <v>1994</v>
      </c>
      <c r="BB170">
        <v>1998</v>
      </c>
      <c r="BC170" t="s">
        <v>26</v>
      </c>
      <c r="BD170" t="s">
        <v>19</v>
      </c>
      <c r="BE170" s="10" t="s">
        <v>40</v>
      </c>
      <c r="BF170" t="s">
        <v>39</v>
      </c>
      <c r="BG170" s="3" t="s">
        <v>1243</v>
      </c>
      <c r="BH170" t="s">
        <v>23</v>
      </c>
      <c r="BI170" t="s">
        <v>750</v>
      </c>
      <c r="BJ170" s="4" t="s">
        <v>22</v>
      </c>
      <c r="BK170" s="9">
        <v>53000</v>
      </c>
      <c r="HR170" t="s">
        <v>21</v>
      </c>
      <c r="HT170" s="4" t="s">
        <v>20</v>
      </c>
      <c r="HU170" s="58">
        <v>34335</v>
      </c>
      <c r="HV170" s="58">
        <v>36160</v>
      </c>
      <c r="HW170" s="58"/>
      <c r="IN170" t="s">
        <v>38</v>
      </c>
      <c r="IO170" s="54" t="s">
        <v>19</v>
      </c>
      <c r="IT170" s="4" t="s">
        <v>18</v>
      </c>
      <c r="IU170" t="s">
        <v>38</v>
      </c>
      <c r="IV170" s="54" t="s">
        <v>19</v>
      </c>
      <c r="IZ170">
        <v>0</v>
      </c>
      <c r="JA170">
        <v>0</v>
      </c>
      <c r="JB170">
        <v>0</v>
      </c>
      <c r="JC170">
        <v>0</v>
      </c>
      <c r="JD170">
        <v>0</v>
      </c>
      <c r="JE170">
        <v>0</v>
      </c>
      <c r="JF170">
        <v>0</v>
      </c>
      <c r="JG170">
        <v>0</v>
      </c>
      <c r="JH170">
        <v>0</v>
      </c>
      <c r="JJ170" s="12" t="s">
        <v>721</v>
      </c>
      <c r="JO170" s="4"/>
      <c r="KE170" s="7" t="s">
        <v>12</v>
      </c>
      <c r="KI170" s="7" t="s">
        <v>720</v>
      </c>
      <c r="KJ170" s="7"/>
      <c r="MS170" t="s">
        <v>11</v>
      </c>
      <c r="MT170">
        <v>42</v>
      </c>
      <c r="MW170" s="4" t="s">
        <v>96</v>
      </c>
      <c r="NE170" t="s">
        <v>95</v>
      </c>
      <c r="NG170" s="4" t="s">
        <v>1165</v>
      </c>
      <c r="NH170" s="6" t="s">
        <v>7</v>
      </c>
      <c r="NP170" t="s">
        <v>735</v>
      </c>
      <c r="NQ170" t="s">
        <v>6</v>
      </c>
      <c r="NR170" s="5" t="s">
        <v>97</v>
      </c>
      <c r="NS170" s="4" t="s">
        <v>4</v>
      </c>
      <c r="NT170" s="3">
        <v>0.17006018413809021</v>
      </c>
      <c r="NW170">
        <v>4</v>
      </c>
      <c r="OH170" t="s">
        <v>93</v>
      </c>
      <c r="OJ170">
        <v>1997</v>
      </c>
      <c r="OM170" s="2" t="s">
        <v>1</v>
      </c>
      <c r="OO170" t="s">
        <v>1178</v>
      </c>
      <c r="OP170" s="58">
        <v>46094</v>
      </c>
    </row>
    <row r="171" spans="1:406" ht="15.75" thickBot="1">
      <c r="A171" s="11" t="s">
        <v>36</v>
      </c>
      <c r="B171" t="s">
        <v>35</v>
      </c>
      <c r="C171" t="s">
        <v>34</v>
      </c>
      <c r="D171" s="4" t="s">
        <v>33</v>
      </c>
      <c r="E171" t="s">
        <v>32</v>
      </c>
      <c r="F171" s="4" t="s">
        <v>31</v>
      </c>
      <c r="G171" t="s">
        <v>2</v>
      </c>
      <c r="H171" t="s">
        <v>30</v>
      </c>
      <c r="I171" s="10">
        <v>0.1</v>
      </c>
      <c r="J171" s="10">
        <v>34.566667000000002</v>
      </c>
      <c r="K171" t="s">
        <v>29</v>
      </c>
      <c r="AV171" t="s">
        <v>28</v>
      </c>
      <c r="AW171">
        <v>100</v>
      </c>
      <c r="AX171" t="s">
        <v>29</v>
      </c>
      <c r="AY171">
        <v>4</v>
      </c>
      <c r="AZ171" t="s">
        <v>27</v>
      </c>
      <c r="BA171">
        <v>1994</v>
      </c>
      <c r="BB171">
        <v>1998</v>
      </c>
      <c r="BC171" t="s">
        <v>26</v>
      </c>
      <c r="BD171" t="s">
        <v>19</v>
      </c>
      <c r="BE171" s="10" t="s">
        <v>25</v>
      </c>
      <c r="BF171" t="s">
        <v>24</v>
      </c>
      <c r="BG171" s="3" t="s">
        <v>1243</v>
      </c>
      <c r="BH171" t="s">
        <v>23</v>
      </c>
      <c r="BI171" t="s">
        <v>750</v>
      </c>
      <c r="BJ171" s="4" t="s">
        <v>22</v>
      </c>
      <c r="BK171" s="9">
        <v>53000</v>
      </c>
      <c r="HR171" t="s">
        <v>21</v>
      </c>
      <c r="HT171" s="4" t="s">
        <v>20</v>
      </c>
      <c r="HU171" s="58">
        <v>34335</v>
      </c>
      <c r="HV171" s="58">
        <v>36160</v>
      </c>
      <c r="HW171" s="58"/>
      <c r="IN171" t="s">
        <v>16</v>
      </c>
      <c r="IO171" s="54" t="s">
        <v>19</v>
      </c>
      <c r="IT171" s="4" t="s">
        <v>18</v>
      </c>
      <c r="IU171" t="s">
        <v>17</v>
      </c>
      <c r="IV171" s="54" t="s">
        <v>19</v>
      </c>
      <c r="IZ171">
        <v>0</v>
      </c>
      <c r="JA171">
        <v>0</v>
      </c>
      <c r="JB171">
        <v>0</v>
      </c>
      <c r="JC171">
        <v>0</v>
      </c>
      <c r="JD171">
        <v>0</v>
      </c>
      <c r="JE171">
        <v>0</v>
      </c>
      <c r="JF171">
        <v>0</v>
      </c>
      <c r="JG171">
        <v>0</v>
      </c>
      <c r="JH171">
        <v>0</v>
      </c>
      <c r="JI171" t="s">
        <v>16</v>
      </c>
      <c r="JJ171" t="s">
        <v>15</v>
      </c>
      <c r="JK171" s="8" t="s">
        <v>14</v>
      </c>
      <c r="JO171" s="4" t="s">
        <v>13</v>
      </c>
      <c r="JP171">
        <v>60</v>
      </c>
      <c r="JS171">
        <v>60</v>
      </c>
      <c r="KE171" s="7" t="s">
        <v>12</v>
      </c>
      <c r="KI171" s="7" t="s">
        <v>720</v>
      </c>
      <c r="KJ171" s="7"/>
      <c r="MS171" t="s">
        <v>11</v>
      </c>
      <c r="MT171">
        <v>42</v>
      </c>
      <c r="MW171" s="4" t="s">
        <v>96</v>
      </c>
      <c r="NE171" t="s">
        <v>95</v>
      </c>
      <c r="NG171" s="4" t="s">
        <v>1165</v>
      </c>
      <c r="NH171" s="6" t="s">
        <v>7</v>
      </c>
      <c r="NP171" t="s">
        <v>747</v>
      </c>
      <c r="NQ171" t="s">
        <v>6</v>
      </c>
      <c r="NR171" s="5" t="s">
        <v>94</v>
      </c>
      <c r="NS171" s="4" t="s">
        <v>4</v>
      </c>
      <c r="NT171" s="3">
        <v>0.17006018413808999</v>
      </c>
      <c r="NW171">
        <v>4</v>
      </c>
      <c r="OH171" t="s">
        <v>93</v>
      </c>
      <c r="OJ171">
        <v>1997</v>
      </c>
      <c r="OM171" s="2" t="s">
        <v>1</v>
      </c>
      <c r="OO171" t="s">
        <v>1178</v>
      </c>
      <c r="OP171" s="58">
        <v>46094</v>
      </c>
    </row>
    <row r="172" spans="1:406" ht="15.75" thickBot="1">
      <c r="A172" s="11" t="s">
        <v>36</v>
      </c>
      <c r="B172" t="s">
        <v>35</v>
      </c>
      <c r="C172" t="s">
        <v>34</v>
      </c>
      <c r="D172" s="4" t="s">
        <v>33</v>
      </c>
      <c r="E172" t="s">
        <v>32</v>
      </c>
      <c r="F172" s="4" t="s">
        <v>31</v>
      </c>
      <c r="G172" t="s">
        <v>2</v>
      </c>
      <c r="H172" t="s">
        <v>30</v>
      </c>
      <c r="I172" s="10">
        <v>0.1</v>
      </c>
      <c r="J172" s="10">
        <v>34.566667000000002</v>
      </c>
      <c r="K172" t="s">
        <v>29</v>
      </c>
      <c r="AV172" t="s">
        <v>28</v>
      </c>
      <c r="AW172">
        <v>100</v>
      </c>
      <c r="AX172" t="s">
        <v>29</v>
      </c>
      <c r="AY172">
        <v>4</v>
      </c>
      <c r="AZ172" t="s">
        <v>27</v>
      </c>
      <c r="BA172">
        <v>1994</v>
      </c>
      <c r="BB172">
        <v>1998</v>
      </c>
      <c r="BC172" t="s">
        <v>26</v>
      </c>
      <c r="BD172" t="s">
        <v>59</v>
      </c>
      <c r="BE172" s="10" t="s">
        <v>65</v>
      </c>
      <c r="BF172" t="s">
        <v>64</v>
      </c>
      <c r="BG172" s="3" t="s">
        <v>1243</v>
      </c>
      <c r="BH172" t="s">
        <v>23</v>
      </c>
      <c r="BI172" t="s">
        <v>750</v>
      </c>
      <c r="BJ172" s="4" t="s">
        <v>22</v>
      </c>
      <c r="BK172" s="9">
        <v>53000</v>
      </c>
      <c r="EE172" t="s">
        <v>55</v>
      </c>
      <c r="EF172" s="4" t="s">
        <v>22</v>
      </c>
      <c r="EG172" s="9">
        <v>53000</v>
      </c>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K172" s="9"/>
      <c r="HR172" t="s">
        <v>21</v>
      </c>
      <c r="HT172" s="4" t="s">
        <v>20</v>
      </c>
      <c r="HU172" s="58">
        <v>34335</v>
      </c>
      <c r="HV172" s="58">
        <v>36160</v>
      </c>
      <c r="HW172" s="58"/>
      <c r="IM172" s="4"/>
      <c r="IN172" t="s">
        <v>63</v>
      </c>
      <c r="IO172" s="12" t="s">
        <v>1736</v>
      </c>
      <c r="IR172">
        <v>1995</v>
      </c>
      <c r="IS172">
        <v>1995.2</v>
      </c>
      <c r="IT172" s="4" t="s">
        <v>18</v>
      </c>
      <c r="IU172" t="s">
        <v>61</v>
      </c>
      <c r="IV172" s="12" t="s">
        <v>52</v>
      </c>
      <c r="IY172">
        <v>0.5</v>
      </c>
      <c r="IZ172" t="s">
        <v>29</v>
      </c>
      <c r="JA172" t="s">
        <v>29</v>
      </c>
      <c r="JB172" t="s">
        <v>29</v>
      </c>
      <c r="JC172" t="s">
        <v>29</v>
      </c>
      <c r="JD172" t="s">
        <v>29</v>
      </c>
      <c r="JE172" t="s">
        <v>29</v>
      </c>
      <c r="JF172" t="s">
        <v>29</v>
      </c>
      <c r="JG172" t="s">
        <v>29</v>
      </c>
      <c r="JH172" t="s">
        <v>29</v>
      </c>
      <c r="JJ172" s="12" t="s">
        <v>721</v>
      </c>
      <c r="JO172" s="4"/>
      <c r="KE172" s="7" t="s">
        <v>12</v>
      </c>
      <c r="KI172" s="7" t="s">
        <v>719</v>
      </c>
      <c r="KJ172" s="7" t="s">
        <v>51</v>
      </c>
      <c r="KL172" t="s">
        <v>29</v>
      </c>
      <c r="MS172" t="s">
        <v>11</v>
      </c>
      <c r="MT172">
        <v>42</v>
      </c>
      <c r="MW172" s="4" t="s">
        <v>10</v>
      </c>
      <c r="NE172" t="s">
        <v>9</v>
      </c>
      <c r="NG172" s="4" t="s">
        <v>1165</v>
      </c>
      <c r="NH172" s="6" t="s">
        <v>7</v>
      </c>
      <c r="NQ172" t="s">
        <v>6</v>
      </c>
      <c r="NR172" s="5" t="s">
        <v>92</v>
      </c>
      <c r="NS172" s="4" t="s">
        <v>4</v>
      </c>
      <c r="NT172" s="3">
        <v>0.83925673437070003</v>
      </c>
      <c r="NW172">
        <v>4</v>
      </c>
      <c r="OH172" t="s">
        <v>86</v>
      </c>
      <c r="OJ172">
        <v>1996</v>
      </c>
      <c r="OM172" s="2" t="s">
        <v>62</v>
      </c>
      <c r="OO172" t="s">
        <v>1178</v>
      </c>
      <c r="OP172" s="58">
        <v>46094</v>
      </c>
    </row>
    <row r="173" spans="1:406" ht="15.75" thickBot="1">
      <c r="A173" s="11" t="s">
        <v>36</v>
      </c>
      <c r="B173" t="s">
        <v>35</v>
      </c>
      <c r="C173" t="s">
        <v>34</v>
      </c>
      <c r="D173" s="4" t="s">
        <v>33</v>
      </c>
      <c r="E173" t="s">
        <v>32</v>
      </c>
      <c r="F173" s="4" t="s">
        <v>31</v>
      </c>
      <c r="G173" t="s">
        <v>2</v>
      </c>
      <c r="H173" t="s">
        <v>30</v>
      </c>
      <c r="I173" s="10">
        <v>0.1</v>
      </c>
      <c r="J173" s="10">
        <v>34.566667000000002</v>
      </c>
      <c r="K173" t="s">
        <v>29</v>
      </c>
      <c r="AV173" t="s">
        <v>28</v>
      </c>
      <c r="AW173">
        <v>100</v>
      </c>
      <c r="AX173" t="s">
        <v>29</v>
      </c>
      <c r="AY173">
        <v>4</v>
      </c>
      <c r="AZ173" t="s">
        <v>27</v>
      </c>
      <c r="BA173">
        <v>1994</v>
      </c>
      <c r="BB173">
        <v>1998</v>
      </c>
      <c r="BC173" t="s">
        <v>26</v>
      </c>
      <c r="BD173" t="s">
        <v>59</v>
      </c>
      <c r="BE173" s="10" t="s">
        <v>58</v>
      </c>
      <c r="BF173" t="s">
        <v>57</v>
      </c>
      <c r="BG173" s="3" t="s">
        <v>1243</v>
      </c>
      <c r="BH173" t="s">
        <v>23</v>
      </c>
      <c r="BI173" t="s">
        <v>750</v>
      </c>
      <c r="BJ173" s="4" t="s">
        <v>22</v>
      </c>
      <c r="BK173" s="9">
        <v>53000</v>
      </c>
      <c r="EE173" t="s">
        <v>55</v>
      </c>
      <c r="EF173" s="4" t="s">
        <v>22</v>
      </c>
      <c r="EG173" s="9">
        <v>53000</v>
      </c>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R173" t="s">
        <v>21</v>
      </c>
      <c r="HT173" s="4" t="s">
        <v>20</v>
      </c>
      <c r="HU173" s="58">
        <v>34335</v>
      </c>
      <c r="HV173" s="58">
        <v>36160</v>
      </c>
      <c r="HW173" s="58"/>
      <c r="IM173" s="4"/>
      <c r="IN173" t="s">
        <v>54</v>
      </c>
      <c r="IO173" s="12" t="s">
        <v>1737</v>
      </c>
      <c r="IR173">
        <v>1994</v>
      </c>
      <c r="IS173">
        <v>1994.2</v>
      </c>
      <c r="IT173" s="4" t="s">
        <v>18</v>
      </c>
      <c r="IU173" t="s">
        <v>53</v>
      </c>
      <c r="IV173" s="12" t="s">
        <v>52</v>
      </c>
      <c r="IY173">
        <v>0.5</v>
      </c>
      <c r="IZ173" t="s">
        <v>29</v>
      </c>
      <c r="JA173" t="s">
        <v>29</v>
      </c>
      <c r="JB173" t="s">
        <v>29</v>
      </c>
      <c r="JC173" t="s">
        <v>29</v>
      </c>
      <c r="JD173" t="s">
        <v>29</v>
      </c>
      <c r="JE173" t="s">
        <v>29</v>
      </c>
      <c r="JF173" t="s">
        <v>29</v>
      </c>
      <c r="JG173" t="s">
        <v>29</v>
      </c>
      <c r="JH173" t="s">
        <v>29</v>
      </c>
      <c r="JJ173" s="12" t="s">
        <v>721</v>
      </c>
      <c r="JO173" s="4"/>
      <c r="KE173" s="7" t="s">
        <v>12</v>
      </c>
      <c r="KI173" s="7" t="s">
        <v>719</v>
      </c>
      <c r="KJ173" s="7" t="s">
        <v>51</v>
      </c>
      <c r="KL173" t="s">
        <v>29</v>
      </c>
      <c r="MS173" t="s">
        <v>11</v>
      </c>
      <c r="MT173">
        <v>42</v>
      </c>
      <c r="MW173" s="4" t="s">
        <v>10</v>
      </c>
      <c r="NE173" t="s">
        <v>9</v>
      </c>
      <c r="NG173" s="4" t="s">
        <v>1165</v>
      </c>
      <c r="NH173" s="6" t="s">
        <v>7</v>
      </c>
      <c r="NQ173" t="s">
        <v>6</v>
      </c>
      <c r="NR173" s="5" t="s">
        <v>91</v>
      </c>
      <c r="NS173" s="4" t="s">
        <v>4</v>
      </c>
      <c r="NT173" s="3">
        <v>0.14295902380403991</v>
      </c>
      <c r="NW173">
        <v>4</v>
      </c>
      <c r="OH173" t="s">
        <v>86</v>
      </c>
      <c r="OJ173">
        <v>1996</v>
      </c>
      <c r="OM173" s="2" t="s">
        <v>62</v>
      </c>
      <c r="OO173" t="s">
        <v>1178</v>
      </c>
      <c r="OP173" s="58">
        <v>46094</v>
      </c>
    </row>
    <row r="174" spans="1:406" ht="15.75" thickBot="1">
      <c r="A174" s="11" t="s">
        <v>36</v>
      </c>
      <c r="B174" t="s">
        <v>35</v>
      </c>
      <c r="C174" t="s">
        <v>34</v>
      </c>
      <c r="D174" s="4" t="s">
        <v>33</v>
      </c>
      <c r="E174" t="s">
        <v>32</v>
      </c>
      <c r="F174" s="4" t="s">
        <v>31</v>
      </c>
      <c r="G174" t="s">
        <v>2</v>
      </c>
      <c r="H174" t="s">
        <v>30</v>
      </c>
      <c r="I174" s="10">
        <v>0.1</v>
      </c>
      <c r="J174" s="10">
        <v>34.566667000000002</v>
      </c>
      <c r="K174" t="s">
        <v>29</v>
      </c>
      <c r="AV174" t="s">
        <v>28</v>
      </c>
      <c r="AW174">
        <v>100</v>
      </c>
      <c r="AX174" t="s">
        <v>29</v>
      </c>
      <c r="AY174">
        <v>4</v>
      </c>
      <c r="AZ174" t="s">
        <v>27</v>
      </c>
      <c r="BA174">
        <v>1994</v>
      </c>
      <c r="BB174">
        <v>1998</v>
      </c>
      <c r="BC174" t="s">
        <v>26</v>
      </c>
      <c r="BD174" t="s">
        <v>45</v>
      </c>
      <c r="BE174" s="10" t="s">
        <v>49</v>
      </c>
      <c r="BF174" t="s">
        <v>48</v>
      </c>
      <c r="BG174" s="3" t="s">
        <v>1243</v>
      </c>
      <c r="BH174" t="s">
        <v>23</v>
      </c>
      <c r="BI174" t="s">
        <v>750</v>
      </c>
      <c r="BJ174" s="4" t="s">
        <v>22</v>
      </c>
      <c r="BK174" s="9">
        <v>53000</v>
      </c>
      <c r="EF174" s="4"/>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K174" s="9"/>
      <c r="HR174" t="s">
        <v>21</v>
      </c>
      <c r="HT174" s="4" t="s">
        <v>20</v>
      </c>
      <c r="HU174" s="58">
        <v>34335</v>
      </c>
      <c r="HV174" s="58">
        <v>36160</v>
      </c>
      <c r="HW174" s="58"/>
      <c r="IN174" t="s">
        <v>47</v>
      </c>
      <c r="IO174" s="54" t="s">
        <v>1236</v>
      </c>
      <c r="IR174">
        <v>1995</v>
      </c>
      <c r="IS174">
        <v>1995.2</v>
      </c>
      <c r="IT174" s="4" t="s">
        <v>18</v>
      </c>
      <c r="IU174" t="s">
        <v>38</v>
      </c>
      <c r="IV174" t="s">
        <v>19</v>
      </c>
      <c r="IZ174">
        <v>0</v>
      </c>
      <c r="JA174">
        <v>0</v>
      </c>
      <c r="JB174">
        <v>0</v>
      </c>
      <c r="JC174">
        <v>0</v>
      </c>
      <c r="JD174">
        <v>0</v>
      </c>
      <c r="JE174">
        <v>0</v>
      </c>
      <c r="JF174">
        <v>0</v>
      </c>
      <c r="JG174">
        <v>0</v>
      </c>
      <c r="JH174">
        <v>0</v>
      </c>
      <c r="JJ174" s="12" t="s">
        <v>721</v>
      </c>
      <c r="JO174" s="4"/>
      <c r="KE174" s="7" t="s">
        <v>12</v>
      </c>
      <c r="KI174" s="7" t="s">
        <v>720</v>
      </c>
      <c r="KJ174" s="7"/>
      <c r="MS174" t="s">
        <v>11</v>
      </c>
      <c r="MT174">
        <v>42</v>
      </c>
      <c r="MW174" s="4" t="s">
        <v>10</v>
      </c>
      <c r="NE174" t="s">
        <v>9</v>
      </c>
      <c r="NG174" s="4" t="s">
        <v>1165</v>
      </c>
      <c r="NH174" s="6" t="s">
        <v>7</v>
      </c>
      <c r="NQ174" t="s">
        <v>6</v>
      </c>
      <c r="NR174" s="5" t="s">
        <v>90</v>
      </c>
      <c r="NS174" s="4" t="s">
        <v>4</v>
      </c>
      <c r="NT174" s="3">
        <v>0.83952627766328014</v>
      </c>
      <c r="NW174">
        <v>4</v>
      </c>
      <c r="OH174" t="s">
        <v>86</v>
      </c>
      <c r="OJ174">
        <v>1996</v>
      </c>
      <c r="OM174" s="2" t="s">
        <v>62</v>
      </c>
      <c r="OO174" t="s">
        <v>1178</v>
      </c>
      <c r="OP174" s="58">
        <v>46094</v>
      </c>
    </row>
    <row r="175" spans="1:406" ht="15.75" thickBot="1">
      <c r="A175" s="11" t="s">
        <v>36</v>
      </c>
      <c r="B175" t="s">
        <v>35</v>
      </c>
      <c r="C175" t="s">
        <v>34</v>
      </c>
      <c r="D175" s="4" t="s">
        <v>33</v>
      </c>
      <c r="E175" t="s">
        <v>32</v>
      </c>
      <c r="F175" s="4" t="s">
        <v>31</v>
      </c>
      <c r="G175" t="s">
        <v>2</v>
      </c>
      <c r="H175" t="s">
        <v>30</v>
      </c>
      <c r="I175" s="10">
        <v>0.1</v>
      </c>
      <c r="J175" s="10">
        <v>34.566667000000002</v>
      </c>
      <c r="K175" t="s">
        <v>29</v>
      </c>
      <c r="AV175" t="s">
        <v>28</v>
      </c>
      <c r="AW175">
        <v>100</v>
      </c>
      <c r="AX175" t="s">
        <v>29</v>
      </c>
      <c r="AY175">
        <v>4</v>
      </c>
      <c r="AZ175" t="s">
        <v>27</v>
      </c>
      <c r="BA175">
        <v>1994</v>
      </c>
      <c r="BB175">
        <v>1998</v>
      </c>
      <c r="BC175" t="s">
        <v>26</v>
      </c>
      <c r="BD175" t="s">
        <v>45</v>
      </c>
      <c r="BE175" s="10" t="s">
        <v>44</v>
      </c>
      <c r="BF175" t="s">
        <v>43</v>
      </c>
      <c r="BG175" s="3" t="s">
        <v>1243</v>
      </c>
      <c r="BH175" t="s">
        <v>23</v>
      </c>
      <c r="BI175" t="s">
        <v>750</v>
      </c>
      <c r="BJ175" s="4" t="s">
        <v>22</v>
      </c>
      <c r="BK175" s="9">
        <v>53000</v>
      </c>
      <c r="EF175" s="4"/>
      <c r="EG175" s="9"/>
      <c r="EH175" s="9"/>
      <c r="EI175" s="9"/>
      <c r="EJ175" s="9"/>
      <c r="EK175" s="9"/>
      <c r="EL175" s="9"/>
      <c r="EM175" s="9"/>
      <c r="EN175" s="9"/>
      <c r="EO175" s="9"/>
      <c r="EP175" s="9"/>
      <c r="EQ175" s="9"/>
      <c r="ER175" s="9"/>
      <c r="ES175" s="9"/>
      <c r="ET175" s="9"/>
      <c r="EU175" s="9"/>
      <c r="EV175" s="9"/>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R175" t="s">
        <v>21</v>
      </c>
      <c r="HT175" s="4" t="s">
        <v>20</v>
      </c>
      <c r="HU175" s="58">
        <v>34335</v>
      </c>
      <c r="HV175" s="58">
        <v>36160</v>
      </c>
      <c r="HW175" s="58"/>
      <c r="IN175" t="s">
        <v>42</v>
      </c>
      <c r="IO175" s="13" t="s">
        <v>1237</v>
      </c>
      <c r="IR175">
        <v>1994</v>
      </c>
      <c r="IS175">
        <v>1994.2</v>
      </c>
      <c r="IT175" s="4" t="s">
        <v>18</v>
      </c>
      <c r="IU175" t="s">
        <v>38</v>
      </c>
      <c r="IV175" t="s">
        <v>19</v>
      </c>
      <c r="IZ175">
        <v>0</v>
      </c>
      <c r="JA175">
        <v>0</v>
      </c>
      <c r="JB175">
        <v>0</v>
      </c>
      <c r="JC175">
        <v>0</v>
      </c>
      <c r="JD175">
        <v>0</v>
      </c>
      <c r="JE175">
        <v>0</v>
      </c>
      <c r="JF175">
        <v>0</v>
      </c>
      <c r="JG175">
        <v>0</v>
      </c>
      <c r="JH175">
        <v>0</v>
      </c>
      <c r="JJ175" s="12" t="s">
        <v>721</v>
      </c>
      <c r="JO175" s="4"/>
      <c r="KE175" s="7" t="s">
        <v>12</v>
      </c>
      <c r="KI175" s="7" t="s">
        <v>720</v>
      </c>
      <c r="KJ175" s="7"/>
      <c r="MS175" t="s">
        <v>11</v>
      </c>
      <c r="MT175">
        <v>42</v>
      </c>
      <c r="MW175" s="4" t="s">
        <v>10</v>
      </c>
      <c r="NE175" t="s">
        <v>9</v>
      </c>
      <c r="NG175" s="4" t="s">
        <v>1165</v>
      </c>
      <c r="NH175" s="6" t="s">
        <v>7</v>
      </c>
      <c r="NQ175" t="s">
        <v>6</v>
      </c>
      <c r="NR175" s="5" t="s">
        <v>89</v>
      </c>
      <c r="NS175" s="4" t="s">
        <v>4</v>
      </c>
      <c r="NT175" s="3">
        <v>0.24993401804816995</v>
      </c>
      <c r="NW175">
        <v>4</v>
      </c>
      <c r="OH175" t="s">
        <v>86</v>
      </c>
      <c r="OJ175">
        <v>1996</v>
      </c>
      <c r="OM175" s="2" t="s">
        <v>62</v>
      </c>
      <c r="OO175" t="s">
        <v>1178</v>
      </c>
      <c r="OP175" s="58">
        <v>46094</v>
      </c>
    </row>
    <row r="176" spans="1:406" ht="15.75" thickBot="1">
      <c r="A176" s="11" t="s">
        <v>36</v>
      </c>
      <c r="B176" t="s">
        <v>35</v>
      </c>
      <c r="C176" t="s">
        <v>34</v>
      </c>
      <c r="D176" s="4" t="s">
        <v>33</v>
      </c>
      <c r="E176" t="s">
        <v>32</v>
      </c>
      <c r="F176" s="4" t="s">
        <v>31</v>
      </c>
      <c r="G176" t="s">
        <v>2</v>
      </c>
      <c r="H176" t="s">
        <v>30</v>
      </c>
      <c r="I176" s="10">
        <v>0.1</v>
      </c>
      <c r="J176" s="10">
        <v>34.566667000000002</v>
      </c>
      <c r="K176" t="s">
        <v>29</v>
      </c>
      <c r="AV176" t="s">
        <v>28</v>
      </c>
      <c r="AW176">
        <v>100</v>
      </c>
      <c r="AX176" t="s">
        <v>29</v>
      </c>
      <c r="AY176">
        <v>4</v>
      </c>
      <c r="AZ176" t="s">
        <v>27</v>
      </c>
      <c r="BA176">
        <v>1994</v>
      </c>
      <c r="BB176">
        <v>1998</v>
      </c>
      <c r="BC176" t="s">
        <v>26</v>
      </c>
      <c r="BD176" t="s">
        <v>19</v>
      </c>
      <c r="BE176" s="10" t="s">
        <v>40</v>
      </c>
      <c r="BF176" t="s">
        <v>39</v>
      </c>
      <c r="BG176" s="3" t="s">
        <v>1243</v>
      </c>
      <c r="BH176" t="s">
        <v>23</v>
      </c>
      <c r="BI176" t="s">
        <v>750</v>
      </c>
      <c r="BJ176" s="4" t="s">
        <v>22</v>
      </c>
      <c r="BK176" s="9">
        <v>53000</v>
      </c>
      <c r="HR176" t="s">
        <v>21</v>
      </c>
      <c r="HT176" s="4" t="s">
        <v>20</v>
      </c>
      <c r="HU176" s="58">
        <v>34335</v>
      </c>
      <c r="HV176" s="58">
        <v>36160</v>
      </c>
      <c r="HW176" s="58"/>
      <c r="IN176" t="s">
        <v>38</v>
      </c>
      <c r="IO176" s="54" t="s">
        <v>19</v>
      </c>
      <c r="IT176" s="4" t="s">
        <v>18</v>
      </c>
      <c r="IU176" t="s">
        <v>38</v>
      </c>
      <c r="IV176" s="54" t="s">
        <v>19</v>
      </c>
      <c r="IZ176">
        <v>0</v>
      </c>
      <c r="JA176">
        <v>0</v>
      </c>
      <c r="JB176">
        <v>0</v>
      </c>
      <c r="JC176">
        <v>0</v>
      </c>
      <c r="JD176">
        <v>0</v>
      </c>
      <c r="JE176">
        <v>0</v>
      </c>
      <c r="JF176">
        <v>0</v>
      </c>
      <c r="JG176">
        <v>0</v>
      </c>
      <c r="JH176">
        <v>0</v>
      </c>
      <c r="JJ176" s="12" t="s">
        <v>721</v>
      </c>
      <c r="JO176" s="4"/>
      <c r="KE176" s="7" t="s">
        <v>12</v>
      </c>
      <c r="KI176" s="7" t="s">
        <v>720</v>
      </c>
      <c r="KJ176" s="7"/>
      <c r="MS176" t="s">
        <v>11</v>
      </c>
      <c r="MT176">
        <v>42</v>
      </c>
      <c r="MW176" s="4" t="s">
        <v>10</v>
      </c>
      <c r="NE176" t="s">
        <v>9</v>
      </c>
      <c r="NG176" s="4" t="s">
        <v>1165</v>
      </c>
      <c r="NH176" s="6" t="s">
        <v>7</v>
      </c>
      <c r="NP176" t="s">
        <v>735</v>
      </c>
      <c r="NQ176" t="s">
        <v>6</v>
      </c>
      <c r="NR176" s="5" t="s">
        <v>88</v>
      </c>
      <c r="NS176" s="4" t="s">
        <v>4</v>
      </c>
      <c r="NT176" s="3">
        <v>0.44632999960691988</v>
      </c>
      <c r="NW176">
        <v>4</v>
      </c>
      <c r="OH176" t="s">
        <v>86</v>
      </c>
      <c r="OJ176">
        <v>1996</v>
      </c>
      <c r="OM176" s="2" t="s">
        <v>62</v>
      </c>
      <c r="OO176" t="s">
        <v>1178</v>
      </c>
      <c r="OP176" s="58">
        <v>46094</v>
      </c>
    </row>
    <row r="177" spans="1:406" ht="15.75" thickBot="1">
      <c r="A177" s="11" t="s">
        <v>36</v>
      </c>
      <c r="B177" t="s">
        <v>35</v>
      </c>
      <c r="C177" t="s">
        <v>34</v>
      </c>
      <c r="D177" s="4" t="s">
        <v>33</v>
      </c>
      <c r="E177" t="s">
        <v>32</v>
      </c>
      <c r="F177" s="4" t="s">
        <v>31</v>
      </c>
      <c r="G177" t="s">
        <v>2</v>
      </c>
      <c r="H177" t="s">
        <v>30</v>
      </c>
      <c r="I177" s="10">
        <v>0.1</v>
      </c>
      <c r="J177" s="10">
        <v>34.566667000000002</v>
      </c>
      <c r="K177" t="s">
        <v>29</v>
      </c>
      <c r="AV177" t="s">
        <v>28</v>
      </c>
      <c r="AW177">
        <v>100</v>
      </c>
      <c r="AX177" t="s">
        <v>29</v>
      </c>
      <c r="AY177">
        <v>4</v>
      </c>
      <c r="AZ177" t="s">
        <v>27</v>
      </c>
      <c r="BA177">
        <v>1994</v>
      </c>
      <c r="BB177">
        <v>1998</v>
      </c>
      <c r="BC177" t="s">
        <v>26</v>
      </c>
      <c r="BD177" t="s">
        <v>19</v>
      </c>
      <c r="BE177" s="10" t="s">
        <v>25</v>
      </c>
      <c r="BF177" t="s">
        <v>24</v>
      </c>
      <c r="BG177" s="3" t="s">
        <v>1243</v>
      </c>
      <c r="BH177" t="s">
        <v>23</v>
      </c>
      <c r="BI177" t="s">
        <v>750</v>
      </c>
      <c r="BJ177" s="4" t="s">
        <v>22</v>
      </c>
      <c r="BK177" s="9">
        <v>53000</v>
      </c>
      <c r="HR177" t="s">
        <v>21</v>
      </c>
      <c r="HT177" s="4" t="s">
        <v>20</v>
      </c>
      <c r="HU177" s="58">
        <v>34335</v>
      </c>
      <c r="HV177" s="58">
        <v>36160</v>
      </c>
      <c r="HW177" s="58"/>
      <c r="IN177" t="s">
        <v>16</v>
      </c>
      <c r="IO177" s="54" t="s">
        <v>19</v>
      </c>
      <c r="IT177" s="4" t="s">
        <v>18</v>
      </c>
      <c r="IU177" t="s">
        <v>17</v>
      </c>
      <c r="IV177" s="54" t="s">
        <v>19</v>
      </c>
      <c r="IZ177">
        <v>0</v>
      </c>
      <c r="JA177">
        <v>0</v>
      </c>
      <c r="JB177">
        <v>0</v>
      </c>
      <c r="JC177">
        <v>0</v>
      </c>
      <c r="JD177">
        <v>0</v>
      </c>
      <c r="JE177">
        <v>0</v>
      </c>
      <c r="JF177">
        <v>0</v>
      </c>
      <c r="JG177">
        <v>0</v>
      </c>
      <c r="JH177">
        <v>0</v>
      </c>
      <c r="JI177" t="s">
        <v>16</v>
      </c>
      <c r="JJ177" t="s">
        <v>15</v>
      </c>
      <c r="JK177" s="8" t="s">
        <v>14</v>
      </c>
      <c r="JO177" s="4" t="s">
        <v>13</v>
      </c>
      <c r="JP177">
        <v>60</v>
      </c>
      <c r="JS177">
        <v>60</v>
      </c>
      <c r="KE177" s="7" t="s">
        <v>12</v>
      </c>
      <c r="KI177" s="7" t="s">
        <v>720</v>
      </c>
      <c r="KJ177" s="7"/>
      <c r="MS177" t="s">
        <v>11</v>
      </c>
      <c r="MT177">
        <v>42</v>
      </c>
      <c r="MW177" s="4" t="s">
        <v>10</v>
      </c>
      <c r="NE177" t="s">
        <v>9</v>
      </c>
      <c r="NG177" s="4" t="s">
        <v>1165</v>
      </c>
      <c r="NH177" s="6" t="s">
        <v>7</v>
      </c>
      <c r="NP177" t="s">
        <v>747</v>
      </c>
      <c r="NQ177" t="s">
        <v>6</v>
      </c>
      <c r="NR177" s="5" t="s">
        <v>87</v>
      </c>
      <c r="NS177" s="4" t="s">
        <v>4</v>
      </c>
      <c r="NT177" s="3">
        <v>0.53578467983310984</v>
      </c>
      <c r="NW177">
        <v>4</v>
      </c>
      <c r="OH177" t="s">
        <v>86</v>
      </c>
      <c r="OJ177">
        <v>1996</v>
      </c>
      <c r="OM177" s="2" t="s">
        <v>62</v>
      </c>
      <c r="OO177" t="s">
        <v>1178</v>
      </c>
      <c r="OP177" s="58">
        <v>46094</v>
      </c>
    </row>
    <row r="178" spans="1:406" ht="15.75" thickBot="1">
      <c r="A178" s="11" t="s">
        <v>36</v>
      </c>
      <c r="B178" t="s">
        <v>35</v>
      </c>
      <c r="C178" t="s">
        <v>34</v>
      </c>
      <c r="D178" s="4" t="s">
        <v>33</v>
      </c>
      <c r="E178" t="s">
        <v>32</v>
      </c>
      <c r="F178" s="4" t="s">
        <v>31</v>
      </c>
      <c r="G178" t="s">
        <v>2</v>
      </c>
      <c r="H178" t="s">
        <v>30</v>
      </c>
      <c r="I178" s="10">
        <v>0.1</v>
      </c>
      <c r="J178" s="10">
        <v>34.566667000000002</v>
      </c>
      <c r="K178" t="s">
        <v>29</v>
      </c>
      <c r="AV178" t="s">
        <v>28</v>
      </c>
      <c r="AW178">
        <v>100</v>
      </c>
      <c r="AX178" t="s">
        <v>29</v>
      </c>
      <c r="AY178">
        <v>4</v>
      </c>
      <c r="AZ178" t="s">
        <v>27</v>
      </c>
      <c r="BA178">
        <v>1994</v>
      </c>
      <c r="BB178">
        <v>1998</v>
      </c>
      <c r="BC178" t="s">
        <v>26</v>
      </c>
      <c r="BD178" t="s">
        <v>59</v>
      </c>
      <c r="BE178" s="10" t="s">
        <v>65</v>
      </c>
      <c r="BF178" t="s">
        <v>64</v>
      </c>
      <c r="BG178" s="3" t="s">
        <v>1243</v>
      </c>
      <c r="BH178" t="s">
        <v>23</v>
      </c>
      <c r="BI178" t="s">
        <v>750</v>
      </c>
      <c r="BJ178" s="4" t="s">
        <v>22</v>
      </c>
      <c r="BK178" s="9">
        <v>53000</v>
      </c>
      <c r="EE178" t="s">
        <v>55</v>
      </c>
      <c r="EF178" s="4" t="s">
        <v>22</v>
      </c>
      <c r="EG178" s="9">
        <v>53000</v>
      </c>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K178" s="9"/>
      <c r="HR178" t="s">
        <v>21</v>
      </c>
      <c r="HT178" s="4" t="s">
        <v>20</v>
      </c>
      <c r="HU178" s="58">
        <v>34335</v>
      </c>
      <c r="HV178" s="58">
        <v>36160</v>
      </c>
      <c r="HW178" s="58"/>
      <c r="IM178" s="4"/>
      <c r="IN178" t="s">
        <v>63</v>
      </c>
      <c r="IO178" s="12" t="s">
        <v>1736</v>
      </c>
      <c r="IR178">
        <v>1995</v>
      </c>
      <c r="IS178">
        <v>1995.2</v>
      </c>
      <c r="IT178" s="4" t="s">
        <v>18</v>
      </c>
      <c r="IU178" t="s">
        <v>61</v>
      </c>
      <c r="IV178" s="12" t="s">
        <v>52</v>
      </c>
      <c r="IY178">
        <v>0.5</v>
      </c>
      <c r="IZ178" t="s">
        <v>29</v>
      </c>
      <c r="JA178" t="s">
        <v>29</v>
      </c>
      <c r="JB178" t="s">
        <v>29</v>
      </c>
      <c r="JC178" t="s">
        <v>29</v>
      </c>
      <c r="JD178" t="s">
        <v>29</v>
      </c>
      <c r="JE178" t="s">
        <v>29</v>
      </c>
      <c r="JF178" t="s">
        <v>29</v>
      </c>
      <c r="JG178" t="s">
        <v>29</v>
      </c>
      <c r="JH178" t="s">
        <v>29</v>
      </c>
      <c r="JJ178" s="12" t="s">
        <v>721</v>
      </c>
      <c r="JO178" s="4"/>
      <c r="KE178" s="7" t="s">
        <v>12</v>
      </c>
      <c r="KI178" s="7" t="s">
        <v>719</v>
      </c>
      <c r="KJ178" s="7" t="s">
        <v>51</v>
      </c>
      <c r="KL178" t="s">
        <v>29</v>
      </c>
      <c r="MS178" t="s">
        <v>11</v>
      </c>
      <c r="MT178">
        <v>42</v>
      </c>
      <c r="MW178" s="4" t="s">
        <v>10</v>
      </c>
      <c r="NE178" t="s">
        <v>9</v>
      </c>
      <c r="NG178" s="4" t="s">
        <v>1165</v>
      </c>
      <c r="NH178" s="6" t="s">
        <v>7</v>
      </c>
      <c r="NQ178" t="s">
        <v>6</v>
      </c>
      <c r="NR178" s="5" t="s">
        <v>85</v>
      </c>
      <c r="NS178" s="4" t="s">
        <v>4</v>
      </c>
      <c r="NT178" s="3">
        <v>0.21432061051555973</v>
      </c>
      <c r="NW178">
        <v>4</v>
      </c>
      <c r="OH178" t="s">
        <v>80</v>
      </c>
      <c r="OJ178">
        <v>1997</v>
      </c>
      <c r="OM178" s="2" t="s">
        <v>62</v>
      </c>
      <c r="OO178" t="s">
        <v>1178</v>
      </c>
      <c r="OP178" s="58">
        <v>46094</v>
      </c>
    </row>
    <row r="179" spans="1:406" ht="15.75" thickBot="1">
      <c r="A179" s="11" t="s">
        <v>36</v>
      </c>
      <c r="B179" t="s">
        <v>35</v>
      </c>
      <c r="C179" t="s">
        <v>34</v>
      </c>
      <c r="D179" s="4" t="s">
        <v>33</v>
      </c>
      <c r="E179" t="s">
        <v>32</v>
      </c>
      <c r="F179" s="4" t="s">
        <v>31</v>
      </c>
      <c r="G179" t="s">
        <v>2</v>
      </c>
      <c r="H179" t="s">
        <v>30</v>
      </c>
      <c r="I179" s="10">
        <v>0.1</v>
      </c>
      <c r="J179" s="10">
        <v>34.566667000000002</v>
      </c>
      <c r="K179" t="s">
        <v>29</v>
      </c>
      <c r="AV179" t="s">
        <v>28</v>
      </c>
      <c r="AW179">
        <v>100</v>
      </c>
      <c r="AX179" t="s">
        <v>29</v>
      </c>
      <c r="AY179">
        <v>4</v>
      </c>
      <c r="AZ179" t="s">
        <v>27</v>
      </c>
      <c r="BA179">
        <v>1994</v>
      </c>
      <c r="BB179">
        <v>1998</v>
      </c>
      <c r="BC179" t="s">
        <v>26</v>
      </c>
      <c r="BD179" t="s">
        <v>59</v>
      </c>
      <c r="BE179" s="10" t="s">
        <v>58</v>
      </c>
      <c r="BF179" t="s">
        <v>57</v>
      </c>
      <c r="BG179" s="3" t="s">
        <v>1243</v>
      </c>
      <c r="BH179" t="s">
        <v>23</v>
      </c>
      <c r="BI179" t="s">
        <v>750</v>
      </c>
      <c r="BJ179" s="4" t="s">
        <v>22</v>
      </c>
      <c r="BK179" s="9">
        <v>53000</v>
      </c>
      <c r="EE179" t="s">
        <v>55</v>
      </c>
      <c r="EF179" s="4" t="s">
        <v>22</v>
      </c>
      <c r="EG179" s="9">
        <v>53000</v>
      </c>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R179" t="s">
        <v>21</v>
      </c>
      <c r="HT179" s="4" t="s">
        <v>20</v>
      </c>
      <c r="HU179" s="58">
        <v>34335</v>
      </c>
      <c r="HV179" s="58">
        <v>36160</v>
      </c>
      <c r="HW179" s="58"/>
      <c r="IM179" s="4"/>
      <c r="IN179" t="s">
        <v>54</v>
      </c>
      <c r="IO179" s="12" t="s">
        <v>1737</v>
      </c>
      <c r="IR179">
        <v>1994</v>
      </c>
      <c r="IS179">
        <v>1994.2</v>
      </c>
      <c r="IT179" s="4" t="s">
        <v>18</v>
      </c>
      <c r="IU179" t="s">
        <v>53</v>
      </c>
      <c r="IV179" s="12" t="s">
        <v>52</v>
      </c>
      <c r="IY179">
        <v>0.5</v>
      </c>
      <c r="IZ179" t="s">
        <v>29</v>
      </c>
      <c r="JA179" t="s">
        <v>29</v>
      </c>
      <c r="JB179" t="s">
        <v>29</v>
      </c>
      <c r="JC179" t="s">
        <v>29</v>
      </c>
      <c r="JD179" t="s">
        <v>29</v>
      </c>
      <c r="JE179" t="s">
        <v>29</v>
      </c>
      <c r="JF179" t="s">
        <v>29</v>
      </c>
      <c r="JG179" t="s">
        <v>29</v>
      </c>
      <c r="JH179" t="s">
        <v>29</v>
      </c>
      <c r="JJ179" s="12" t="s">
        <v>721</v>
      </c>
      <c r="JO179" s="4"/>
      <c r="KE179" s="7" t="s">
        <v>12</v>
      </c>
      <c r="KI179" s="7" t="s">
        <v>719</v>
      </c>
      <c r="KJ179" s="7" t="s">
        <v>51</v>
      </c>
      <c r="KL179" t="s">
        <v>29</v>
      </c>
      <c r="MS179" t="s">
        <v>11</v>
      </c>
      <c r="MT179">
        <v>42</v>
      </c>
      <c r="MW179" s="4" t="s">
        <v>10</v>
      </c>
      <c r="NE179" t="s">
        <v>9</v>
      </c>
      <c r="NG179" s="4" t="s">
        <v>1165</v>
      </c>
      <c r="NH179" s="6" t="s">
        <v>7</v>
      </c>
      <c r="NQ179" t="s">
        <v>6</v>
      </c>
      <c r="NR179" s="5" t="s">
        <v>84</v>
      </c>
      <c r="NS179" s="4" t="s">
        <v>4</v>
      </c>
      <c r="NT179" s="3">
        <v>0.23221154656080012</v>
      </c>
      <c r="NW179">
        <v>4</v>
      </c>
      <c r="OH179" t="s">
        <v>80</v>
      </c>
      <c r="OJ179">
        <v>1997</v>
      </c>
      <c r="OM179" s="2" t="s">
        <v>62</v>
      </c>
      <c r="OO179" t="s">
        <v>1178</v>
      </c>
      <c r="OP179" s="58">
        <v>46094</v>
      </c>
    </row>
    <row r="180" spans="1:406" ht="15.75" thickBot="1">
      <c r="A180" s="11" t="s">
        <v>36</v>
      </c>
      <c r="B180" t="s">
        <v>35</v>
      </c>
      <c r="C180" t="s">
        <v>34</v>
      </c>
      <c r="D180" s="4" t="s">
        <v>33</v>
      </c>
      <c r="E180" t="s">
        <v>32</v>
      </c>
      <c r="F180" s="4" t="s">
        <v>31</v>
      </c>
      <c r="G180" t="s">
        <v>2</v>
      </c>
      <c r="H180" t="s">
        <v>30</v>
      </c>
      <c r="I180" s="10">
        <v>0.1</v>
      </c>
      <c r="J180" s="10">
        <v>34.566667000000002</v>
      </c>
      <c r="K180" t="s">
        <v>29</v>
      </c>
      <c r="AV180" t="s">
        <v>28</v>
      </c>
      <c r="AW180">
        <v>100</v>
      </c>
      <c r="AX180" t="s">
        <v>29</v>
      </c>
      <c r="AY180">
        <v>4</v>
      </c>
      <c r="AZ180" t="s">
        <v>27</v>
      </c>
      <c r="BA180">
        <v>1994</v>
      </c>
      <c r="BB180">
        <v>1998</v>
      </c>
      <c r="BC180" t="s">
        <v>26</v>
      </c>
      <c r="BD180" t="s">
        <v>45</v>
      </c>
      <c r="BE180" s="10" t="s">
        <v>49</v>
      </c>
      <c r="BF180" t="s">
        <v>48</v>
      </c>
      <c r="BG180" s="3" t="s">
        <v>1243</v>
      </c>
      <c r="BH180" t="s">
        <v>23</v>
      </c>
      <c r="BI180" t="s">
        <v>750</v>
      </c>
      <c r="BJ180" s="4" t="s">
        <v>22</v>
      </c>
      <c r="BK180" s="9">
        <v>53000</v>
      </c>
      <c r="EF180" s="4"/>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K180" s="9"/>
      <c r="HR180" t="s">
        <v>21</v>
      </c>
      <c r="HT180" s="4" t="s">
        <v>20</v>
      </c>
      <c r="HU180" s="58">
        <v>34335</v>
      </c>
      <c r="HV180" s="58">
        <v>36160</v>
      </c>
      <c r="HW180" s="58"/>
      <c r="IN180" t="s">
        <v>47</v>
      </c>
      <c r="IO180" s="54" t="s">
        <v>1236</v>
      </c>
      <c r="IR180">
        <v>1995</v>
      </c>
      <c r="IS180">
        <v>1995.2</v>
      </c>
      <c r="IT180" s="4" t="s">
        <v>18</v>
      </c>
      <c r="IU180" t="s">
        <v>38</v>
      </c>
      <c r="IV180" t="s">
        <v>19</v>
      </c>
      <c r="IZ180">
        <v>0</v>
      </c>
      <c r="JA180">
        <v>0</v>
      </c>
      <c r="JB180">
        <v>0</v>
      </c>
      <c r="JC180">
        <v>0</v>
      </c>
      <c r="JD180">
        <v>0</v>
      </c>
      <c r="JE180">
        <v>0</v>
      </c>
      <c r="JF180">
        <v>0</v>
      </c>
      <c r="JG180">
        <v>0</v>
      </c>
      <c r="JH180">
        <v>0</v>
      </c>
      <c r="JJ180" s="12" t="s">
        <v>721</v>
      </c>
      <c r="JO180" s="4"/>
      <c r="KE180" s="7" t="s">
        <v>12</v>
      </c>
      <c r="KI180" s="7" t="s">
        <v>720</v>
      </c>
      <c r="KJ180" s="7"/>
      <c r="MS180" t="s">
        <v>11</v>
      </c>
      <c r="MT180">
        <v>42</v>
      </c>
      <c r="MW180" s="4" t="s">
        <v>10</v>
      </c>
      <c r="NE180" t="s">
        <v>9</v>
      </c>
      <c r="NG180" s="4" t="s">
        <v>1165</v>
      </c>
      <c r="NH180" s="6" t="s">
        <v>7</v>
      </c>
      <c r="NQ180" t="s">
        <v>6</v>
      </c>
      <c r="NR180">
        <v>2.2021013145851001</v>
      </c>
      <c r="NS180" s="4" t="s">
        <v>4</v>
      </c>
      <c r="NT180" s="3">
        <v>0.21442168925026994</v>
      </c>
      <c r="NW180">
        <v>4</v>
      </c>
      <c r="OH180" t="s">
        <v>80</v>
      </c>
      <c r="OJ180">
        <v>1997</v>
      </c>
      <c r="OM180" s="2" t="s">
        <v>62</v>
      </c>
      <c r="OO180" t="s">
        <v>1178</v>
      </c>
      <c r="OP180" s="58">
        <v>46094</v>
      </c>
    </row>
    <row r="181" spans="1:406" ht="15.75" thickBot="1">
      <c r="A181" s="11" t="s">
        <v>36</v>
      </c>
      <c r="B181" t="s">
        <v>35</v>
      </c>
      <c r="C181" t="s">
        <v>34</v>
      </c>
      <c r="D181" s="4" t="s">
        <v>33</v>
      </c>
      <c r="E181" t="s">
        <v>32</v>
      </c>
      <c r="F181" s="4" t="s">
        <v>31</v>
      </c>
      <c r="G181" t="s">
        <v>2</v>
      </c>
      <c r="H181" t="s">
        <v>30</v>
      </c>
      <c r="I181" s="10">
        <v>0.1</v>
      </c>
      <c r="J181" s="10">
        <v>34.566667000000002</v>
      </c>
      <c r="K181" t="s">
        <v>29</v>
      </c>
      <c r="AV181" t="s">
        <v>28</v>
      </c>
      <c r="AW181">
        <v>100</v>
      </c>
      <c r="AX181" t="s">
        <v>29</v>
      </c>
      <c r="AY181">
        <v>4</v>
      </c>
      <c r="AZ181" t="s">
        <v>27</v>
      </c>
      <c r="BA181">
        <v>1994</v>
      </c>
      <c r="BB181">
        <v>1998</v>
      </c>
      <c r="BC181" t="s">
        <v>26</v>
      </c>
      <c r="BD181" t="s">
        <v>45</v>
      </c>
      <c r="BE181" s="10" t="s">
        <v>44</v>
      </c>
      <c r="BF181" t="s">
        <v>43</v>
      </c>
      <c r="BG181" s="3" t="s">
        <v>1243</v>
      </c>
      <c r="BH181" t="s">
        <v>23</v>
      </c>
      <c r="BI181" t="s">
        <v>750</v>
      </c>
      <c r="BJ181" s="4" t="s">
        <v>22</v>
      </c>
      <c r="BK181" s="9">
        <v>53000</v>
      </c>
      <c r="EF181" s="4"/>
      <c r="EG181" s="9"/>
      <c r="EH181" s="9"/>
      <c r="EI181" s="9"/>
      <c r="EJ181" s="9"/>
      <c r="EK181" s="9"/>
      <c r="EL181" s="9"/>
      <c r="EM181" s="9"/>
      <c r="EN181" s="9"/>
      <c r="EO181" s="9"/>
      <c r="EP181" s="9"/>
      <c r="EQ181" s="9"/>
      <c r="ER181" s="9"/>
      <c r="ES181" s="9"/>
      <c r="ET181" s="9"/>
      <c r="EU181" s="9"/>
      <c r="EV181" s="9"/>
      <c r="EW181" s="9"/>
      <c r="EX181" s="9"/>
      <c r="EY181" s="9"/>
      <c r="EZ181" s="9"/>
      <c r="FA181" s="9"/>
      <c r="FB181" s="9"/>
      <c r="FC181" s="9"/>
      <c r="FD181" s="9"/>
      <c r="FE181" s="9"/>
      <c r="FF181" s="9"/>
      <c r="FG181" s="9"/>
      <c r="FH181" s="9"/>
      <c r="FI181" s="9"/>
      <c r="FJ181" s="9"/>
      <c r="FK181" s="9"/>
      <c r="FL181" s="9"/>
      <c r="FM181" s="9"/>
      <c r="FN181" s="9"/>
      <c r="FO181" s="9"/>
      <c r="FP181" s="9"/>
      <c r="FQ181" s="9"/>
      <c r="FR181" s="9"/>
      <c r="FS181" s="9"/>
      <c r="FT181" s="9"/>
      <c r="FU181" s="9"/>
      <c r="FV181" s="9"/>
      <c r="FW181" s="9"/>
      <c r="FX181" s="9"/>
      <c r="FY181" s="9"/>
      <c r="FZ181" s="9"/>
      <c r="GA181" s="9"/>
      <c r="GB181" s="9"/>
      <c r="GC181" s="9"/>
      <c r="GD181" s="9"/>
      <c r="GE181" s="9"/>
      <c r="GF181" s="9"/>
      <c r="GG181" s="9"/>
      <c r="GH181" s="9"/>
      <c r="GI181" s="9"/>
      <c r="GJ181" s="9"/>
      <c r="GK181" s="9"/>
      <c r="GL181" s="9"/>
      <c r="GM181" s="9"/>
      <c r="GN181" s="9"/>
      <c r="GO181" s="9"/>
      <c r="GP181" s="9"/>
      <c r="GQ181" s="9"/>
      <c r="GR181" s="9"/>
      <c r="GS181" s="9"/>
      <c r="GT181" s="9"/>
      <c r="GU181" s="9"/>
      <c r="GV181" s="9"/>
      <c r="GW181" s="9"/>
      <c r="GX181" s="9"/>
      <c r="GY181" s="9"/>
      <c r="GZ181" s="9"/>
      <c r="HA181" s="9"/>
      <c r="HB181" s="9"/>
      <c r="HC181" s="9"/>
      <c r="HD181" s="9"/>
      <c r="HE181" s="9"/>
      <c r="HF181" s="9"/>
      <c r="HG181" s="9"/>
      <c r="HH181" s="9"/>
      <c r="HI181" s="9"/>
      <c r="HJ181" s="9"/>
      <c r="HK181" s="9"/>
      <c r="HR181" t="s">
        <v>21</v>
      </c>
      <c r="HT181" s="4" t="s">
        <v>20</v>
      </c>
      <c r="HU181" s="58">
        <v>34335</v>
      </c>
      <c r="HV181" s="58">
        <v>36160</v>
      </c>
      <c r="HW181" s="58"/>
      <c r="IN181" t="s">
        <v>42</v>
      </c>
      <c r="IO181" s="13" t="s">
        <v>1237</v>
      </c>
      <c r="IR181">
        <v>1994</v>
      </c>
      <c r="IS181">
        <v>1994.2</v>
      </c>
      <c r="IT181" s="4" t="s">
        <v>18</v>
      </c>
      <c r="IU181" t="s">
        <v>38</v>
      </c>
      <c r="IV181" t="s">
        <v>19</v>
      </c>
      <c r="IZ181">
        <v>0</v>
      </c>
      <c r="JA181">
        <v>0</v>
      </c>
      <c r="JB181">
        <v>0</v>
      </c>
      <c r="JC181">
        <v>0</v>
      </c>
      <c r="JD181">
        <v>0</v>
      </c>
      <c r="JE181">
        <v>0</v>
      </c>
      <c r="JF181">
        <v>0</v>
      </c>
      <c r="JG181">
        <v>0</v>
      </c>
      <c r="JH181">
        <v>0</v>
      </c>
      <c r="JJ181" s="12" t="s">
        <v>721</v>
      </c>
      <c r="JO181" s="4"/>
      <c r="KE181" s="7" t="s">
        <v>12</v>
      </c>
      <c r="KI181" s="7" t="s">
        <v>720</v>
      </c>
      <c r="KJ181" s="7"/>
      <c r="MS181" t="s">
        <v>11</v>
      </c>
      <c r="MT181">
        <v>42</v>
      </c>
      <c r="MW181" s="4" t="s">
        <v>10</v>
      </c>
      <c r="NE181" t="s">
        <v>9</v>
      </c>
      <c r="NG181" s="4" t="s">
        <v>1165</v>
      </c>
      <c r="NH181" s="6" t="s">
        <v>7</v>
      </c>
      <c r="NQ181" t="s">
        <v>6</v>
      </c>
      <c r="NR181" s="5" t="s">
        <v>83</v>
      </c>
      <c r="NS181" s="4" t="s">
        <v>4</v>
      </c>
      <c r="NT181" s="3">
        <v>0.21432061051556017</v>
      </c>
      <c r="NW181">
        <v>4</v>
      </c>
      <c r="OH181" t="s">
        <v>80</v>
      </c>
      <c r="OJ181">
        <v>1997</v>
      </c>
      <c r="OM181" s="2" t="s">
        <v>62</v>
      </c>
      <c r="OO181" t="s">
        <v>1178</v>
      </c>
      <c r="OP181" s="58">
        <v>46094</v>
      </c>
    </row>
    <row r="182" spans="1:406" ht="15.75" thickBot="1">
      <c r="A182" s="11" t="s">
        <v>36</v>
      </c>
      <c r="B182" t="s">
        <v>35</v>
      </c>
      <c r="C182" t="s">
        <v>34</v>
      </c>
      <c r="D182" s="4" t="s">
        <v>33</v>
      </c>
      <c r="E182" t="s">
        <v>32</v>
      </c>
      <c r="F182" s="4" t="s">
        <v>31</v>
      </c>
      <c r="G182" t="s">
        <v>2</v>
      </c>
      <c r="H182" t="s">
        <v>30</v>
      </c>
      <c r="I182" s="10">
        <v>0.1</v>
      </c>
      <c r="J182" s="10">
        <v>34.566667000000002</v>
      </c>
      <c r="K182" t="s">
        <v>29</v>
      </c>
      <c r="AV182" t="s">
        <v>28</v>
      </c>
      <c r="AW182">
        <v>100</v>
      </c>
      <c r="AX182" t="s">
        <v>29</v>
      </c>
      <c r="AY182">
        <v>4</v>
      </c>
      <c r="AZ182" t="s">
        <v>27</v>
      </c>
      <c r="BA182">
        <v>1994</v>
      </c>
      <c r="BB182">
        <v>1998</v>
      </c>
      <c r="BC182" t="s">
        <v>26</v>
      </c>
      <c r="BD182" t="s">
        <v>19</v>
      </c>
      <c r="BE182" s="10" t="s">
        <v>40</v>
      </c>
      <c r="BF182" t="s">
        <v>39</v>
      </c>
      <c r="BG182" s="3" t="s">
        <v>1243</v>
      </c>
      <c r="BH182" t="s">
        <v>23</v>
      </c>
      <c r="BI182" t="s">
        <v>750</v>
      </c>
      <c r="BJ182" s="4" t="s">
        <v>22</v>
      </c>
      <c r="BK182" s="9">
        <v>53000</v>
      </c>
      <c r="HR182" t="s">
        <v>21</v>
      </c>
      <c r="HT182" s="4" t="s">
        <v>20</v>
      </c>
      <c r="HU182" s="58">
        <v>34335</v>
      </c>
      <c r="HV182" s="58">
        <v>36160</v>
      </c>
      <c r="HW182" s="58"/>
      <c r="IN182" t="s">
        <v>38</v>
      </c>
      <c r="IO182" s="54" t="s">
        <v>19</v>
      </c>
      <c r="IT182" s="4" t="s">
        <v>18</v>
      </c>
      <c r="IU182" t="s">
        <v>38</v>
      </c>
      <c r="IV182" s="54" t="s">
        <v>19</v>
      </c>
      <c r="IZ182">
        <v>0</v>
      </c>
      <c r="JA182">
        <v>0</v>
      </c>
      <c r="JB182">
        <v>0</v>
      </c>
      <c r="JC182">
        <v>0</v>
      </c>
      <c r="JD182">
        <v>0</v>
      </c>
      <c r="JE182">
        <v>0</v>
      </c>
      <c r="JF182">
        <v>0</v>
      </c>
      <c r="JG182">
        <v>0</v>
      </c>
      <c r="JH182">
        <v>0</v>
      </c>
      <c r="JJ182" s="12" t="s">
        <v>721</v>
      </c>
      <c r="JO182" s="4"/>
      <c r="KE182" s="7" t="s">
        <v>12</v>
      </c>
      <c r="KI182" s="7" t="s">
        <v>720</v>
      </c>
      <c r="KJ182" s="7"/>
      <c r="MS182" t="s">
        <v>11</v>
      </c>
      <c r="MT182">
        <v>42</v>
      </c>
      <c r="MW182" s="4" t="s">
        <v>10</v>
      </c>
      <c r="NE182" t="s">
        <v>9</v>
      </c>
      <c r="NG182" s="4" t="s">
        <v>1165</v>
      </c>
      <c r="NH182" s="6" t="s">
        <v>7</v>
      </c>
      <c r="NP182" t="s">
        <v>735</v>
      </c>
      <c r="NQ182" t="s">
        <v>6</v>
      </c>
      <c r="NR182" s="5" t="s">
        <v>82</v>
      </c>
      <c r="NS182" s="4" t="s">
        <v>4</v>
      </c>
      <c r="NT182" s="3">
        <v>0.23217785364921983</v>
      </c>
      <c r="NW182">
        <v>4</v>
      </c>
      <c r="OH182" t="s">
        <v>80</v>
      </c>
      <c r="OJ182">
        <v>1997</v>
      </c>
      <c r="OM182" s="2" t="s">
        <v>62</v>
      </c>
      <c r="OO182" t="s">
        <v>1178</v>
      </c>
      <c r="OP182" s="58">
        <v>46094</v>
      </c>
    </row>
    <row r="183" spans="1:406" ht="15.75" thickBot="1">
      <c r="A183" s="11" t="s">
        <v>36</v>
      </c>
      <c r="B183" t="s">
        <v>35</v>
      </c>
      <c r="C183" t="s">
        <v>34</v>
      </c>
      <c r="D183" s="4" t="s">
        <v>33</v>
      </c>
      <c r="E183" t="s">
        <v>32</v>
      </c>
      <c r="F183" s="4" t="s">
        <v>31</v>
      </c>
      <c r="G183" t="s">
        <v>2</v>
      </c>
      <c r="H183" t="s">
        <v>30</v>
      </c>
      <c r="I183" s="10">
        <v>0.1</v>
      </c>
      <c r="J183" s="10">
        <v>34.566667000000002</v>
      </c>
      <c r="K183" t="s">
        <v>29</v>
      </c>
      <c r="AV183" t="s">
        <v>28</v>
      </c>
      <c r="AW183">
        <v>100</v>
      </c>
      <c r="AX183" t="s">
        <v>29</v>
      </c>
      <c r="AY183">
        <v>4</v>
      </c>
      <c r="AZ183" t="s">
        <v>27</v>
      </c>
      <c r="BA183">
        <v>1994</v>
      </c>
      <c r="BB183">
        <v>1998</v>
      </c>
      <c r="BC183" t="s">
        <v>26</v>
      </c>
      <c r="BD183" t="s">
        <v>19</v>
      </c>
      <c r="BE183" s="10" t="s">
        <v>25</v>
      </c>
      <c r="BF183" t="s">
        <v>24</v>
      </c>
      <c r="BG183" s="3" t="s">
        <v>1243</v>
      </c>
      <c r="BH183" t="s">
        <v>23</v>
      </c>
      <c r="BI183" t="s">
        <v>750</v>
      </c>
      <c r="BJ183" s="4" t="s">
        <v>22</v>
      </c>
      <c r="BK183" s="9">
        <v>53000</v>
      </c>
      <c r="HR183" t="s">
        <v>21</v>
      </c>
      <c r="HT183" s="4" t="s">
        <v>20</v>
      </c>
      <c r="HU183" s="58">
        <v>34335</v>
      </c>
      <c r="HV183" s="58">
        <v>36160</v>
      </c>
      <c r="HW183" s="58"/>
      <c r="IN183" t="s">
        <v>16</v>
      </c>
      <c r="IO183" s="54" t="s">
        <v>19</v>
      </c>
      <c r="IT183" s="4" t="s">
        <v>18</v>
      </c>
      <c r="IU183" t="s">
        <v>17</v>
      </c>
      <c r="IV183" s="54" t="s">
        <v>19</v>
      </c>
      <c r="IZ183">
        <v>0</v>
      </c>
      <c r="JA183">
        <v>0</v>
      </c>
      <c r="JB183">
        <v>0</v>
      </c>
      <c r="JC183">
        <v>0</v>
      </c>
      <c r="JD183">
        <v>0</v>
      </c>
      <c r="JE183">
        <v>0</v>
      </c>
      <c r="JF183">
        <v>0</v>
      </c>
      <c r="JG183">
        <v>0</v>
      </c>
      <c r="JH183">
        <v>0</v>
      </c>
      <c r="JI183" t="s">
        <v>16</v>
      </c>
      <c r="JJ183" t="s">
        <v>15</v>
      </c>
      <c r="JK183" s="8" t="s">
        <v>14</v>
      </c>
      <c r="JO183" s="4" t="s">
        <v>13</v>
      </c>
      <c r="JP183">
        <v>60</v>
      </c>
      <c r="JS183">
        <v>60</v>
      </c>
      <c r="KE183" s="7" t="s">
        <v>12</v>
      </c>
      <c r="KI183" s="7" t="s">
        <v>720</v>
      </c>
      <c r="KJ183" s="7"/>
      <c r="MS183" t="s">
        <v>11</v>
      </c>
      <c r="MT183">
        <v>42</v>
      </c>
      <c r="MW183" s="4" t="s">
        <v>10</v>
      </c>
      <c r="NE183" t="s">
        <v>9</v>
      </c>
      <c r="NG183" s="4" t="s">
        <v>1165</v>
      </c>
      <c r="NH183" s="6" t="s">
        <v>7</v>
      </c>
      <c r="NP183" t="s">
        <v>747</v>
      </c>
      <c r="NQ183" t="s">
        <v>6</v>
      </c>
      <c r="NR183" s="5" t="s">
        <v>81</v>
      </c>
      <c r="NS183" s="4" t="s">
        <v>4</v>
      </c>
      <c r="NT183" s="3">
        <v>0.30367421200702971</v>
      </c>
      <c r="NW183">
        <v>4</v>
      </c>
      <c r="OH183" t="s">
        <v>80</v>
      </c>
      <c r="OJ183">
        <v>1997</v>
      </c>
      <c r="OM183" s="2" t="s">
        <v>62</v>
      </c>
      <c r="OO183" t="s">
        <v>1178</v>
      </c>
      <c r="OP183" s="58">
        <v>46094</v>
      </c>
    </row>
    <row r="184" spans="1:406" ht="15.75" thickBot="1">
      <c r="A184" s="11" t="s">
        <v>36</v>
      </c>
      <c r="B184" t="s">
        <v>35</v>
      </c>
      <c r="C184" t="s">
        <v>34</v>
      </c>
      <c r="D184" s="4" t="s">
        <v>33</v>
      </c>
      <c r="E184" t="s">
        <v>32</v>
      </c>
      <c r="F184" s="4" t="s">
        <v>31</v>
      </c>
      <c r="G184" t="s">
        <v>2</v>
      </c>
      <c r="H184" t="s">
        <v>30</v>
      </c>
      <c r="I184" s="10">
        <v>0.1</v>
      </c>
      <c r="J184" s="10">
        <v>34.566667000000002</v>
      </c>
      <c r="K184" t="s">
        <v>29</v>
      </c>
      <c r="AV184" t="s">
        <v>28</v>
      </c>
      <c r="AW184">
        <v>100</v>
      </c>
      <c r="AX184" t="s">
        <v>29</v>
      </c>
      <c r="AY184">
        <v>4</v>
      </c>
      <c r="AZ184" t="s">
        <v>27</v>
      </c>
      <c r="BA184">
        <v>1994</v>
      </c>
      <c r="BB184">
        <v>1998</v>
      </c>
      <c r="BC184" t="s">
        <v>26</v>
      </c>
      <c r="BD184" t="s">
        <v>59</v>
      </c>
      <c r="BE184" s="10" t="s">
        <v>65</v>
      </c>
      <c r="BF184" t="s">
        <v>64</v>
      </c>
      <c r="BG184" s="3" t="s">
        <v>1243</v>
      </c>
      <c r="BH184" t="s">
        <v>23</v>
      </c>
      <c r="BI184" t="s">
        <v>750</v>
      </c>
      <c r="BJ184" s="4" t="s">
        <v>22</v>
      </c>
      <c r="BK184" s="9">
        <v>53000</v>
      </c>
      <c r="EE184" t="s">
        <v>55</v>
      </c>
      <c r="EF184" s="4" t="s">
        <v>22</v>
      </c>
      <c r="EG184" s="9">
        <v>53000</v>
      </c>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K184" s="9"/>
      <c r="HR184" t="s">
        <v>21</v>
      </c>
      <c r="HT184" s="4" t="s">
        <v>20</v>
      </c>
      <c r="HU184" s="58">
        <v>34335</v>
      </c>
      <c r="HV184" s="58">
        <v>36160</v>
      </c>
      <c r="HW184" s="58"/>
      <c r="IM184" s="4"/>
      <c r="IN184" t="s">
        <v>63</v>
      </c>
      <c r="IO184" s="12" t="s">
        <v>1736</v>
      </c>
      <c r="IR184">
        <v>1995</v>
      </c>
      <c r="IS184">
        <v>1995.2</v>
      </c>
      <c r="IT184" s="4" t="s">
        <v>18</v>
      </c>
      <c r="IU184" t="s">
        <v>61</v>
      </c>
      <c r="IV184" s="12" t="s">
        <v>52</v>
      </c>
      <c r="IY184">
        <v>0.5</v>
      </c>
      <c r="IZ184" t="s">
        <v>29</v>
      </c>
      <c r="JA184" t="s">
        <v>29</v>
      </c>
      <c r="JB184" t="s">
        <v>29</v>
      </c>
      <c r="JC184" t="s">
        <v>29</v>
      </c>
      <c r="JD184" t="s">
        <v>29</v>
      </c>
      <c r="JE184" t="s">
        <v>29</v>
      </c>
      <c r="JF184" t="s">
        <v>29</v>
      </c>
      <c r="JG184" t="s">
        <v>29</v>
      </c>
      <c r="JH184" t="s">
        <v>29</v>
      </c>
      <c r="JJ184" s="12" t="s">
        <v>721</v>
      </c>
      <c r="JO184" s="4"/>
      <c r="KE184" s="7" t="s">
        <v>12</v>
      </c>
      <c r="KI184" s="7" t="s">
        <v>719</v>
      </c>
      <c r="KJ184" s="7" t="s">
        <v>51</v>
      </c>
      <c r="KL184" t="s">
        <v>29</v>
      </c>
      <c r="MS184" t="s">
        <v>11</v>
      </c>
      <c r="MT184">
        <v>42</v>
      </c>
      <c r="MW184" s="4" t="s">
        <v>10</v>
      </c>
      <c r="NE184" t="s">
        <v>9</v>
      </c>
      <c r="NG184" s="4" t="s">
        <v>1165</v>
      </c>
      <c r="NH184" s="6" t="s">
        <v>7</v>
      </c>
      <c r="NQ184" t="s">
        <v>6</v>
      </c>
      <c r="NR184" s="5" t="s">
        <v>79</v>
      </c>
      <c r="NS184" s="4" t="s">
        <v>4</v>
      </c>
      <c r="NT184" s="3">
        <v>0.19639598155875015</v>
      </c>
      <c r="NW184">
        <v>4</v>
      </c>
      <c r="OH184" t="s">
        <v>73</v>
      </c>
      <c r="OJ184">
        <v>1998</v>
      </c>
      <c r="OM184" s="2" t="s">
        <v>62</v>
      </c>
      <c r="OO184" t="s">
        <v>1178</v>
      </c>
      <c r="OP184" s="58">
        <v>46094</v>
      </c>
    </row>
    <row r="185" spans="1:406" ht="15.75" thickBot="1">
      <c r="A185" s="11" t="s">
        <v>36</v>
      </c>
      <c r="B185" t="s">
        <v>35</v>
      </c>
      <c r="C185" t="s">
        <v>34</v>
      </c>
      <c r="D185" s="4" t="s">
        <v>33</v>
      </c>
      <c r="E185" t="s">
        <v>32</v>
      </c>
      <c r="F185" s="4" t="s">
        <v>31</v>
      </c>
      <c r="G185" t="s">
        <v>2</v>
      </c>
      <c r="H185" t="s">
        <v>30</v>
      </c>
      <c r="I185" s="10">
        <v>0.1</v>
      </c>
      <c r="J185" s="10">
        <v>34.566667000000002</v>
      </c>
      <c r="K185" t="s">
        <v>29</v>
      </c>
      <c r="AV185" t="s">
        <v>28</v>
      </c>
      <c r="AW185">
        <v>100</v>
      </c>
      <c r="AX185" t="s">
        <v>29</v>
      </c>
      <c r="AY185">
        <v>4</v>
      </c>
      <c r="AZ185" t="s">
        <v>27</v>
      </c>
      <c r="BA185">
        <v>1994</v>
      </c>
      <c r="BB185">
        <v>1998</v>
      </c>
      <c r="BC185" t="s">
        <v>26</v>
      </c>
      <c r="BD185" t="s">
        <v>59</v>
      </c>
      <c r="BE185" s="10" t="s">
        <v>58</v>
      </c>
      <c r="BF185" t="s">
        <v>57</v>
      </c>
      <c r="BG185" s="3" t="s">
        <v>1243</v>
      </c>
      <c r="BH185" t="s">
        <v>23</v>
      </c>
      <c r="BI185" t="s">
        <v>750</v>
      </c>
      <c r="BJ185" s="4" t="s">
        <v>22</v>
      </c>
      <c r="BK185" s="9">
        <v>53000</v>
      </c>
      <c r="EE185" t="s">
        <v>55</v>
      </c>
      <c r="EF185" s="4" t="s">
        <v>22</v>
      </c>
      <c r="EG185" s="9">
        <v>53000</v>
      </c>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K185" s="9"/>
      <c r="HR185" t="s">
        <v>21</v>
      </c>
      <c r="HT185" s="4" t="s">
        <v>20</v>
      </c>
      <c r="HU185" s="58">
        <v>34335</v>
      </c>
      <c r="HV185" s="58">
        <v>36160</v>
      </c>
      <c r="HW185" s="58"/>
      <c r="IM185" s="4"/>
      <c r="IN185" t="s">
        <v>54</v>
      </c>
      <c r="IO185" s="12" t="s">
        <v>1737</v>
      </c>
      <c r="IR185">
        <v>1994</v>
      </c>
      <c r="IS185">
        <v>1994.2</v>
      </c>
      <c r="IT185" s="4" t="s">
        <v>18</v>
      </c>
      <c r="IU185" t="s">
        <v>53</v>
      </c>
      <c r="IV185" s="12" t="s">
        <v>52</v>
      </c>
      <c r="IY185">
        <v>0.5</v>
      </c>
      <c r="IZ185" t="s">
        <v>29</v>
      </c>
      <c r="JA185" t="s">
        <v>29</v>
      </c>
      <c r="JB185" t="s">
        <v>29</v>
      </c>
      <c r="JC185" t="s">
        <v>29</v>
      </c>
      <c r="JD185" t="s">
        <v>29</v>
      </c>
      <c r="JE185" t="s">
        <v>29</v>
      </c>
      <c r="JF185" t="s">
        <v>29</v>
      </c>
      <c r="JG185" t="s">
        <v>29</v>
      </c>
      <c r="JH185" t="s">
        <v>29</v>
      </c>
      <c r="JJ185" s="12" t="s">
        <v>721</v>
      </c>
      <c r="JO185" s="4"/>
      <c r="KE185" s="7" t="s">
        <v>12</v>
      </c>
      <c r="KI185" s="7" t="s">
        <v>719</v>
      </c>
      <c r="KJ185" s="7" t="s">
        <v>51</v>
      </c>
      <c r="KL185" t="s">
        <v>29</v>
      </c>
      <c r="MS185" t="s">
        <v>11</v>
      </c>
      <c r="MT185">
        <v>42</v>
      </c>
      <c r="MW185" s="4" t="s">
        <v>10</v>
      </c>
      <c r="NE185" t="s">
        <v>9</v>
      </c>
      <c r="NG185" s="4" t="s">
        <v>1165</v>
      </c>
      <c r="NH185" s="6" t="s">
        <v>7</v>
      </c>
      <c r="NQ185" t="s">
        <v>6</v>
      </c>
      <c r="NR185" s="5" t="s">
        <v>78</v>
      </c>
      <c r="NS185" s="4" t="s">
        <v>4</v>
      </c>
      <c r="NT185" s="3">
        <v>0.19649706029347014</v>
      </c>
      <c r="NW185">
        <v>4</v>
      </c>
      <c r="OH185" t="s">
        <v>73</v>
      </c>
      <c r="OJ185">
        <v>1998</v>
      </c>
      <c r="OM185" s="2" t="s">
        <v>62</v>
      </c>
      <c r="OO185" t="s">
        <v>1178</v>
      </c>
      <c r="OP185" s="58">
        <v>46094</v>
      </c>
    </row>
    <row r="186" spans="1:406" ht="15.75" thickBot="1">
      <c r="A186" s="11" t="s">
        <v>36</v>
      </c>
      <c r="B186" t="s">
        <v>35</v>
      </c>
      <c r="C186" t="s">
        <v>34</v>
      </c>
      <c r="D186" s="4" t="s">
        <v>33</v>
      </c>
      <c r="E186" t="s">
        <v>32</v>
      </c>
      <c r="F186" s="4" t="s">
        <v>31</v>
      </c>
      <c r="G186" t="s">
        <v>2</v>
      </c>
      <c r="H186" t="s">
        <v>30</v>
      </c>
      <c r="I186" s="10">
        <v>0.1</v>
      </c>
      <c r="J186" s="10">
        <v>34.566667000000002</v>
      </c>
      <c r="K186" t="s">
        <v>29</v>
      </c>
      <c r="AV186" t="s">
        <v>28</v>
      </c>
      <c r="AW186">
        <v>100</v>
      </c>
      <c r="AX186" t="s">
        <v>29</v>
      </c>
      <c r="AY186">
        <v>4</v>
      </c>
      <c r="AZ186" t="s">
        <v>27</v>
      </c>
      <c r="BA186">
        <v>1994</v>
      </c>
      <c r="BB186">
        <v>1998</v>
      </c>
      <c r="BC186" t="s">
        <v>26</v>
      </c>
      <c r="BD186" t="s">
        <v>45</v>
      </c>
      <c r="BE186" s="10" t="s">
        <v>49</v>
      </c>
      <c r="BF186" t="s">
        <v>48</v>
      </c>
      <c r="BG186" s="3" t="s">
        <v>1243</v>
      </c>
      <c r="BH186" t="s">
        <v>23</v>
      </c>
      <c r="BI186" t="s">
        <v>750</v>
      </c>
      <c r="BJ186" s="4" t="s">
        <v>22</v>
      </c>
      <c r="BK186" s="9">
        <v>53000</v>
      </c>
      <c r="EF186" s="4"/>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K186" s="9"/>
      <c r="HR186" t="s">
        <v>21</v>
      </c>
      <c r="HT186" s="4" t="s">
        <v>20</v>
      </c>
      <c r="HU186" s="58">
        <v>34335</v>
      </c>
      <c r="HV186" s="58">
        <v>36160</v>
      </c>
      <c r="HW186" s="58"/>
      <c r="IN186" t="s">
        <v>47</v>
      </c>
      <c r="IO186" s="54" t="s">
        <v>1236</v>
      </c>
      <c r="IR186">
        <v>1995</v>
      </c>
      <c r="IS186">
        <v>1995.2</v>
      </c>
      <c r="IT186" s="4" t="s">
        <v>18</v>
      </c>
      <c r="IU186" t="s">
        <v>38</v>
      </c>
      <c r="IV186" t="s">
        <v>19</v>
      </c>
      <c r="IZ186">
        <v>0</v>
      </c>
      <c r="JA186">
        <v>0</v>
      </c>
      <c r="JB186">
        <v>0</v>
      </c>
      <c r="JC186">
        <v>0</v>
      </c>
      <c r="JD186">
        <v>0</v>
      </c>
      <c r="JE186">
        <v>0</v>
      </c>
      <c r="JF186">
        <v>0</v>
      </c>
      <c r="JG186">
        <v>0</v>
      </c>
      <c r="JH186">
        <v>0</v>
      </c>
      <c r="JJ186" s="12" t="s">
        <v>721</v>
      </c>
      <c r="JO186" s="4"/>
      <c r="KE186" s="7" t="s">
        <v>12</v>
      </c>
      <c r="KI186" s="7" t="s">
        <v>720</v>
      </c>
      <c r="KJ186" s="7"/>
      <c r="MS186" t="s">
        <v>11</v>
      </c>
      <c r="MT186">
        <v>42</v>
      </c>
      <c r="MW186" s="4" t="s">
        <v>10</v>
      </c>
      <c r="NE186" t="s">
        <v>9</v>
      </c>
      <c r="NG186" s="4" t="s">
        <v>1165</v>
      </c>
      <c r="NH186" s="6" t="s">
        <v>7</v>
      </c>
      <c r="NQ186" t="s">
        <v>6</v>
      </c>
      <c r="NR186" s="5" t="s">
        <v>77</v>
      </c>
      <c r="NS186" s="4" t="s">
        <v>4</v>
      </c>
      <c r="NT186" s="3">
        <v>0.14279055924617001</v>
      </c>
      <c r="NW186">
        <v>4</v>
      </c>
      <c r="OH186" t="s">
        <v>73</v>
      </c>
      <c r="OJ186">
        <v>1998</v>
      </c>
      <c r="OM186" s="2" t="s">
        <v>62</v>
      </c>
      <c r="OO186" t="s">
        <v>1178</v>
      </c>
      <c r="OP186" s="58">
        <v>46094</v>
      </c>
    </row>
    <row r="187" spans="1:406" ht="15.75" thickBot="1">
      <c r="A187" s="11" t="s">
        <v>36</v>
      </c>
      <c r="B187" t="s">
        <v>35</v>
      </c>
      <c r="C187" t="s">
        <v>34</v>
      </c>
      <c r="D187" s="4" t="s">
        <v>33</v>
      </c>
      <c r="E187" t="s">
        <v>32</v>
      </c>
      <c r="F187" s="4" t="s">
        <v>31</v>
      </c>
      <c r="G187" t="s">
        <v>2</v>
      </c>
      <c r="H187" t="s">
        <v>30</v>
      </c>
      <c r="I187" s="10">
        <v>0.1</v>
      </c>
      <c r="J187" s="10">
        <v>34.566667000000002</v>
      </c>
      <c r="K187" t="s">
        <v>29</v>
      </c>
      <c r="AV187" t="s">
        <v>28</v>
      </c>
      <c r="AW187">
        <v>100</v>
      </c>
      <c r="AX187" t="s">
        <v>29</v>
      </c>
      <c r="AY187">
        <v>4</v>
      </c>
      <c r="AZ187" t="s">
        <v>27</v>
      </c>
      <c r="BA187">
        <v>1994</v>
      </c>
      <c r="BB187">
        <v>1998</v>
      </c>
      <c r="BC187" t="s">
        <v>26</v>
      </c>
      <c r="BD187" t="s">
        <v>45</v>
      </c>
      <c r="BE187" s="10" t="s">
        <v>44</v>
      </c>
      <c r="BF187" t="s">
        <v>43</v>
      </c>
      <c r="BG187" s="3" t="s">
        <v>1243</v>
      </c>
      <c r="BH187" t="s">
        <v>23</v>
      </c>
      <c r="BI187" t="s">
        <v>750</v>
      </c>
      <c r="BJ187" s="4" t="s">
        <v>22</v>
      </c>
      <c r="BK187" s="9">
        <v>53000</v>
      </c>
      <c r="EF187" s="4"/>
      <c r="EG187" s="9"/>
      <c r="EH187" s="9"/>
      <c r="EI187" s="9"/>
      <c r="EJ187" s="9"/>
      <c r="EK187" s="9"/>
      <c r="EL187" s="9"/>
      <c r="EM187" s="9"/>
      <c r="EN187" s="9"/>
      <c r="EO187" s="9"/>
      <c r="EP187" s="9"/>
      <c r="EQ187" s="9"/>
      <c r="ER187" s="9"/>
      <c r="ES187" s="9"/>
      <c r="ET187" s="9"/>
      <c r="EU187" s="9"/>
      <c r="EV187" s="9"/>
      <c r="EW187" s="9"/>
      <c r="EX187" s="9"/>
      <c r="EY187" s="9"/>
      <c r="EZ187" s="9"/>
      <c r="FA187" s="9"/>
      <c r="FB187" s="9"/>
      <c r="FC187" s="9"/>
      <c r="FD187" s="9"/>
      <c r="FE187" s="9"/>
      <c r="FF187" s="9"/>
      <c r="FG187" s="9"/>
      <c r="FH187" s="9"/>
      <c r="FI187" s="9"/>
      <c r="FJ187" s="9"/>
      <c r="FK187" s="9"/>
      <c r="FL187" s="9"/>
      <c r="FM187" s="9"/>
      <c r="FN187" s="9"/>
      <c r="FO187" s="9"/>
      <c r="FP187" s="9"/>
      <c r="FQ187" s="9"/>
      <c r="FR187" s="9"/>
      <c r="FS187" s="9"/>
      <c r="FT187" s="9"/>
      <c r="FU187" s="9"/>
      <c r="FV187" s="9"/>
      <c r="FW187" s="9"/>
      <c r="FX187" s="9"/>
      <c r="FY187" s="9"/>
      <c r="FZ187" s="9"/>
      <c r="GA187" s="9"/>
      <c r="GB187" s="9"/>
      <c r="GC187" s="9"/>
      <c r="GD187" s="9"/>
      <c r="GE187" s="9"/>
      <c r="GF187" s="9"/>
      <c r="GG187" s="9"/>
      <c r="GH187" s="9"/>
      <c r="GI187" s="9"/>
      <c r="GJ187" s="9"/>
      <c r="GK187" s="9"/>
      <c r="GL187" s="9"/>
      <c r="GM187" s="9"/>
      <c r="GN187" s="9"/>
      <c r="GO187" s="9"/>
      <c r="GP187" s="9"/>
      <c r="GQ187" s="9"/>
      <c r="GR187" s="9"/>
      <c r="GS187" s="9"/>
      <c r="GT187" s="9"/>
      <c r="GU187" s="9"/>
      <c r="GV187" s="9"/>
      <c r="GW187" s="9"/>
      <c r="GX187" s="9"/>
      <c r="GY187" s="9"/>
      <c r="GZ187" s="9"/>
      <c r="HA187" s="9"/>
      <c r="HB187" s="9"/>
      <c r="HC187" s="9"/>
      <c r="HD187" s="9"/>
      <c r="HE187" s="9"/>
      <c r="HF187" s="9"/>
      <c r="HG187" s="9"/>
      <c r="HH187" s="9"/>
      <c r="HI187" s="9"/>
      <c r="HJ187" s="9"/>
      <c r="HK187" s="9"/>
      <c r="HR187" t="s">
        <v>21</v>
      </c>
      <c r="HT187" s="4" t="s">
        <v>20</v>
      </c>
      <c r="HU187" s="58">
        <v>34335</v>
      </c>
      <c r="HV187" s="58">
        <v>36160</v>
      </c>
      <c r="HW187" s="58"/>
      <c r="IN187" t="s">
        <v>42</v>
      </c>
      <c r="IO187" s="13" t="s">
        <v>1237</v>
      </c>
      <c r="IR187">
        <v>1994</v>
      </c>
      <c r="IS187">
        <v>1994.2</v>
      </c>
      <c r="IT187" s="4" t="s">
        <v>18</v>
      </c>
      <c r="IU187" t="s">
        <v>38</v>
      </c>
      <c r="IV187" t="s">
        <v>19</v>
      </c>
      <c r="IZ187">
        <v>0</v>
      </c>
      <c r="JA187">
        <v>0</v>
      </c>
      <c r="JB187">
        <v>0</v>
      </c>
      <c r="JC187">
        <v>0</v>
      </c>
      <c r="JD187">
        <v>0</v>
      </c>
      <c r="JE187">
        <v>0</v>
      </c>
      <c r="JF187">
        <v>0</v>
      </c>
      <c r="JG187">
        <v>0</v>
      </c>
      <c r="JH187">
        <v>0</v>
      </c>
      <c r="JJ187" s="12" t="s">
        <v>721</v>
      </c>
      <c r="JO187" s="4"/>
      <c r="KE187" s="7" t="s">
        <v>12</v>
      </c>
      <c r="KI187" s="7" t="s">
        <v>720</v>
      </c>
      <c r="KJ187" s="7"/>
      <c r="MS187" t="s">
        <v>11</v>
      </c>
      <c r="MT187">
        <v>42</v>
      </c>
      <c r="MW187" s="4" t="s">
        <v>10</v>
      </c>
      <c r="NE187" t="s">
        <v>9</v>
      </c>
      <c r="NG187" s="4" t="s">
        <v>1165</v>
      </c>
      <c r="NH187" s="6" t="s">
        <v>7</v>
      </c>
      <c r="NQ187" t="s">
        <v>6</v>
      </c>
      <c r="NR187" s="5" t="s">
        <v>76</v>
      </c>
      <c r="NS187" s="4" t="s">
        <v>4</v>
      </c>
      <c r="NT187" s="3">
        <v>0.21425322469241004</v>
      </c>
      <c r="NW187">
        <v>4</v>
      </c>
      <c r="OH187" t="s">
        <v>73</v>
      </c>
      <c r="OJ187">
        <v>1998</v>
      </c>
      <c r="OM187" s="2" t="s">
        <v>62</v>
      </c>
      <c r="OO187" t="s">
        <v>1178</v>
      </c>
      <c r="OP187" s="58">
        <v>46094</v>
      </c>
    </row>
    <row r="188" spans="1:406" ht="15.75" thickBot="1">
      <c r="A188" s="11" t="s">
        <v>36</v>
      </c>
      <c r="B188" t="s">
        <v>35</v>
      </c>
      <c r="C188" t="s">
        <v>34</v>
      </c>
      <c r="D188" s="4" t="s">
        <v>33</v>
      </c>
      <c r="E188" t="s">
        <v>32</v>
      </c>
      <c r="F188" s="4" t="s">
        <v>31</v>
      </c>
      <c r="G188" t="s">
        <v>2</v>
      </c>
      <c r="H188" t="s">
        <v>30</v>
      </c>
      <c r="I188" s="10">
        <v>0.1</v>
      </c>
      <c r="J188" s="10">
        <v>34.566667000000002</v>
      </c>
      <c r="K188" t="s">
        <v>29</v>
      </c>
      <c r="AV188" t="s">
        <v>28</v>
      </c>
      <c r="AW188">
        <v>100</v>
      </c>
      <c r="AX188" t="s">
        <v>29</v>
      </c>
      <c r="AY188">
        <v>4</v>
      </c>
      <c r="AZ188" t="s">
        <v>27</v>
      </c>
      <c r="BA188">
        <v>1994</v>
      </c>
      <c r="BB188">
        <v>1998</v>
      </c>
      <c r="BC188" t="s">
        <v>26</v>
      </c>
      <c r="BD188" t="s">
        <v>19</v>
      </c>
      <c r="BE188" s="10" t="s">
        <v>40</v>
      </c>
      <c r="BF188" t="s">
        <v>39</v>
      </c>
      <c r="BG188" s="3" t="s">
        <v>1243</v>
      </c>
      <c r="BH188" t="s">
        <v>23</v>
      </c>
      <c r="BI188" t="s">
        <v>750</v>
      </c>
      <c r="BJ188" s="4" t="s">
        <v>22</v>
      </c>
      <c r="BK188" s="9">
        <v>53000</v>
      </c>
      <c r="HR188" t="s">
        <v>21</v>
      </c>
      <c r="HT188" s="4" t="s">
        <v>20</v>
      </c>
      <c r="HU188" s="58">
        <v>34335</v>
      </c>
      <c r="HV188" s="58">
        <v>36160</v>
      </c>
      <c r="HW188" s="58"/>
      <c r="IN188" t="s">
        <v>38</v>
      </c>
      <c r="IO188" s="54" t="s">
        <v>19</v>
      </c>
      <c r="IT188" s="4" t="s">
        <v>18</v>
      </c>
      <c r="IU188" t="s">
        <v>38</v>
      </c>
      <c r="IV188" s="54" t="s">
        <v>19</v>
      </c>
      <c r="IZ188">
        <v>0</v>
      </c>
      <c r="JA188">
        <v>0</v>
      </c>
      <c r="JB188">
        <v>0</v>
      </c>
      <c r="JC188">
        <v>0</v>
      </c>
      <c r="JD188">
        <v>0</v>
      </c>
      <c r="JE188">
        <v>0</v>
      </c>
      <c r="JF188">
        <v>0</v>
      </c>
      <c r="JG188">
        <v>0</v>
      </c>
      <c r="JH188">
        <v>0</v>
      </c>
      <c r="JJ188" s="12" t="s">
        <v>721</v>
      </c>
      <c r="JO188" s="4"/>
      <c r="KE188" s="7" t="s">
        <v>12</v>
      </c>
      <c r="KI188" s="7" t="s">
        <v>720</v>
      </c>
      <c r="KJ188" s="7"/>
      <c r="MS188" t="s">
        <v>11</v>
      </c>
      <c r="MT188">
        <v>42</v>
      </c>
      <c r="MW188" s="4" t="s">
        <v>10</v>
      </c>
      <c r="NE188" t="s">
        <v>9</v>
      </c>
      <c r="NG188" s="4" t="s">
        <v>1165</v>
      </c>
      <c r="NH188" s="6" t="s">
        <v>7</v>
      </c>
      <c r="NP188" t="s">
        <v>735</v>
      </c>
      <c r="NQ188" t="s">
        <v>6</v>
      </c>
      <c r="NR188" s="5" t="s">
        <v>75</v>
      </c>
      <c r="NS188" s="4" t="s">
        <v>4</v>
      </c>
      <c r="NT188" s="3">
        <v>0.28568219722707</v>
      </c>
      <c r="NW188">
        <v>4</v>
      </c>
      <c r="OH188" t="s">
        <v>73</v>
      </c>
      <c r="OJ188">
        <v>1998</v>
      </c>
      <c r="OM188" s="2" t="s">
        <v>62</v>
      </c>
      <c r="OO188" t="s">
        <v>1178</v>
      </c>
      <c r="OP188" s="58">
        <v>46094</v>
      </c>
    </row>
    <row r="189" spans="1:406" ht="15.75" thickBot="1">
      <c r="A189" s="11" t="s">
        <v>36</v>
      </c>
      <c r="B189" t="s">
        <v>35</v>
      </c>
      <c r="C189" t="s">
        <v>34</v>
      </c>
      <c r="D189" s="4" t="s">
        <v>33</v>
      </c>
      <c r="E189" t="s">
        <v>32</v>
      </c>
      <c r="F189" s="4" t="s">
        <v>31</v>
      </c>
      <c r="G189" t="s">
        <v>2</v>
      </c>
      <c r="H189" t="s">
        <v>30</v>
      </c>
      <c r="I189" s="10">
        <v>0.1</v>
      </c>
      <c r="J189" s="10">
        <v>34.566667000000002</v>
      </c>
      <c r="K189" t="s">
        <v>29</v>
      </c>
      <c r="AV189" t="s">
        <v>28</v>
      </c>
      <c r="AW189">
        <v>100</v>
      </c>
      <c r="AX189" t="s">
        <v>29</v>
      </c>
      <c r="AY189">
        <v>4</v>
      </c>
      <c r="AZ189" t="s">
        <v>27</v>
      </c>
      <c r="BA189">
        <v>1994</v>
      </c>
      <c r="BB189">
        <v>1998</v>
      </c>
      <c r="BC189" t="s">
        <v>26</v>
      </c>
      <c r="BD189" t="s">
        <v>19</v>
      </c>
      <c r="BE189" s="10" t="s">
        <v>25</v>
      </c>
      <c r="BF189" t="s">
        <v>24</v>
      </c>
      <c r="BG189" s="3" t="s">
        <v>1243</v>
      </c>
      <c r="BH189" t="s">
        <v>23</v>
      </c>
      <c r="BI189" t="s">
        <v>750</v>
      </c>
      <c r="BJ189" s="4" t="s">
        <v>22</v>
      </c>
      <c r="BK189" s="9">
        <v>53000</v>
      </c>
      <c r="HR189" t="s">
        <v>21</v>
      </c>
      <c r="HT189" s="4" t="s">
        <v>20</v>
      </c>
      <c r="HU189" s="58">
        <v>34335</v>
      </c>
      <c r="HV189" s="58">
        <v>36160</v>
      </c>
      <c r="HW189" s="58"/>
      <c r="IN189" t="s">
        <v>16</v>
      </c>
      <c r="IO189" s="54" t="s">
        <v>19</v>
      </c>
      <c r="IT189" s="4" t="s">
        <v>18</v>
      </c>
      <c r="IU189" t="s">
        <v>17</v>
      </c>
      <c r="IV189" s="54" t="s">
        <v>19</v>
      </c>
      <c r="IZ189">
        <v>0</v>
      </c>
      <c r="JA189">
        <v>0</v>
      </c>
      <c r="JB189">
        <v>0</v>
      </c>
      <c r="JC189">
        <v>0</v>
      </c>
      <c r="JD189">
        <v>0</v>
      </c>
      <c r="JE189">
        <v>0</v>
      </c>
      <c r="JF189">
        <v>0</v>
      </c>
      <c r="JG189">
        <v>0</v>
      </c>
      <c r="JH189">
        <v>0</v>
      </c>
      <c r="JI189" t="s">
        <v>16</v>
      </c>
      <c r="JJ189" t="s">
        <v>15</v>
      </c>
      <c r="JK189" s="8" t="s">
        <v>14</v>
      </c>
      <c r="JO189" s="4" t="s">
        <v>13</v>
      </c>
      <c r="JP189">
        <v>60</v>
      </c>
      <c r="JS189">
        <v>60</v>
      </c>
      <c r="KE189" s="7" t="s">
        <v>12</v>
      </c>
      <c r="KI189" s="7" t="s">
        <v>720</v>
      </c>
      <c r="KJ189" s="7"/>
      <c r="MS189" t="s">
        <v>11</v>
      </c>
      <c r="MT189">
        <v>42</v>
      </c>
      <c r="MW189" s="4" t="s">
        <v>10</v>
      </c>
      <c r="NE189" t="s">
        <v>9</v>
      </c>
      <c r="NG189" s="4" t="s">
        <v>1165</v>
      </c>
      <c r="NH189" s="6" t="s">
        <v>7</v>
      </c>
      <c r="NP189" t="s">
        <v>747</v>
      </c>
      <c r="NQ189" t="s">
        <v>6</v>
      </c>
      <c r="NR189" s="5" t="s">
        <v>74</v>
      </c>
      <c r="NS189" s="4" t="s">
        <v>4</v>
      </c>
      <c r="NT189" s="3">
        <v>0.41085136372059994</v>
      </c>
      <c r="NW189">
        <v>4</v>
      </c>
      <c r="OH189" t="s">
        <v>73</v>
      </c>
      <c r="OJ189">
        <v>1998</v>
      </c>
      <c r="OM189" s="2" t="s">
        <v>62</v>
      </c>
      <c r="OO189" t="s">
        <v>1178</v>
      </c>
      <c r="OP189" s="58">
        <v>46094</v>
      </c>
    </row>
    <row r="190" spans="1:406" ht="15.75" thickBot="1">
      <c r="A190" s="11" t="s">
        <v>36</v>
      </c>
      <c r="B190" t="s">
        <v>35</v>
      </c>
      <c r="C190" t="s">
        <v>34</v>
      </c>
      <c r="D190" s="4" t="s">
        <v>33</v>
      </c>
      <c r="E190" t="s">
        <v>32</v>
      </c>
      <c r="F190" s="4" t="s">
        <v>31</v>
      </c>
      <c r="G190" t="s">
        <v>2</v>
      </c>
      <c r="H190" t="s">
        <v>30</v>
      </c>
      <c r="I190" s="10">
        <v>0.1</v>
      </c>
      <c r="J190" s="10">
        <v>34.566667000000002</v>
      </c>
      <c r="K190" t="s">
        <v>29</v>
      </c>
      <c r="AV190" t="s">
        <v>28</v>
      </c>
      <c r="AW190">
        <v>100</v>
      </c>
      <c r="AX190" t="s">
        <v>29</v>
      </c>
      <c r="AY190">
        <v>4</v>
      </c>
      <c r="AZ190" t="s">
        <v>27</v>
      </c>
      <c r="BA190">
        <v>1994</v>
      </c>
      <c r="BB190">
        <v>1998</v>
      </c>
      <c r="BC190" t="s">
        <v>26</v>
      </c>
      <c r="BD190" t="s">
        <v>59</v>
      </c>
      <c r="BE190" s="10" t="s">
        <v>65</v>
      </c>
      <c r="BF190" t="s">
        <v>64</v>
      </c>
      <c r="BG190" s="3" t="s">
        <v>1243</v>
      </c>
      <c r="BH190" t="s">
        <v>23</v>
      </c>
      <c r="BI190" t="s">
        <v>750</v>
      </c>
      <c r="BJ190" s="4" t="s">
        <v>22</v>
      </c>
      <c r="BK190" s="9">
        <v>53000</v>
      </c>
      <c r="EE190" t="s">
        <v>55</v>
      </c>
      <c r="EF190" s="4" t="s">
        <v>22</v>
      </c>
      <c r="EG190" s="9">
        <v>53000</v>
      </c>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K190" s="9"/>
      <c r="HR190" t="s">
        <v>21</v>
      </c>
      <c r="HT190" s="4" t="s">
        <v>20</v>
      </c>
      <c r="HU190" s="58">
        <v>34335</v>
      </c>
      <c r="HV190" s="58">
        <v>36160</v>
      </c>
      <c r="HW190" s="58"/>
      <c r="IM190" s="4"/>
      <c r="IN190" t="s">
        <v>63</v>
      </c>
      <c r="IO190" s="12" t="s">
        <v>1736</v>
      </c>
      <c r="IR190">
        <v>1995</v>
      </c>
      <c r="IS190">
        <v>1995.2</v>
      </c>
      <c r="IT190" s="4" t="s">
        <v>18</v>
      </c>
      <c r="IU190" t="s">
        <v>61</v>
      </c>
      <c r="IV190" s="12" t="s">
        <v>52</v>
      </c>
      <c r="IY190">
        <v>0.5</v>
      </c>
      <c r="IZ190" t="s">
        <v>29</v>
      </c>
      <c r="JA190" t="s">
        <v>29</v>
      </c>
      <c r="JB190" t="s">
        <v>29</v>
      </c>
      <c r="JC190" t="s">
        <v>29</v>
      </c>
      <c r="JD190" t="s">
        <v>29</v>
      </c>
      <c r="JE190" t="s">
        <v>29</v>
      </c>
      <c r="JF190" t="s">
        <v>29</v>
      </c>
      <c r="JG190" t="s">
        <v>29</v>
      </c>
      <c r="JH190" t="s">
        <v>29</v>
      </c>
      <c r="JJ190" s="12" t="s">
        <v>721</v>
      </c>
      <c r="JO190" s="4"/>
      <c r="KE190" s="7" t="s">
        <v>12</v>
      </c>
      <c r="KI190" s="7" t="s">
        <v>719</v>
      </c>
      <c r="KJ190" s="7" t="s">
        <v>51</v>
      </c>
      <c r="KL190" t="s">
        <v>29</v>
      </c>
      <c r="MS190" t="s">
        <v>11</v>
      </c>
      <c r="MT190">
        <v>42</v>
      </c>
      <c r="MW190" s="4" t="s">
        <v>10</v>
      </c>
      <c r="NE190" t="s">
        <v>9</v>
      </c>
      <c r="NG190" s="4" t="s">
        <v>1165</v>
      </c>
      <c r="NH190" s="6" t="s">
        <v>7</v>
      </c>
      <c r="NQ190" t="s">
        <v>6</v>
      </c>
      <c r="NR190" s="5" t="s">
        <v>72</v>
      </c>
      <c r="NS190" s="4" t="s">
        <v>4</v>
      </c>
      <c r="NT190" s="3">
        <v>0.17911057637738015</v>
      </c>
      <c r="NW190">
        <v>4</v>
      </c>
      <c r="OH190" t="s">
        <v>66</v>
      </c>
      <c r="OJ190">
        <v>1996</v>
      </c>
      <c r="OM190" s="2" t="s">
        <v>1</v>
      </c>
      <c r="OO190" t="s">
        <v>1178</v>
      </c>
      <c r="OP190" s="58">
        <v>46094</v>
      </c>
    </row>
    <row r="191" spans="1:406" ht="15.75" thickBot="1">
      <c r="A191" s="11" t="s">
        <v>36</v>
      </c>
      <c r="B191" t="s">
        <v>35</v>
      </c>
      <c r="C191" t="s">
        <v>34</v>
      </c>
      <c r="D191" s="4" t="s">
        <v>33</v>
      </c>
      <c r="E191" t="s">
        <v>32</v>
      </c>
      <c r="F191" s="4" t="s">
        <v>31</v>
      </c>
      <c r="G191" t="s">
        <v>2</v>
      </c>
      <c r="H191" t="s">
        <v>30</v>
      </c>
      <c r="I191" s="10">
        <v>0.1</v>
      </c>
      <c r="J191" s="10">
        <v>34.566667000000002</v>
      </c>
      <c r="K191" t="s">
        <v>29</v>
      </c>
      <c r="AV191" t="s">
        <v>28</v>
      </c>
      <c r="AW191">
        <v>100</v>
      </c>
      <c r="AX191" t="s">
        <v>29</v>
      </c>
      <c r="AY191">
        <v>4</v>
      </c>
      <c r="AZ191" t="s">
        <v>27</v>
      </c>
      <c r="BA191">
        <v>1994</v>
      </c>
      <c r="BB191">
        <v>1998</v>
      </c>
      <c r="BC191" t="s">
        <v>26</v>
      </c>
      <c r="BD191" t="s">
        <v>59</v>
      </c>
      <c r="BE191" s="10" t="s">
        <v>58</v>
      </c>
      <c r="BF191" t="s">
        <v>57</v>
      </c>
      <c r="BG191" s="3" t="s">
        <v>1243</v>
      </c>
      <c r="BH191" t="s">
        <v>23</v>
      </c>
      <c r="BI191" t="s">
        <v>750</v>
      </c>
      <c r="BJ191" s="4" t="s">
        <v>22</v>
      </c>
      <c r="BK191" s="9">
        <v>53000</v>
      </c>
      <c r="EE191" t="s">
        <v>55</v>
      </c>
      <c r="EF191" s="4" t="s">
        <v>22</v>
      </c>
      <c r="EG191" s="9">
        <v>53000</v>
      </c>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K191" s="9"/>
      <c r="HR191" t="s">
        <v>21</v>
      </c>
      <c r="HT191" s="4" t="s">
        <v>20</v>
      </c>
      <c r="HU191" s="58">
        <v>34335</v>
      </c>
      <c r="HV191" s="58">
        <v>36160</v>
      </c>
      <c r="HW191" s="58"/>
      <c r="IM191" s="4"/>
      <c r="IN191" t="s">
        <v>54</v>
      </c>
      <c r="IO191" s="12" t="s">
        <v>1737</v>
      </c>
      <c r="IR191">
        <v>1994</v>
      </c>
      <c r="IS191">
        <v>1994.2</v>
      </c>
      <c r="IT191" s="4" t="s">
        <v>18</v>
      </c>
      <c r="IU191" t="s">
        <v>53</v>
      </c>
      <c r="IV191" s="12" t="s">
        <v>52</v>
      </c>
      <c r="IY191">
        <v>0.5</v>
      </c>
      <c r="IZ191" t="s">
        <v>29</v>
      </c>
      <c r="JA191" t="s">
        <v>29</v>
      </c>
      <c r="JB191" t="s">
        <v>29</v>
      </c>
      <c r="JC191" t="s">
        <v>29</v>
      </c>
      <c r="JD191" t="s">
        <v>29</v>
      </c>
      <c r="JE191" t="s">
        <v>29</v>
      </c>
      <c r="JF191" t="s">
        <v>29</v>
      </c>
      <c r="JG191" t="s">
        <v>29</v>
      </c>
      <c r="JH191" t="s">
        <v>29</v>
      </c>
      <c r="JJ191" s="12" t="s">
        <v>721</v>
      </c>
      <c r="JO191" s="4"/>
      <c r="KE191" s="7" t="s">
        <v>12</v>
      </c>
      <c r="KI191" s="7" t="s">
        <v>719</v>
      </c>
      <c r="KJ191" s="7" t="s">
        <v>51</v>
      </c>
      <c r="KL191" t="s">
        <v>29</v>
      </c>
      <c r="MS191" t="s">
        <v>11</v>
      </c>
      <c r="MT191">
        <v>42</v>
      </c>
      <c r="MW191" s="4" t="s">
        <v>10</v>
      </c>
      <c r="NE191" t="s">
        <v>9</v>
      </c>
      <c r="NG191" s="4" t="s">
        <v>1165</v>
      </c>
      <c r="NH191" s="6" t="s">
        <v>7</v>
      </c>
      <c r="NQ191" t="s">
        <v>6</v>
      </c>
      <c r="NR191" s="5" t="s">
        <v>71</v>
      </c>
      <c r="NS191" s="4" t="s">
        <v>4</v>
      </c>
      <c r="NT191" s="3">
        <v>0.2685977616853199</v>
      </c>
      <c r="NW191">
        <v>4</v>
      </c>
      <c r="OH191" t="s">
        <v>66</v>
      </c>
      <c r="OJ191">
        <v>1996</v>
      </c>
      <c r="OM191" s="2" t="s">
        <v>1</v>
      </c>
      <c r="OO191" t="s">
        <v>1178</v>
      </c>
      <c r="OP191" s="58">
        <v>46094</v>
      </c>
    </row>
    <row r="192" spans="1:406" ht="15.75" thickBot="1">
      <c r="A192" s="11" t="s">
        <v>36</v>
      </c>
      <c r="B192" t="s">
        <v>35</v>
      </c>
      <c r="C192" t="s">
        <v>34</v>
      </c>
      <c r="D192" s="4" t="s">
        <v>33</v>
      </c>
      <c r="E192" t="s">
        <v>32</v>
      </c>
      <c r="F192" s="4" t="s">
        <v>31</v>
      </c>
      <c r="G192" t="s">
        <v>2</v>
      </c>
      <c r="H192" t="s">
        <v>30</v>
      </c>
      <c r="I192" s="10">
        <v>0.1</v>
      </c>
      <c r="J192" s="10">
        <v>34.566667000000002</v>
      </c>
      <c r="K192" t="s">
        <v>29</v>
      </c>
      <c r="AV192" t="s">
        <v>28</v>
      </c>
      <c r="AW192">
        <v>100</v>
      </c>
      <c r="AX192" t="s">
        <v>29</v>
      </c>
      <c r="AY192">
        <v>4</v>
      </c>
      <c r="AZ192" t="s">
        <v>27</v>
      </c>
      <c r="BA192">
        <v>1994</v>
      </c>
      <c r="BB192">
        <v>1998</v>
      </c>
      <c r="BC192" t="s">
        <v>26</v>
      </c>
      <c r="BD192" t="s">
        <v>45</v>
      </c>
      <c r="BE192" s="10" t="s">
        <v>49</v>
      </c>
      <c r="BF192" t="s">
        <v>48</v>
      </c>
      <c r="BG192" s="3" t="s">
        <v>1243</v>
      </c>
      <c r="BH192" t="s">
        <v>23</v>
      </c>
      <c r="BI192" t="s">
        <v>750</v>
      </c>
      <c r="BJ192" s="4" t="s">
        <v>22</v>
      </c>
      <c r="BK192" s="9">
        <v>53000</v>
      </c>
      <c r="EF192" s="4"/>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K192" s="9"/>
      <c r="HR192" t="s">
        <v>21</v>
      </c>
      <c r="HT192" s="4" t="s">
        <v>20</v>
      </c>
      <c r="HU192" s="58">
        <v>34335</v>
      </c>
      <c r="HV192" s="58">
        <v>36160</v>
      </c>
      <c r="HW192" s="58"/>
      <c r="IN192" t="s">
        <v>47</v>
      </c>
      <c r="IO192" s="54" t="s">
        <v>1236</v>
      </c>
      <c r="IR192">
        <v>1995</v>
      </c>
      <c r="IS192">
        <v>1995.2</v>
      </c>
      <c r="IT192" s="4" t="s">
        <v>18</v>
      </c>
      <c r="IU192" t="s">
        <v>38</v>
      </c>
      <c r="IV192" t="s">
        <v>19</v>
      </c>
      <c r="IZ192">
        <v>0</v>
      </c>
      <c r="JA192">
        <v>0</v>
      </c>
      <c r="JB192">
        <v>0</v>
      </c>
      <c r="JC192">
        <v>0</v>
      </c>
      <c r="JD192">
        <v>0</v>
      </c>
      <c r="JE192">
        <v>0</v>
      </c>
      <c r="JF192">
        <v>0</v>
      </c>
      <c r="JG192">
        <v>0</v>
      </c>
      <c r="JH192">
        <v>0</v>
      </c>
      <c r="JJ192" s="12" t="s">
        <v>721</v>
      </c>
      <c r="JO192" s="4"/>
      <c r="KE192" s="7" t="s">
        <v>12</v>
      </c>
      <c r="KI192" s="7" t="s">
        <v>720</v>
      </c>
      <c r="KJ192" s="7"/>
      <c r="MS192" t="s">
        <v>11</v>
      </c>
      <c r="MT192">
        <v>42</v>
      </c>
      <c r="MW192" s="4" t="s">
        <v>10</v>
      </c>
      <c r="NE192" t="s">
        <v>9</v>
      </c>
      <c r="NG192" s="4" t="s">
        <v>1165</v>
      </c>
      <c r="NH192" s="6" t="s">
        <v>7</v>
      </c>
      <c r="NQ192" t="s">
        <v>6</v>
      </c>
      <c r="NR192" s="5" t="s">
        <v>70</v>
      </c>
      <c r="NS192" s="4" t="s">
        <v>4</v>
      </c>
      <c r="NT192" s="3">
        <v>0.30421556831853991</v>
      </c>
      <c r="NW192">
        <v>4</v>
      </c>
      <c r="OH192" t="s">
        <v>66</v>
      </c>
      <c r="OJ192">
        <v>1996</v>
      </c>
      <c r="OM192" s="2" t="s">
        <v>1</v>
      </c>
      <c r="OO192" t="s">
        <v>1178</v>
      </c>
      <c r="OP192" s="58">
        <v>46094</v>
      </c>
    </row>
    <row r="193" spans="1:406" ht="15.75" thickBot="1">
      <c r="A193" s="11" t="s">
        <v>36</v>
      </c>
      <c r="B193" t="s">
        <v>35</v>
      </c>
      <c r="C193" t="s">
        <v>34</v>
      </c>
      <c r="D193" s="4" t="s">
        <v>33</v>
      </c>
      <c r="E193" t="s">
        <v>32</v>
      </c>
      <c r="F193" s="4" t="s">
        <v>31</v>
      </c>
      <c r="G193" t="s">
        <v>2</v>
      </c>
      <c r="H193" t="s">
        <v>30</v>
      </c>
      <c r="I193" s="10">
        <v>0.1</v>
      </c>
      <c r="J193" s="10">
        <v>34.566667000000002</v>
      </c>
      <c r="K193" t="s">
        <v>29</v>
      </c>
      <c r="AV193" t="s">
        <v>28</v>
      </c>
      <c r="AW193">
        <v>100</v>
      </c>
      <c r="AX193" t="s">
        <v>29</v>
      </c>
      <c r="AY193">
        <v>4</v>
      </c>
      <c r="AZ193" t="s">
        <v>27</v>
      </c>
      <c r="BA193">
        <v>1994</v>
      </c>
      <c r="BB193">
        <v>1998</v>
      </c>
      <c r="BC193" t="s">
        <v>26</v>
      </c>
      <c r="BD193" t="s">
        <v>45</v>
      </c>
      <c r="BE193" s="10" t="s">
        <v>44</v>
      </c>
      <c r="BF193" t="s">
        <v>43</v>
      </c>
      <c r="BG193" s="3" t="s">
        <v>1243</v>
      </c>
      <c r="BH193" t="s">
        <v>23</v>
      </c>
      <c r="BI193" t="s">
        <v>750</v>
      </c>
      <c r="BJ193" s="4" t="s">
        <v>22</v>
      </c>
      <c r="BK193" s="9">
        <v>53000</v>
      </c>
      <c r="EF193" s="4"/>
      <c r="EG193" s="9"/>
      <c r="EH193" s="9"/>
      <c r="EI193" s="9"/>
      <c r="EJ193" s="9"/>
      <c r="EK193" s="9"/>
      <c r="EL193" s="9"/>
      <c r="EM193" s="9"/>
      <c r="EN193" s="9"/>
      <c r="EO193" s="9"/>
      <c r="EP193" s="9"/>
      <c r="EQ193" s="9"/>
      <c r="ER193" s="9"/>
      <c r="ES193" s="9"/>
      <c r="ET193" s="9"/>
      <c r="EU193" s="9"/>
      <c r="EV193" s="9"/>
      <c r="EW193" s="9"/>
      <c r="EX193" s="9"/>
      <c r="EY193" s="9"/>
      <c r="EZ193" s="9"/>
      <c r="FA193" s="9"/>
      <c r="FB193" s="9"/>
      <c r="FC193" s="9"/>
      <c r="FD193" s="9"/>
      <c r="FE193" s="9"/>
      <c r="FF193" s="9"/>
      <c r="FG193" s="9"/>
      <c r="FH193" s="9"/>
      <c r="FI193" s="9"/>
      <c r="FJ193" s="9"/>
      <c r="FK193" s="9"/>
      <c r="FL193" s="9"/>
      <c r="FM193" s="9"/>
      <c r="FN193" s="9"/>
      <c r="FO193" s="9"/>
      <c r="FP193" s="9"/>
      <c r="FQ193" s="9"/>
      <c r="FR193" s="9"/>
      <c r="FS193" s="9"/>
      <c r="FT193" s="9"/>
      <c r="FU193" s="9"/>
      <c r="FV193" s="9"/>
      <c r="FW193" s="9"/>
      <c r="FX193" s="9"/>
      <c r="FY193" s="9"/>
      <c r="FZ193" s="9"/>
      <c r="GA193" s="9"/>
      <c r="GB193" s="9"/>
      <c r="GC193" s="9"/>
      <c r="GD193" s="9"/>
      <c r="GE193" s="9"/>
      <c r="GF193" s="9"/>
      <c r="GG193" s="9"/>
      <c r="GH193" s="9"/>
      <c r="GI193" s="9"/>
      <c r="GJ193" s="9"/>
      <c r="GK193" s="9"/>
      <c r="GL193" s="9"/>
      <c r="GM193" s="9"/>
      <c r="GN193" s="9"/>
      <c r="GO193" s="9"/>
      <c r="GP193" s="9"/>
      <c r="GQ193" s="9"/>
      <c r="GR193" s="9"/>
      <c r="GS193" s="9"/>
      <c r="GT193" s="9"/>
      <c r="GU193" s="9"/>
      <c r="GV193" s="9"/>
      <c r="GW193" s="9"/>
      <c r="GX193" s="9"/>
      <c r="GY193" s="9"/>
      <c r="GZ193" s="9"/>
      <c r="HA193" s="9"/>
      <c r="HB193" s="9"/>
      <c r="HC193" s="9"/>
      <c r="HD193" s="9"/>
      <c r="HE193" s="9"/>
      <c r="HF193" s="9"/>
      <c r="HG193" s="9"/>
      <c r="HH193" s="9"/>
      <c r="HI193" s="9"/>
      <c r="HJ193" s="9"/>
      <c r="HK193" s="9"/>
      <c r="HR193" t="s">
        <v>21</v>
      </c>
      <c r="HT193" s="4" t="s">
        <v>20</v>
      </c>
      <c r="HU193" s="58">
        <v>34335</v>
      </c>
      <c r="HV193" s="58">
        <v>36160</v>
      </c>
      <c r="HW193" s="58"/>
      <c r="IN193" t="s">
        <v>42</v>
      </c>
      <c r="IO193" s="13" t="s">
        <v>1237</v>
      </c>
      <c r="IR193">
        <v>1994</v>
      </c>
      <c r="IS193">
        <v>1994.2</v>
      </c>
      <c r="IT193" s="4" t="s">
        <v>18</v>
      </c>
      <c r="IU193" t="s">
        <v>38</v>
      </c>
      <c r="IV193" t="s">
        <v>19</v>
      </c>
      <c r="IZ193">
        <v>0</v>
      </c>
      <c r="JA193">
        <v>0</v>
      </c>
      <c r="JB193">
        <v>0</v>
      </c>
      <c r="JC193">
        <v>0</v>
      </c>
      <c r="JD193">
        <v>0</v>
      </c>
      <c r="JE193">
        <v>0</v>
      </c>
      <c r="JF193">
        <v>0</v>
      </c>
      <c r="JG193">
        <v>0</v>
      </c>
      <c r="JH193">
        <v>0</v>
      </c>
      <c r="JJ193" s="12" t="s">
        <v>721</v>
      </c>
      <c r="JO193" s="4"/>
      <c r="KE193" s="7" t="s">
        <v>12</v>
      </c>
      <c r="KI193" s="7" t="s">
        <v>720</v>
      </c>
      <c r="KJ193" s="7"/>
      <c r="MS193" t="s">
        <v>11</v>
      </c>
      <c r="MT193">
        <v>42</v>
      </c>
      <c r="MW193" s="4" t="s">
        <v>10</v>
      </c>
      <c r="NE193" t="s">
        <v>9</v>
      </c>
      <c r="NG193" s="4" t="s">
        <v>1165</v>
      </c>
      <c r="NH193" s="6" t="s">
        <v>7</v>
      </c>
      <c r="NQ193" t="s">
        <v>6</v>
      </c>
      <c r="NR193" s="5" t="s">
        <v>69</v>
      </c>
      <c r="NS193" s="4" t="s">
        <v>4</v>
      </c>
      <c r="NT193" s="3">
        <v>0.3046922884837997</v>
      </c>
      <c r="NW193">
        <v>4</v>
      </c>
      <c r="OH193" t="s">
        <v>66</v>
      </c>
      <c r="OJ193">
        <v>1996</v>
      </c>
      <c r="OM193" s="2" t="s">
        <v>1</v>
      </c>
      <c r="OO193" t="s">
        <v>1178</v>
      </c>
      <c r="OP193" s="58">
        <v>46094</v>
      </c>
    </row>
    <row r="194" spans="1:406" ht="15.75" thickBot="1">
      <c r="A194" s="11" t="s">
        <v>36</v>
      </c>
      <c r="B194" t="s">
        <v>35</v>
      </c>
      <c r="C194" t="s">
        <v>34</v>
      </c>
      <c r="D194" s="4" t="s">
        <v>33</v>
      </c>
      <c r="E194" t="s">
        <v>32</v>
      </c>
      <c r="F194" s="4" t="s">
        <v>31</v>
      </c>
      <c r="G194" t="s">
        <v>2</v>
      </c>
      <c r="H194" t="s">
        <v>30</v>
      </c>
      <c r="I194" s="10">
        <v>0.1</v>
      </c>
      <c r="J194" s="10">
        <v>34.566667000000002</v>
      </c>
      <c r="K194" t="s">
        <v>29</v>
      </c>
      <c r="AV194" t="s">
        <v>28</v>
      </c>
      <c r="AW194">
        <v>100</v>
      </c>
      <c r="AX194" t="s">
        <v>29</v>
      </c>
      <c r="AY194">
        <v>4</v>
      </c>
      <c r="AZ194" t="s">
        <v>27</v>
      </c>
      <c r="BA194">
        <v>1994</v>
      </c>
      <c r="BB194">
        <v>1998</v>
      </c>
      <c r="BC194" t="s">
        <v>26</v>
      </c>
      <c r="BD194" t="s">
        <v>19</v>
      </c>
      <c r="BE194" s="10" t="s">
        <v>40</v>
      </c>
      <c r="BF194" t="s">
        <v>39</v>
      </c>
      <c r="BG194" s="3" t="s">
        <v>1243</v>
      </c>
      <c r="BH194" t="s">
        <v>23</v>
      </c>
      <c r="BI194" t="s">
        <v>750</v>
      </c>
      <c r="BJ194" s="4" t="s">
        <v>22</v>
      </c>
      <c r="BK194" s="9">
        <v>53000</v>
      </c>
      <c r="HR194" t="s">
        <v>21</v>
      </c>
      <c r="HT194" s="4" t="s">
        <v>20</v>
      </c>
      <c r="HU194" s="58">
        <v>34335</v>
      </c>
      <c r="HV194" s="58">
        <v>36160</v>
      </c>
      <c r="HW194" s="58"/>
      <c r="IN194" t="s">
        <v>38</v>
      </c>
      <c r="IO194" s="54" t="s">
        <v>19</v>
      </c>
      <c r="IT194" s="4" t="s">
        <v>18</v>
      </c>
      <c r="IU194" t="s">
        <v>38</v>
      </c>
      <c r="IV194" s="54" t="s">
        <v>19</v>
      </c>
      <c r="IZ194">
        <v>0</v>
      </c>
      <c r="JA194">
        <v>0</v>
      </c>
      <c r="JB194">
        <v>0</v>
      </c>
      <c r="JC194">
        <v>0</v>
      </c>
      <c r="JD194">
        <v>0</v>
      </c>
      <c r="JE194">
        <v>0</v>
      </c>
      <c r="JF194">
        <v>0</v>
      </c>
      <c r="JG194">
        <v>0</v>
      </c>
      <c r="JH194">
        <v>0</v>
      </c>
      <c r="JJ194" s="12" t="s">
        <v>721</v>
      </c>
      <c r="JO194" s="4"/>
      <c r="KE194" s="7" t="s">
        <v>12</v>
      </c>
      <c r="KI194" s="7" t="s">
        <v>720</v>
      </c>
      <c r="KJ194" s="7"/>
      <c r="MS194" t="s">
        <v>11</v>
      </c>
      <c r="MT194">
        <v>42</v>
      </c>
      <c r="MW194" s="4" t="s">
        <v>10</v>
      </c>
      <c r="NE194" t="s">
        <v>9</v>
      </c>
      <c r="NG194" s="4" t="s">
        <v>1165</v>
      </c>
      <c r="NH194" s="6" t="s">
        <v>7</v>
      </c>
      <c r="NP194" t="s">
        <v>735</v>
      </c>
      <c r="NQ194" t="s">
        <v>6</v>
      </c>
      <c r="NR194" s="5" t="s">
        <v>68</v>
      </c>
      <c r="NS194" s="4" t="s">
        <v>4</v>
      </c>
      <c r="NT194" s="3">
        <v>0.28644071644229996</v>
      </c>
      <c r="NW194">
        <v>4</v>
      </c>
      <c r="OH194" t="s">
        <v>66</v>
      </c>
      <c r="OJ194">
        <v>1996</v>
      </c>
      <c r="OM194" s="2" t="s">
        <v>1</v>
      </c>
      <c r="OO194" t="s">
        <v>1178</v>
      </c>
      <c r="OP194" s="58">
        <v>46094</v>
      </c>
    </row>
    <row r="195" spans="1:406" ht="15.75" thickBot="1">
      <c r="A195" s="11" t="s">
        <v>36</v>
      </c>
      <c r="B195" t="s">
        <v>35</v>
      </c>
      <c r="C195" t="s">
        <v>34</v>
      </c>
      <c r="D195" s="4" t="s">
        <v>33</v>
      </c>
      <c r="E195" t="s">
        <v>32</v>
      </c>
      <c r="F195" s="4" t="s">
        <v>31</v>
      </c>
      <c r="G195" t="s">
        <v>2</v>
      </c>
      <c r="H195" t="s">
        <v>30</v>
      </c>
      <c r="I195" s="10">
        <v>0.1</v>
      </c>
      <c r="J195" s="10">
        <v>34.566667000000002</v>
      </c>
      <c r="K195" t="s">
        <v>29</v>
      </c>
      <c r="AV195" t="s">
        <v>28</v>
      </c>
      <c r="AW195">
        <v>100</v>
      </c>
      <c r="AX195" t="s">
        <v>29</v>
      </c>
      <c r="AY195">
        <v>4</v>
      </c>
      <c r="AZ195" t="s">
        <v>27</v>
      </c>
      <c r="BA195">
        <v>1994</v>
      </c>
      <c r="BB195">
        <v>1998</v>
      </c>
      <c r="BC195" t="s">
        <v>26</v>
      </c>
      <c r="BD195" t="s">
        <v>19</v>
      </c>
      <c r="BE195" s="10" t="s">
        <v>25</v>
      </c>
      <c r="BF195" t="s">
        <v>24</v>
      </c>
      <c r="BG195" s="3" t="s">
        <v>1243</v>
      </c>
      <c r="BH195" t="s">
        <v>23</v>
      </c>
      <c r="BI195" t="s">
        <v>750</v>
      </c>
      <c r="BJ195" s="4" t="s">
        <v>22</v>
      </c>
      <c r="BK195" s="9">
        <v>53000</v>
      </c>
      <c r="HR195" t="s">
        <v>21</v>
      </c>
      <c r="HT195" s="4" t="s">
        <v>20</v>
      </c>
      <c r="HU195" s="58">
        <v>34335</v>
      </c>
      <c r="HV195" s="58">
        <v>36160</v>
      </c>
      <c r="HW195" s="58"/>
      <c r="IN195" t="s">
        <v>16</v>
      </c>
      <c r="IO195" s="54" t="s">
        <v>19</v>
      </c>
      <c r="IT195" s="4" t="s">
        <v>18</v>
      </c>
      <c r="IU195" t="s">
        <v>17</v>
      </c>
      <c r="IV195" s="54" t="s">
        <v>19</v>
      </c>
      <c r="IZ195">
        <v>0</v>
      </c>
      <c r="JA195">
        <v>0</v>
      </c>
      <c r="JB195">
        <v>0</v>
      </c>
      <c r="JC195">
        <v>0</v>
      </c>
      <c r="JD195">
        <v>0</v>
      </c>
      <c r="JE195">
        <v>0</v>
      </c>
      <c r="JF195">
        <v>0</v>
      </c>
      <c r="JG195">
        <v>0</v>
      </c>
      <c r="JH195">
        <v>0</v>
      </c>
      <c r="JI195" t="s">
        <v>16</v>
      </c>
      <c r="JJ195" t="s">
        <v>15</v>
      </c>
      <c r="JK195" s="8" t="s">
        <v>14</v>
      </c>
      <c r="JO195" s="4" t="s">
        <v>13</v>
      </c>
      <c r="JP195">
        <v>60</v>
      </c>
      <c r="JS195">
        <v>60</v>
      </c>
      <c r="KE195" s="7" t="s">
        <v>12</v>
      </c>
      <c r="KI195" s="7" t="s">
        <v>720</v>
      </c>
      <c r="KJ195" s="7"/>
      <c r="MS195" t="s">
        <v>11</v>
      </c>
      <c r="MT195">
        <v>42</v>
      </c>
      <c r="MW195" s="4" t="s">
        <v>10</v>
      </c>
      <c r="NE195" t="s">
        <v>9</v>
      </c>
      <c r="NG195" s="4" t="s">
        <v>1165</v>
      </c>
      <c r="NH195" s="6" t="s">
        <v>7</v>
      </c>
      <c r="NP195" t="s">
        <v>747</v>
      </c>
      <c r="NQ195" t="s">
        <v>6</v>
      </c>
      <c r="NR195" s="5" t="s">
        <v>67</v>
      </c>
      <c r="NS195" s="4" t="s">
        <v>4</v>
      </c>
      <c r="NT195" s="3">
        <v>0.16106331297814025</v>
      </c>
      <c r="NW195">
        <v>4</v>
      </c>
      <c r="OH195" t="s">
        <v>66</v>
      </c>
      <c r="OJ195">
        <v>1996</v>
      </c>
      <c r="OM195" s="2" t="s">
        <v>1</v>
      </c>
      <c r="OO195" t="s">
        <v>1178</v>
      </c>
      <c r="OP195" s="58">
        <v>46094</v>
      </c>
    </row>
    <row r="196" spans="1:406" ht="15.75" thickBot="1">
      <c r="A196" s="11" t="s">
        <v>36</v>
      </c>
      <c r="B196" t="s">
        <v>35</v>
      </c>
      <c r="C196" t="s">
        <v>34</v>
      </c>
      <c r="D196" s="4" t="s">
        <v>33</v>
      </c>
      <c r="E196" t="s">
        <v>32</v>
      </c>
      <c r="F196" s="4" t="s">
        <v>31</v>
      </c>
      <c r="G196" t="s">
        <v>2</v>
      </c>
      <c r="H196" t="s">
        <v>30</v>
      </c>
      <c r="I196" s="10">
        <v>0.1</v>
      </c>
      <c r="J196" s="10">
        <v>34.566667000000002</v>
      </c>
      <c r="K196" t="s">
        <v>29</v>
      </c>
      <c r="AV196" t="s">
        <v>28</v>
      </c>
      <c r="AW196">
        <v>100</v>
      </c>
      <c r="AX196" t="s">
        <v>29</v>
      </c>
      <c r="AY196">
        <v>4</v>
      </c>
      <c r="AZ196" t="s">
        <v>27</v>
      </c>
      <c r="BA196">
        <v>1994</v>
      </c>
      <c r="BB196">
        <v>1998</v>
      </c>
      <c r="BC196" t="s">
        <v>26</v>
      </c>
      <c r="BD196" t="s">
        <v>59</v>
      </c>
      <c r="BE196" s="10" t="s">
        <v>65</v>
      </c>
      <c r="BF196" t="s">
        <v>64</v>
      </c>
      <c r="BG196" s="3" t="s">
        <v>1243</v>
      </c>
      <c r="BH196" t="s">
        <v>23</v>
      </c>
      <c r="BI196" t="s">
        <v>750</v>
      </c>
      <c r="BJ196" s="4" t="s">
        <v>22</v>
      </c>
      <c r="BK196" s="9">
        <v>53000</v>
      </c>
      <c r="EE196" t="s">
        <v>55</v>
      </c>
      <c r="EF196" s="4" t="s">
        <v>22</v>
      </c>
      <c r="EG196" s="9">
        <v>53000</v>
      </c>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K196" s="9"/>
      <c r="HR196" t="s">
        <v>21</v>
      </c>
      <c r="HT196" s="4" t="s">
        <v>20</v>
      </c>
      <c r="HU196" s="58">
        <v>34335</v>
      </c>
      <c r="HV196" s="58">
        <v>36160</v>
      </c>
      <c r="HW196" s="58"/>
      <c r="IM196" s="4"/>
      <c r="IN196" t="s">
        <v>63</v>
      </c>
      <c r="IO196" s="12" t="s">
        <v>1736</v>
      </c>
      <c r="IR196">
        <v>1995</v>
      </c>
      <c r="IS196">
        <v>1995.2</v>
      </c>
      <c r="IT196" s="4" t="s">
        <v>18</v>
      </c>
      <c r="IU196" t="s">
        <v>61</v>
      </c>
      <c r="IV196" s="12" t="s">
        <v>52</v>
      </c>
      <c r="IY196">
        <v>0.5</v>
      </c>
      <c r="IZ196" t="s">
        <v>29</v>
      </c>
      <c r="JA196" t="s">
        <v>29</v>
      </c>
      <c r="JB196" t="s">
        <v>29</v>
      </c>
      <c r="JC196" t="s">
        <v>29</v>
      </c>
      <c r="JD196" t="s">
        <v>29</v>
      </c>
      <c r="JE196" t="s">
        <v>29</v>
      </c>
      <c r="JF196" t="s">
        <v>29</v>
      </c>
      <c r="JG196" t="s">
        <v>29</v>
      </c>
      <c r="JH196" t="s">
        <v>29</v>
      </c>
      <c r="JJ196" s="12" t="s">
        <v>721</v>
      </c>
      <c r="JO196" s="4"/>
      <c r="KE196" s="7" t="s">
        <v>12</v>
      </c>
      <c r="KI196" s="7" t="s">
        <v>719</v>
      </c>
      <c r="KJ196" s="7" t="s">
        <v>51</v>
      </c>
      <c r="KL196" t="s">
        <v>29</v>
      </c>
      <c r="MS196" t="s">
        <v>11</v>
      </c>
      <c r="MT196">
        <v>42</v>
      </c>
      <c r="MW196" s="4" t="s">
        <v>10</v>
      </c>
      <c r="NE196" t="s">
        <v>9</v>
      </c>
      <c r="NG196" s="4" t="s">
        <v>1165</v>
      </c>
      <c r="NH196" s="6" t="s">
        <v>7</v>
      </c>
      <c r="NQ196" t="s">
        <v>6</v>
      </c>
      <c r="NR196" s="5" t="s">
        <v>60</v>
      </c>
      <c r="NS196" s="4" t="s">
        <v>4</v>
      </c>
      <c r="NT196" s="3">
        <v>0.12510499194115998</v>
      </c>
      <c r="NW196">
        <v>4</v>
      </c>
      <c r="OH196" t="s">
        <v>3</v>
      </c>
      <c r="OJ196">
        <v>1997</v>
      </c>
      <c r="OM196" s="2" t="s">
        <v>1</v>
      </c>
      <c r="OO196" t="s">
        <v>1178</v>
      </c>
      <c r="OP196" s="58">
        <v>46094</v>
      </c>
    </row>
    <row r="197" spans="1:406" ht="15.75" thickBot="1">
      <c r="A197" s="11" t="s">
        <v>36</v>
      </c>
      <c r="B197" t="s">
        <v>35</v>
      </c>
      <c r="C197" t="s">
        <v>34</v>
      </c>
      <c r="D197" s="4" t="s">
        <v>33</v>
      </c>
      <c r="E197" t="s">
        <v>32</v>
      </c>
      <c r="F197" s="4" t="s">
        <v>31</v>
      </c>
      <c r="G197" t="s">
        <v>2</v>
      </c>
      <c r="H197" t="s">
        <v>30</v>
      </c>
      <c r="I197" s="10">
        <v>0.1</v>
      </c>
      <c r="J197" s="10">
        <v>34.566667000000002</v>
      </c>
      <c r="K197" t="s">
        <v>29</v>
      </c>
      <c r="AV197" t="s">
        <v>28</v>
      </c>
      <c r="AW197">
        <v>100</v>
      </c>
      <c r="AX197" t="s">
        <v>29</v>
      </c>
      <c r="AY197">
        <v>4</v>
      </c>
      <c r="AZ197" t="s">
        <v>27</v>
      </c>
      <c r="BA197">
        <v>1994</v>
      </c>
      <c r="BB197">
        <v>1998</v>
      </c>
      <c r="BC197" t="s">
        <v>26</v>
      </c>
      <c r="BD197" t="s">
        <v>59</v>
      </c>
      <c r="BE197" s="10" t="s">
        <v>58</v>
      </c>
      <c r="BF197" t="s">
        <v>57</v>
      </c>
      <c r="BG197" s="3" t="s">
        <v>1243</v>
      </c>
      <c r="BH197" t="s">
        <v>23</v>
      </c>
      <c r="BI197" t="s">
        <v>750</v>
      </c>
      <c r="BJ197" s="4" t="s">
        <v>22</v>
      </c>
      <c r="BK197" s="9">
        <v>53000</v>
      </c>
      <c r="EE197" t="s">
        <v>55</v>
      </c>
      <c r="EF197" s="4" t="s">
        <v>22</v>
      </c>
      <c r="EG197" s="9">
        <v>53000</v>
      </c>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K197" s="9"/>
      <c r="HR197" t="s">
        <v>21</v>
      </c>
      <c r="HT197" s="4" t="s">
        <v>20</v>
      </c>
      <c r="HU197" s="58">
        <v>34335</v>
      </c>
      <c r="HV197" s="58">
        <v>36160</v>
      </c>
      <c r="HW197" s="58"/>
      <c r="IM197" s="4"/>
      <c r="IN197" t="s">
        <v>54</v>
      </c>
      <c r="IO197" s="12" t="s">
        <v>1737</v>
      </c>
      <c r="IR197">
        <v>1994</v>
      </c>
      <c r="IS197">
        <v>1994.2</v>
      </c>
      <c r="IT197" s="4" t="s">
        <v>18</v>
      </c>
      <c r="IU197" t="s">
        <v>53</v>
      </c>
      <c r="IV197" s="12" t="s">
        <v>52</v>
      </c>
      <c r="IY197">
        <v>0.5</v>
      </c>
      <c r="IZ197" t="s">
        <v>29</v>
      </c>
      <c r="JA197" t="s">
        <v>29</v>
      </c>
      <c r="JB197" t="s">
        <v>29</v>
      </c>
      <c r="JC197" t="s">
        <v>29</v>
      </c>
      <c r="JD197" t="s">
        <v>29</v>
      </c>
      <c r="JE197" t="s">
        <v>29</v>
      </c>
      <c r="JF197" t="s">
        <v>29</v>
      </c>
      <c r="JG197" t="s">
        <v>29</v>
      </c>
      <c r="JH197" t="s">
        <v>29</v>
      </c>
      <c r="JJ197" s="12" t="s">
        <v>721</v>
      </c>
      <c r="JO197" s="4"/>
      <c r="KE197" s="7" t="s">
        <v>12</v>
      </c>
      <c r="KI197" s="7" t="s">
        <v>719</v>
      </c>
      <c r="KJ197" s="7" t="s">
        <v>51</v>
      </c>
      <c r="KL197" t="s">
        <v>29</v>
      </c>
      <c r="MS197" t="s">
        <v>11</v>
      </c>
      <c r="MT197">
        <v>42</v>
      </c>
      <c r="MW197" s="4" t="s">
        <v>10</v>
      </c>
      <c r="NE197" t="s">
        <v>9</v>
      </c>
      <c r="NG197" s="4" t="s">
        <v>1165</v>
      </c>
      <c r="NH197" s="6" t="s">
        <v>7</v>
      </c>
      <c r="NQ197" t="s">
        <v>6</v>
      </c>
      <c r="NR197" s="5" t="s">
        <v>50</v>
      </c>
      <c r="NS197" s="4" t="s">
        <v>4</v>
      </c>
      <c r="NT197" s="3">
        <v>0.14342466686340982</v>
      </c>
      <c r="NW197">
        <v>4</v>
      </c>
      <c r="OH197" t="s">
        <v>3</v>
      </c>
      <c r="OJ197">
        <v>1997</v>
      </c>
      <c r="OM197" s="2" t="s">
        <v>1</v>
      </c>
      <c r="OO197" t="s">
        <v>1178</v>
      </c>
      <c r="OP197" s="58">
        <v>46094</v>
      </c>
    </row>
    <row r="198" spans="1:406" ht="15.75" thickBot="1">
      <c r="A198" s="11" t="s">
        <v>36</v>
      </c>
      <c r="B198" t="s">
        <v>35</v>
      </c>
      <c r="C198" t="s">
        <v>34</v>
      </c>
      <c r="D198" s="4" t="s">
        <v>33</v>
      </c>
      <c r="E198" t="s">
        <v>32</v>
      </c>
      <c r="F198" s="4" t="s">
        <v>31</v>
      </c>
      <c r="G198" t="s">
        <v>2</v>
      </c>
      <c r="H198" t="s">
        <v>30</v>
      </c>
      <c r="I198" s="10">
        <v>0.1</v>
      </c>
      <c r="J198" s="10">
        <v>34.566667000000002</v>
      </c>
      <c r="K198" t="s">
        <v>29</v>
      </c>
      <c r="AV198" t="s">
        <v>28</v>
      </c>
      <c r="AW198">
        <v>100</v>
      </c>
      <c r="AX198" t="s">
        <v>29</v>
      </c>
      <c r="AY198">
        <v>4</v>
      </c>
      <c r="AZ198" t="s">
        <v>27</v>
      </c>
      <c r="BA198">
        <v>1994</v>
      </c>
      <c r="BB198">
        <v>1998</v>
      </c>
      <c r="BC198" t="s">
        <v>26</v>
      </c>
      <c r="BD198" t="s">
        <v>45</v>
      </c>
      <c r="BE198" s="10" t="s">
        <v>49</v>
      </c>
      <c r="BF198" t="s">
        <v>48</v>
      </c>
      <c r="BG198" s="3" t="s">
        <v>1243</v>
      </c>
      <c r="BH198" t="s">
        <v>23</v>
      </c>
      <c r="BI198" t="s">
        <v>750</v>
      </c>
      <c r="BJ198" s="4" t="s">
        <v>22</v>
      </c>
      <c r="BK198" s="9">
        <v>53000</v>
      </c>
      <c r="EF198" s="4"/>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K198" s="9"/>
      <c r="HR198" t="s">
        <v>21</v>
      </c>
      <c r="HT198" s="4" t="s">
        <v>20</v>
      </c>
      <c r="HU198" s="58">
        <v>34335</v>
      </c>
      <c r="HV198" s="58">
        <v>36160</v>
      </c>
      <c r="HW198" s="58"/>
      <c r="IN198" t="s">
        <v>47</v>
      </c>
      <c r="IO198" s="54" t="s">
        <v>1236</v>
      </c>
      <c r="IR198">
        <v>1995</v>
      </c>
      <c r="IS198">
        <v>1995.2</v>
      </c>
      <c r="IT198" s="4" t="s">
        <v>18</v>
      </c>
      <c r="IU198" t="s">
        <v>38</v>
      </c>
      <c r="IV198" t="s">
        <v>19</v>
      </c>
      <c r="IZ198">
        <v>0</v>
      </c>
      <c r="JA198">
        <v>0</v>
      </c>
      <c r="JB198">
        <v>0</v>
      </c>
      <c r="JC198">
        <v>0</v>
      </c>
      <c r="JD198">
        <v>0</v>
      </c>
      <c r="JE198">
        <v>0</v>
      </c>
      <c r="JF198">
        <v>0</v>
      </c>
      <c r="JG198">
        <v>0</v>
      </c>
      <c r="JH198">
        <v>0</v>
      </c>
      <c r="JJ198" s="12" t="s">
        <v>721</v>
      </c>
      <c r="JO198" s="4"/>
      <c r="KE198" s="7" t="s">
        <v>12</v>
      </c>
      <c r="KI198" s="7" t="s">
        <v>720</v>
      </c>
      <c r="KJ198" s="7"/>
      <c r="MS198" t="s">
        <v>11</v>
      </c>
      <c r="MT198">
        <v>42</v>
      </c>
      <c r="MW198" s="4" t="s">
        <v>10</v>
      </c>
      <c r="NE198" t="s">
        <v>9</v>
      </c>
      <c r="NG198" s="4" t="s">
        <v>1165</v>
      </c>
      <c r="NH198" s="6" t="s">
        <v>7</v>
      </c>
      <c r="NQ198" t="s">
        <v>6</v>
      </c>
      <c r="NR198" s="5" t="s">
        <v>46</v>
      </c>
      <c r="NS198" s="4" t="s">
        <v>4</v>
      </c>
      <c r="NT198" s="3">
        <v>0.21479648589135003</v>
      </c>
      <c r="NW198">
        <v>4</v>
      </c>
      <c r="OH198" t="s">
        <v>3</v>
      </c>
      <c r="OJ198">
        <v>1997</v>
      </c>
      <c r="OM198" s="2" t="s">
        <v>1</v>
      </c>
      <c r="OO198" t="s">
        <v>1178</v>
      </c>
      <c r="OP198" s="58">
        <v>46094</v>
      </c>
    </row>
    <row r="199" spans="1:406" ht="15.75" thickBot="1">
      <c r="A199" s="11" t="s">
        <v>36</v>
      </c>
      <c r="B199" t="s">
        <v>35</v>
      </c>
      <c r="C199" t="s">
        <v>34</v>
      </c>
      <c r="D199" s="4" t="s">
        <v>33</v>
      </c>
      <c r="E199" t="s">
        <v>32</v>
      </c>
      <c r="F199" s="4" t="s">
        <v>31</v>
      </c>
      <c r="G199" t="s">
        <v>2</v>
      </c>
      <c r="H199" t="s">
        <v>30</v>
      </c>
      <c r="I199" s="10">
        <v>0.1</v>
      </c>
      <c r="J199" s="10">
        <v>34.566667000000002</v>
      </c>
      <c r="K199" t="s">
        <v>29</v>
      </c>
      <c r="AV199" t="s">
        <v>28</v>
      </c>
      <c r="AW199">
        <v>100</v>
      </c>
      <c r="AX199" t="s">
        <v>29</v>
      </c>
      <c r="AY199">
        <v>4</v>
      </c>
      <c r="AZ199" t="s">
        <v>27</v>
      </c>
      <c r="BA199">
        <v>1994</v>
      </c>
      <c r="BB199">
        <v>1998</v>
      </c>
      <c r="BC199" t="s">
        <v>26</v>
      </c>
      <c r="BD199" t="s">
        <v>45</v>
      </c>
      <c r="BE199" s="10" t="s">
        <v>44</v>
      </c>
      <c r="BF199" t="s">
        <v>43</v>
      </c>
      <c r="BG199" s="3" t="s">
        <v>1243</v>
      </c>
      <c r="BH199" t="s">
        <v>23</v>
      </c>
      <c r="BI199" t="s">
        <v>750</v>
      </c>
      <c r="BJ199" s="4" t="s">
        <v>22</v>
      </c>
      <c r="BK199" s="9">
        <v>53000</v>
      </c>
      <c r="EF199" s="4"/>
      <c r="EG199" s="9"/>
      <c r="EH199" s="9"/>
      <c r="EI199" s="9"/>
      <c r="EJ199" s="9"/>
      <c r="EK199" s="9"/>
      <c r="EL199" s="9"/>
      <c r="EM199" s="9"/>
      <c r="EN199" s="9"/>
      <c r="EO199" s="9"/>
      <c r="EP199" s="9"/>
      <c r="EQ199" s="9"/>
      <c r="ER199" s="9"/>
      <c r="ES199" s="9"/>
      <c r="ET199" s="9"/>
      <c r="EU199" s="9"/>
      <c r="EV199" s="9"/>
      <c r="EW199" s="9"/>
      <c r="EX199" s="9"/>
      <c r="EY199" s="9"/>
      <c r="EZ199" s="9"/>
      <c r="FA199" s="9"/>
      <c r="FB199" s="9"/>
      <c r="FC199" s="9"/>
      <c r="FD199" s="9"/>
      <c r="FE199" s="9"/>
      <c r="FF199" s="9"/>
      <c r="FG199" s="9"/>
      <c r="FH199" s="9"/>
      <c r="FI199" s="9"/>
      <c r="FJ199" s="9"/>
      <c r="FK199" s="9"/>
      <c r="FL199" s="9"/>
      <c r="FM199" s="9"/>
      <c r="FN199" s="9"/>
      <c r="FO199" s="9"/>
      <c r="FP199" s="9"/>
      <c r="FQ199" s="9"/>
      <c r="FR199" s="9"/>
      <c r="FS199" s="9"/>
      <c r="FT199" s="9"/>
      <c r="FU199" s="9"/>
      <c r="FV199" s="9"/>
      <c r="FW199" s="9"/>
      <c r="FX199" s="9"/>
      <c r="FY199" s="9"/>
      <c r="FZ199" s="9"/>
      <c r="GA199" s="9"/>
      <c r="GB199" s="9"/>
      <c r="GC199" s="9"/>
      <c r="GD199" s="9"/>
      <c r="GE199" s="9"/>
      <c r="GF199" s="9"/>
      <c r="GG199" s="9"/>
      <c r="GH199" s="9"/>
      <c r="GI199" s="9"/>
      <c r="GJ199" s="9"/>
      <c r="GK199" s="9"/>
      <c r="GL199" s="9"/>
      <c r="GM199" s="9"/>
      <c r="GN199" s="9"/>
      <c r="GO199" s="9"/>
      <c r="GP199" s="9"/>
      <c r="GQ199" s="9"/>
      <c r="GR199" s="9"/>
      <c r="GS199" s="9"/>
      <c r="GT199" s="9"/>
      <c r="GU199" s="9"/>
      <c r="GV199" s="9"/>
      <c r="GW199" s="9"/>
      <c r="GX199" s="9"/>
      <c r="GY199" s="9"/>
      <c r="GZ199" s="9"/>
      <c r="HA199" s="9"/>
      <c r="HB199" s="9"/>
      <c r="HC199" s="9"/>
      <c r="HD199" s="9"/>
      <c r="HE199" s="9"/>
      <c r="HF199" s="9"/>
      <c r="HG199" s="9"/>
      <c r="HH199" s="9"/>
      <c r="HI199" s="9"/>
      <c r="HJ199" s="9"/>
      <c r="HK199" s="9"/>
      <c r="HR199" t="s">
        <v>21</v>
      </c>
      <c r="HT199" s="4" t="s">
        <v>20</v>
      </c>
      <c r="HU199" s="58">
        <v>34335</v>
      </c>
      <c r="HV199" s="58">
        <v>36160</v>
      </c>
      <c r="HW199" s="58"/>
      <c r="IN199" t="s">
        <v>42</v>
      </c>
      <c r="IO199" s="13" t="s">
        <v>1237</v>
      </c>
      <c r="IR199">
        <v>1994</v>
      </c>
      <c r="IS199">
        <v>1994.2</v>
      </c>
      <c r="IT199" s="4" t="s">
        <v>18</v>
      </c>
      <c r="IU199" t="s">
        <v>38</v>
      </c>
      <c r="IV199" t="s">
        <v>19</v>
      </c>
      <c r="IZ199">
        <v>0</v>
      </c>
      <c r="JA199">
        <v>0</v>
      </c>
      <c r="JB199">
        <v>0</v>
      </c>
      <c r="JC199">
        <v>0</v>
      </c>
      <c r="JD199">
        <v>0</v>
      </c>
      <c r="JE199">
        <v>0</v>
      </c>
      <c r="JF199">
        <v>0</v>
      </c>
      <c r="JG199">
        <v>0</v>
      </c>
      <c r="JH199">
        <v>0</v>
      </c>
      <c r="JJ199" s="12" t="s">
        <v>721</v>
      </c>
      <c r="JO199" s="4"/>
      <c r="KE199" s="7" t="s">
        <v>12</v>
      </c>
      <c r="KI199" s="7" t="s">
        <v>720</v>
      </c>
      <c r="KJ199" s="7"/>
      <c r="MS199" t="s">
        <v>11</v>
      </c>
      <c r="MT199">
        <v>42</v>
      </c>
      <c r="MW199" s="4" t="s">
        <v>10</v>
      </c>
      <c r="NE199" t="s">
        <v>9</v>
      </c>
      <c r="NG199" s="4" t="s">
        <v>1165</v>
      </c>
      <c r="NH199" s="6" t="s">
        <v>7</v>
      </c>
      <c r="NQ199" t="s">
        <v>6</v>
      </c>
      <c r="NR199" s="5" t="s">
        <v>41</v>
      </c>
      <c r="NS199" s="4" t="s">
        <v>4</v>
      </c>
      <c r="NT199" s="3">
        <v>0.10746634582643</v>
      </c>
      <c r="NW199">
        <v>4</v>
      </c>
      <c r="OH199" t="s">
        <v>3</v>
      </c>
      <c r="OJ199">
        <v>1997</v>
      </c>
      <c r="OM199" s="2" t="s">
        <v>1</v>
      </c>
      <c r="OO199" t="s">
        <v>1178</v>
      </c>
      <c r="OP199" s="58">
        <v>46094</v>
      </c>
    </row>
    <row r="200" spans="1:406" ht="15.75" thickBot="1">
      <c r="A200" s="11" t="s">
        <v>36</v>
      </c>
      <c r="B200" t="s">
        <v>35</v>
      </c>
      <c r="C200" t="s">
        <v>34</v>
      </c>
      <c r="D200" s="4" t="s">
        <v>33</v>
      </c>
      <c r="E200" t="s">
        <v>32</v>
      </c>
      <c r="F200" s="4" t="s">
        <v>31</v>
      </c>
      <c r="G200" t="s">
        <v>2</v>
      </c>
      <c r="H200" t="s">
        <v>30</v>
      </c>
      <c r="I200" s="10">
        <v>0.1</v>
      </c>
      <c r="J200" s="10">
        <v>34.566667000000002</v>
      </c>
      <c r="K200" t="s">
        <v>29</v>
      </c>
      <c r="AV200" t="s">
        <v>28</v>
      </c>
      <c r="AW200">
        <v>100</v>
      </c>
      <c r="AX200" t="s">
        <v>29</v>
      </c>
      <c r="AY200">
        <v>4</v>
      </c>
      <c r="AZ200" t="s">
        <v>27</v>
      </c>
      <c r="BA200">
        <v>1994</v>
      </c>
      <c r="BB200">
        <v>1998</v>
      </c>
      <c r="BC200" t="s">
        <v>26</v>
      </c>
      <c r="BD200" t="s">
        <v>19</v>
      </c>
      <c r="BE200" s="10" t="s">
        <v>40</v>
      </c>
      <c r="BF200" t="s">
        <v>39</v>
      </c>
      <c r="BG200" s="3" t="s">
        <v>1243</v>
      </c>
      <c r="BH200" t="s">
        <v>23</v>
      </c>
      <c r="BI200" t="s">
        <v>750</v>
      </c>
      <c r="BJ200" s="4" t="s">
        <v>22</v>
      </c>
      <c r="BK200" s="9">
        <v>53000</v>
      </c>
      <c r="HR200" t="s">
        <v>21</v>
      </c>
      <c r="HT200" s="4" t="s">
        <v>20</v>
      </c>
      <c r="HU200" s="58">
        <v>34335</v>
      </c>
      <c r="HV200" s="58">
        <v>36160</v>
      </c>
      <c r="HW200" s="58"/>
      <c r="IN200" t="s">
        <v>38</v>
      </c>
      <c r="IO200" s="54" t="s">
        <v>19</v>
      </c>
      <c r="IT200" s="4" t="s">
        <v>18</v>
      </c>
      <c r="IU200" t="s">
        <v>38</v>
      </c>
      <c r="IV200" s="54" t="s">
        <v>19</v>
      </c>
      <c r="IZ200">
        <v>0</v>
      </c>
      <c r="JA200">
        <v>0</v>
      </c>
      <c r="JB200">
        <v>0</v>
      </c>
      <c r="JC200">
        <v>0</v>
      </c>
      <c r="JD200">
        <v>0</v>
      </c>
      <c r="JE200">
        <v>0</v>
      </c>
      <c r="JF200">
        <v>0</v>
      </c>
      <c r="JG200">
        <v>0</v>
      </c>
      <c r="JH200">
        <v>0</v>
      </c>
      <c r="JJ200" s="12" t="s">
        <v>721</v>
      </c>
      <c r="JO200" s="4"/>
      <c r="KE200" s="7" t="s">
        <v>12</v>
      </c>
      <c r="KI200" s="7" t="s">
        <v>720</v>
      </c>
      <c r="KJ200" s="7"/>
      <c r="MS200" t="s">
        <v>11</v>
      </c>
      <c r="MT200">
        <v>42</v>
      </c>
      <c r="MW200" s="4" t="s">
        <v>10</v>
      </c>
      <c r="NE200" t="s">
        <v>9</v>
      </c>
      <c r="NG200" s="4" t="s">
        <v>1165</v>
      </c>
      <c r="NH200" s="6" t="s">
        <v>7</v>
      </c>
      <c r="NP200" t="s">
        <v>735</v>
      </c>
      <c r="NQ200" t="s">
        <v>6</v>
      </c>
      <c r="NR200" s="5" t="s">
        <v>37</v>
      </c>
      <c r="NS200" s="4" t="s">
        <v>4</v>
      </c>
      <c r="NT200" s="3">
        <v>0.17897437061588017</v>
      </c>
      <c r="NW200">
        <v>4</v>
      </c>
      <c r="OH200" t="s">
        <v>3</v>
      </c>
      <c r="OJ200">
        <v>1997</v>
      </c>
      <c r="OM200" s="2" t="s">
        <v>1</v>
      </c>
      <c r="OO200" t="s">
        <v>1178</v>
      </c>
      <c r="OP200" s="58">
        <v>46094</v>
      </c>
    </row>
    <row r="201" spans="1:406" ht="15.75" thickBot="1">
      <c r="A201" s="11" t="s">
        <v>36</v>
      </c>
      <c r="B201" t="s">
        <v>35</v>
      </c>
      <c r="C201" t="s">
        <v>34</v>
      </c>
      <c r="D201" s="4" t="s">
        <v>33</v>
      </c>
      <c r="E201" t="s">
        <v>32</v>
      </c>
      <c r="F201" s="4" t="s">
        <v>31</v>
      </c>
      <c r="G201" t="s">
        <v>2</v>
      </c>
      <c r="H201" t="s">
        <v>30</v>
      </c>
      <c r="I201" s="10">
        <v>0.1</v>
      </c>
      <c r="J201" s="10">
        <v>34.566667000000002</v>
      </c>
      <c r="K201" t="s">
        <v>29</v>
      </c>
      <c r="AV201" t="s">
        <v>28</v>
      </c>
      <c r="AW201">
        <v>100</v>
      </c>
      <c r="AX201" t="s">
        <v>29</v>
      </c>
      <c r="AY201">
        <v>4</v>
      </c>
      <c r="AZ201" t="s">
        <v>27</v>
      </c>
      <c r="BA201">
        <v>1994</v>
      </c>
      <c r="BB201">
        <v>1998</v>
      </c>
      <c r="BC201" t="s">
        <v>26</v>
      </c>
      <c r="BD201" t="s">
        <v>19</v>
      </c>
      <c r="BE201" s="10" t="s">
        <v>25</v>
      </c>
      <c r="BF201" t="s">
        <v>24</v>
      </c>
      <c r="BG201" s="3" t="s">
        <v>1243</v>
      </c>
      <c r="BH201" t="s">
        <v>23</v>
      </c>
      <c r="BI201" t="s">
        <v>750</v>
      </c>
      <c r="BJ201" s="4" t="s">
        <v>22</v>
      </c>
      <c r="BK201" s="9">
        <v>53000</v>
      </c>
      <c r="HR201" t="s">
        <v>21</v>
      </c>
      <c r="HT201" s="4" t="s">
        <v>20</v>
      </c>
      <c r="HU201" s="58">
        <v>34335</v>
      </c>
      <c r="HV201" s="58">
        <v>36160</v>
      </c>
      <c r="HW201" s="58"/>
      <c r="IN201" t="s">
        <v>16</v>
      </c>
      <c r="IO201" s="54" t="s">
        <v>19</v>
      </c>
      <c r="IT201" s="4" t="s">
        <v>18</v>
      </c>
      <c r="IU201" t="s">
        <v>17</v>
      </c>
      <c r="IV201" s="54" t="s">
        <v>19</v>
      </c>
      <c r="IZ201">
        <v>0</v>
      </c>
      <c r="JA201">
        <v>0</v>
      </c>
      <c r="JB201">
        <v>0</v>
      </c>
      <c r="JC201">
        <v>0</v>
      </c>
      <c r="JD201">
        <v>0</v>
      </c>
      <c r="JE201">
        <v>0</v>
      </c>
      <c r="JF201">
        <v>0</v>
      </c>
      <c r="JG201">
        <v>0</v>
      </c>
      <c r="JH201">
        <v>0</v>
      </c>
      <c r="JI201" t="s">
        <v>16</v>
      </c>
      <c r="JJ201" t="s">
        <v>15</v>
      </c>
      <c r="JK201" s="8" t="s">
        <v>14</v>
      </c>
      <c r="JO201" s="4" t="s">
        <v>13</v>
      </c>
      <c r="JP201">
        <v>60</v>
      </c>
      <c r="JS201">
        <v>60</v>
      </c>
      <c r="KE201" s="7" t="s">
        <v>12</v>
      </c>
      <c r="KI201" s="7" t="s">
        <v>720</v>
      </c>
      <c r="KJ201" s="7"/>
      <c r="MS201" t="s">
        <v>11</v>
      </c>
      <c r="MT201">
        <v>42</v>
      </c>
      <c r="MW201" s="4" t="s">
        <v>10</v>
      </c>
      <c r="NE201" t="s">
        <v>9</v>
      </c>
      <c r="NG201" s="4" t="s">
        <v>1165</v>
      </c>
      <c r="NH201" s="6" t="s">
        <v>7</v>
      </c>
      <c r="NP201" t="s">
        <v>747</v>
      </c>
      <c r="NQ201" t="s">
        <v>6</v>
      </c>
      <c r="NR201" s="5" t="s">
        <v>5</v>
      </c>
      <c r="NS201" s="4" t="s">
        <v>4</v>
      </c>
      <c r="NT201" s="3">
        <v>0.10726203718416993</v>
      </c>
      <c r="NW201">
        <v>4</v>
      </c>
      <c r="OH201" t="s">
        <v>3</v>
      </c>
      <c r="OJ201">
        <v>1997</v>
      </c>
      <c r="OM201" s="2" t="s">
        <v>1</v>
      </c>
      <c r="OO201" t="s">
        <v>1178</v>
      </c>
      <c r="OP201" s="58">
        <v>46094</v>
      </c>
    </row>
    <row r="202" spans="1:406" ht="15.75" thickBot="1">
      <c r="A202" t="s">
        <v>1182</v>
      </c>
      <c r="B202" t="s">
        <v>1526</v>
      </c>
      <c r="C202" s="93" t="s">
        <v>1183</v>
      </c>
      <c r="D202" s="4" t="s">
        <v>29</v>
      </c>
      <c r="E202" t="s">
        <v>1210</v>
      </c>
      <c r="F202" t="s">
        <v>1205</v>
      </c>
      <c r="G202" t="s">
        <v>2</v>
      </c>
      <c r="H202" t="s">
        <v>234</v>
      </c>
      <c r="K202" t="s">
        <v>29</v>
      </c>
      <c r="AV202" t="s">
        <v>1211</v>
      </c>
      <c r="AW202" t="s">
        <v>29</v>
      </c>
      <c r="AX202" t="s">
        <v>29</v>
      </c>
      <c r="AY202">
        <v>2</v>
      </c>
      <c r="AZ202" t="s">
        <v>1219</v>
      </c>
      <c r="BA202">
        <v>2002</v>
      </c>
      <c r="BB202">
        <v>2005</v>
      </c>
      <c r="BD202" t="s">
        <v>19</v>
      </c>
      <c r="BE202" t="s">
        <v>1186</v>
      </c>
      <c r="BF202" t="s">
        <v>39</v>
      </c>
      <c r="BG202" s="3" t="s">
        <v>1243</v>
      </c>
      <c r="BH202" t="s">
        <v>1184</v>
      </c>
      <c r="BI202" t="s">
        <v>1212</v>
      </c>
      <c r="BJ202" s="4" t="s">
        <v>22</v>
      </c>
      <c r="BK202">
        <v>333333</v>
      </c>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K202" s="9"/>
      <c r="HW202" s="58"/>
      <c r="IG202" t="s">
        <v>1186</v>
      </c>
      <c r="IH202" s="13" t="s">
        <v>19</v>
      </c>
      <c r="JI202" t="s">
        <v>15</v>
      </c>
      <c r="JJ202" s="84" t="s">
        <v>15</v>
      </c>
      <c r="JK202" s="8" t="s">
        <v>14</v>
      </c>
      <c r="JO202" t="s">
        <v>13</v>
      </c>
      <c r="JP202">
        <v>60</v>
      </c>
      <c r="JS202">
        <v>45</v>
      </c>
      <c r="MS202" t="s">
        <v>1204</v>
      </c>
      <c r="MW202" s="4" t="s">
        <v>1188</v>
      </c>
      <c r="NE202" s="93" t="s">
        <v>1203</v>
      </c>
      <c r="NF202" t="s">
        <v>1190</v>
      </c>
      <c r="NG202" t="s">
        <v>8</v>
      </c>
      <c r="NH202" t="s">
        <v>1185</v>
      </c>
      <c r="NP202" t="s">
        <v>1220</v>
      </c>
      <c r="NQ202" t="s">
        <v>6</v>
      </c>
      <c r="NS202" t="s">
        <v>29</v>
      </c>
      <c r="NW202">
        <v>3</v>
      </c>
      <c r="NX202">
        <v>24.24</v>
      </c>
      <c r="NY202" t="s">
        <v>29</v>
      </c>
      <c r="OH202" t="s">
        <v>1527</v>
      </c>
      <c r="OJ202">
        <v>2002</v>
      </c>
      <c r="OO202" t="s">
        <v>1178</v>
      </c>
      <c r="OP202" s="58">
        <v>46105</v>
      </c>
    </row>
    <row r="203" spans="1:406" ht="15.75" thickBot="1">
      <c r="A203" t="s">
        <v>1182</v>
      </c>
      <c r="B203" t="s">
        <v>1526</v>
      </c>
      <c r="C203" s="93" t="s">
        <v>1183</v>
      </c>
      <c r="D203" s="4" t="s">
        <v>29</v>
      </c>
      <c r="E203" t="s">
        <v>1210</v>
      </c>
      <c r="F203" t="s">
        <v>1205</v>
      </c>
      <c r="G203" t="s">
        <v>2</v>
      </c>
      <c r="H203" t="s">
        <v>234</v>
      </c>
      <c r="K203" t="s">
        <v>29</v>
      </c>
      <c r="AV203" t="s">
        <v>1211</v>
      </c>
      <c r="AW203" t="s">
        <v>29</v>
      </c>
      <c r="AX203" t="s">
        <v>29</v>
      </c>
      <c r="AY203">
        <v>2</v>
      </c>
      <c r="AZ203" t="s">
        <v>1219</v>
      </c>
      <c r="BA203">
        <v>2002</v>
      </c>
      <c r="BB203">
        <v>2005</v>
      </c>
      <c r="BD203" t="s">
        <v>238</v>
      </c>
      <c r="BE203" t="s">
        <v>1187</v>
      </c>
      <c r="BF203" t="s">
        <v>64</v>
      </c>
      <c r="BG203" s="3" t="s">
        <v>1243</v>
      </c>
      <c r="BH203" t="s">
        <v>1184</v>
      </c>
      <c r="BI203" t="s">
        <v>1212</v>
      </c>
      <c r="BJ203" s="4" t="s">
        <v>22</v>
      </c>
      <c r="BK203">
        <v>333333</v>
      </c>
      <c r="BM203" t="s">
        <v>1196</v>
      </c>
      <c r="BN203" t="s">
        <v>1213</v>
      </c>
      <c r="BO203">
        <v>55556</v>
      </c>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K203" s="9"/>
      <c r="HW203" s="58"/>
      <c r="IG203" t="s">
        <v>1187</v>
      </c>
      <c r="IH203" s="12" t="s">
        <v>1200</v>
      </c>
      <c r="II203" t="s">
        <v>660</v>
      </c>
      <c r="IJ203" t="s">
        <v>29</v>
      </c>
      <c r="IK203" t="s">
        <v>29</v>
      </c>
      <c r="IL203">
        <v>2002</v>
      </c>
      <c r="IM203" t="s">
        <v>29</v>
      </c>
      <c r="JI203" t="s">
        <v>15</v>
      </c>
      <c r="JJ203" s="84" t="s">
        <v>15</v>
      </c>
      <c r="JK203" s="8" t="s">
        <v>14</v>
      </c>
      <c r="JO203" t="s">
        <v>13</v>
      </c>
      <c r="JP203">
        <v>60</v>
      </c>
      <c r="JS203">
        <v>45</v>
      </c>
      <c r="MS203" t="s">
        <v>1204</v>
      </c>
      <c r="MW203" s="4" t="s">
        <v>1188</v>
      </c>
      <c r="MX203" t="s">
        <v>1189</v>
      </c>
      <c r="NE203" s="93" t="s">
        <v>1203</v>
      </c>
      <c r="NF203" t="s">
        <v>1191</v>
      </c>
      <c r="NG203" t="s">
        <v>8</v>
      </c>
      <c r="NH203" t="s">
        <v>1185</v>
      </c>
      <c r="NQ203" t="s">
        <v>6</v>
      </c>
      <c r="NS203" t="s">
        <v>29</v>
      </c>
      <c r="NW203">
        <v>3</v>
      </c>
      <c r="NX203">
        <v>12.12</v>
      </c>
      <c r="NY203" t="s">
        <v>29</v>
      </c>
      <c r="NZ203">
        <v>2.4</v>
      </c>
      <c r="OA203" t="s">
        <v>29</v>
      </c>
      <c r="OH203" t="s">
        <v>1528</v>
      </c>
      <c r="OJ203">
        <v>2002</v>
      </c>
      <c r="OO203" t="s">
        <v>1178</v>
      </c>
      <c r="OP203" s="58">
        <v>46105</v>
      </c>
    </row>
    <row r="204" spans="1:406" ht="15.75" thickBot="1">
      <c r="A204" t="s">
        <v>1182</v>
      </c>
      <c r="B204" t="s">
        <v>1526</v>
      </c>
      <c r="C204" s="93" t="s">
        <v>1183</v>
      </c>
      <c r="D204" s="4" t="s">
        <v>29</v>
      </c>
      <c r="E204" t="s">
        <v>1210</v>
      </c>
      <c r="F204" t="s">
        <v>1205</v>
      </c>
      <c r="G204" t="s">
        <v>2</v>
      </c>
      <c r="H204" t="s">
        <v>234</v>
      </c>
      <c r="K204" t="s">
        <v>29</v>
      </c>
      <c r="AV204" t="s">
        <v>1211</v>
      </c>
      <c r="AW204" t="s">
        <v>29</v>
      </c>
      <c r="AX204" t="s">
        <v>29</v>
      </c>
      <c r="AY204">
        <v>2</v>
      </c>
      <c r="AZ204" t="s">
        <v>1219</v>
      </c>
      <c r="BA204">
        <v>2002</v>
      </c>
      <c r="BB204">
        <v>2005</v>
      </c>
      <c r="BD204" t="s">
        <v>238</v>
      </c>
      <c r="BE204" t="s">
        <v>1197</v>
      </c>
      <c r="BF204" t="s">
        <v>57</v>
      </c>
      <c r="BG204" s="3" t="s">
        <v>1243</v>
      </c>
      <c r="BH204" t="s">
        <v>1184</v>
      </c>
      <c r="BI204" t="s">
        <v>1212</v>
      </c>
      <c r="BJ204" s="4" t="s">
        <v>22</v>
      </c>
      <c r="BK204">
        <v>333333</v>
      </c>
      <c r="BM204" t="s">
        <v>1196</v>
      </c>
      <c r="BN204" t="s">
        <v>1213</v>
      </c>
      <c r="BO204" s="9">
        <v>37037</v>
      </c>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K204" s="9"/>
      <c r="HW204" s="58"/>
      <c r="IG204" t="s">
        <v>1197</v>
      </c>
      <c r="IH204" s="12" t="s">
        <v>1200</v>
      </c>
      <c r="II204" t="s">
        <v>660</v>
      </c>
      <c r="IJ204" t="s">
        <v>29</v>
      </c>
      <c r="IK204" t="s">
        <v>29</v>
      </c>
      <c r="IL204">
        <v>2002</v>
      </c>
      <c r="IM204" t="s">
        <v>29</v>
      </c>
      <c r="JI204" t="s">
        <v>15</v>
      </c>
      <c r="JJ204" s="84" t="s">
        <v>15</v>
      </c>
      <c r="JK204" s="8" t="s">
        <v>14</v>
      </c>
      <c r="JO204" t="s">
        <v>13</v>
      </c>
      <c r="JP204">
        <v>60</v>
      </c>
      <c r="JS204">
        <v>45</v>
      </c>
      <c r="MS204" t="s">
        <v>1204</v>
      </c>
      <c r="MW204" s="4" t="s">
        <v>1188</v>
      </c>
      <c r="MX204" t="s">
        <v>1189</v>
      </c>
      <c r="NE204" s="93" t="s">
        <v>1203</v>
      </c>
      <c r="NF204" t="s">
        <v>1191</v>
      </c>
      <c r="NG204" t="s">
        <v>8</v>
      </c>
      <c r="NH204" t="s">
        <v>1185</v>
      </c>
      <c r="NQ204" t="s">
        <v>6</v>
      </c>
      <c r="NS204" t="s">
        <v>29</v>
      </c>
      <c r="NW204">
        <v>3</v>
      </c>
      <c r="NX204">
        <v>16.2</v>
      </c>
      <c r="NY204" t="s">
        <v>29</v>
      </c>
      <c r="NZ204">
        <v>4.25</v>
      </c>
      <c r="OA204" t="s">
        <v>29</v>
      </c>
      <c r="OH204" t="s">
        <v>1528</v>
      </c>
      <c r="OJ204">
        <v>2002</v>
      </c>
      <c r="OO204" t="s">
        <v>1178</v>
      </c>
      <c r="OP204" s="58">
        <v>46105</v>
      </c>
    </row>
    <row r="205" spans="1:406" ht="15.75" thickBot="1">
      <c r="A205" t="s">
        <v>1182</v>
      </c>
      <c r="B205" t="s">
        <v>1526</v>
      </c>
      <c r="C205" s="93" t="s">
        <v>1183</v>
      </c>
      <c r="D205" s="4" t="s">
        <v>29</v>
      </c>
      <c r="E205" t="s">
        <v>1210</v>
      </c>
      <c r="F205" t="s">
        <v>1205</v>
      </c>
      <c r="G205" t="s">
        <v>2</v>
      </c>
      <c r="H205" t="s">
        <v>234</v>
      </c>
      <c r="K205" t="s">
        <v>29</v>
      </c>
      <c r="AV205" t="s">
        <v>1211</v>
      </c>
      <c r="AW205" t="s">
        <v>29</v>
      </c>
      <c r="AX205" t="s">
        <v>29</v>
      </c>
      <c r="AY205">
        <v>2</v>
      </c>
      <c r="AZ205" t="s">
        <v>1219</v>
      </c>
      <c r="BA205">
        <v>2002</v>
      </c>
      <c r="BB205">
        <v>2005</v>
      </c>
      <c r="BD205" t="s">
        <v>238</v>
      </c>
      <c r="BE205" t="s">
        <v>1198</v>
      </c>
      <c r="BF205" t="s">
        <v>48</v>
      </c>
      <c r="BG205" s="3" t="s">
        <v>1243</v>
      </c>
      <c r="BH205" t="s">
        <v>1184</v>
      </c>
      <c r="BI205" t="s">
        <v>1212</v>
      </c>
      <c r="BJ205" s="4" t="s">
        <v>22</v>
      </c>
      <c r="BK205">
        <v>333333</v>
      </c>
      <c r="BM205" t="s">
        <v>1196</v>
      </c>
      <c r="BN205" t="s">
        <v>1213</v>
      </c>
      <c r="BO205" s="9">
        <v>27778</v>
      </c>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K205" s="9"/>
      <c r="HW205" s="58"/>
      <c r="IG205" t="s">
        <v>1198</v>
      </c>
      <c r="IH205" s="12" t="s">
        <v>1200</v>
      </c>
      <c r="II205" t="s">
        <v>660</v>
      </c>
      <c r="IJ205" t="s">
        <v>29</v>
      </c>
      <c r="IK205" t="s">
        <v>29</v>
      </c>
      <c r="IL205">
        <v>2002</v>
      </c>
      <c r="IM205" t="s">
        <v>29</v>
      </c>
      <c r="JI205" t="s">
        <v>15</v>
      </c>
      <c r="JJ205" s="84" t="s">
        <v>15</v>
      </c>
      <c r="JK205" s="8" t="s">
        <v>14</v>
      </c>
      <c r="JO205" t="s">
        <v>13</v>
      </c>
      <c r="JP205">
        <v>60</v>
      </c>
      <c r="JS205">
        <v>45</v>
      </c>
      <c r="MS205" t="s">
        <v>1204</v>
      </c>
      <c r="MW205" s="4" t="s">
        <v>1188</v>
      </c>
      <c r="MX205" t="s">
        <v>1189</v>
      </c>
      <c r="NE205" s="93" t="s">
        <v>1203</v>
      </c>
      <c r="NF205" t="s">
        <v>1191</v>
      </c>
      <c r="NG205" t="s">
        <v>8</v>
      </c>
      <c r="NH205" t="s">
        <v>1185</v>
      </c>
      <c r="NQ205" t="s">
        <v>6</v>
      </c>
      <c r="NS205" t="s">
        <v>29</v>
      </c>
      <c r="NW205">
        <v>3</v>
      </c>
      <c r="NX205">
        <v>8.08</v>
      </c>
      <c r="NY205" t="s">
        <v>29</v>
      </c>
      <c r="NZ205">
        <v>1.63</v>
      </c>
      <c r="OA205" t="s">
        <v>29</v>
      </c>
      <c r="OH205" t="s">
        <v>1528</v>
      </c>
      <c r="OJ205">
        <v>2002</v>
      </c>
      <c r="OO205" t="s">
        <v>1178</v>
      </c>
      <c r="OP205" s="58">
        <v>46105</v>
      </c>
    </row>
    <row r="206" spans="1:406" ht="15.75" thickBot="1">
      <c r="A206" t="s">
        <v>1182</v>
      </c>
      <c r="B206" t="s">
        <v>1526</v>
      </c>
      <c r="C206" s="93" t="s">
        <v>1183</v>
      </c>
      <c r="D206" s="4" t="s">
        <v>29</v>
      </c>
      <c r="E206" t="s">
        <v>1210</v>
      </c>
      <c r="F206" t="s">
        <v>1205</v>
      </c>
      <c r="G206" t="s">
        <v>2</v>
      </c>
      <c r="H206" t="s">
        <v>234</v>
      </c>
      <c r="K206" t="s">
        <v>29</v>
      </c>
      <c r="AV206" t="s">
        <v>1211</v>
      </c>
      <c r="AW206" t="s">
        <v>29</v>
      </c>
      <c r="AX206" t="s">
        <v>29</v>
      </c>
      <c r="AY206">
        <v>2</v>
      </c>
      <c r="AZ206" t="s">
        <v>1219</v>
      </c>
      <c r="BA206">
        <v>2002</v>
      </c>
      <c r="BB206">
        <v>2005</v>
      </c>
      <c r="BD206" t="s">
        <v>238</v>
      </c>
      <c r="BE206" t="s">
        <v>1199</v>
      </c>
      <c r="BF206" t="s">
        <v>43</v>
      </c>
      <c r="BG206" s="3" t="s">
        <v>1243</v>
      </c>
      <c r="BH206" t="s">
        <v>1184</v>
      </c>
      <c r="BI206" t="s">
        <v>1212</v>
      </c>
      <c r="BJ206" s="4" t="s">
        <v>22</v>
      </c>
      <c r="BK206">
        <v>333333</v>
      </c>
      <c r="BM206" t="s">
        <v>1196</v>
      </c>
      <c r="BN206" t="s">
        <v>1213</v>
      </c>
      <c r="BO206" s="9">
        <v>22222</v>
      </c>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K206" s="9"/>
      <c r="HW206" s="58"/>
      <c r="IG206" t="s">
        <v>1199</v>
      </c>
      <c r="IH206" s="12" t="s">
        <v>1200</v>
      </c>
      <c r="II206" t="s">
        <v>660</v>
      </c>
      <c r="IJ206" t="s">
        <v>29</v>
      </c>
      <c r="IK206" t="s">
        <v>29</v>
      </c>
      <c r="IL206">
        <v>2002</v>
      </c>
      <c r="IM206" t="s">
        <v>29</v>
      </c>
      <c r="JI206" t="s">
        <v>15</v>
      </c>
      <c r="JJ206" s="84" t="s">
        <v>15</v>
      </c>
      <c r="JK206" s="8" t="s">
        <v>14</v>
      </c>
      <c r="JO206" t="s">
        <v>13</v>
      </c>
      <c r="JP206">
        <v>60</v>
      </c>
      <c r="JS206">
        <v>45</v>
      </c>
      <c r="MS206" t="s">
        <v>1204</v>
      </c>
      <c r="MW206" s="4" t="s">
        <v>1188</v>
      </c>
      <c r="MX206" t="s">
        <v>1189</v>
      </c>
      <c r="NE206" s="93" t="s">
        <v>1203</v>
      </c>
      <c r="NF206" t="s">
        <v>1191</v>
      </c>
      <c r="NG206" t="s">
        <v>8</v>
      </c>
      <c r="NH206" t="s">
        <v>1185</v>
      </c>
      <c r="NQ206" t="s">
        <v>6</v>
      </c>
      <c r="NS206" t="s">
        <v>29</v>
      </c>
      <c r="NW206">
        <v>3</v>
      </c>
      <c r="NX206">
        <v>18.2</v>
      </c>
      <c r="NY206" t="s">
        <v>29</v>
      </c>
      <c r="NZ206">
        <v>2.27</v>
      </c>
      <c r="OA206" t="s">
        <v>29</v>
      </c>
      <c r="OH206" t="s">
        <v>1528</v>
      </c>
      <c r="OJ206">
        <v>2002</v>
      </c>
      <c r="OO206" t="s">
        <v>1178</v>
      </c>
      <c r="OP206" s="58">
        <v>46105</v>
      </c>
    </row>
    <row r="207" spans="1:406" ht="15.75" thickBot="1">
      <c r="A207" t="s">
        <v>1182</v>
      </c>
      <c r="B207" t="s">
        <v>1526</v>
      </c>
      <c r="C207" s="93" t="s">
        <v>1183</v>
      </c>
      <c r="D207" s="4" t="s">
        <v>29</v>
      </c>
      <c r="E207" t="s">
        <v>1210</v>
      </c>
      <c r="F207" t="s">
        <v>1205</v>
      </c>
      <c r="G207" t="s">
        <v>2</v>
      </c>
      <c r="H207" t="s">
        <v>234</v>
      </c>
      <c r="K207" t="s">
        <v>29</v>
      </c>
      <c r="AV207" t="s">
        <v>1211</v>
      </c>
      <c r="AW207" t="s">
        <v>29</v>
      </c>
      <c r="AX207" t="s">
        <v>29</v>
      </c>
      <c r="AY207">
        <v>2</v>
      </c>
      <c r="AZ207" t="s">
        <v>1219</v>
      </c>
      <c r="BA207">
        <v>2002</v>
      </c>
      <c r="BB207">
        <v>2005</v>
      </c>
      <c r="BD207" t="s">
        <v>19</v>
      </c>
      <c r="BE207" t="s">
        <v>1202</v>
      </c>
      <c r="BF207" t="s">
        <v>24</v>
      </c>
      <c r="BG207" s="3" t="s">
        <v>1243</v>
      </c>
      <c r="BH207" t="s">
        <v>1196</v>
      </c>
      <c r="BI207" t="s">
        <v>1213</v>
      </c>
      <c r="BJ207" s="4" t="s">
        <v>22</v>
      </c>
      <c r="BK207" s="9">
        <v>55556</v>
      </c>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K207" s="9"/>
      <c r="HW207" s="58"/>
      <c r="IG207" t="s">
        <v>1202</v>
      </c>
      <c r="IH207" s="13" t="s">
        <v>19</v>
      </c>
      <c r="JI207" t="s">
        <v>15</v>
      </c>
      <c r="JJ207" s="84" t="s">
        <v>15</v>
      </c>
      <c r="JK207" s="8" t="s">
        <v>14</v>
      </c>
      <c r="JO207" t="s">
        <v>13</v>
      </c>
      <c r="JP207">
        <v>60</v>
      </c>
      <c r="JS207">
        <v>45</v>
      </c>
      <c r="MS207" t="s">
        <v>1204</v>
      </c>
      <c r="MX207" t="s">
        <v>1189</v>
      </c>
      <c r="NE207" s="93" t="s">
        <v>1218</v>
      </c>
      <c r="NF207" t="s">
        <v>1201</v>
      </c>
      <c r="NG207" t="s">
        <v>8</v>
      </c>
      <c r="NH207" t="s">
        <v>1185</v>
      </c>
      <c r="NP207" t="s">
        <v>1220</v>
      </c>
      <c r="NQ207" t="s">
        <v>6</v>
      </c>
      <c r="NS207" t="s">
        <v>29</v>
      </c>
      <c r="NW207">
        <v>3</v>
      </c>
      <c r="NZ207">
        <v>8.56</v>
      </c>
      <c r="OA207" t="s">
        <v>29</v>
      </c>
      <c r="OH207" t="s">
        <v>1528</v>
      </c>
      <c r="OJ207">
        <v>2002</v>
      </c>
      <c r="OO207" t="s">
        <v>1178</v>
      </c>
      <c r="OP207" s="58">
        <v>46105</v>
      </c>
    </row>
    <row r="208" spans="1:406" ht="15.75" thickBot="1">
      <c r="A208" t="s">
        <v>1182</v>
      </c>
      <c r="B208" t="s">
        <v>1526</v>
      </c>
      <c r="C208" s="93" t="s">
        <v>1183</v>
      </c>
      <c r="D208" s="4" t="s">
        <v>29</v>
      </c>
      <c r="E208" t="s">
        <v>1210</v>
      </c>
      <c r="F208" t="s">
        <v>1205</v>
      </c>
      <c r="G208" t="s">
        <v>2</v>
      </c>
      <c r="H208" t="s">
        <v>234</v>
      </c>
      <c r="K208" t="s">
        <v>29</v>
      </c>
      <c r="AV208" t="s">
        <v>1211</v>
      </c>
      <c r="AW208" t="s">
        <v>29</v>
      </c>
      <c r="AX208" t="s">
        <v>29</v>
      </c>
      <c r="AY208">
        <v>2</v>
      </c>
      <c r="AZ208" t="s">
        <v>1219</v>
      </c>
      <c r="BA208">
        <v>2002</v>
      </c>
      <c r="BB208">
        <v>2005</v>
      </c>
      <c r="BD208" t="s">
        <v>238</v>
      </c>
      <c r="BE208" t="s">
        <v>1214</v>
      </c>
      <c r="BF208" t="s">
        <v>252</v>
      </c>
      <c r="BG208" s="3" t="s">
        <v>1243</v>
      </c>
      <c r="BH208" t="s">
        <v>1184</v>
      </c>
      <c r="BI208" t="s">
        <v>1212</v>
      </c>
      <c r="BJ208" s="4" t="s">
        <v>22</v>
      </c>
      <c r="BK208" s="9">
        <v>333333</v>
      </c>
      <c r="BM208" t="s">
        <v>1196</v>
      </c>
      <c r="BN208" t="s">
        <v>1213</v>
      </c>
      <c r="BO208" s="9">
        <v>55556</v>
      </c>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K208" s="9"/>
      <c r="HW208" s="58"/>
      <c r="IG208" t="s">
        <v>1187</v>
      </c>
      <c r="IH208" s="12" t="s">
        <v>1200</v>
      </c>
      <c r="II208" t="s">
        <v>660</v>
      </c>
      <c r="IJ208" t="s">
        <v>29</v>
      </c>
      <c r="IK208" t="s">
        <v>29</v>
      </c>
      <c r="IL208">
        <v>2002</v>
      </c>
      <c r="IM208" t="s">
        <v>29</v>
      </c>
      <c r="JI208" t="s">
        <v>15</v>
      </c>
      <c r="JJ208" s="84" t="s">
        <v>15</v>
      </c>
      <c r="JK208" s="8" t="s">
        <v>14</v>
      </c>
      <c r="JO208" t="s">
        <v>13</v>
      </c>
      <c r="JP208">
        <v>60</v>
      </c>
      <c r="JS208">
        <v>45</v>
      </c>
      <c r="MS208" t="s">
        <v>1204</v>
      </c>
      <c r="MW208" s="4" t="s">
        <v>1188</v>
      </c>
      <c r="MX208" t="s">
        <v>1189</v>
      </c>
      <c r="NE208" s="93" t="s">
        <v>1203</v>
      </c>
      <c r="NF208" t="s">
        <v>1191</v>
      </c>
      <c r="NG208" t="s">
        <v>8</v>
      </c>
      <c r="NH208" t="s">
        <v>1185</v>
      </c>
      <c r="NQ208" t="s">
        <v>6</v>
      </c>
      <c r="NS208" t="s">
        <v>29</v>
      </c>
      <c r="NW208">
        <v>3</v>
      </c>
      <c r="NX208">
        <v>10.1</v>
      </c>
      <c r="NY208" t="s">
        <v>29</v>
      </c>
      <c r="NZ208">
        <v>4.88</v>
      </c>
      <c r="OA208" t="s">
        <v>29</v>
      </c>
      <c r="OH208" t="s">
        <v>1528</v>
      </c>
      <c r="OJ208">
        <v>2002</v>
      </c>
      <c r="OO208" t="s">
        <v>1178</v>
      </c>
      <c r="OP208" s="58">
        <v>46105</v>
      </c>
    </row>
    <row r="209" spans="1:406" ht="15.75" thickBot="1">
      <c r="A209" t="s">
        <v>1182</v>
      </c>
      <c r="B209" t="s">
        <v>1526</v>
      </c>
      <c r="C209" s="93" t="s">
        <v>1183</v>
      </c>
      <c r="D209" s="4" t="s">
        <v>29</v>
      </c>
      <c r="E209" t="s">
        <v>1210</v>
      </c>
      <c r="F209" t="s">
        <v>1205</v>
      </c>
      <c r="G209" t="s">
        <v>2</v>
      </c>
      <c r="H209" t="s">
        <v>234</v>
      </c>
      <c r="K209" t="s">
        <v>29</v>
      </c>
      <c r="AV209" t="s">
        <v>1211</v>
      </c>
      <c r="AW209" t="s">
        <v>29</v>
      </c>
      <c r="AX209" t="s">
        <v>29</v>
      </c>
      <c r="AY209">
        <v>2</v>
      </c>
      <c r="AZ209" t="s">
        <v>1219</v>
      </c>
      <c r="BA209">
        <v>2002</v>
      </c>
      <c r="BB209">
        <v>2005</v>
      </c>
      <c r="BD209" t="s">
        <v>238</v>
      </c>
      <c r="BE209" t="s">
        <v>1215</v>
      </c>
      <c r="BF209" t="s">
        <v>236</v>
      </c>
      <c r="BG209" s="3" t="s">
        <v>1243</v>
      </c>
      <c r="BH209" t="s">
        <v>1184</v>
      </c>
      <c r="BI209" t="s">
        <v>1212</v>
      </c>
      <c r="BJ209" s="4" t="s">
        <v>22</v>
      </c>
      <c r="BK209" s="9">
        <v>222222</v>
      </c>
      <c r="BM209" t="s">
        <v>1196</v>
      </c>
      <c r="BN209" t="s">
        <v>1213</v>
      </c>
      <c r="BO209" s="9">
        <v>55556</v>
      </c>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K209" s="9"/>
      <c r="HW209" s="58"/>
      <c r="IG209" t="s">
        <v>1197</v>
      </c>
      <c r="IH209" s="12" t="s">
        <v>1200</v>
      </c>
      <c r="II209" t="s">
        <v>660</v>
      </c>
      <c r="IJ209" t="s">
        <v>29</v>
      </c>
      <c r="IK209" t="s">
        <v>29</v>
      </c>
      <c r="IL209">
        <v>2002</v>
      </c>
      <c r="IM209" t="s">
        <v>29</v>
      </c>
      <c r="JI209" t="s">
        <v>15</v>
      </c>
      <c r="JJ209" s="84" t="s">
        <v>15</v>
      </c>
      <c r="JK209" s="8" t="s">
        <v>14</v>
      </c>
      <c r="JO209" t="s">
        <v>13</v>
      </c>
      <c r="JP209">
        <v>60</v>
      </c>
      <c r="JS209">
        <v>45</v>
      </c>
      <c r="MS209" t="s">
        <v>1204</v>
      </c>
      <c r="MW209" s="4" t="s">
        <v>1188</v>
      </c>
      <c r="MX209" t="s">
        <v>1189</v>
      </c>
      <c r="NE209" s="93" t="s">
        <v>1203</v>
      </c>
      <c r="NF209" t="s">
        <v>1191</v>
      </c>
      <c r="NG209" t="s">
        <v>8</v>
      </c>
      <c r="NH209" t="s">
        <v>1185</v>
      </c>
      <c r="NQ209" t="s">
        <v>6</v>
      </c>
      <c r="NS209" t="s">
        <v>29</v>
      </c>
      <c r="NW209">
        <v>3</v>
      </c>
      <c r="NX209">
        <v>7.86</v>
      </c>
      <c r="NY209" t="s">
        <v>29</v>
      </c>
      <c r="NZ209">
        <v>5.82</v>
      </c>
      <c r="OA209" t="s">
        <v>29</v>
      </c>
      <c r="OH209" t="s">
        <v>1528</v>
      </c>
      <c r="OJ209">
        <v>2002</v>
      </c>
      <c r="OO209" t="s">
        <v>1178</v>
      </c>
      <c r="OP209" s="58">
        <v>46105</v>
      </c>
    </row>
    <row r="210" spans="1:406" ht="15.75" thickBot="1">
      <c r="A210" t="s">
        <v>1182</v>
      </c>
      <c r="B210" t="s">
        <v>1526</v>
      </c>
      <c r="C210" s="93" t="s">
        <v>1183</v>
      </c>
      <c r="D210" s="4" t="s">
        <v>29</v>
      </c>
      <c r="E210" t="s">
        <v>1210</v>
      </c>
      <c r="F210" t="s">
        <v>1205</v>
      </c>
      <c r="G210" t="s">
        <v>2</v>
      </c>
      <c r="H210" t="s">
        <v>234</v>
      </c>
      <c r="K210" t="s">
        <v>29</v>
      </c>
      <c r="AV210" t="s">
        <v>1211</v>
      </c>
      <c r="AW210" t="s">
        <v>29</v>
      </c>
      <c r="AX210" t="s">
        <v>29</v>
      </c>
      <c r="AY210">
        <v>2</v>
      </c>
      <c r="AZ210" t="s">
        <v>1219</v>
      </c>
      <c r="BA210">
        <v>2002</v>
      </c>
      <c r="BB210">
        <v>2005</v>
      </c>
      <c r="BD210" t="s">
        <v>238</v>
      </c>
      <c r="BE210" t="s">
        <v>1216</v>
      </c>
      <c r="BF210" t="s">
        <v>284</v>
      </c>
      <c r="BG210" s="3" t="s">
        <v>1243</v>
      </c>
      <c r="BH210" t="s">
        <v>1184</v>
      </c>
      <c r="BI210" t="s">
        <v>1212</v>
      </c>
      <c r="BJ210" s="4" t="s">
        <v>22</v>
      </c>
      <c r="BK210" s="9">
        <v>166667</v>
      </c>
      <c r="BM210" t="s">
        <v>1196</v>
      </c>
      <c r="BN210" t="s">
        <v>1213</v>
      </c>
      <c r="BO210" s="9">
        <v>55556</v>
      </c>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K210" s="9"/>
      <c r="HW210" s="58"/>
      <c r="IG210" t="s">
        <v>1198</v>
      </c>
      <c r="IH210" s="12" t="s">
        <v>1200</v>
      </c>
      <c r="II210" t="s">
        <v>660</v>
      </c>
      <c r="IJ210" t="s">
        <v>29</v>
      </c>
      <c r="IK210" t="s">
        <v>29</v>
      </c>
      <c r="IL210">
        <v>2002</v>
      </c>
      <c r="IM210" t="s">
        <v>29</v>
      </c>
      <c r="JI210" t="s">
        <v>15</v>
      </c>
      <c r="JJ210" s="84" t="s">
        <v>15</v>
      </c>
      <c r="JK210" s="8" t="s">
        <v>14</v>
      </c>
      <c r="JO210" t="s">
        <v>13</v>
      </c>
      <c r="JP210">
        <v>60</v>
      </c>
      <c r="JS210">
        <v>45</v>
      </c>
      <c r="MS210" t="s">
        <v>1204</v>
      </c>
      <c r="MW210" s="4" t="s">
        <v>1188</v>
      </c>
      <c r="MX210" t="s">
        <v>1189</v>
      </c>
      <c r="NE210" s="93" t="s">
        <v>1203</v>
      </c>
      <c r="NF210" t="s">
        <v>1191</v>
      </c>
      <c r="NG210" t="s">
        <v>8</v>
      </c>
      <c r="NH210" t="s">
        <v>1185</v>
      </c>
      <c r="NQ210" t="s">
        <v>6</v>
      </c>
      <c r="NS210" t="s">
        <v>29</v>
      </c>
      <c r="NW210">
        <v>3</v>
      </c>
      <c r="NX210">
        <v>7.18</v>
      </c>
      <c r="NY210" t="s">
        <v>29</v>
      </c>
      <c r="NZ210">
        <v>7.52</v>
      </c>
      <c r="OA210" t="s">
        <v>29</v>
      </c>
      <c r="OH210" t="s">
        <v>1528</v>
      </c>
      <c r="OJ210">
        <v>2002</v>
      </c>
      <c r="OO210" t="s">
        <v>1178</v>
      </c>
      <c r="OP210" s="58">
        <v>46105</v>
      </c>
    </row>
    <row r="211" spans="1:406" ht="15.75" thickBot="1">
      <c r="A211" t="s">
        <v>1182</v>
      </c>
      <c r="B211" t="s">
        <v>1526</v>
      </c>
      <c r="C211" s="93" t="s">
        <v>1183</v>
      </c>
      <c r="D211" s="4" t="s">
        <v>29</v>
      </c>
      <c r="E211" t="s">
        <v>1210</v>
      </c>
      <c r="F211" t="s">
        <v>1205</v>
      </c>
      <c r="G211" t="s">
        <v>2</v>
      </c>
      <c r="H211" t="s">
        <v>234</v>
      </c>
      <c r="K211" t="s">
        <v>29</v>
      </c>
      <c r="AV211" t="s">
        <v>1211</v>
      </c>
      <c r="AW211" t="s">
        <v>29</v>
      </c>
      <c r="AX211" t="s">
        <v>29</v>
      </c>
      <c r="AY211">
        <v>2</v>
      </c>
      <c r="AZ211" t="s">
        <v>1219</v>
      </c>
      <c r="BA211">
        <v>2002</v>
      </c>
      <c r="BB211">
        <v>2005</v>
      </c>
      <c r="BD211" t="s">
        <v>238</v>
      </c>
      <c r="BE211" t="s">
        <v>1217</v>
      </c>
      <c r="BF211" t="s">
        <v>277</v>
      </c>
      <c r="BG211" s="3" t="s">
        <v>1243</v>
      </c>
      <c r="BH211" t="s">
        <v>1184</v>
      </c>
      <c r="BI211" t="s">
        <v>1212</v>
      </c>
      <c r="BJ211" s="4" t="s">
        <v>22</v>
      </c>
      <c r="BK211" s="9">
        <v>133333</v>
      </c>
      <c r="BM211" t="s">
        <v>1196</v>
      </c>
      <c r="BN211" t="s">
        <v>1213</v>
      </c>
      <c r="BO211" s="9">
        <v>55556</v>
      </c>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K211" s="9"/>
      <c r="HW211" s="58"/>
      <c r="IG211" t="s">
        <v>1199</v>
      </c>
      <c r="IH211" s="12" t="s">
        <v>1200</v>
      </c>
      <c r="II211" t="s">
        <v>660</v>
      </c>
      <c r="IJ211" t="s">
        <v>29</v>
      </c>
      <c r="IK211" t="s">
        <v>29</v>
      </c>
      <c r="IL211">
        <v>2002</v>
      </c>
      <c r="IM211" t="s">
        <v>29</v>
      </c>
      <c r="JI211" t="s">
        <v>15</v>
      </c>
      <c r="JJ211" s="84" t="s">
        <v>15</v>
      </c>
      <c r="JK211" s="8" t="s">
        <v>14</v>
      </c>
      <c r="JO211" t="s">
        <v>13</v>
      </c>
      <c r="JP211">
        <v>60</v>
      </c>
      <c r="JS211">
        <v>45</v>
      </c>
      <c r="MS211" t="s">
        <v>1204</v>
      </c>
      <c r="MW211" s="4" t="s">
        <v>1188</v>
      </c>
      <c r="MX211" t="s">
        <v>1189</v>
      </c>
      <c r="NE211" s="93" t="s">
        <v>1203</v>
      </c>
      <c r="NF211" t="s">
        <v>1191</v>
      </c>
      <c r="NG211" t="s">
        <v>8</v>
      </c>
      <c r="NH211" t="s">
        <v>1185</v>
      </c>
      <c r="NQ211" t="s">
        <v>6</v>
      </c>
      <c r="NS211" t="s">
        <v>29</v>
      </c>
      <c r="NW211">
        <v>3</v>
      </c>
      <c r="NX211">
        <v>4.04</v>
      </c>
      <c r="NY211" t="s">
        <v>29</v>
      </c>
      <c r="NZ211">
        <v>5.75</v>
      </c>
      <c r="OA211" t="s">
        <v>29</v>
      </c>
      <c r="OH211" t="s">
        <v>1528</v>
      </c>
      <c r="OJ211">
        <v>2002</v>
      </c>
      <c r="OO211" t="s">
        <v>1178</v>
      </c>
      <c r="OP211" s="58">
        <v>46105</v>
      </c>
    </row>
    <row r="212" spans="1:406" ht="15.75" thickBot="1">
      <c r="A212" t="s">
        <v>1182</v>
      </c>
      <c r="B212" t="s">
        <v>1526</v>
      </c>
      <c r="C212" s="93" t="s">
        <v>1183</v>
      </c>
      <c r="D212" s="4" t="s">
        <v>29</v>
      </c>
      <c r="E212" t="s">
        <v>1210</v>
      </c>
      <c r="F212" t="s">
        <v>1205</v>
      </c>
      <c r="G212" t="s">
        <v>2</v>
      </c>
      <c r="H212" t="s">
        <v>234</v>
      </c>
      <c r="K212" t="s">
        <v>29</v>
      </c>
      <c r="AV212" t="s">
        <v>1211</v>
      </c>
      <c r="AW212" t="s">
        <v>29</v>
      </c>
      <c r="AX212" t="s">
        <v>29</v>
      </c>
      <c r="AY212">
        <v>2</v>
      </c>
      <c r="AZ212" t="s">
        <v>1219</v>
      </c>
      <c r="BA212">
        <v>2002</v>
      </c>
      <c r="BB212">
        <v>2005</v>
      </c>
      <c r="BD212" t="s">
        <v>19</v>
      </c>
      <c r="BE212" t="s">
        <v>1186</v>
      </c>
      <c r="BF212" t="s">
        <v>39</v>
      </c>
      <c r="BG212" s="3" t="s">
        <v>1243</v>
      </c>
      <c r="BH212" t="s">
        <v>1184</v>
      </c>
      <c r="BI212" t="s">
        <v>1212</v>
      </c>
      <c r="BJ212" s="4" t="s">
        <v>22</v>
      </c>
      <c r="BK212">
        <v>333333</v>
      </c>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K212" s="9"/>
      <c r="HW212" s="58"/>
      <c r="IG212" t="s">
        <v>1186</v>
      </c>
      <c r="IH212" s="13" t="s">
        <v>19</v>
      </c>
      <c r="JI212" t="s">
        <v>15</v>
      </c>
      <c r="JJ212" s="84" t="s">
        <v>15</v>
      </c>
      <c r="JK212" s="8" t="s">
        <v>14</v>
      </c>
      <c r="JO212" t="s">
        <v>13</v>
      </c>
      <c r="JP212">
        <v>60</v>
      </c>
      <c r="JS212">
        <v>45</v>
      </c>
      <c r="MS212" t="s">
        <v>1204</v>
      </c>
      <c r="MW212" s="4" t="s">
        <v>1188</v>
      </c>
      <c r="NE212" s="93" t="s">
        <v>1203</v>
      </c>
      <c r="NF212" t="s">
        <v>1190</v>
      </c>
      <c r="NG212" t="s">
        <v>8</v>
      </c>
      <c r="NH212" t="s">
        <v>1185</v>
      </c>
      <c r="NP212" t="s">
        <v>1220</v>
      </c>
      <c r="NQ212" t="s">
        <v>6</v>
      </c>
      <c r="NS212" t="s">
        <v>29</v>
      </c>
      <c r="NW212">
        <v>3</v>
      </c>
      <c r="NX212">
        <v>22.2</v>
      </c>
      <c r="NY212" t="s">
        <v>29</v>
      </c>
      <c r="OH212" t="s">
        <v>1529</v>
      </c>
      <c r="OJ212">
        <v>2004</v>
      </c>
      <c r="OO212" t="s">
        <v>1178</v>
      </c>
      <c r="OP212" s="58">
        <v>46105</v>
      </c>
    </row>
    <row r="213" spans="1:406" ht="15.75" thickBot="1">
      <c r="A213" t="s">
        <v>1182</v>
      </c>
      <c r="B213" t="s">
        <v>1526</v>
      </c>
      <c r="C213" s="93" t="s">
        <v>1183</v>
      </c>
      <c r="D213" s="4" t="s">
        <v>29</v>
      </c>
      <c r="E213" t="s">
        <v>1210</v>
      </c>
      <c r="F213" t="s">
        <v>1205</v>
      </c>
      <c r="G213" t="s">
        <v>2</v>
      </c>
      <c r="H213" t="s">
        <v>234</v>
      </c>
      <c r="K213" t="s">
        <v>29</v>
      </c>
      <c r="AV213" t="s">
        <v>1211</v>
      </c>
      <c r="AW213" t="s">
        <v>29</v>
      </c>
      <c r="AX213" t="s">
        <v>29</v>
      </c>
      <c r="AY213">
        <v>2</v>
      </c>
      <c r="AZ213" t="s">
        <v>1219</v>
      </c>
      <c r="BA213">
        <v>2002</v>
      </c>
      <c r="BB213">
        <v>2005</v>
      </c>
      <c r="BD213" t="s">
        <v>238</v>
      </c>
      <c r="BE213" t="s">
        <v>1187</v>
      </c>
      <c r="BF213" t="s">
        <v>64</v>
      </c>
      <c r="BG213" s="3" t="s">
        <v>1243</v>
      </c>
      <c r="BH213" t="s">
        <v>1184</v>
      </c>
      <c r="BI213" t="s">
        <v>1212</v>
      </c>
      <c r="BJ213" s="4" t="s">
        <v>22</v>
      </c>
      <c r="BK213">
        <v>333333</v>
      </c>
      <c r="BM213" t="s">
        <v>1196</v>
      </c>
      <c r="BN213" t="s">
        <v>1213</v>
      </c>
      <c r="BO213">
        <v>55556</v>
      </c>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K213" s="9"/>
      <c r="HW213" s="58"/>
      <c r="IG213" t="s">
        <v>1187</v>
      </c>
      <c r="IH213" s="12" t="s">
        <v>1200</v>
      </c>
      <c r="II213" t="s">
        <v>660</v>
      </c>
      <c r="IJ213" t="s">
        <v>29</v>
      </c>
      <c r="IK213" t="s">
        <v>29</v>
      </c>
      <c r="IL213">
        <v>2002</v>
      </c>
      <c r="IM213" t="s">
        <v>29</v>
      </c>
      <c r="JI213" t="s">
        <v>15</v>
      </c>
      <c r="JJ213" s="84" t="s">
        <v>15</v>
      </c>
      <c r="JK213" s="8" t="s">
        <v>14</v>
      </c>
      <c r="JO213" t="s">
        <v>13</v>
      </c>
      <c r="JP213">
        <v>60</v>
      </c>
      <c r="JS213">
        <v>45</v>
      </c>
      <c r="MS213" t="s">
        <v>1204</v>
      </c>
      <c r="MW213" s="4" t="s">
        <v>1188</v>
      </c>
      <c r="MX213" t="s">
        <v>1189</v>
      </c>
      <c r="NE213" s="93" t="s">
        <v>1203</v>
      </c>
      <c r="NF213" t="s">
        <v>1191</v>
      </c>
      <c r="NG213" t="s">
        <v>8</v>
      </c>
      <c r="NH213" t="s">
        <v>1185</v>
      </c>
      <c r="NQ213" t="s">
        <v>6</v>
      </c>
      <c r="NS213" t="s">
        <v>29</v>
      </c>
      <c r="NW213">
        <v>3</v>
      </c>
      <c r="NX213">
        <v>10.81</v>
      </c>
      <c r="NY213" t="s">
        <v>29</v>
      </c>
      <c r="NZ213">
        <v>2.81</v>
      </c>
      <c r="OA213" t="s">
        <v>29</v>
      </c>
      <c r="OH213" t="s">
        <v>1530</v>
      </c>
      <c r="OJ213">
        <v>2004</v>
      </c>
      <c r="OO213" t="s">
        <v>1178</v>
      </c>
      <c r="OP213" s="58">
        <v>46105</v>
      </c>
    </row>
    <row r="214" spans="1:406" ht="15.75" thickBot="1">
      <c r="A214" t="s">
        <v>1182</v>
      </c>
      <c r="B214" t="s">
        <v>1526</v>
      </c>
      <c r="C214" s="93" t="s">
        <v>1183</v>
      </c>
      <c r="D214" s="4" t="s">
        <v>29</v>
      </c>
      <c r="E214" t="s">
        <v>1210</v>
      </c>
      <c r="F214" t="s">
        <v>1205</v>
      </c>
      <c r="G214" t="s">
        <v>2</v>
      </c>
      <c r="H214" t="s">
        <v>234</v>
      </c>
      <c r="K214" t="s">
        <v>29</v>
      </c>
      <c r="AV214" t="s">
        <v>1211</v>
      </c>
      <c r="AW214" t="s">
        <v>29</v>
      </c>
      <c r="AX214" t="s">
        <v>29</v>
      </c>
      <c r="AY214">
        <v>2</v>
      </c>
      <c r="AZ214" t="s">
        <v>1219</v>
      </c>
      <c r="BA214">
        <v>2002</v>
      </c>
      <c r="BB214">
        <v>2005</v>
      </c>
      <c r="BD214" t="s">
        <v>238</v>
      </c>
      <c r="BE214" t="s">
        <v>1197</v>
      </c>
      <c r="BF214" t="s">
        <v>57</v>
      </c>
      <c r="BG214" s="3" t="s">
        <v>1243</v>
      </c>
      <c r="BH214" t="s">
        <v>1184</v>
      </c>
      <c r="BI214" t="s">
        <v>1212</v>
      </c>
      <c r="BJ214" s="4" t="s">
        <v>22</v>
      </c>
      <c r="BK214">
        <v>333333</v>
      </c>
      <c r="BM214" t="s">
        <v>1196</v>
      </c>
      <c r="BN214" t="s">
        <v>1213</v>
      </c>
      <c r="BO214" s="9">
        <v>37037</v>
      </c>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K214" s="9"/>
      <c r="HW214" s="58"/>
      <c r="IG214" t="s">
        <v>1197</v>
      </c>
      <c r="IH214" s="12" t="s">
        <v>1200</v>
      </c>
      <c r="II214" t="s">
        <v>660</v>
      </c>
      <c r="IJ214" t="s">
        <v>29</v>
      </c>
      <c r="IK214" t="s">
        <v>29</v>
      </c>
      <c r="IL214">
        <v>2002</v>
      </c>
      <c r="IM214" t="s">
        <v>29</v>
      </c>
      <c r="JI214" t="s">
        <v>15</v>
      </c>
      <c r="JJ214" s="84" t="s">
        <v>15</v>
      </c>
      <c r="JK214" s="8" t="s">
        <v>14</v>
      </c>
      <c r="JO214" t="s">
        <v>13</v>
      </c>
      <c r="JP214">
        <v>60</v>
      </c>
      <c r="JS214">
        <v>45</v>
      </c>
      <c r="MS214" t="s">
        <v>1204</v>
      </c>
      <c r="MW214" s="4" t="s">
        <v>1188</v>
      </c>
      <c r="MX214" t="s">
        <v>1189</v>
      </c>
      <c r="NE214" s="93" t="s">
        <v>1203</v>
      </c>
      <c r="NF214" t="s">
        <v>1191</v>
      </c>
      <c r="NG214" t="s">
        <v>8</v>
      </c>
      <c r="NH214" t="s">
        <v>1185</v>
      </c>
      <c r="NQ214" t="s">
        <v>6</v>
      </c>
      <c r="NS214" t="s">
        <v>29</v>
      </c>
      <c r="NW214">
        <v>3</v>
      </c>
      <c r="NX214">
        <v>16</v>
      </c>
      <c r="NY214" t="s">
        <v>29</v>
      </c>
      <c r="NZ214">
        <v>4.74</v>
      </c>
      <c r="OA214" t="s">
        <v>29</v>
      </c>
      <c r="OH214" t="s">
        <v>1530</v>
      </c>
      <c r="OJ214">
        <v>2004</v>
      </c>
      <c r="OO214" t="s">
        <v>1178</v>
      </c>
      <c r="OP214" s="58">
        <v>46105</v>
      </c>
    </row>
    <row r="215" spans="1:406" ht="15.75" thickBot="1">
      <c r="A215" t="s">
        <v>1182</v>
      </c>
      <c r="B215" t="s">
        <v>1526</v>
      </c>
      <c r="C215" s="93" t="s">
        <v>1183</v>
      </c>
      <c r="D215" s="4" t="s">
        <v>29</v>
      </c>
      <c r="E215" t="s">
        <v>1210</v>
      </c>
      <c r="F215" t="s">
        <v>1205</v>
      </c>
      <c r="G215" t="s">
        <v>2</v>
      </c>
      <c r="H215" t="s">
        <v>234</v>
      </c>
      <c r="K215" t="s">
        <v>29</v>
      </c>
      <c r="AV215" t="s">
        <v>1211</v>
      </c>
      <c r="AW215" t="s">
        <v>29</v>
      </c>
      <c r="AX215" t="s">
        <v>29</v>
      </c>
      <c r="AY215">
        <v>2</v>
      </c>
      <c r="AZ215" t="s">
        <v>1219</v>
      </c>
      <c r="BA215">
        <v>2002</v>
      </c>
      <c r="BB215">
        <v>2005</v>
      </c>
      <c r="BD215" t="s">
        <v>238</v>
      </c>
      <c r="BE215" t="s">
        <v>1198</v>
      </c>
      <c r="BF215" t="s">
        <v>48</v>
      </c>
      <c r="BG215" s="3" t="s">
        <v>1243</v>
      </c>
      <c r="BH215" t="s">
        <v>1184</v>
      </c>
      <c r="BI215" t="s">
        <v>1212</v>
      </c>
      <c r="BJ215" s="4" t="s">
        <v>22</v>
      </c>
      <c r="BK215">
        <v>333333</v>
      </c>
      <c r="BM215" t="s">
        <v>1196</v>
      </c>
      <c r="BN215" t="s">
        <v>1213</v>
      </c>
      <c r="BO215" s="9">
        <v>27778</v>
      </c>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K215" s="9"/>
      <c r="HW215" s="58"/>
      <c r="IG215" t="s">
        <v>1198</v>
      </c>
      <c r="IH215" s="12" t="s">
        <v>1200</v>
      </c>
      <c r="II215" t="s">
        <v>660</v>
      </c>
      <c r="IJ215" t="s">
        <v>29</v>
      </c>
      <c r="IK215" t="s">
        <v>29</v>
      </c>
      <c r="IL215">
        <v>2002</v>
      </c>
      <c r="IM215" t="s">
        <v>29</v>
      </c>
      <c r="JI215" t="s">
        <v>15</v>
      </c>
      <c r="JJ215" s="84" t="s">
        <v>15</v>
      </c>
      <c r="JK215" s="8" t="s">
        <v>14</v>
      </c>
      <c r="JO215" t="s">
        <v>13</v>
      </c>
      <c r="JP215">
        <v>60</v>
      </c>
      <c r="JS215">
        <v>45</v>
      </c>
      <c r="MS215" t="s">
        <v>1204</v>
      </c>
      <c r="MW215" s="4" t="s">
        <v>1188</v>
      </c>
      <c r="MX215" t="s">
        <v>1189</v>
      </c>
      <c r="NE215" s="93" t="s">
        <v>1203</v>
      </c>
      <c r="NF215" t="s">
        <v>1191</v>
      </c>
      <c r="NG215" t="s">
        <v>8</v>
      </c>
      <c r="NH215" t="s">
        <v>1185</v>
      </c>
      <c r="NQ215" t="s">
        <v>6</v>
      </c>
      <c r="NS215" t="s">
        <v>29</v>
      </c>
      <c r="NW215">
        <v>3</v>
      </c>
      <c r="NX215">
        <v>9</v>
      </c>
      <c r="NY215" t="s">
        <v>29</v>
      </c>
      <c r="NZ215">
        <v>2.13</v>
      </c>
      <c r="OA215" t="s">
        <v>29</v>
      </c>
      <c r="OH215" t="s">
        <v>1530</v>
      </c>
      <c r="OJ215">
        <v>2004</v>
      </c>
      <c r="OO215" t="s">
        <v>1178</v>
      </c>
      <c r="OP215" s="58">
        <v>46105</v>
      </c>
    </row>
    <row r="216" spans="1:406" ht="15.75" thickBot="1">
      <c r="A216" t="s">
        <v>1182</v>
      </c>
      <c r="B216" t="s">
        <v>1526</v>
      </c>
      <c r="C216" s="93" t="s">
        <v>1183</v>
      </c>
      <c r="D216" s="4" t="s">
        <v>29</v>
      </c>
      <c r="E216" t="s">
        <v>1210</v>
      </c>
      <c r="F216" t="s">
        <v>1205</v>
      </c>
      <c r="G216" t="s">
        <v>2</v>
      </c>
      <c r="H216" t="s">
        <v>234</v>
      </c>
      <c r="K216" t="s">
        <v>29</v>
      </c>
      <c r="AV216" t="s">
        <v>1211</v>
      </c>
      <c r="AW216" t="s">
        <v>29</v>
      </c>
      <c r="AX216" t="s">
        <v>29</v>
      </c>
      <c r="AY216">
        <v>2</v>
      </c>
      <c r="AZ216" t="s">
        <v>1219</v>
      </c>
      <c r="BA216">
        <v>2002</v>
      </c>
      <c r="BB216">
        <v>2005</v>
      </c>
      <c r="BD216" t="s">
        <v>238</v>
      </c>
      <c r="BE216" t="s">
        <v>1199</v>
      </c>
      <c r="BF216" t="s">
        <v>43</v>
      </c>
      <c r="BG216" s="3" t="s">
        <v>1243</v>
      </c>
      <c r="BH216" t="s">
        <v>1184</v>
      </c>
      <c r="BI216" t="s">
        <v>1212</v>
      </c>
      <c r="BJ216" s="4" t="s">
        <v>22</v>
      </c>
      <c r="BK216">
        <v>333333</v>
      </c>
      <c r="BM216" t="s">
        <v>1196</v>
      </c>
      <c r="BN216" t="s">
        <v>1213</v>
      </c>
      <c r="BO216" s="9">
        <v>22222</v>
      </c>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K216" s="9"/>
      <c r="HW216" s="58"/>
      <c r="IG216" t="s">
        <v>1199</v>
      </c>
      <c r="IH216" s="12" t="s">
        <v>1200</v>
      </c>
      <c r="II216" t="s">
        <v>660</v>
      </c>
      <c r="IJ216" t="s">
        <v>29</v>
      </c>
      <c r="IK216" t="s">
        <v>29</v>
      </c>
      <c r="IL216">
        <v>2002</v>
      </c>
      <c r="IM216" t="s">
        <v>29</v>
      </c>
      <c r="JI216" t="s">
        <v>15</v>
      </c>
      <c r="JJ216" s="84" t="s">
        <v>15</v>
      </c>
      <c r="JK216" s="8" t="s">
        <v>14</v>
      </c>
      <c r="JO216" t="s">
        <v>13</v>
      </c>
      <c r="JP216">
        <v>60</v>
      </c>
      <c r="JS216">
        <v>45</v>
      </c>
      <c r="MS216" t="s">
        <v>1204</v>
      </c>
      <c r="MW216" s="4" t="s">
        <v>1188</v>
      </c>
      <c r="MX216" t="s">
        <v>1189</v>
      </c>
      <c r="NE216" s="93" t="s">
        <v>1203</v>
      </c>
      <c r="NF216" t="s">
        <v>1191</v>
      </c>
      <c r="NG216" t="s">
        <v>8</v>
      </c>
      <c r="NH216" t="s">
        <v>1185</v>
      </c>
      <c r="NQ216" t="s">
        <v>6</v>
      </c>
      <c r="NS216" t="s">
        <v>29</v>
      </c>
      <c r="NW216">
        <v>3</v>
      </c>
      <c r="NX216">
        <v>16.52</v>
      </c>
      <c r="NY216" t="s">
        <v>29</v>
      </c>
      <c r="NZ216">
        <v>2.58</v>
      </c>
      <c r="OA216" t="s">
        <v>29</v>
      </c>
      <c r="OH216" t="s">
        <v>1530</v>
      </c>
      <c r="OJ216">
        <v>2004</v>
      </c>
      <c r="OO216" t="s">
        <v>1178</v>
      </c>
      <c r="OP216" s="58">
        <v>46105</v>
      </c>
    </row>
    <row r="217" spans="1:406" ht="15.75" thickBot="1">
      <c r="A217" t="s">
        <v>1182</v>
      </c>
      <c r="B217" t="s">
        <v>1526</v>
      </c>
      <c r="C217" s="93" t="s">
        <v>1183</v>
      </c>
      <c r="D217" s="4" t="s">
        <v>29</v>
      </c>
      <c r="E217" t="s">
        <v>1210</v>
      </c>
      <c r="F217" t="s">
        <v>1205</v>
      </c>
      <c r="G217" t="s">
        <v>2</v>
      </c>
      <c r="H217" t="s">
        <v>234</v>
      </c>
      <c r="K217" t="s">
        <v>29</v>
      </c>
      <c r="AV217" t="s">
        <v>1211</v>
      </c>
      <c r="AW217" t="s">
        <v>29</v>
      </c>
      <c r="AX217" t="s">
        <v>29</v>
      </c>
      <c r="AY217">
        <v>2</v>
      </c>
      <c r="AZ217" t="s">
        <v>1219</v>
      </c>
      <c r="BA217">
        <v>2002</v>
      </c>
      <c r="BB217">
        <v>2005</v>
      </c>
      <c r="BD217" t="s">
        <v>19</v>
      </c>
      <c r="BE217" t="s">
        <v>1202</v>
      </c>
      <c r="BF217" t="s">
        <v>24</v>
      </c>
      <c r="BG217" s="3" t="s">
        <v>1243</v>
      </c>
      <c r="BH217" t="s">
        <v>1196</v>
      </c>
      <c r="BI217" t="s">
        <v>1213</v>
      </c>
      <c r="BJ217" s="4" t="s">
        <v>22</v>
      </c>
      <c r="BK217" s="9">
        <v>55556</v>
      </c>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K217" s="9"/>
      <c r="HW217" s="58"/>
      <c r="IG217" t="s">
        <v>1202</v>
      </c>
      <c r="IH217" s="13" t="s">
        <v>19</v>
      </c>
      <c r="JI217" t="s">
        <v>15</v>
      </c>
      <c r="JJ217" s="84" t="s">
        <v>15</v>
      </c>
      <c r="JK217" s="8" t="s">
        <v>14</v>
      </c>
      <c r="JO217" t="s">
        <v>13</v>
      </c>
      <c r="JP217">
        <v>60</v>
      </c>
      <c r="JS217">
        <v>45</v>
      </c>
      <c r="MS217" t="s">
        <v>1204</v>
      </c>
      <c r="MX217" t="s">
        <v>1189</v>
      </c>
      <c r="NE217" s="93" t="s">
        <v>1218</v>
      </c>
      <c r="NF217" t="s">
        <v>1201</v>
      </c>
      <c r="NG217" t="s">
        <v>8</v>
      </c>
      <c r="NH217" t="s">
        <v>1185</v>
      </c>
      <c r="NP217" t="s">
        <v>1220</v>
      </c>
      <c r="NQ217" t="s">
        <v>6</v>
      </c>
      <c r="NS217" t="s">
        <v>29</v>
      </c>
      <c r="NW217">
        <v>3</v>
      </c>
      <c r="NZ217">
        <v>9</v>
      </c>
      <c r="OA217" t="s">
        <v>29</v>
      </c>
      <c r="OH217" t="s">
        <v>1530</v>
      </c>
      <c r="OJ217">
        <v>2004</v>
      </c>
      <c r="OO217" t="s">
        <v>1178</v>
      </c>
      <c r="OP217" s="58">
        <v>46105</v>
      </c>
    </row>
    <row r="218" spans="1:406" ht="15.75" thickBot="1">
      <c r="A218" t="s">
        <v>1182</v>
      </c>
      <c r="B218" t="s">
        <v>1526</v>
      </c>
      <c r="C218" s="93" t="s">
        <v>1183</v>
      </c>
      <c r="D218" s="4" t="s">
        <v>29</v>
      </c>
      <c r="E218" t="s">
        <v>1210</v>
      </c>
      <c r="F218" t="s">
        <v>1205</v>
      </c>
      <c r="G218" t="s">
        <v>2</v>
      </c>
      <c r="H218" t="s">
        <v>234</v>
      </c>
      <c r="K218" t="s">
        <v>29</v>
      </c>
      <c r="AV218" t="s">
        <v>1211</v>
      </c>
      <c r="AW218" t="s">
        <v>29</v>
      </c>
      <c r="AX218" t="s">
        <v>29</v>
      </c>
      <c r="AY218">
        <v>2</v>
      </c>
      <c r="AZ218" t="s">
        <v>1219</v>
      </c>
      <c r="BA218">
        <v>2002</v>
      </c>
      <c r="BB218">
        <v>2005</v>
      </c>
      <c r="BD218" t="s">
        <v>238</v>
      </c>
      <c r="BE218" t="s">
        <v>1214</v>
      </c>
      <c r="BF218" t="s">
        <v>252</v>
      </c>
      <c r="BG218" s="3" t="s">
        <v>1243</v>
      </c>
      <c r="BH218" t="s">
        <v>1184</v>
      </c>
      <c r="BI218" t="s">
        <v>1212</v>
      </c>
      <c r="BJ218" s="4" t="s">
        <v>22</v>
      </c>
      <c r="BK218" s="9">
        <v>333333</v>
      </c>
      <c r="BM218" t="s">
        <v>1196</v>
      </c>
      <c r="BN218" t="s">
        <v>1213</v>
      </c>
      <c r="BO218" s="9">
        <v>55556</v>
      </c>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K218" s="9"/>
      <c r="HW218" s="58"/>
      <c r="IG218" t="s">
        <v>1187</v>
      </c>
      <c r="IH218" s="12" t="s">
        <v>1200</v>
      </c>
      <c r="II218" t="s">
        <v>660</v>
      </c>
      <c r="IJ218" t="s">
        <v>29</v>
      </c>
      <c r="IK218" t="s">
        <v>29</v>
      </c>
      <c r="IL218">
        <v>2002</v>
      </c>
      <c r="IM218" t="s">
        <v>29</v>
      </c>
      <c r="JI218" t="s">
        <v>15</v>
      </c>
      <c r="JJ218" s="84" t="s">
        <v>15</v>
      </c>
      <c r="JK218" s="8" t="s">
        <v>14</v>
      </c>
      <c r="JO218" t="s">
        <v>13</v>
      </c>
      <c r="JP218">
        <v>60</v>
      </c>
      <c r="JS218">
        <v>45</v>
      </c>
      <c r="MS218" t="s">
        <v>1204</v>
      </c>
      <c r="MW218" s="4" t="s">
        <v>1188</v>
      </c>
      <c r="MX218" t="s">
        <v>1189</v>
      </c>
      <c r="NE218" s="93" t="s">
        <v>1203</v>
      </c>
      <c r="NF218" t="s">
        <v>1191</v>
      </c>
      <c r="NG218" t="s">
        <v>8</v>
      </c>
      <c r="NH218" t="s">
        <v>1185</v>
      </c>
      <c r="NQ218" t="s">
        <v>6</v>
      </c>
      <c r="NS218" t="s">
        <v>29</v>
      </c>
      <c r="NW218">
        <v>3</v>
      </c>
      <c r="NX218">
        <v>10</v>
      </c>
      <c r="NY218" t="s">
        <v>29</v>
      </c>
      <c r="NZ218">
        <v>5.2</v>
      </c>
      <c r="OA218" t="s">
        <v>29</v>
      </c>
      <c r="OH218" t="s">
        <v>1530</v>
      </c>
      <c r="OJ218">
        <v>2004</v>
      </c>
      <c r="OO218" t="s">
        <v>1178</v>
      </c>
      <c r="OP218" s="58">
        <v>46105</v>
      </c>
    </row>
    <row r="219" spans="1:406" ht="15.75" thickBot="1">
      <c r="A219" t="s">
        <v>1182</v>
      </c>
      <c r="B219" t="s">
        <v>1526</v>
      </c>
      <c r="C219" s="93" t="s">
        <v>1183</v>
      </c>
      <c r="D219" s="4" t="s">
        <v>29</v>
      </c>
      <c r="E219" t="s">
        <v>1210</v>
      </c>
      <c r="F219" t="s">
        <v>1205</v>
      </c>
      <c r="G219" t="s">
        <v>2</v>
      </c>
      <c r="H219" t="s">
        <v>234</v>
      </c>
      <c r="K219" t="s">
        <v>29</v>
      </c>
      <c r="AV219" t="s">
        <v>1211</v>
      </c>
      <c r="AW219" t="s">
        <v>29</v>
      </c>
      <c r="AX219" t="s">
        <v>29</v>
      </c>
      <c r="AY219">
        <v>2</v>
      </c>
      <c r="AZ219" t="s">
        <v>1219</v>
      </c>
      <c r="BA219">
        <v>2002</v>
      </c>
      <c r="BB219">
        <v>2005</v>
      </c>
      <c r="BD219" t="s">
        <v>238</v>
      </c>
      <c r="BE219" t="s">
        <v>1215</v>
      </c>
      <c r="BF219" t="s">
        <v>236</v>
      </c>
      <c r="BG219" s="3" t="s">
        <v>1243</v>
      </c>
      <c r="BH219" t="s">
        <v>1184</v>
      </c>
      <c r="BI219" t="s">
        <v>1212</v>
      </c>
      <c r="BJ219" s="4" t="s">
        <v>22</v>
      </c>
      <c r="BK219" s="9">
        <v>222222</v>
      </c>
      <c r="BM219" t="s">
        <v>1196</v>
      </c>
      <c r="BN219" t="s">
        <v>1213</v>
      </c>
      <c r="BO219" s="9">
        <v>55556</v>
      </c>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K219" s="9"/>
      <c r="HW219" s="58"/>
      <c r="IG219" t="s">
        <v>1197</v>
      </c>
      <c r="IH219" s="12" t="s">
        <v>1200</v>
      </c>
      <c r="II219" t="s">
        <v>660</v>
      </c>
      <c r="IJ219" t="s">
        <v>29</v>
      </c>
      <c r="IK219" t="s">
        <v>29</v>
      </c>
      <c r="IL219">
        <v>2002</v>
      </c>
      <c r="IM219" t="s">
        <v>29</v>
      </c>
      <c r="JI219" t="s">
        <v>15</v>
      </c>
      <c r="JJ219" s="84" t="s">
        <v>15</v>
      </c>
      <c r="JK219" s="8" t="s">
        <v>14</v>
      </c>
      <c r="JO219" t="s">
        <v>13</v>
      </c>
      <c r="JP219">
        <v>60</v>
      </c>
      <c r="JS219">
        <v>45</v>
      </c>
      <c r="MS219" t="s">
        <v>1204</v>
      </c>
      <c r="MW219" s="4" t="s">
        <v>1188</v>
      </c>
      <c r="MX219" t="s">
        <v>1189</v>
      </c>
      <c r="NE219" s="93" t="s">
        <v>1203</v>
      </c>
      <c r="NF219" t="s">
        <v>1191</v>
      </c>
      <c r="NG219" t="s">
        <v>8</v>
      </c>
      <c r="NH219" t="s">
        <v>1185</v>
      </c>
      <c r="NQ219" t="s">
        <v>6</v>
      </c>
      <c r="NS219" t="s">
        <v>29</v>
      </c>
      <c r="NW219">
        <v>3</v>
      </c>
      <c r="NX219">
        <v>7.52</v>
      </c>
      <c r="NY219" t="s">
        <v>29</v>
      </c>
      <c r="NZ219">
        <v>6.31</v>
      </c>
      <c r="OA219" t="s">
        <v>29</v>
      </c>
      <c r="OH219" t="s">
        <v>1530</v>
      </c>
      <c r="OJ219">
        <v>2004</v>
      </c>
      <c r="OO219" t="s">
        <v>1178</v>
      </c>
      <c r="OP219" s="58">
        <v>46105</v>
      </c>
    </row>
    <row r="220" spans="1:406" ht="15.75" thickBot="1">
      <c r="A220" t="s">
        <v>1182</v>
      </c>
      <c r="B220" t="s">
        <v>1526</v>
      </c>
      <c r="C220" s="93" t="s">
        <v>1183</v>
      </c>
      <c r="D220" s="4" t="s">
        <v>29</v>
      </c>
      <c r="E220" t="s">
        <v>1210</v>
      </c>
      <c r="F220" t="s">
        <v>1205</v>
      </c>
      <c r="G220" t="s">
        <v>2</v>
      </c>
      <c r="H220" t="s">
        <v>234</v>
      </c>
      <c r="K220" t="s">
        <v>29</v>
      </c>
      <c r="AV220" t="s">
        <v>1211</v>
      </c>
      <c r="AW220" t="s">
        <v>29</v>
      </c>
      <c r="AX220" t="s">
        <v>29</v>
      </c>
      <c r="AY220">
        <v>2</v>
      </c>
      <c r="AZ220" t="s">
        <v>1219</v>
      </c>
      <c r="BA220">
        <v>2002</v>
      </c>
      <c r="BB220">
        <v>2005</v>
      </c>
      <c r="BD220" t="s">
        <v>238</v>
      </c>
      <c r="BE220" t="s">
        <v>1216</v>
      </c>
      <c r="BF220" t="s">
        <v>284</v>
      </c>
      <c r="BG220" s="3" t="s">
        <v>1243</v>
      </c>
      <c r="BH220" t="s">
        <v>1184</v>
      </c>
      <c r="BI220" t="s">
        <v>1212</v>
      </c>
      <c r="BJ220" s="4" t="s">
        <v>22</v>
      </c>
      <c r="BK220" s="9">
        <v>166667</v>
      </c>
      <c r="BM220" t="s">
        <v>1196</v>
      </c>
      <c r="BN220" t="s">
        <v>1213</v>
      </c>
      <c r="BO220" s="9">
        <v>55556</v>
      </c>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K220" s="9"/>
      <c r="HW220" s="58"/>
      <c r="IG220" t="s">
        <v>1198</v>
      </c>
      <c r="IH220" s="12" t="s">
        <v>1200</v>
      </c>
      <c r="II220" t="s">
        <v>660</v>
      </c>
      <c r="IJ220" t="s">
        <v>29</v>
      </c>
      <c r="IK220" t="s">
        <v>29</v>
      </c>
      <c r="IL220">
        <v>2002</v>
      </c>
      <c r="IM220" t="s">
        <v>29</v>
      </c>
      <c r="JI220" t="s">
        <v>15</v>
      </c>
      <c r="JJ220" s="84" t="s">
        <v>15</v>
      </c>
      <c r="JK220" s="8" t="s">
        <v>14</v>
      </c>
      <c r="JO220" t="s">
        <v>13</v>
      </c>
      <c r="JP220">
        <v>60</v>
      </c>
      <c r="JS220">
        <v>45</v>
      </c>
      <c r="MS220" t="s">
        <v>1204</v>
      </c>
      <c r="MW220" s="4" t="s">
        <v>1188</v>
      </c>
      <c r="MX220" t="s">
        <v>1189</v>
      </c>
      <c r="NE220" s="93" t="s">
        <v>1203</v>
      </c>
      <c r="NF220" t="s">
        <v>1191</v>
      </c>
      <c r="NG220" t="s">
        <v>8</v>
      </c>
      <c r="NH220" t="s">
        <v>1185</v>
      </c>
      <c r="NQ220" t="s">
        <v>6</v>
      </c>
      <c r="NS220" t="s">
        <v>29</v>
      </c>
      <c r="NW220">
        <v>3</v>
      </c>
      <c r="NX220">
        <v>7</v>
      </c>
      <c r="NY220" t="s">
        <v>29</v>
      </c>
      <c r="NZ220">
        <v>8</v>
      </c>
      <c r="OA220" t="s">
        <v>29</v>
      </c>
      <c r="OH220" t="s">
        <v>1530</v>
      </c>
      <c r="OJ220">
        <v>2004</v>
      </c>
      <c r="OO220" t="s">
        <v>1178</v>
      </c>
      <c r="OP220" s="58">
        <v>46105</v>
      </c>
    </row>
    <row r="221" spans="1:406" ht="15.75" thickBot="1">
      <c r="A221" t="s">
        <v>1182</v>
      </c>
      <c r="B221" t="s">
        <v>1526</v>
      </c>
      <c r="C221" s="93" t="s">
        <v>1183</v>
      </c>
      <c r="D221" s="4" t="s">
        <v>29</v>
      </c>
      <c r="E221" t="s">
        <v>1210</v>
      </c>
      <c r="F221" t="s">
        <v>1205</v>
      </c>
      <c r="G221" t="s">
        <v>2</v>
      </c>
      <c r="H221" t="s">
        <v>234</v>
      </c>
      <c r="K221" t="s">
        <v>29</v>
      </c>
      <c r="AV221" t="s">
        <v>1211</v>
      </c>
      <c r="AW221" t="s">
        <v>29</v>
      </c>
      <c r="AX221" t="s">
        <v>29</v>
      </c>
      <c r="AY221">
        <v>2</v>
      </c>
      <c r="AZ221" t="s">
        <v>1219</v>
      </c>
      <c r="BA221">
        <v>2002</v>
      </c>
      <c r="BB221">
        <v>2005</v>
      </c>
      <c r="BD221" t="s">
        <v>238</v>
      </c>
      <c r="BE221" t="s">
        <v>1217</v>
      </c>
      <c r="BF221" t="s">
        <v>277</v>
      </c>
      <c r="BG221" s="3" t="s">
        <v>1243</v>
      </c>
      <c r="BH221" t="s">
        <v>1184</v>
      </c>
      <c r="BI221" t="s">
        <v>1212</v>
      </c>
      <c r="BJ221" s="4" t="s">
        <v>22</v>
      </c>
      <c r="BK221" s="9">
        <v>133333</v>
      </c>
      <c r="BM221" t="s">
        <v>1196</v>
      </c>
      <c r="BN221" t="s">
        <v>1213</v>
      </c>
      <c r="BO221" s="9">
        <v>55556</v>
      </c>
      <c r="EH221" s="9"/>
      <c r="EI221" s="9"/>
      <c r="EJ221" s="9"/>
      <c r="EK221" s="9"/>
      <c r="EL221" s="9"/>
      <c r="EM221" s="9"/>
      <c r="EN221" s="9"/>
      <c r="EO221" s="9"/>
      <c r="EP221" s="9"/>
      <c r="EQ221" s="9"/>
      <c r="ER221" s="9"/>
      <c r="ES221" s="9"/>
      <c r="ET221" s="9"/>
      <c r="EU221" s="9"/>
      <c r="EV221" s="9"/>
      <c r="EW221" s="9"/>
      <c r="EX221" s="9"/>
      <c r="EY221" s="9"/>
      <c r="EZ221" s="9"/>
      <c r="FA221" s="9"/>
      <c r="FB221" s="9"/>
      <c r="FC221" s="9"/>
      <c r="FD221" s="9"/>
      <c r="FE221" s="9"/>
      <c r="FF221" s="9"/>
      <c r="FG221" s="9"/>
      <c r="FH221" s="9"/>
      <c r="FI221" s="9"/>
      <c r="FJ221" s="9"/>
      <c r="FK221" s="9"/>
      <c r="FL221" s="9"/>
      <c r="FM221" s="9"/>
      <c r="FN221" s="9"/>
      <c r="FO221" s="9"/>
      <c r="FP221" s="9"/>
      <c r="FQ221" s="9"/>
      <c r="FR221" s="9"/>
      <c r="FS221" s="9"/>
      <c r="FT221" s="9"/>
      <c r="FU221" s="9"/>
      <c r="FV221" s="9"/>
      <c r="FW221" s="9"/>
      <c r="FX221" s="9"/>
      <c r="FY221" s="9"/>
      <c r="FZ221" s="9"/>
      <c r="GA221" s="9"/>
      <c r="GB221" s="9"/>
      <c r="GC221" s="9"/>
      <c r="GD221" s="9"/>
      <c r="GE221" s="9"/>
      <c r="GF221" s="9"/>
      <c r="GG221" s="9"/>
      <c r="GH221" s="9"/>
      <c r="GI221" s="9"/>
      <c r="GJ221" s="9"/>
      <c r="GK221" s="9"/>
      <c r="GL221" s="9"/>
      <c r="GM221" s="9"/>
      <c r="GN221" s="9"/>
      <c r="GO221" s="9"/>
      <c r="GP221" s="9"/>
      <c r="GQ221" s="9"/>
      <c r="GR221" s="9"/>
      <c r="GS221" s="9"/>
      <c r="GT221" s="9"/>
      <c r="GU221" s="9"/>
      <c r="GV221" s="9"/>
      <c r="GW221" s="9"/>
      <c r="GX221" s="9"/>
      <c r="GY221" s="9"/>
      <c r="GZ221" s="9"/>
      <c r="HA221" s="9"/>
      <c r="HB221" s="9"/>
      <c r="HC221" s="9"/>
      <c r="HD221" s="9"/>
      <c r="HE221" s="9"/>
      <c r="HF221" s="9"/>
      <c r="HG221" s="9"/>
      <c r="HH221" s="9"/>
      <c r="HI221" s="9"/>
      <c r="HJ221" s="9"/>
      <c r="HK221" s="9"/>
      <c r="HW221" s="58"/>
      <c r="IG221" t="s">
        <v>1199</v>
      </c>
      <c r="IH221" s="12" t="s">
        <v>1200</v>
      </c>
      <c r="II221" t="s">
        <v>660</v>
      </c>
      <c r="IJ221" t="s">
        <v>29</v>
      </c>
      <c r="IK221" t="s">
        <v>29</v>
      </c>
      <c r="IL221">
        <v>2002</v>
      </c>
      <c r="IM221" t="s">
        <v>29</v>
      </c>
      <c r="JI221" t="s">
        <v>15</v>
      </c>
      <c r="JJ221" s="84" t="s">
        <v>15</v>
      </c>
      <c r="JK221" s="8" t="s">
        <v>14</v>
      </c>
      <c r="JO221" t="s">
        <v>13</v>
      </c>
      <c r="JP221">
        <v>60</v>
      </c>
      <c r="JS221">
        <v>45</v>
      </c>
      <c r="MS221" t="s">
        <v>1204</v>
      </c>
      <c r="MW221" s="4" t="s">
        <v>1188</v>
      </c>
      <c r="MX221" t="s">
        <v>1189</v>
      </c>
      <c r="NE221" s="93" t="s">
        <v>1203</v>
      </c>
      <c r="NF221" t="s">
        <v>1191</v>
      </c>
      <c r="NG221" t="s">
        <v>8</v>
      </c>
      <c r="NH221" t="s">
        <v>1185</v>
      </c>
      <c r="NQ221" t="s">
        <v>6</v>
      </c>
      <c r="NS221" t="s">
        <v>29</v>
      </c>
      <c r="NW221">
        <v>3</v>
      </c>
      <c r="NX221">
        <v>3.91</v>
      </c>
      <c r="NY221" t="s">
        <v>29</v>
      </c>
      <c r="NZ221">
        <v>6</v>
      </c>
      <c r="OA221" t="s">
        <v>29</v>
      </c>
      <c r="OH221" t="s">
        <v>1530</v>
      </c>
      <c r="OJ221">
        <v>2004</v>
      </c>
      <c r="OO221" t="s">
        <v>1178</v>
      </c>
      <c r="OP221" s="58">
        <v>46105</v>
      </c>
    </row>
    <row r="222" spans="1:406" ht="15.75" thickBot="1">
      <c r="A222" t="s">
        <v>248</v>
      </c>
      <c r="B222" t="s">
        <v>1413</v>
      </c>
      <c r="C222" t="s">
        <v>1414</v>
      </c>
      <c r="D222" s="67" t="s">
        <v>245</v>
      </c>
      <c r="E222" t="s">
        <v>1425</v>
      </c>
      <c r="F222" s="4" t="s">
        <v>1427</v>
      </c>
      <c r="G222" t="s">
        <v>2</v>
      </c>
      <c r="H222" t="s">
        <v>30</v>
      </c>
      <c r="I222">
        <v>7.971944444</v>
      </c>
      <c r="J222">
        <v>38.633055560000003</v>
      </c>
      <c r="K222" t="s">
        <v>29</v>
      </c>
      <c r="AV222" t="s">
        <v>1428</v>
      </c>
      <c r="AW222">
        <v>420</v>
      </c>
      <c r="AX222">
        <v>2.5</v>
      </c>
      <c r="AY222">
        <v>1</v>
      </c>
      <c r="AZ222" t="s">
        <v>838</v>
      </c>
      <c r="BA222">
        <v>2015</v>
      </c>
      <c r="BB222">
        <v>2016</v>
      </c>
      <c r="BD222" t="s">
        <v>19</v>
      </c>
      <c r="BE222" t="s">
        <v>1430</v>
      </c>
      <c r="BF222" t="s">
        <v>39</v>
      </c>
      <c r="BG222" s="3" t="s">
        <v>1243</v>
      </c>
      <c r="BH222" t="s">
        <v>23</v>
      </c>
      <c r="BI222" t="s">
        <v>29</v>
      </c>
      <c r="BJ222" s="4" t="s">
        <v>22</v>
      </c>
      <c r="BK222">
        <v>53333</v>
      </c>
      <c r="IG222" t="s">
        <v>255</v>
      </c>
      <c r="IH222" t="s">
        <v>19</v>
      </c>
      <c r="JI222" t="s">
        <v>1429</v>
      </c>
      <c r="JJ222" s="84" t="s">
        <v>1437</v>
      </c>
      <c r="JK222" s="8" t="s">
        <v>14</v>
      </c>
      <c r="JL222" s="8" t="s">
        <v>1446</v>
      </c>
      <c r="JM222" s="4" t="s">
        <v>13</v>
      </c>
      <c r="JN222" t="s">
        <v>1447</v>
      </c>
      <c r="MS222" t="s">
        <v>1451</v>
      </c>
      <c r="MT222">
        <v>70</v>
      </c>
      <c r="MU222" t="s">
        <v>1452</v>
      </c>
      <c r="MW222" t="s">
        <v>168</v>
      </c>
      <c r="MX222" s="4" t="s">
        <v>10</v>
      </c>
      <c r="ND222" t="s">
        <v>1455</v>
      </c>
      <c r="NE222" t="s">
        <v>1416</v>
      </c>
      <c r="NF222" t="s">
        <v>1417</v>
      </c>
      <c r="NG222" s="4" t="s">
        <v>266</v>
      </c>
      <c r="NH222" s="6" t="s">
        <v>265</v>
      </c>
      <c r="NP222" t="s">
        <v>1457</v>
      </c>
      <c r="NQ222" t="s">
        <v>6</v>
      </c>
      <c r="NR222">
        <v>2128</v>
      </c>
      <c r="NS222" s="4" t="s">
        <v>1456</v>
      </c>
      <c r="NT222">
        <v>365</v>
      </c>
      <c r="NW222" s="15">
        <v>3</v>
      </c>
      <c r="OH222" t="s">
        <v>1418</v>
      </c>
      <c r="OI222" t="s">
        <v>6</v>
      </c>
      <c r="OK222">
        <v>2015</v>
      </c>
      <c r="OL222">
        <v>2016</v>
      </c>
      <c r="OO222" t="s">
        <v>1178</v>
      </c>
      <c r="OP222" s="58">
        <v>46104</v>
      </c>
    </row>
    <row r="223" spans="1:406" ht="15.75" thickBot="1">
      <c r="A223" t="s">
        <v>248</v>
      </c>
      <c r="B223" t="s">
        <v>1413</v>
      </c>
      <c r="C223" t="s">
        <v>1414</v>
      </c>
      <c r="D223" s="67" t="s">
        <v>245</v>
      </c>
      <c r="E223" t="s">
        <v>1425</v>
      </c>
      <c r="F223" s="4" t="s">
        <v>1427</v>
      </c>
      <c r="G223" t="s">
        <v>2</v>
      </c>
      <c r="H223" t="s">
        <v>30</v>
      </c>
      <c r="I223">
        <v>7.971944444</v>
      </c>
      <c r="J223">
        <v>38.633055560000003</v>
      </c>
      <c r="K223" t="s">
        <v>29</v>
      </c>
      <c r="AV223" t="s">
        <v>1428</v>
      </c>
      <c r="AW223">
        <v>420</v>
      </c>
      <c r="AX223">
        <v>2.5</v>
      </c>
      <c r="AY223">
        <v>1</v>
      </c>
      <c r="AZ223" t="s">
        <v>838</v>
      </c>
      <c r="BA223">
        <v>2015</v>
      </c>
      <c r="BB223">
        <v>2016</v>
      </c>
      <c r="BD223" t="s">
        <v>19</v>
      </c>
      <c r="BE223" t="s">
        <v>1431</v>
      </c>
      <c r="BF223" t="s">
        <v>24</v>
      </c>
      <c r="BG223" s="3" t="s">
        <v>1243</v>
      </c>
      <c r="BH223" t="s">
        <v>23</v>
      </c>
      <c r="BI223" t="s">
        <v>29</v>
      </c>
      <c r="BJ223" t="s">
        <v>22</v>
      </c>
      <c r="BK223">
        <v>53333</v>
      </c>
      <c r="IG223" t="s">
        <v>255</v>
      </c>
      <c r="IH223" t="s">
        <v>19</v>
      </c>
      <c r="JI223" t="s">
        <v>1438</v>
      </c>
      <c r="JJ223" s="54" t="s">
        <v>1440</v>
      </c>
      <c r="JK223" s="8" t="s">
        <v>14</v>
      </c>
      <c r="JL223" s="8" t="s">
        <v>1446</v>
      </c>
      <c r="JM223" s="4" t="s">
        <v>13</v>
      </c>
      <c r="JN223" t="s">
        <v>1448</v>
      </c>
      <c r="MS223" t="s">
        <v>1451</v>
      </c>
      <c r="MT223">
        <v>70</v>
      </c>
      <c r="MU223" t="s">
        <v>1452</v>
      </c>
      <c r="MW223" t="s">
        <v>168</v>
      </c>
      <c r="MX223" s="4" t="s">
        <v>10</v>
      </c>
      <c r="ND223" t="s">
        <v>1455</v>
      </c>
      <c r="NE223" t="s">
        <v>1416</v>
      </c>
      <c r="NF223" t="s">
        <v>1417</v>
      </c>
      <c r="NG223" s="4" t="s">
        <v>266</v>
      </c>
      <c r="NH223" s="6" t="s">
        <v>265</v>
      </c>
      <c r="NP223" t="s">
        <v>745</v>
      </c>
      <c r="NQ223" t="s">
        <v>6</v>
      </c>
      <c r="NR223">
        <v>3116</v>
      </c>
      <c r="NS223" s="4" t="s">
        <v>1456</v>
      </c>
      <c r="NT223">
        <v>107</v>
      </c>
      <c r="NW223" s="15">
        <v>3</v>
      </c>
      <c r="OH223" t="s">
        <v>1418</v>
      </c>
      <c r="OI223" t="s">
        <v>6</v>
      </c>
      <c r="OK223">
        <v>2015</v>
      </c>
      <c r="OL223">
        <v>2016</v>
      </c>
      <c r="OO223" t="s">
        <v>1178</v>
      </c>
      <c r="OP223" s="58">
        <v>46104</v>
      </c>
    </row>
    <row r="224" spans="1:406" ht="15.75" thickBot="1">
      <c r="A224" t="s">
        <v>248</v>
      </c>
      <c r="B224" t="s">
        <v>1413</v>
      </c>
      <c r="C224" t="s">
        <v>1414</v>
      </c>
      <c r="D224" s="67" t="s">
        <v>245</v>
      </c>
      <c r="E224" t="s">
        <v>1425</v>
      </c>
      <c r="F224" s="4" t="s">
        <v>1427</v>
      </c>
      <c r="G224" t="s">
        <v>2</v>
      </c>
      <c r="H224" t="s">
        <v>30</v>
      </c>
      <c r="I224">
        <v>7.971944444</v>
      </c>
      <c r="J224">
        <v>38.633055560000003</v>
      </c>
      <c r="K224" t="s">
        <v>29</v>
      </c>
      <c r="AV224" t="s">
        <v>1428</v>
      </c>
      <c r="AW224">
        <v>420</v>
      </c>
      <c r="AX224">
        <v>2.5</v>
      </c>
      <c r="AY224">
        <v>1</v>
      </c>
      <c r="AZ224" t="s">
        <v>838</v>
      </c>
      <c r="BA224">
        <v>2015</v>
      </c>
      <c r="BB224">
        <v>2016</v>
      </c>
      <c r="BD224" t="s">
        <v>19</v>
      </c>
      <c r="BE224" t="s">
        <v>1432</v>
      </c>
      <c r="BF224" t="s">
        <v>299</v>
      </c>
      <c r="BG224" s="3" t="s">
        <v>1243</v>
      </c>
      <c r="BH224" t="s">
        <v>23</v>
      </c>
      <c r="BI224" t="s">
        <v>29</v>
      </c>
      <c r="BJ224" t="s">
        <v>22</v>
      </c>
      <c r="BK224">
        <v>53333</v>
      </c>
      <c r="HR224" t="s">
        <v>1449</v>
      </c>
      <c r="IG224" t="s">
        <v>255</v>
      </c>
      <c r="IH224" t="s">
        <v>19</v>
      </c>
      <c r="JI224" t="s">
        <v>1439</v>
      </c>
      <c r="JJ224" s="84" t="s">
        <v>1437</v>
      </c>
      <c r="JK224" t="s">
        <v>14</v>
      </c>
      <c r="JL224" t="s">
        <v>1446</v>
      </c>
      <c r="JM224" s="4" t="s">
        <v>13</v>
      </c>
      <c r="JN224" t="s">
        <v>1447</v>
      </c>
      <c r="KU224" t="s">
        <v>1450</v>
      </c>
      <c r="MS224" t="s">
        <v>1451</v>
      </c>
      <c r="MT224">
        <v>70</v>
      </c>
      <c r="MU224" t="s">
        <v>1452</v>
      </c>
      <c r="MW224" t="s">
        <v>168</v>
      </c>
      <c r="MX224" s="4" t="s">
        <v>10</v>
      </c>
      <c r="ND224" t="s">
        <v>1455</v>
      </c>
      <c r="NE224" t="s">
        <v>1416</v>
      </c>
      <c r="NF224" t="s">
        <v>1417</v>
      </c>
      <c r="NG224" s="4" t="s">
        <v>266</v>
      </c>
      <c r="NH224" s="6" t="s">
        <v>265</v>
      </c>
      <c r="NP224" t="s">
        <v>1457</v>
      </c>
      <c r="NQ224" t="s">
        <v>6</v>
      </c>
      <c r="NR224">
        <v>2713</v>
      </c>
      <c r="NS224" s="4" t="s">
        <v>1456</v>
      </c>
      <c r="NT224">
        <v>289</v>
      </c>
      <c r="NW224" s="15">
        <v>3</v>
      </c>
      <c r="OH224" t="s">
        <v>1418</v>
      </c>
      <c r="OI224" t="s">
        <v>6</v>
      </c>
      <c r="OK224">
        <v>2015</v>
      </c>
      <c r="OL224">
        <v>2016</v>
      </c>
      <c r="OO224" t="s">
        <v>1178</v>
      </c>
      <c r="OP224" s="58">
        <v>46104</v>
      </c>
    </row>
    <row r="225" spans="1:406" ht="15.75" thickBot="1">
      <c r="A225" t="s">
        <v>248</v>
      </c>
      <c r="B225" t="s">
        <v>1413</v>
      </c>
      <c r="C225" t="s">
        <v>1414</v>
      </c>
      <c r="D225" s="67" t="s">
        <v>245</v>
      </c>
      <c r="E225" t="s">
        <v>1425</v>
      </c>
      <c r="F225" s="4" t="s">
        <v>1427</v>
      </c>
      <c r="G225" t="s">
        <v>2</v>
      </c>
      <c r="H225" t="s">
        <v>30</v>
      </c>
      <c r="I225">
        <v>7.971944444</v>
      </c>
      <c r="J225">
        <v>38.633055560000003</v>
      </c>
      <c r="K225" t="s">
        <v>29</v>
      </c>
      <c r="AV225" t="s">
        <v>1428</v>
      </c>
      <c r="AW225">
        <v>420</v>
      </c>
      <c r="AX225">
        <v>2.5</v>
      </c>
      <c r="AY225">
        <v>1</v>
      </c>
      <c r="AZ225" t="s">
        <v>838</v>
      </c>
      <c r="BA225">
        <v>2015</v>
      </c>
      <c r="BB225">
        <v>2016</v>
      </c>
      <c r="BD225" t="s">
        <v>238</v>
      </c>
      <c r="BE225" t="s">
        <v>1434</v>
      </c>
      <c r="BF225" t="s">
        <v>64</v>
      </c>
      <c r="BG225" s="3" t="s">
        <v>1243</v>
      </c>
      <c r="BH225" t="s">
        <v>23</v>
      </c>
      <c r="BI225" t="s">
        <v>29</v>
      </c>
      <c r="BJ225" t="s">
        <v>22</v>
      </c>
      <c r="BK225">
        <v>53333</v>
      </c>
      <c r="BL225" t="s">
        <v>56</v>
      </c>
      <c r="BM225" t="s">
        <v>1436</v>
      </c>
      <c r="BN225" t="s">
        <v>29</v>
      </c>
      <c r="BO225" t="s">
        <v>22</v>
      </c>
      <c r="BP225">
        <v>266666</v>
      </c>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K225" s="9"/>
      <c r="HW225" s="58"/>
      <c r="IG225" t="s">
        <v>1442</v>
      </c>
      <c r="IH225" s="84" t="s">
        <v>1453</v>
      </c>
      <c r="II225" t="s">
        <v>660</v>
      </c>
      <c r="IJ225" t="s">
        <v>661</v>
      </c>
      <c r="IK225" t="s">
        <v>29</v>
      </c>
      <c r="IL225" t="s">
        <v>29</v>
      </c>
      <c r="IM225" t="s">
        <v>29</v>
      </c>
      <c r="JI225" t="s">
        <v>1441</v>
      </c>
      <c r="JJ225" t="s">
        <v>1440</v>
      </c>
      <c r="JK225" t="s">
        <v>14</v>
      </c>
      <c r="JL225" t="s">
        <v>1446</v>
      </c>
      <c r="JM225" s="4" t="s">
        <v>13</v>
      </c>
      <c r="JN225" t="s">
        <v>1448</v>
      </c>
      <c r="MS225" t="s">
        <v>1451</v>
      </c>
      <c r="MT225">
        <v>70</v>
      </c>
      <c r="MU225" t="s">
        <v>1452</v>
      </c>
      <c r="MW225" t="s">
        <v>168</v>
      </c>
      <c r="MX225" s="4" t="s">
        <v>10</v>
      </c>
      <c r="MY225" t="s">
        <v>1436</v>
      </c>
      <c r="ND225" t="s">
        <v>1455</v>
      </c>
      <c r="NE225" t="s">
        <v>1416</v>
      </c>
      <c r="NF225" t="s">
        <v>1417</v>
      </c>
      <c r="NG225" s="4" t="s">
        <v>266</v>
      </c>
      <c r="NH225" s="6" t="s">
        <v>265</v>
      </c>
      <c r="NQ225" t="s">
        <v>6</v>
      </c>
      <c r="NR225">
        <v>3825</v>
      </c>
      <c r="NS225" s="4" t="s">
        <v>1456</v>
      </c>
      <c r="NT225">
        <v>567</v>
      </c>
      <c r="NW225" s="15">
        <v>3</v>
      </c>
      <c r="OH225" t="s">
        <v>1418</v>
      </c>
      <c r="OI225" t="s">
        <v>6</v>
      </c>
      <c r="OK225">
        <v>2015</v>
      </c>
      <c r="OL225">
        <v>2016</v>
      </c>
      <c r="OO225" t="s">
        <v>1178</v>
      </c>
      <c r="OP225" s="58">
        <v>46104</v>
      </c>
    </row>
    <row r="226" spans="1:406" ht="15.75" thickBot="1">
      <c r="A226" t="s">
        <v>248</v>
      </c>
      <c r="B226" t="s">
        <v>1413</v>
      </c>
      <c r="C226" t="s">
        <v>1414</v>
      </c>
      <c r="D226" s="67" t="s">
        <v>245</v>
      </c>
      <c r="E226" t="s">
        <v>1425</v>
      </c>
      <c r="F226" s="4" t="s">
        <v>1427</v>
      </c>
      <c r="G226" t="s">
        <v>2</v>
      </c>
      <c r="H226" t="s">
        <v>30</v>
      </c>
      <c r="I226">
        <v>7.971944444</v>
      </c>
      <c r="J226">
        <v>38.633055560000003</v>
      </c>
      <c r="K226" t="s">
        <v>29</v>
      </c>
      <c r="AV226" t="s">
        <v>1428</v>
      </c>
      <c r="AW226">
        <v>420</v>
      </c>
      <c r="AX226">
        <v>2.5</v>
      </c>
      <c r="AY226">
        <v>1</v>
      </c>
      <c r="AZ226" t="s">
        <v>838</v>
      </c>
      <c r="BA226">
        <v>2015</v>
      </c>
      <c r="BB226">
        <v>2016</v>
      </c>
      <c r="BD226" t="s">
        <v>238</v>
      </c>
      <c r="BE226" t="s">
        <v>1435</v>
      </c>
      <c r="BF226" t="s">
        <v>57</v>
      </c>
      <c r="BG226" s="3" t="s">
        <v>1243</v>
      </c>
      <c r="BH226" t="s">
        <v>23</v>
      </c>
      <c r="BI226" t="s">
        <v>29</v>
      </c>
      <c r="BJ226" t="s">
        <v>22</v>
      </c>
      <c r="BK226">
        <v>53333</v>
      </c>
      <c r="BL226" t="s">
        <v>56</v>
      </c>
      <c r="BM226" t="s">
        <v>1424</v>
      </c>
      <c r="BN226" t="s">
        <v>29</v>
      </c>
      <c r="BO226" t="s">
        <v>22</v>
      </c>
      <c r="BP226">
        <v>66666</v>
      </c>
      <c r="EH226" s="9"/>
      <c r="EI226" s="9"/>
      <c r="EJ226" s="9"/>
      <c r="EK226" s="9"/>
      <c r="EL226" s="9"/>
      <c r="EM226" s="9"/>
      <c r="EN226" s="9"/>
      <c r="EO226" s="9"/>
      <c r="EP226" s="9"/>
      <c r="EQ226" s="9"/>
      <c r="ER226" s="9"/>
      <c r="ES226" s="9"/>
      <c r="ET226" s="9"/>
      <c r="EU226" s="9"/>
      <c r="EV226" s="9"/>
      <c r="EW226" s="9"/>
      <c r="EX226" s="9"/>
      <c r="EY226" s="9"/>
      <c r="EZ226" s="9"/>
      <c r="FA226" s="9"/>
      <c r="FB226" s="9"/>
      <c r="FC226" s="9"/>
      <c r="FD226" s="9"/>
      <c r="FE226" s="9"/>
      <c r="FF226" s="9"/>
      <c r="FG226" s="9"/>
      <c r="FH226" s="9"/>
      <c r="FI226" s="9"/>
      <c r="FJ226" s="9"/>
      <c r="FK226" s="9"/>
      <c r="FL226" s="9"/>
      <c r="FM226" s="9"/>
      <c r="FN226" s="9"/>
      <c r="FO226" s="9"/>
      <c r="FP226" s="9"/>
      <c r="FQ226" s="9"/>
      <c r="FR226" s="9"/>
      <c r="FS226" s="9"/>
      <c r="FT226" s="9"/>
      <c r="FU226" s="9"/>
      <c r="FV226" s="9"/>
      <c r="FW226" s="9"/>
      <c r="FX226" s="9"/>
      <c r="FY226" s="9"/>
      <c r="FZ226" s="9"/>
      <c r="GA226" s="9"/>
      <c r="GB226" s="9"/>
      <c r="GC226" s="9"/>
      <c r="GD226" s="9"/>
      <c r="GE226" s="9"/>
      <c r="GF226" s="9"/>
      <c r="GG226" s="9"/>
      <c r="GH226" s="9"/>
      <c r="GI226" s="9"/>
      <c r="GJ226" s="9"/>
      <c r="GK226" s="9"/>
      <c r="GL226" s="9"/>
      <c r="GM226" s="9"/>
      <c r="GN226" s="9"/>
      <c r="GO226" s="9"/>
      <c r="GP226" s="9"/>
      <c r="GQ226" s="9"/>
      <c r="GR226" s="9"/>
      <c r="GS226" s="9"/>
      <c r="GT226" s="9"/>
      <c r="GU226" s="9"/>
      <c r="GV226" s="9"/>
      <c r="GW226" s="9"/>
      <c r="GX226" s="9"/>
      <c r="GY226" s="9"/>
      <c r="GZ226" s="9"/>
      <c r="HA226" s="9"/>
      <c r="HB226" s="9"/>
      <c r="HC226" s="9"/>
      <c r="HD226" s="9"/>
      <c r="HE226" s="9"/>
      <c r="HF226" s="9"/>
      <c r="HG226" s="9"/>
      <c r="HH226" s="9"/>
      <c r="HI226" s="9"/>
      <c r="HJ226" s="9"/>
      <c r="HK226" s="9"/>
      <c r="HW226" s="58"/>
      <c r="IG226" t="s">
        <v>1443</v>
      </c>
      <c r="IH226" s="84" t="s">
        <v>1453</v>
      </c>
      <c r="II226" t="s">
        <v>660</v>
      </c>
      <c r="IJ226" t="s">
        <v>661</v>
      </c>
      <c r="IK226" t="s">
        <v>29</v>
      </c>
      <c r="IL226" t="s">
        <v>29</v>
      </c>
      <c r="IM226" t="s">
        <v>29</v>
      </c>
      <c r="JI226" t="s">
        <v>1444</v>
      </c>
      <c r="JJ226" t="s">
        <v>1440</v>
      </c>
      <c r="JK226" t="s">
        <v>14</v>
      </c>
      <c r="JL226" t="s">
        <v>1446</v>
      </c>
      <c r="JM226" s="4" t="s">
        <v>13</v>
      </c>
      <c r="JN226" t="s">
        <v>1448</v>
      </c>
      <c r="MS226" t="s">
        <v>1451</v>
      </c>
      <c r="MT226">
        <v>70</v>
      </c>
      <c r="MU226" t="s">
        <v>1452</v>
      </c>
      <c r="MW226" t="s">
        <v>168</v>
      </c>
      <c r="MX226" s="4" t="s">
        <v>10</v>
      </c>
      <c r="MY226" t="s">
        <v>1454</v>
      </c>
      <c r="ND226" t="s">
        <v>1455</v>
      </c>
      <c r="NE226" t="s">
        <v>1416</v>
      </c>
      <c r="NF226" t="s">
        <v>1417</v>
      </c>
      <c r="NG226" s="4" t="s">
        <v>266</v>
      </c>
      <c r="NH226" s="6" t="s">
        <v>265</v>
      </c>
      <c r="NQ226" t="s">
        <v>6</v>
      </c>
      <c r="NR226">
        <v>3563</v>
      </c>
      <c r="NS226" t="s">
        <v>1456</v>
      </c>
      <c r="NT226">
        <v>549</v>
      </c>
      <c r="NW226" s="15">
        <v>3</v>
      </c>
      <c r="OH226" t="s">
        <v>1418</v>
      </c>
      <c r="OI226" t="s">
        <v>6</v>
      </c>
      <c r="OK226">
        <v>2015</v>
      </c>
      <c r="OL226">
        <v>2016</v>
      </c>
      <c r="OO226" t="s">
        <v>1178</v>
      </c>
      <c r="OP226" s="58">
        <v>46104</v>
      </c>
    </row>
    <row r="227" spans="1:406" ht="15.75" thickBot="1">
      <c r="A227" t="s">
        <v>248</v>
      </c>
      <c r="B227" t="s">
        <v>1413</v>
      </c>
      <c r="C227" t="s">
        <v>1414</v>
      </c>
      <c r="D227" s="67" t="s">
        <v>245</v>
      </c>
      <c r="E227" t="s">
        <v>1425</v>
      </c>
      <c r="F227" s="4" t="s">
        <v>1427</v>
      </c>
      <c r="G227" t="s">
        <v>2</v>
      </c>
      <c r="H227" t="s">
        <v>30</v>
      </c>
      <c r="I227">
        <v>7.971944444</v>
      </c>
      <c r="J227">
        <v>38.633055560000003</v>
      </c>
      <c r="K227" t="s">
        <v>29</v>
      </c>
      <c r="AV227" t="s">
        <v>1428</v>
      </c>
      <c r="AW227">
        <v>420</v>
      </c>
      <c r="AX227">
        <v>2.5</v>
      </c>
      <c r="AY227">
        <v>1</v>
      </c>
      <c r="AZ227" t="s">
        <v>838</v>
      </c>
      <c r="BA227">
        <v>2015</v>
      </c>
      <c r="BB227">
        <v>2016</v>
      </c>
      <c r="BD227" t="s">
        <v>19</v>
      </c>
      <c r="BE227" t="s">
        <v>1433</v>
      </c>
      <c r="BF227" t="s">
        <v>256</v>
      </c>
      <c r="BG227" s="3" t="s">
        <v>1243</v>
      </c>
      <c r="BH227" t="s">
        <v>23</v>
      </c>
      <c r="BI227" t="s">
        <v>29</v>
      </c>
      <c r="BJ227" t="s">
        <v>22</v>
      </c>
      <c r="BK227">
        <v>53333</v>
      </c>
      <c r="HR227" t="s">
        <v>1449</v>
      </c>
      <c r="IG227" t="s">
        <v>255</v>
      </c>
      <c r="IH227" t="s">
        <v>19</v>
      </c>
      <c r="JI227" t="s">
        <v>1445</v>
      </c>
      <c r="JJ227" t="s">
        <v>1440</v>
      </c>
      <c r="JK227" t="s">
        <v>14</v>
      </c>
      <c r="JL227" t="s">
        <v>1446</v>
      </c>
      <c r="JM227" s="4" t="s">
        <v>13</v>
      </c>
      <c r="JN227" t="s">
        <v>1448</v>
      </c>
      <c r="MS227" t="s">
        <v>1451</v>
      </c>
      <c r="MT227">
        <v>70</v>
      </c>
      <c r="MU227" t="s">
        <v>1452</v>
      </c>
      <c r="MW227" t="s">
        <v>168</v>
      </c>
      <c r="MX227" s="4" t="s">
        <v>10</v>
      </c>
      <c r="ND227" t="s">
        <v>1455</v>
      </c>
      <c r="NE227" t="s">
        <v>1416</v>
      </c>
      <c r="NF227" t="s">
        <v>1417</v>
      </c>
      <c r="NG227" s="4" t="s">
        <v>266</v>
      </c>
      <c r="NH227" s="6" t="s">
        <v>265</v>
      </c>
      <c r="NP227" t="s">
        <v>745</v>
      </c>
      <c r="NQ227" t="s">
        <v>6</v>
      </c>
      <c r="NR227">
        <v>3699</v>
      </c>
      <c r="NS227" t="s">
        <v>1456</v>
      </c>
      <c r="NT227">
        <v>390</v>
      </c>
      <c r="NW227" s="15">
        <v>3</v>
      </c>
      <c r="OH227" t="s">
        <v>1418</v>
      </c>
      <c r="OI227" t="s">
        <v>6</v>
      </c>
      <c r="OK227">
        <v>2015</v>
      </c>
      <c r="OL227">
        <v>2016</v>
      </c>
      <c r="OO227" t="s">
        <v>1178</v>
      </c>
      <c r="OP227" s="58">
        <v>46104</v>
      </c>
    </row>
    <row r="228" spans="1:406" ht="15.75" thickBot="1">
      <c r="A228" t="s">
        <v>248</v>
      </c>
      <c r="B228" t="s">
        <v>1413</v>
      </c>
      <c r="C228" t="s">
        <v>1414</v>
      </c>
      <c r="D228" s="67" t="s">
        <v>245</v>
      </c>
      <c r="E228" t="s">
        <v>1419</v>
      </c>
      <c r="F228" s="4" t="s">
        <v>1427</v>
      </c>
      <c r="G228" t="s">
        <v>2</v>
      </c>
      <c r="H228" t="s">
        <v>30</v>
      </c>
      <c r="I228">
        <v>7.306944444</v>
      </c>
      <c r="J228">
        <v>38.012222219999998</v>
      </c>
      <c r="K228" t="s">
        <v>29</v>
      </c>
      <c r="AV228" t="s">
        <v>1428</v>
      </c>
      <c r="AW228">
        <v>420</v>
      </c>
      <c r="AX228">
        <v>1.5</v>
      </c>
      <c r="AY228">
        <v>1</v>
      </c>
      <c r="AZ228" t="s">
        <v>838</v>
      </c>
      <c r="BA228">
        <v>2015</v>
      </c>
      <c r="BB228">
        <v>2016</v>
      </c>
      <c r="BD228" t="s">
        <v>19</v>
      </c>
      <c r="BE228" t="s">
        <v>1430</v>
      </c>
      <c r="BF228" t="s">
        <v>39</v>
      </c>
      <c r="BG228" s="3" t="s">
        <v>1243</v>
      </c>
      <c r="BH228" t="s">
        <v>23</v>
      </c>
      <c r="BI228" t="s">
        <v>29</v>
      </c>
      <c r="BJ228" s="4" t="s">
        <v>22</v>
      </c>
      <c r="BK228">
        <v>53333</v>
      </c>
      <c r="IG228" t="s">
        <v>255</v>
      </c>
      <c r="IH228" t="s">
        <v>19</v>
      </c>
      <c r="JI228" t="s">
        <v>1429</v>
      </c>
      <c r="JJ228" s="84" t="s">
        <v>1437</v>
      </c>
      <c r="JK228" s="8" t="s">
        <v>14</v>
      </c>
      <c r="JL228" s="8" t="s">
        <v>1446</v>
      </c>
      <c r="JM228" s="4" t="s">
        <v>13</v>
      </c>
      <c r="JN228" t="s">
        <v>1447</v>
      </c>
      <c r="MS228" t="s">
        <v>1451</v>
      </c>
      <c r="MT228">
        <v>70</v>
      </c>
      <c r="MU228" t="s">
        <v>1452</v>
      </c>
      <c r="MW228" t="s">
        <v>168</v>
      </c>
      <c r="MX228" s="4" t="s">
        <v>10</v>
      </c>
      <c r="ND228" t="s">
        <v>1455</v>
      </c>
      <c r="NE228" t="s">
        <v>1416</v>
      </c>
      <c r="NF228" t="s">
        <v>1417</v>
      </c>
      <c r="NG228" s="4" t="s">
        <v>266</v>
      </c>
      <c r="NH228" s="6" t="s">
        <v>265</v>
      </c>
      <c r="NP228" t="s">
        <v>1457</v>
      </c>
      <c r="NQ228" t="s">
        <v>6</v>
      </c>
      <c r="NR228">
        <v>2815</v>
      </c>
      <c r="NS228" t="s">
        <v>1456</v>
      </c>
      <c r="NT228">
        <v>697</v>
      </c>
      <c r="NW228" s="15">
        <v>3</v>
      </c>
      <c r="OH228" t="s">
        <v>1420</v>
      </c>
      <c r="OI228" t="s">
        <v>6</v>
      </c>
      <c r="OK228">
        <v>2015</v>
      </c>
      <c r="OL228">
        <v>2016</v>
      </c>
      <c r="OO228" t="s">
        <v>1178</v>
      </c>
      <c r="OP228" s="58">
        <v>46104</v>
      </c>
    </row>
    <row r="229" spans="1:406" ht="15.75" thickBot="1">
      <c r="A229" t="s">
        <v>248</v>
      </c>
      <c r="B229" t="s">
        <v>1413</v>
      </c>
      <c r="C229" t="s">
        <v>1414</v>
      </c>
      <c r="D229" s="67" t="s">
        <v>245</v>
      </c>
      <c r="E229" t="s">
        <v>1419</v>
      </c>
      <c r="F229" s="4" t="s">
        <v>1427</v>
      </c>
      <c r="G229" t="s">
        <v>2</v>
      </c>
      <c r="H229" t="s">
        <v>30</v>
      </c>
      <c r="I229">
        <v>7.306944444</v>
      </c>
      <c r="J229">
        <v>38.012222219999998</v>
      </c>
      <c r="K229" t="s">
        <v>29</v>
      </c>
      <c r="AV229" t="s">
        <v>1428</v>
      </c>
      <c r="AW229">
        <v>420</v>
      </c>
      <c r="AX229">
        <v>1.5</v>
      </c>
      <c r="AY229">
        <v>1</v>
      </c>
      <c r="AZ229" t="s">
        <v>838</v>
      </c>
      <c r="BA229">
        <v>2015</v>
      </c>
      <c r="BB229">
        <v>2016</v>
      </c>
      <c r="BD229" t="s">
        <v>19</v>
      </c>
      <c r="BE229" t="s">
        <v>1431</v>
      </c>
      <c r="BF229" t="s">
        <v>24</v>
      </c>
      <c r="BG229" s="3" t="s">
        <v>1243</v>
      </c>
      <c r="BH229" t="s">
        <v>23</v>
      </c>
      <c r="BI229" t="s">
        <v>29</v>
      </c>
      <c r="BJ229" t="s">
        <v>22</v>
      </c>
      <c r="BK229">
        <v>53333</v>
      </c>
      <c r="IG229" t="s">
        <v>255</v>
      </c>
      <c r="IH229" t="s">
        <v>19</v>
      </c>
      <c r="JI229" t="s">
        <v>1438</v>
      </c>
      <c r="JJ229" s="54" t="s">
        <v>1440</v>
      </c>
      <c r="JK229" t="s">
        <v>14</v>
      </c>
      <c r="JL229" s="8" t="s">
        <v>1446</v>
      </c>
      <c r="JM229" s="4" t="s">
        <v>13</v>
      </c>
      <c r="JN229" t="s">
        <v>1448</v>
      </c>
      <c r="MS229" t="s">
        <v>1451</v>
      </c>
      <c r="MT229">
        <v>70</v>
      </c>
      <c r="MU229" t="s">
        <v>1452</v>
      </c>
      <c r="MW229" t="s">
        <v>168</v>
      </c>
      <c r="MX229" s="4" t="s">
        <v>10</v>
      </c>
      <c r="ND229" t="s">
        <v>1455</v>
      </c>
      <c r="NE229" t="s">
        <v>1416</v>
      </c>
      <c r="NF229" t="s">
        <v>1417</v>
      </c>
      <c r="NG229" s="4" t="s">
        <v>266</v>
      </c>
      <c r="NH229" s="6" t="s">
        <v>265</v>
      </c>
      <c r="NP229" t="s">
        <v>745</v>
      </c>
      <c r="NQ229" t="s">
        <v>6</v>
      </c>
      <c r="NR229">
        <v>3243</v>
      </c>
      <c r="NS229" t="s">
        <v>1456</v>
      </c>
      <c r="NT229">
        <v>705</v>
      </c>
      <c r="NW229" s="15">
        <v>3</v>
      </c>
      <c r="OH229" t="s">
        <v>1420</v>
      </c>
      <c r="OI229" t="s">
        <v>6</v>
      </c>
      <c r="OK229">
        <v>2015</v>
      </c>
      <c r="OL229">
        <v>2016</v>
      </c>
      <c r="OO229" t="s">
        <v>1178</v>
      </c>
      <c r="OP229" s="58">
        <v>46104</v>
      </c>
    </row>
    <row r="230" spans="1:406" ht="15.75" thickBot="1">
      <c r="A230" t="s">
        <v>248</v>
      </c>
      <c r="B230" t="s">
        <v>1413</v>
      </c>
      <c r="C230" t="s">
        <v>1414</v>
      </c>
      <c r="D230" s="67" t="s">
        <v>245</v>
      </c>
      <c r="E230" t="s">
        <v>1419</v>
      </c>
      <c r="F230" s="4" t="s">
        <v>1427</v>
      </c>
      <c r="G230" t="s">
        <v>2</v>
      </c>
      <c r="H230" t="s">
        <v>30</v>
      </c>
      <c r="I230">
        <v>7.306944444</v>
      </c>
      <c r="J230">
        <v>38.012222219999998</v>
      </c>
      <c r="K230" t="s">
        <v>29</v>
      </c>
      <c r="AV230" t="s">
        <v>1428</v>
      </c>
      <c r="AW230">
        <v>420</v>
      </c>
      <c r="AX230">
        <v>1.5</v>
      </c>
      <c r="AY230">
        <v>1</v>
      </c>
      <c r="AZ230" t="s">
        <v>838</v>
      </c>
      <c r="BA230">
        <v>2015</v>
      </c>
      <c r="BB230">
        <v>2016</v>
      </c>
      <c r="BD230" t="s">
        <v>19</v>
      </c>
      <c r="BE230" t="s">
        <v>1432</v>
      </c>
      <c r="BF230" t="s">
        <v>299</v>
      </c>
      <c r="BG230" s="3" t="s">
        <v>1243</v>
      </c>
      <c r="BH230" t="s">
        <v>23</v>
      </c>
      <c r="BI230" t="s">
        <v>29</v>
      </c>
      <c r="BJ230" t="s">
        <v>22</v>
      </c>
      <c r="BK230">
        <v>53333</v>
      </c>
      <c r="HR230" t="s">
        <v>1449</v>
      </c>
      <c r="IG230" t="s">
        <v>255</v>
      </c>
      <c r="IH230" t="s">
        <v>19</v>
      </c>
      <c r="JI230" t="s">
        <v>1439</v>
      </c>
      <c r="JJ230" s="84" t="s">
        <v>1437</v>
      </c>
      <c r="JK230" t="s">
        <v>14</v>
      </c>
      <c r="JL230" s="8" t="s">
        <v>1446</v>
      </c>
      <c r="JM230" s="4" t="s">
        <v>13</v>
      </c>
      <c r="JN230" t="s">
        <v>1447</v>
      </c>
      <c r="KU230" t="s">
        <v>1450</v>
      </c>
      <c r="MS230" t="s">
        <v>1451</v>
      </c>
      <c r="MT230">
        <v>70</v>
      </c>
      <c r="MU230" t="s">
        <v>1452</v>
      </c>
      <c r="MW230" t="s">
        <v>168</v>
      </c>
      <c r="MX230" s="4" t="s">
        <v>10</v>
      </c>
      <c r="ND230" t="s">
        <v>1455</v>
      </c>
      <c r="NE230" t="s">
        <v>1416</v>
      </c>
      <c r="NF230" t="s">
        <v>1417</v>
      </c>
      <c r="NG230" s="4" t="s">
        <v>266</v>
      </c>
      <c r="NH230" s="6" t="s">
        <v>265</v>
      </c>
      <c r="NP230" t="s">
        <v>1457</v>
      </c>
      <c r="NQ230" t="s">
        <v>6</v>
      </c>
      <c r="NR230">
        <v>3658</v>
      </c>
      <c r="NS230" t="s">
        <v>1456</v>
      </c>
      <c r="NT230">
        <v>890</v>
      </c>
      <c r="NW230" s="15">
        <v>3</v>
      </c>
      <c r="OH230" t="s">
        <v>1420</v>
      </c>
      <c r="OI230" t="s">
        <v>6</v>
      </c>
      <c r="OK230">
        <v>2015</v>
      </c>
      <c r="OL230">
        <v>2016</v>
      </c>
      <c r="OO230" t="s">
        <v>1178</v>
      </c>
      <c r="OP230" s="58">
        <v>46104</v>
      </c>
    </row>
    <row r="231" spans="1:406" ht="15.75" thickBot="1">
      <c r="A231" t="s">
        <v>248</v>
      </c>
      <c r="B231" t="s">
        <v>1413</v>
      </c>
      <c r="C231" t="s">
        <v>1414</v>
      </c>
      <c r="D231" s="67" t="s">
        <v>245</v>
      </c>
      <c r="E231" t="s">
        <v>1419</v>
      </c>
      <c r="F231" s="4" t="s">
        <v>1427</v>
      </c>
      <c r="G231" t="s">
        <v>2</v>
      </c>
      <c r="H231" t="s">
        <v>30</v>
      </c>
      <c r="I231">
        <v>7.306944444</v>
      </c>
      <c r="J231">
        <v>38.012222219999998</v>
      </c>
      <c r="K231" t="s">
        <v>29</v>
      </c>
      <c r="AV231" t="s">
        <v>1428</v>
      </c>
      <c r="AW231">
        <v>420</v>
      </c>
      <c r="AX231">
        <v>1.5</v>
      </c>
      <c r="AY231">
        <v>1</v>
      </c>
      <c r="AZ231" t="s">
        <v>838</v>
      </c>
      <c r="BA231">
        <v>2015</v>
      </c>
      <c r="BB231">
        <v>2016</v>
      </c>
      <c r="BD231" t="s">
        <v>238</v>
      </c>
      <c r="BE231" t="s">
        <v>1434</v>
      </c>
      <c r="BF231" t="s">
        <v>64</v>
      </c>
      <c r="BG231" s="3" t="s">
        <v>1243</v>
      </c>
      <c r="BH231" t="s">
        <v>23</v>
      </c>
      <c r="BI231" t="s">
        <v>29</v>
      </c>
      <c r="BJ231" t="s">
        <v>22</v>
      </c>
      <c r="BK231">
        <v>53333</v>
      </c>
      <c r="BL231" t="s">
        <v>56</v>
      </c>
      <c r="BM231" t="s">
        <v>1436</v>
      </c>
      <c r="BN231" t="s">
        <v>29</v>
      </c>
      <c r="BO231" t="s">
        <v>22</v>
      </c>
      <c r="BP231">
        <v>266666</v>
      </c>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K231" s="9"/>
      <c r="HW231" s="58"/>
      <c r="IG231" t="s">
        <v>1442</v>
      </c>
      <c r="IH231" s="84" t="s">
        <v>1453</v>
      </c>
      <c r="II231" t="s">
        <v>660</v>
      </c>
      <c r="IJ231" t="s">
        <v>661</v>
      </c>
      <c r="IK231" t="s">
        <v>29</v>
      </c>
      <c r="IL231" t="s">
        <v>29</v>
      </c>
      <c r="IM231" t="s">
        <v>29</v>
      </c>
      <c r="JI231" t="s">
        <v>1441</v>
      </c>
      <c r="JJ231" t="s">
        <v>1440</v>
      </c>
      <c r="JK231" t="s">
        <v>14</v>
      </c>
      <c r="JL231" t="s">
        <v>1446</v>
      </c>
      <c r="JM231" s="4" t="s">
        <v>13</v>
      </c>
      <c r="JN231" t="s">
        <v>1448</v>
      </c>
      <c r="MS231" t="s">
        <v>1451</v>
      </c>
      <c r="MT231">
        <v>70</v>
      </c>
      <c r="MU231" t="s">
        <v>1452</v>
      </c>
      <c r="MW231" t="s">
        <v>168</v>
      </c>
      <c r="MX231" s="4" t="s">
        <v>10</v>
      </c>
      <c r="MY231" t="s">
        <v>1436</v>
      </c>
      <c r="ND231" t="s">
        <v>1455</v>
      </c>
      <c r="NE231" t="s">
        <v>1416</v>
      </c>
      <c r="NF231" t="s">
        <v>1417</v>
      </c>
      <c r="NG231" s="4" t="s">
        <v>266</v>
      </c>
      <c r="NH231" s="6" t="s">
        <v>265</v>
      </c>
      <c r="NQ231" t="s">
        <v>6</v>
      </c>
      <c r="NR231">
        <v>5684</v>
      </c>
      <c r="NS231" t="s">
        <v>1456</v>
      </c>
      <c r="NT231">
        <v>452</v>
      </c>
      <c r="NW231" s="15">
        <v>3</v>
      </c>
      <c r="OH231" t="s">
        <v>1420</v>
      </c>
      <c r="OI231" t="s">
        <v>6</v>
      </c>
      <c r="OK231">
        <v>2015</v>
      </c>
      <c r="OL231">
        <v>2016</v>
      </c>
      <c r="OO231" t="s">
        <v>1178</v>
      </c>
      <c r="OP231" s="58">
        <v>46104</v>
      </c>
    </row>
    <row r="232" spans="1:406" ht="15.75" thickBot="1">
      <c r="A232" t="s">
        <v>248</v>
      </c>
      <c r="B232" t="s">
        <v>1413</v>
      </c>
      <c r="C232" t="s">
        <v>1414</v>
      </c>
      <c r="D232" s="67" t="s">
        <v>245</v>
      </c>
      <c r="E232" t="s">
        <v>1419</v>
      </c>
      <c r="F232" s="4" t="s">
        <v>1427</v>
      </c>
      <c r="G232" t="s">
        <v>2</v>
      </c>
      <c r="H232" t="s">
        <v>30</v>
      </c>
      <c r="I232">
        <v>7.306944444</v>
      </c>
      <c r="J232">
        <v>38.012222219999998</v>
      </c>
      <c r="K232" t="s">
        <v>29</v>
      </c>
      <c r="AV232" t="s">
        <v>1428</v>
      </c>
      <c r="AW232">
        <v>420</v>
      </c>
      <c r="AX232">
        <v>1.5</v>
      </c>
      <c r="AY232">
        <v>1</v>
      </c>
      <c r="AZ232" t="s">
        <v>838</v>
      </c>
      <c r="BA232">
        <v>2015</v>
      </c>
      <c r="BB232">
        <v>2016</v>
      </c>
      <c r="BD232" t="s">
        <v>238</v>
      </c>
      <c r="BE232" t="s">
        <v>1435</v>
      </c>
      <c r="BF232" t="s">
        <v>57</v>
      </c>
      <c r="BG232" s="3" t="s">
        <v>1243</v>
      </c>
      <c r="BH232" t="s">
        <v>23</v>
      </c>
      <c r="BI232" t="s">
        <v>29</v>
      </c>
      <c r="BJ232" t="s">
        <v>22</v>
      </c>
      <c r="BK232">
        <v>53333</v>
      </c>
      <c r="BL232" t="s">
        <v>56</v>
      </c>
      <c r="BM232" t="s">
        <v>1424</v>
      </c>
      <c r="BN232" t="s">
        <v>29</v>
      </c>
      <c r="BO232" t="s">
        <v>22</v>
      </c>
      <c r="BP232">
        <v>66666</v>
      </c>
      <c r="EH232" s="9"/>
      <c r="EI232" s="9"/>
      <c r="EJ232" s="9"/>
      <c r="EK232" s="9"/>
      <c r="EL232" s="9"/>
      <c r="EM232" s="9"/>
      <c r="EN232" s="9"/>
      <c r="EO232" s="9"/>
      <c r="EP232" s="9"/>
      <c r="EQ232" s="9"/>
      <c r="ER232" s="9"/>
      <c r="ES232" s="9"/>
      <c r="ET232" s="9"/>
      <c r="EU232" s="9"/>
      <c r="EV232" s="9"/>
      <c r="EW232" s="9"/>
      <c r="EX232" s="9"/>
      <c r="EY232" s="9"/>
      <c r="EZ232" s="9"/>
      <c r="FA232" s="9"/>
      <c r="FB232" s="9"/>
      <c r="FC232" s="9"/>
      <c r="FD232" s="9"/>
      <c r="FE232" s="9"/>
      <c r="FF232" s="9"/>
      <c r="FG232" s="9"/>
      <c r="FH232" s="9"/>
      <c r="FI232" s="9"/>
      <c r="FJ232" s="9"/>
      <c r="FK232" s="9"/>
      <c r="FL232" s="9"/>
      <c r="FM232" s="9"/>
      <c r="FN232" s="9"/>
      <c r="FO232" s="9"/>
      <c r="FP232" s="9"/>
      <c r="FQ232" s="9"/>
      <c r="FR232" s="9"/>
      <c r="FS232" s="9"/>
      <c r="FT232" s="9"/>
      <c r="FU232" s="9"/>
      <c r="FV232" s="9"/>
      <c r="FW232" s="9"/>
      <c r="FX232" s="9"/>
      <c r="FY232" s="9"/>
      <c r="FZ232" s="9"/>
      <c r="GA232" s="9"/>
      <c r="GB232" s="9"/>
      <c r="GC232" s="9"/>
      <c r="GD232" s="9"/>
      <c r="GE232" s="9"/>
      <c r="GF232" s="9"/>
      <c r="GG232" s="9"/>
      <c r="GH232" s="9"/>
      <c r="GI232" s="9"/>
      <c r="GJ232" s="9"/>
      <c r="GK232" s="9"/>
      <c r="GL232" s="9"/>
      <c r="GM232" s="9"/>
      <c r="GN232" s="9"/>
      <c r="GO232" s="9"/>
      <c r="GP232" s="9"/>
      <c r="GQ232" s="9"/>
      <c r="GR232" s="9"/>
      <c r="GS232" s="9"/>
      <c r="GT232" s="9"/>
      <c r="GU232" s="9"/>
      <c r="GV232" s="9"/>
      <c r="GW232" s="9"/>
      <c r="GX232" s="9"/>
      <c r="GY232" s="9"/>
      <c r="GZ232" s="9"/>
      <c r="HA232" s="9"/>
      <c r="HB232" s="9"/>
      <c r="HC232" s="9"/>
      <c r="HD232" s="9"/>
      <c r="HE232" s="9"/>
      <c r="HF232" s="9"/>
      <c r="HG232" s="9"/>
      <c r="HH232" s="9"/>
      <c r="HI232" s="9"/>
      <c r="HJ232" s="9"/>
      <c r="HK232" s="9"/>
      <c r="HW232" s="58"/>
      <c r="IG232" t="s">
        <v>1443</v>
      </c>
      <c r="IH232" s="84" t="s">
        <v>1453</v>
      </c>
      <c r="II232" t="s">
        <v>660</v>
      </c>
      <c r="IJ232" t="s">
        <v>661</v>
      </c>
      <c r="IK232" t="s">
        <v>29</v>
      </c>
      <c r="IL232" t="s">
        <v>29</v>
      </c>
      <c r="IM232" t="s">
        <v>29</v>
      </c>
      <c r="JI232" t="s">
        <v>1444</v>
      </c>
      <c r="JJ232" t="s">
        <v>1440</v>
      </c>
      <c r="JK232" t="s">
        <v>14</v>
      </c>
      <c r="JL232" t="s">
        <v>1446</v>
      </c>
      <c r="JM232" s="4" t="s">
        <v>13</v>
      </c>
      <c r="JN232" t="s">
        <v>1448</v>
      </c>
      <c r="MS232" t="s">
        <v>1451</v>
      </c>
      <c r="MT232">
        <v>70</v>
      </c>
      <c r="MU232" t="s">
        <v>1452</v>
      </c>
      <c r="MW232" t="s">
        <v>168</v>
      </c>
      <c r="MX232" s="4" t="s">
        <v>10</v>
      </c>
      <c r="MY232" t="s">
        <v>1454</v>
      </c>
      <c r="ND232" t="s">
        <v>1455</v>
      </c>
      <c r="NE232" t="s">
        <v>1416</v>
      </c>
      <c r="NF232" t="s">
        <v>1417</v>
      </c>
      <c r="NG232" s="4" t="s">
        <v>266</v>
      </c>
      <c r="NH232" s="6" t="s">
        <v>265</v>
      </c>
      <c r="NQ232" t="s">
        <v>6</v>
      </c>
      <c r="NR232">
        <v>4543</v>
      </c>
      <c r="NS232" t="s">
        <v>1456</v>
      </c>
      <c r="NT232">
        <v>929</v>
      </c>
      <c r="NW232" s="15">
        <v>3</v>
      </c>
      <c r="OH232" t="s">
        <v>1420</v>
      </c>
      <c r="OI232" t="s">
        <v>6</v>
      </c>
      <c r="OK232">
        <v>2015</v>
      </c>
      <c r="OL232">
        <v>2016</v>
      </c>
      <c r="OO232" t="s">
        <v>1178</v>
      </c>
      <c r="OP232" s="58">
        <v>46104</v>
      </c>
    </row>
    <row r="233" spans="1:406" ht="15.75" thickBot="1">
      <c r="A233" t="s">
        <v>248</v>
      </c>
      <c r="B233" t="s">
        <v>1413</v>
      </c>
      <c r="C233" t="s">
        <v>1414</v>
      </c>
      <c r="D233" s="67" t="s">
        <v>245</v>
      </c>
      <c r="E233" t="s">
        <v>1419</v>
      </c>
      <c r="F233" s="4" t="s">
        <v>1427</v>
      </c>
      <c r="G233" t="s">
        <v>2</v>
      </c>
      <c r="H233" t="s">
        <v>30</v>
      </c>
      <c r="I233">
        <v>7.306944444</v>
      </c>
      <c r="J233">
        <v>38.012222219999998</v>
      </c>
      <c r="K233" t="s">
        <v>29</v>
      </c>
      <c r="AV233" t="s">
        <v>1428</v>
      </c>
      <c r="AW233">
        <v>420</v>
      </c>
      <c r="AX233">
        <v>1.5</v>
      </c>
      <c r="AY233">
        <v>1</v>
      </c>
      <c r="AZ233" t="s">
        <v>838</v>
      </c>
      <c r="BA233">
        <v>2015</v>
      </c>
      <c r="BB233">
        <v>2016</v>
      </c>
      <c r="BD233" t="s">
        <v>19</v>
      </c>
      <c r="BE233" t="s">
        <v>1433</v>
      </c>
      <c r="BF233" t="s">
        <v>256</v>
      </c>
      <c r="BG233" s="3" t="s">
        <v>1243</v>
      </c>
      <c r="BH233" t="s">
        <v>23</v>
      </c>
      <c r="BI233" t="s">
        <v>29</v>
      </c>
      <c r="BJ233" t="s">
        <v>22</v>
      </c>
      <c r="BK233">
        <v>53333</v>
      </c>
      <c r="HR233" t="s">
        <v>1449</v>
      </c>
      <c r="IG233" t="s">
        <v>255</v>
      </c>
      <c r="IH233" t="s">
        <v>19</v>
      </c>
      <c r="JI233" t="s">
        <v>1445</v>
      </c>
      <c r="JJ233" t="s">
        <v>1440</v>
      </c>
      <c r="JK233" t="s">
        <v>14</v>
      </c>
      <c r="JL233" s="8" t="s">
        <v>1446</v>
      </c>
      <c r="JM233" s="4" t="s">
        <v>13</v>
      </c>
      <c r="JN233" t="s">
        <v>1448</v>
      </c>
      <c r="MS233" t="s">
        <v>1451</v>
      </c>
      <c r="MT233">
        <v>70</v>
      </c>
      <c r="MU233" t="s">
        <v>1452</v>
      </c>
      <c r="MW233" t="s">
        <v>168</v>
      </c>
      <c r="MX233" s="4" t="s">
        <v>10</v>
      </c>
      <c r="ND233" t="s">
        <v>1455</v>
      </c>
      <c r="NE233" t="s">
        <v>1416</v>
      </c>
      <c r="NF233" t="s">
        <v>1417</v>
      </c>
      <c r="NG233" s="4" t="s">
        <v>266</v>
      </c>
      <c r="NH233" s="6" t="s">
        <v>265</v>
      </c>
      <c r="NP233" t="s">
        <v>745</v>
      </c>
      <c r="NQ233" t="s">
        <v>6</v>
      </c>
      <c r="NR233">
        <v>4028</v>
      </c>
      <c r="NS233" t="s">
        <v>1456</v>
      </c>
      <c r="NT233">
        <v>1284</v>
      </c>
      <c r="NW233" s="15">
        <v>3</v>
      </c>
      <c r="OH233" t="s">
        <v>1420</v>
      </c>
      <c r="OI233" t="s">
        <v>6</v>
      </c>
      <c r="OK233">
        <v>2015</v>
      </c>
      <c r="OL233">
        <v>2016</v>
      </c>
      <c r="OO233" t="s">
        <v>1178</v>
      </c>
      <c r="OP233" s="58">
        <v>46104</v>
      </c>
    </row>
    <row r="234" spans="1:406" ht="15.75" thickBot="1">
      <c r="A234" t="s">
        <v>248</v>
      </c>
      <c r="B234" t="s">
        <v>1413</v>
      </c>
      <c r="C234" t="s">
        <v>1414</v>
      </c>
      <c r="D234" s="67" t="s">
        <v>245</v>
      </c>
      <c r="E234" t="s">
        <v>1421</v>
      </c>
      <c r="F234" s="4" t="s">
        <v>1427</v>
      </c>
      <c r="G234" t="s">
        <v>2</v>
      </c>
      <c r="H234" t="s">
        <v>30</v>
      </c>
      <c r="I234">
        <v>6.7519444440000003</v>
      </c>
      <c r="J234">
        <v>38.33361111</v>
      </c>
      <c r="K234" t="s">
        <v>29</v>
      </c>
      <c r="AV234" t="s">
        <v>1428</v>
      </c>
      <c r="AW234">
        <v>420</v>
      </c>
      <c r="AX234">
        <v>0.18</v>
      </c>
      <c r="AY234">
        <v>1</v>
      </c>
      <c r="AZ234" t="s">
        <v>838</v>
      </c>
      <c r="BA234">
        <v>2015</v>
      </c>
      <c r="BB234">
        <v>2016</v>
      </c>
      <c r="BD234" t="s">
        <v>19</v>
      </c>
      <c r="BE234" t="s">
        <v>1430</v>
      </c>
      <c r="BF234" t="s">
        <v>39</v>
      </c>
      <c r="BG234" s="3" t="s">
        <v>1243</v>
      </c>
      <c r="BH234" t="s">
        <v>23</v>
      </c>
      <c r="BI234" t="s">
        <v>29</v>
      </c>
      <c r="BJ234" s="4" t="s">
        <v>22</v>
      </c>
      <c r="BK234">
        <v>53333</v>
      </c>
      <c r="IG234" t="s">
        <v>255</v>
      </c>
      <c r="IH234" t="s">
        <v>19</v>
      </c>
      <c r="JI234" t="s">
        <v>1429</v>
      </c>
      <c r="JJ234" s="84" t="s">
        <v>1437</v>
      </c>
      <c r="JK234" s="8" t="s">
        <v>14</v>
      </c>
      <c r="JL234" s="8" t="s">
        <v>1446</v>
      </c>
      <c r="JM234" s="4" t="s">
        <v>13</v>
      </c>
      <c r="JN234" t="s">
        <v>1447</v>
      </c>
      <c r="MS234" t="s">
        <v>1451</v>
      </c>
      <c r="MT234">
        <v>70</v>
      </c>
      <c r="MU234" t="s">
        <v>1452</v>
      </c>
      <c r="MW234" t="s">
        <v>168</v>
      </c>
      <c r="MX234" s="4" t="s">
        <v>10</v>
      </c>
      <c r="ND234" t="s">
        <v>1455</v>
      </c>
      <c r="NE234" t="s">
        <v>1416</v>
      </c>
      <c r="NF234" t="s">
        <v>1417</v>
      </c>
      <c r="NG234" s="4" t="s">
        <v>266</v>
      </c>
      <c r="NH234" s="6" t="s">
        <v>265</v>
      </c>
      <c r="NP234" t="s">
        <v>1457</v>
      </c>
      <c r="NQ234" t="s">
        <v>6</v>
      </c>
      <c r="NR234">
        <v>3253</v>
      </c>
      <c r="NS234" t="s">
        <v>1456</v>
      </c>
      <c r="NT234">
        <v>976</v>
      </c>
      <c r="NW234" s="15">
        <v>3</v>
      </c>
      <c r="OH234" t="s">
        <v>1422</v>
      </c>
      <c r="OI234" t="s">
        <v>6</v>
      </c>
      <c r="OK234">
        <v>2015</v>
      </c>
      <c r="OL234">
        <v>2016</v>
      </c>
      <c r="OO234" t="s">
        <v>1178</v>
      </c>
      <c r="OP234" s="58">
        <v>46104</v>
      </c>
    </row>
    <row r="235" spans="1:406" ht="15.75" thickBot="1">
      <c r="A235" t="s">
        <v>248</v>
      </c>
      <c r="B235" t="s">
        <v>1413</v>
      </c>
      <c r="C235" t="s">
        <v>1414</v>
      </c>
      <c r="D235" s="67" t="s">
        <v>245</v>
      </c>
      <c r="E235" t="s">
        <v>1421</v>
      </c>
      <c r="F235" s="4" t="s">
        <v>1427</v>
      </c>
      <c r="G235" t="s">
        <v>2</v>
      </c>
      <c r="H235" t="s">
        <v>30</v>
      </c>
      <c r="I235">
        <v>6.7519444440000003</v>
      </c>
      <c r="J235">
        <v>38.33361111</v>
      </c>
      <c r="K235" t="s">
        <v>29</v>
      </c>
      <c r="AV235" t="s">
        <v>1428</v>
      </c>
      <c r="AW235">
        <v>420</v>
      </c>
      <c r="AX235">
        <v>0.18</v>
      </c>
      <c r="AY235">
        <v>1</v>
      </c>
      <c r="AZ235" t="s">
        <v>838</v>
      </c>
      <c r="BA235">
        <v>2015</v>
      </c>
      <c r="BB235">
        <v>2016</v>
      </c>
      <c r="BD235" t="s">
        <v>19</v>
      </c>
      <c r="BE235" t="s">
        <v>1431</v>
      </c>
      <c r="BF235" t="s">
        <v>24</v>
      </c>
      <c r="BG235" s="3" t="s">
        <v>1243</v>
      </c>
      <c r="BH235" t="s">
        <v>23</v>
      </c>
      <c r="BI235" t="s">
        <v>29</v>
      </c>
      <c r="BJ235" t="s">
        <v>22</v>
      </c>
      <c r="BK235">
        <v>53333</v>
      </c>
      <c r="IG235" t="s">
        <v>255</v>
      </c>
      <c r="IH235" t="s">
        <v>19</v>
      </c>
      <c r="JI235" t="s">
        <v>1438</v>
      </c>
      <c r="JJ235" s="54" t="s">
        <v>1440</v>
      </c>
      <c r="JK235" t="s">
        <v>14</v>
      </c>
      <c r="JL235" s="8" t="s">
        <v>1446</v>
      </c>
      <c r="JM235" s="4" t="s">
        <v>13</v>
      </c>
      <c r="JN235" t="s">
        <v>1448</v>
      </c>
      <c r="MS235" t="s">
        <v>1451</v>
      </c>
      <c r="MT235">
        <v>70</v>
      </c>
      <c r="MU235" t="s">
        <v>1452</v>
      </c>
      <c r="MW235" t="s">
        <v>168</v>
      </c>
      <c r="MX235" s="4" t="s">
        <v>10</v>
      </c>
      <c r="ND235" t="s">
        <v>1455</v>
      </c>
      <c r="NE235" t="s">
        <v>1416</v>
      </c>
      <c r="NF235" t="s">
        <v>1417</v>
      </c>
      <c r="NG235" s="4" t="s">
        <v>266</v>
      </c>
      <c r="NH235" s="6" t="s">
        <v>265</v>
      </c>
      <c r="NP235" t="s">
        <v>745</v>
      </c>
      <c r="NQ235" t="s">
        <v>6</v>
      </c>
      <c r="NR235">
        <v>3599</v>
      </c>
      <c r="NS235" t="s">
        <v>1456</v>
      </c>
      <c r="NT235">
        <v>679</v>
      </c>
      <c r="NW235" s="15">
        <v>3</v>
      </c>
      <c r="OH235" t="s">
        <v>1422</v>
      </c>
      <c r="OI235" t="s">
        <v>6</v>
      </c>
      <c r="OK235">
        <v>2015</v>
      </c>
      <c r="OL235">
        <v>2016</v>
      </c>
      <c r="OO235" t="s">
        <v>1178</v>
      </c>
      <c r="OP235" s="58">
        <v>46104</v>
      </c>
    </row>
    <row r="236" spans="1:406" ht="15.75" thickBot="1">
      <c r="A236" t="s">
        <v>248</v>
      </c>
      <c r="B236" t="s">
        <v>1413</v>
      </c>
      <c r="C236" t="s">
        <v>1414</v>
      </c>
      <c r="D236" s="67" t="s">
        <v>245</v>
      </c>
      <c r="E236" t="s">
        <v>1421</v>
      </c>
      <c r="F236" s="4" t="s">
        <v>1427</v>
      </c>
      <c r="G236" t="s">
        <v>2</v>
      </c>
      <c r="H236" t="s">
        <v>30</v>
      </c>
      <c r="I236">
        <v>6.7519444440000003</v>
      </c>
      <c r="J236">
        <v>38.33361111</v>
      </c>
      <c r="K236" t="s">
        <v>29</v>
      </c>
      <c r="AV236" t="s">
        <v>1428</v>
      </c>
      <c r="AW236">
        <v>420</v>
      </c>
      <c r="AX236">
        <v>0.18</v>
      </c>
      <c r="AY236">
        <v>1</v>
      </c>
      <c r="AZ236" t="s">
        <v>838</v>
      </c>
      <c r="BA236">
        <v>2015</v>
      </c>
      <c r="BB236">
        <v>2016</v>
      </c>
      <c r="BD236" t="s">
        <v>19</v>
      </c>
      <c r="BE236" t="s">
        <v>1432</v>
      </c>
      <c r="BF236" t="s">
        <v>299</v>
      </c>
      <c r="BG236" s="3" t="s">
        <v>1243</v>
      </c>
      <c r="BH236" t="s">
        <v>23</v>
      </c>
      <c r="BI236" t="s">
        <v>29</v>
      </c>
      <c r="BJ236" t="s">
        <v>22</v>
      </c>
      <c r="BK236">
        <v>53333</v>
      </c>
      <c r="HR236" t="s">
        <v>1449</v>
      </c>
      <c r="IG236" t="s">
        <v>255</v>
      </c>
      <c r="IH236" t="s">
        <v>19</v>
      </c>
      <c r="JI236" t="s">
        <v>1439</v>
      </c>
      <c r="JJ236" s="84" t="s">
        <v>1437</v>
      </c>
      <c r="JK236" t="s">
        <v>14</v>
      </c>
      <c r="JL236" t="s">
        <v>1446</v>
      </c>
      <c r="JM236" s="4" t="s">
        <v>13</v>
      </c>
      <c r="JN236" t="s">
        <v>1447</v>
      </c>
      <c r="KU236" t="s">
        <v>1450</v>
      </c>
      <c r="MS236" t="s">
        <v>1451</v>
      </c>
      <c r="MT236">
        <v>70</v>
      </c>
      <c r="MU236" t="s">
        <v>1452</v>
      </c>
      <c r="MW236" t="s">
        <v>168</v>
      </c>
      <c r="MX236" s="4" t="s">
        <v>10</v>
      </c>
      <c r="ND236" t="s">
        <v>1455</v>
      </c>
      <c r="NE236" t="s">
        <v>1416</v>
      </c>
      <c r="NF236" t="s">
        <v>1417</v>
      </c>
      <c r="NG236" s="4" t="s">
        <v>266</v>
      </c>
      <c r="NH236" s="6" t="s">
        <v>265</v>
      </c>
      <c r="NP236" t="s">
        <v>1457</v>
      </c>
      <c r="NQ236" t="s">
        <v>6</v>
      </c>
      <c r="NR236">
        <v>4035</v>
      </c>
      <c r="NS236" t="s">
        <v>1456</v>
      </c>
      <c r="NT236">
        <v>220</v>
      </c>
      <c r="NW236" s="15">
        <v>3</v>
      </c>
      <c r="OH236" t="s">
        <v>1422</v>
      </c>
      <c r="OI236" t="s">
        <v>6</v>
      </c>
      <c r="OK236">
        <v>2015</v>
      </c>
      <c r="OL236">
        <v>2016</v>
      </c>
      <c r="OO236" t="s">
        <v>1178</v>
      </c>
      <c r="OP236" s="58">
        <v>46104</v>
      </c>
    </row>
    <row r="237" spans="1:406" ht="15.75" thickBot="1">
      <c r="A237" t="s">
        <v>248</v>
      </c>
      <c r="B237" t="s">
        <v>1413</v>
      </c>
      <c r="C237" t="s">
        <v>1414</v>
      </c>
      <c r="D237" s="67" t="s">
        <v>245</v>
      </c>
      <c r="E237" t="s">
        <v>1421</v>
      </c>
      <c r="F237" s="4" t="s">
        <v>1427</v>
      </c>
      <c r="G237" t="s">
        <v>2</v>
      </c>
      <c r="H237" t="s">
        <v>30</v>
      </c>
      <c r="I237">
        <v>6.7519444440000003</v>
      </c>
      <c r="J237">
        <v>38.33361111</v>
      </c>
      <c r="K237" t="s">
        <v>29</v>
      </c>
      <c r="AV237" t="s">
        <v>1428</v>
      </c>
      <c r="AW237">
        <v>420</v>
      </c>
      <c r="AX237">
        <v>0.18</v>
      </c>
      <c r="AY237">
        <v>1</v>
      </c>
      <c r="AZ237" t="s">
        <v>838</v>
      </c>
      <c r="BA237">
        <v>2015</v>
      </c>
      <c r="BB237">
        <v>2016</v>
      </c>
      <c r="BD237" t="s">
        <v>238</v>
      </c>
      <c r="BE237" t="s">
        <v>1434</v>
      </c>
      <c r="BF237" t="s">
        <v>64</v>
      </c>
      <c r="BG237" s="3" t="s">
        <v>1243</v>
      </c>
      <c r="BH237" t="s">
        <v>23</v>
      </c>
      <c r="BI237" t="s">
        <v>29</v>
      </c>
      <c r="BJ237" t="s">
        <v>22</v>
      </c>
      <c r="BK237">
        <v>53333</v>
      </c>
      <c r="BL237" t="s">
        <v>56</v>
      </c>
      <c r="BM237" t="s">
        <v>1436</v>
      </c>
      <c r="BN237" t="s">
        <v>29</v>
      </c>
      <c r="BO237" t="s">
        <v>22</v>
      </c>
      <c r="BP237">
        <v>266666</v>
      </c>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K237" s="9"/>
      <c r="HW237" s="58"/>
      <c r="IG237" t="s">
        <v>1442</v>
      </c>
      <c r="IH237" s="84" t="s">
        <v>1453</v>
      </c>
      <c r="II237" t="s">
        <v>660</v>
      </c>
      <c r="IJ237" t="s">
        <v>661</v>
      </c>
      <c r="IK237" t="s">
        <v>29</v>
      </c>
      <c r="IL237" t="s">
        <v>29</v>
      </c>
      <c r="IM237" t="s">
        <v>29</v>
      </c>
      <c r="JI237" t="s">
        <v>1441</v>
      </c>
      <c r="JJ237" t="s">
        <v>1440</v>
      </c>
      <c r="JK237" t="s">
        <v>14</v>
      </c>
      <c r="JL237" t="s">
        <v>1446</v>
      </c>
      <c r="JM237" s="4" t="s">
        <v>13</v>
      </c>
      <c r="JN237" t="s">
        <v>1448</v>
      </c>
      <c r="MS237" t="s">
        <v>1451</v>
      </c>
      <c r="MT237">
        <v>70</v>
      </c>
      <c r="MU237" t="s">
        <v>1452</v>
      </c>
      <c r="MW237" t="s">
        <v>168</v>
      </c>
      <c r="MX237" s="4" t="s">
        <v>10</v>
      </c>
      <c r="MY237" t="s">
        <v>1436</v>
      </c>
      <c r="ND237" t="s">
        <v>1455</v>
      </c>
      <c r="NE237" t="s">
        <v>1416</v>
      </c>
      <c r="NF237" t="s">
        <v>1417</v>
      </c>
      <c r="NG237" s="4" t="s">
        <v>266</v>
      </c>
      <c r="NH237" s="6" t="s">
        <v>265</v>
      </c>
      <c r="NQ237" t="s">
        <v>6</v>
      </c>
      <c r="NR237">
        <v>4337</v>
      </c>
      <c r="NS237" t="s">
        <v>1456</v>
      </c>
      <c r="NT237">
        <v>529</v>
      </c>
      <c r="NW237" s="15">
        <v>3</v>
      </c>
      <c r="OH237" t="s">
        <v>1422</v>
      </c>
      <c r="OI237" t="s">
        <v>6</v>
      </c>
      <c r="OK237">
        <v>2015</v>
      </c>
      <c r="OL237">
        <v>2016</v>
      </c>
      <c r="OO237" t="s">
        <v>1178</v>
      </c>
      <c r="OP237" s="58">
        <v>46104</v>
      </c>
    </row>
    <row r="238" spans="1:406" ht="15.75" thickBot="1">
      <c r="A238" t="s">
        <v>248</v>
      </c>
      <c r="B238" t="s">
        <v>1413</v>
      </c>
      <c r="C238" t="s">
        <v>1414</v>
      </c>
      <c r="D238" s="67" t="s">
        <v>245</v>
      </c>
      <c r="E238" t="s">
        <v>1421</v>
      </c>
      <c r="F238" s="4" t="s">
        <v>1427</v>
      </c>
      <c r="G238" t="s">
        <v>2</v>
      </c>
      <c r="H238" t="s">
        <v>30</v>
      </c>
      <c r="I238">
        <v>6.7519444440000003</v>
      </c>
      <c r="J238">
        <v>38.33361111</v>
      </c>
      <c r="K238" t="s">
        <v>29</v>
      </c>
      <c r="AV238" t="s">
        <v>1428</v>
      </c>
      <c r="AW238">
        <v>420</v>
      </c>
      <c r="AX238">
        <v>0.18</v>
      </c>
      <c r="AY238">
        <v>1</v>
      </c>
      <c r="AZ238" t="s">
        <v>838</v>
      </c>
      <c r="BA238">
        <v>2015</v>
      </c>
      <c r="BB238">
        <v>2016</v>
      </c>
      <c r="BD238" t="s">
        <v>238</v>
      </c>
      <c r="BE238" t="s">
        <v>1435</v>
      </c>
      <c r="BF238" t="s">
        <v>57</v>
      </c>
      <c r="BG238" s="3" t="s">
        <v>1243</v>
      </c>
      <c r="BH238" t="s">
        <v>23</v>
      </c>
      <c r="BI238" t="s">
        <v>29</v>
      </c>
      <c r="BJ238" t="s">
        <v>22</v>
      </c>
      <c r="BK238">
        <v>53333</v>
      </c>
      <c r="BL238" t="s">
        <v>56</v>
      </c>
      <c r="BM238" t="s">
        <v>1424</v>
      </c>
      <c r="BN238" t="s">
        <v>29</v>
      </c>
      <c r="BO238" t="s">
        <v>22</v>
      </c>
      <c r="BP238">
        <v>66666</v>
      </c>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K238" s="9"/>
      <c r="HW238" s="58"/>
      <c r="IG238" t="s">
        <v>1443</v>
      </c>
      <c r="IH238" s="84" t="s">
        <v>1453</v>
      </c>
      <c r="II238" t="s">
        <v>660</v>
      </c>
      <c r="IJ238" t="s">
        <v>661</v>
      </c>
      <c r="IK238" t="s">
        <v>29</v>
      </c>
      <c r="IL238" t="s">
        <v>29</v>
      </c>
      <c r="IM238" t="s">
        <v>29</v>
      </c>
      <c r="JI238" t="s">
        <v>1444</v>
      </c>
      <c r="JJ238" t="s">
        <v>1440</v>
      </c>
      <c r="JK238" t="s">
        <v>14</v>
      </c>
      <c r="JL238" t="s">
        <v>1446</v>
      </c>
      <c r="JM238" s="4" t="s">
        <v>13</v>
      </c>
      <c r="JN238" t="s">
        <v>1448</v>
      </c>
      <c r="MS238" t="s">
        <v>1451</v>
      </c>
      <c r="MT238">
        <v>70</v>
      </c>
      <c r="MU238" t="s">
        <v>1452</v>
      </c>
      <c r="MW238" t="s">
        <v>168</v>
      </c>
      <c r="MX238" s="4" t="s">
        <v>10</v>
      </c>
      <c r="MY238" t="s">
        <v>1454</v>
      </c>
      <c r="ND238" t="s">
        <v>1455</v>
      </c>
      <c r="NE238" t="s">
        <v>1416</v>
      </c>
      <c r="NF238" t="s">
        <v>1417</v>
      </c>
      <c r="NG238" s="4" t="s">
        <v>266</v>
      </c>
      <c r="NH238" s="6" t="s">
        <v>265</v>
      </c>
      <c r="NQ238" t="s">
        <v>6</v>
      </c>
      <c r="NR238">
        <v>3489</v>
      </c>
      <c r="NS238" t="s">
        <v>1456</v>
      </c>
      <c r="NT238">
        <v>868</v>
      </c>
      <c r="NW238" s="15">
        <v>3</v>
      </c>
      <c r="OH238" t="s">
        <v>1422</v>
      </c>
      <c r="OI238" t="s">
        <v>6</v>
      </c>
      <c r="OK238">
        <v>2015</v>
      </c>
      <c r="OL238">
        <v>2016</v>
      </c>
      <c r="OO238" t="s">
        <v>1178</v>
      </c>
      <c r="OP238" s="58">
        <v>46104</v>
      </c>
    </row>
    <row r="239" spans="1:406" ht="15.75" thickBot="1">
      <c r="A239" t="s">
        <v>248</v>
      </c>
      <c r="B239" t="s">
        <v>1413</v>
      </c>
      <c r="C239" t="s">
        <v>1414</v>
      </c>
      <c r="D239" s="67" t="s">
        <v>245</v>
      </c>
      <c r="E239" t="s">
        <v>1421</v>
      </c>
      <c r="F239" s="4" t="s">
        <v>1427</v>
      </c>
      <c r="G239" t="s">
        <v>2</v>
      </c>
      <c r="H239" t="s">
        <v>30</v>
      </c>
      <c r="I239">
        <v>6.7519444440000003</v>
      </c>
      <c r="J239">
        <v>38.33361111</v>
      </c>
      <c r="K239" t="s">
        <v>29</v>
      </c>
      <c r="AV239" t="s">
        <v>1428</v>
      </c>
      <c r="AW239">
        <v>420</v>
      </c>
      <c r="AX239">
        <v>0.18</v>
      </c>
      <c r="AY239">
        <v>1</v>
      </c>
      <c r="AZ239" t="s">
        <v>838</v>
      </c>
      <c r="BA239">
        <v>2015</v>
      </c>
      <c r="BB239">
        <v>2016</v>
      </c>
      <c r="BD239" t="s">
        <v>19</v>
      </c>
      <c r="BE239" t="s">
        <v>1433</v>
      </c>
      <c r="BF239" t="s">
        <v>256</v>
      </c>
      <c r="BG239" s="3" t="s">
        <v>1243</v>
      </c>
      <c r="BH239" t="s">
        <v>23</v>
      </c>
      <c r="BI239" t="s">
        <v>29</v>
      </c>
      <c r="BJ239" t="s">
        <v>22</v>
      </c>
      <c r="BK239">
        <v>53333</v>
      </c>
      <c r="HR239" t="s">
        <v>1449</v>
      </c>
      <c r="IG239" t="s">
        <v>255</v>
      </c>
      <c r="IH239" t="s">
        <v>19</v>
      </c>
      <c r="JI239" t="s">
        <v>1445</v>
      </c>
      <c r="JJ239" t="s">
        <v>1440</v>
      </c>
      <c r="JK239" t="s">
        <v>14</v>
      </c>
      <c r="JL239" t="s">
        <v>1446</v>
      </c>
      <c r="JM239" s="4" t="s">
        <v>13</v>
      </c>
      <c r="JN239" t="s">
        <v>1448</v>
      </c>
      <c r="MS239" t="s">
        <v>1451</v>
      </c>
      <c r="MT239">
        <v>70</v>
      </c>
      <c r="MU239" t="s">
        <v>1452</v>
      </c>
      <c r="MW239" t="s">
        <v>168</v>
      </c>
      <c r="MX239" s="4" t="s">
        <v>10</v>
      </c>
      <c r="ND239" t="s">
        <v>1455</v>
      </c>
      <c r="NE239" t="s">
        <v>1416</v>
      </c>
      <c r="NF239" t="s">
        <v>1417</v>
      </c>
      <c r="NG239" s="4" t="s">
        <v>266</v>
      </c>
      <c r="NH239" s="6" t="s">
        <v>265</v>
      </c>
      <c r="NP239" t="s">
        <v>745</v>
      </c>
      <c r="NQ239" t="s">
        <v>6</v>
      </c>
      <c r="NR239">
        <v>4653</v>
      </c>
      <c r="NS239" t="s">
        <v>1456</v>
      </c>
      <c r="NT239">
        <v>1054</v>
      </c>
      <c r="NW239" s="15">
        <v>3</v>
      </c>
      <c r="OH239" t="s">
        <v>1422</v>
      </c>
      <c r="OI239" t="s">
        <v>6</v>
      </c>
      <c r="OK239">
        <v>2015</v>
      </c>
      <c r="OL239">
        <v>2016</v>
      </c>
      <c r="OO239" t="s">
        <v>1178</v>
      </c>
      <c r="OP239" s="58">
        <v>46104</v>
      </c>
    </row>
    <row r="240" spans="1:406" ht="15.75" thickBot="1">
      <c r="A240" t="s">
        <v>248</v>
      </c>
      <c r="B240" t="s">
        <v>1413</v>
      </c>
      <c r="C240" t="s">
        <v>1414</v>
      </c>
      <c r="D240" s="67" t="s">
        <v>245</v>
      </c>
      <c r="E240" t="s">
        <v>1425</v>
      </c>
      <c r="F240" s="4" t="s">
        <v>1427</v>
      </c>
      <c r="G240" t="s">
        <v>2</v>
      </c>
      <c r="H240" t="s">
        <v>30</v>
      </c>
      <c r="I240">
        <v>7.971944444</v>
      </c>
      <c r="J240">
        <v>38.633055560000003</v>
      </c>
      <c r="K240" t="s">
        <v>29</v>
      </c>
      <c r="AV240" t="s">
        <v>1428</v>
      </c>
      <c r="AW240">
        <v>420</v>
      </c>
      <c r="AX240">
        <v>2.5</v>
      </c>
      <c r="AY240">
        <v>1</v>
      </c>
      <c r="AZ240" t="s">
        <v>838</v>
      </c>
      <c r="BA240">
        <v>2015</v>
      </c>
      <c r="BB240">
        <v>2016</v>
      </c>
      <c r="BD240" t="s">
        <v>19</v>
      </c>
      <c r="BE240" t="s">
        <v>1430</v>
      </c>
      <c r="BF240" t="s">
        <v>39</v>
      </c>
      <c r="BG240" s="3" t="s">
        <v>1243</v>
      </c>
      <c r="BH240" t="s">
        <v>23</v>
      </c>
      <c r="BI240" t="s">
        <v>29</v>
      </c>
      <c r="BJ240" s="4" t="s">
        <v>22</v>
      </c>
      <c r="BK240">
        <v>53333</v>
      </c>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K240" s="9"/>
      <c r="HW240" s="58"/>
      <c r="IG240" t="s">
        <v>255</v>
      </c>
      <c r="IH240" t="s">
        <v>19</v>
      </c>
      <c r="JI240" t="s">
        <v>1429</v>
      </c>
      <c r="JJ240" s="84" t="s">
        <v>1437</v>
      </c>
      <c r="JK240" s="8" t="s">
        <v>14</v>
      </c>
      <c r="JL240" s="8" t="s">
        <v>1446</v>
      </c>
      <c r="JM240" s="4" t="s">
        <v>13</v>
      </c>
      <c r="JN240" s="4" t="s">
        <v>13</v>
      </c>
      <c r="MS240" t="s">
        <v>1415</v>
      </c>
      <c r="MT240">
        <v>70</v>
      </c>
      <c r="ND240" t="s">
        <v>1455</v>
      </c>
      <c r="NE240" t="s">
        <v>1423</v>
      </c>
      <c r="NF240" t="s">
        <v>1417</v>
      </c>
      <c r="NG240" s="4" t="s">
        <v>1426</v>
      </c>
      <c r="NH240" s="6" t="s">
        <v>265</v>
      </c>
      <c r="NP240" t="s">
        <v>1457</v>
      </c>
      <c r="NQ240" t="s">
        <v>6</v>
      </c>
      <c r="NR240">
        <v>219</v>
      </c>
      <c r="NS240" t="s">
        <v>1456</v>
      </c>
      <c r="NT240">
        <v>6</v>
      </c>
      <c r="NW240">
        <v>3</v>
      </c>
      <c r="OH240" t="s">
        <v>1418</v>
      </c>
      <c r="OI240" t="s">
        <v>6</v>
      </c>
      <c r="OK240">
        <v>2015</v>
      </c>
      <c r="OL240">
        <v>2016</v>
      </c>
      <c r="OO240" t="s">
        <v>1178</v>
      </c>
      <c r="OP240" s="58">
        <v>46104</v>
      </c>
    </row>
    <row r="241" spans="1:406" ht="15.75" thickBot="1">
      <c r="A241" t="s">
        <v>248</v>
      </c>
      <c r="B241" t="s">
        <v>1413</v>
      </c>
      <c r="C241" t="s">
        <v>1414</v>
      </c>
      <c r="D241" s="67" t="s">
        <v>245</v>
      </c>
      <c r="E241" t="s">
        <v>1425</v>
      </c>
      <c r="F241" s="4" t="s">
        <v>1427</v>
      </c>
      <c r="G241" t="s">
        <v>2</v>
      </c>
      <c r="H241" t="s">
        <v>30</v>
      </c>
      <c r="I241">
        <v>7.971944444</v>
      </c>
      <c r="J241">
        <v>38.633055560000003</v>
      </c>
      <c r="K241" t="s">
        <v>29</v>
      </c>
      <c r="AV241" t="s">
        <v>1428</v>
      </c>
      <c r="AW241">
        <v>420</v>
      </c>
      <c r="AX241">
        <v>2.5</v>
      </c>
      <c r="AY241">
        <v>1</v>
      </c>
      <c r="AZ241" t="s">
        <v>838</v>
      </c>
      <c r="BA241">
        <v>2015</v>
      </c>
      <c r="BB241">
        <v>2016</v>
      </c>
      <c r="BD241" t="s">
        <v>19</v>
      </c>
      <c r="BE241" t="s">
        <v>1431</v>
      </c>
      <c r="BF241" t="s">
        <v>24</v>
      </c>
      <c r="BG241" s="3" t="s">
        <v>1243</v>
      </c>
      <c r="BH241" t="s">
        <v>23</v>
      </c>
      <c r="BI241" t="s">
        <v>29</v>
      </c>
      <c r="BJ241" t="s">
        <v>22</v>
      </c>
      <c r="BK241">
        <v>53333</v>
      </c>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K241" s="9"/>
      <c r="HW241" s="58"/>
      <c r="IG241" t="s">
        <v>255</v>
      </c>
      <c r="IH241" t="s">
        <v>19</v>
      </c>
      <c r="JI241" t="s">
        <v>1438</v>
      </c>
      <c r="JJ241" s="54" t="s">
        <v>1440</v>
      </c>
      <c r="JK241" t="s">
        <v>14</v>
      </c>
      <c r="JL241" s="8" t="s">
        <v>1446</v>
      </c>
      <c r="JM241" s="4" t="s">
        <v>13</v>
      </c>
      <c r="JN241" s="4" t="s">
        <v>13</v>
      </c>
      <c r="MS241" t="s">
        <v>1415</v>
      </c>
      <c r="MT241">
        <v>70</v>
      </c>
      <c r="ND241" t="s">
        <v>1455</v>
      </c>
      <c r="NE241" t="s">
        <v>1423</v>
      </c>
      <c r="NF241" t="s">
        <v>1417</v>
      </c>
      <c r="NG241" s="4" t="s">
        <v>1426</v>
      </c>
      <c r="NH241" s="6" t="s">
        <v>265</v>
      </c>
      <c r="NP241" t="s">
        <v>745</v>
      </c>
      <c r="NQ241" t="s">
        <v>6</v>
      </c>
      <c r="NR241">
        <v>136</v>
      </c>
      <c r="NS241" t="s">
        <v>1456</v>
      </c>
      <c r="NT241">
        <v>6</v>
      </c>
      <c r="NW241">
        <v>3</v>
      </c>
      <c r="OH241" t="s">
        <v>1418</v>
      </c>
      <c r="OI241" t="s">
        <v>6</v>
      </c>
      <c r="OK241">
        <v>2015</v>
      </c>
      <c r="OL241">
        <v>2016</v>
      </c>
      <c r="OO241" t="s">
        <v>1178</v>
      </c>
      <c r="OP241" s="58">
        <v>46104</v>
      </c>
    </row>
    <row r="242" spans="1:406" ht="15.75" thickBot="1">
      <c r="A242" t="s">
        <v>248</v>
      </c>
      <c r="B242" t="s">
        <v>1413</v>
      </c>
      <c r="C242" t="s">
        <v>1414</v>
      </c>
      <c r="D242" s="67" t="s">
        <v>245</v>
      </c>
      <c r="E242" t="s">
        <v>1425</v>
      </c>
      <c r="F242" s="4" t="s">
        <v>1427</v>
      </c>
      <c r="G242" t="s">
        <v>2</v>
      </c>
      <c r="H242" t="s">
        <v>30</v>
      </c>
      <c r="I242">
        <v>7.971944444</v>
      </c>
      <c r="J242">
        <v>38.633055560000003</v>
      </c>
      <c r="K242" t="s">
        <v>29</v>
      </c>
      <c r="AV242" t="s">
        <v>1428</v>
      </c>
      <c r="AW242">
        <v>420</v>
      </c>
      <c r="AX242">
        <v>2.5</v>
      </c>
      <c r="AY242">
        <v>1</v>
      </c>
      <c r="AZ242" t="s">
        <v>838</v>
      </c>
      <c r="BA242">
        <v>2015</v>
      </c>
      <c r="BB242">
        <v>2016</v>
      </c>
      <c r="BD242" t="s">
        <v>19</v>
      </c>
      <c r="BE242" t="s">
        <v>1432</v>
      </c>
      <c r="BF242" t="s">
        <v>299</v>
      </c>
      <c r="BG242" s="3" t="s">
        <v>1243</v>
      </c>
      <c r="BH242" t="s">
        <v>23</v>
      </c>
      <c r="BI242" t="s">
        <v>29</v>
      </c>
      <c r="BJ242" t="s">
        <v>22</v>
      </c>
      <c r="BK242">
        <v>53333</v>
      </c>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K242" s="9"/>
      <c r="HR242" t="s">
        <v>1449</v>
      </c>
      <c r="HW242" s="58"/>
      <c r="IG242" t="s">
        <v>255</v>
      </c>
      <c r="IH242" t="s">
        <v>19</v>
      </c>
      <c r="JI242" t="s">
        <v>1439</v>
      </c>
      <c r="JJ242" s="84" t="s">
        <v>1437</v>
      </c>
      <c r="JK242" t="s">
        <v>14</v>
      </c>
      <c r="JL242" t="s">
        <v>1446</v>
      </c>
      <c r="JM242" s="4" t="s">
        <v>13</v>
      </c>
      <c r="JN242" t="s">
        <v>13</v>
      </c>
      <c r="KU242" t="s">
        <v>1450</v>
      </c>
      <c r="MS242" t="s">
        <v>1415</v>
      </c>
      <c r="MT242">
        <v>70</v>
      </c>
      <c r="ND242" t="s">
        <v>1455</v>
      </c>
      <c r="NE242" t="s">
        <v>1423</v>
      </c>
      <c r="NF242" t="s">
        <v>1417</v>
      </c>
      <c r="NG242" s="4" t="s">
        <v>1426</v>
      </c>
      <c r="NH242" s="6" t="s">
        <v>265</v>
      </c>
      <c r="NP242" t="s">
        <v>1457</v>
      </c>
      <c r="NQ242" t="s">
        <v>6</v>
      </c>
      <c r="NR242">
        <v>219</v>
      </c>
      <c r="NS242" t="s">
        <v>1456</v>
      </c>
      <c r="NT242">
        <v>6</v>
      </c>
      <c r="NW242">
        <v>3</v>
      </c>
      <c r="OH242" t="s">
        <v>1418</v>
      </c>
      <c r="OI242" t="s">
        <v>6</v>
      </c>
      <c r="OK242">
        <v>2015</v>
      </c>
      <c r="OL242">
        <v>2016</v>
      </c>
      <c r="OO242" t="s">
        <v>1178</v>
      </c>
      <c r="OP242" s="58">
        <v>46104</v>
      </c>
    </row>
    <row r="243" spans="1:406" ht="15.75" thickBot="1">
      <c r="A243" t="s">
        <v>248</v>
      </c>
      <c r="B243" t="s">
        <v>1413</v>
      </c>
      <c r="C243" t="s">
        <v>1414</v>
      </c>
      <c r="D243" s="67" t="s">
        <v>245</v>
      </c>
      <c r="E243" t="s">
        <v>1425</v>
      </c>
      <c r="F243" s="4" t="s">
        <v>1427</v>
      </c>
      <c r="G243" t="s">
        <v>2</v>
      </c>
      <c r="H243" t="s">
        <v>30</v>
      </c>
      <c r="I243">
        <v>7.971944444</v>
      </c>
      <c r="J243">
        <v>38.633055560000003</v>
      </c>
      <c r="K243" t="s">
        <v>29</v>
      </c>
      <c r="AV243" t="s">
        <v>1428</v>
      </c>
      <c r="AW243">
        <v>420</v>
      </c>
      <c r="AX243">
        <v>2.5</v>
      </c>
      <c r="AY243">
        <v>1</v>
      </c>
      <c r="AZ243" t="s">
        <v>838</v>
      </c>
      <c r="BA243">
        <v>2015</v>
      </c>
      <c r="BB243">
        <v>2016</v>
      </c>
      <c r="BD243" t="s">
        <v>238</v>
      </c>
      <c r="BE243" t="s">
        <v>1434</v>
      </c>
      <c r="BF243" t="s">
        <v>64</v>
      </c>
      <c r="BG243" s="3" t="s">
        <v>1243</v>
      </c>
      <c r="BH243" t="s">
        <v>23</v>
      </c>
      <c r="BI243" t="s">
        <v>29</v>
      </c>
      <c r="BJ243" t="s">
        <v>22</v>
      </c>
      <c r="BK243">
        <v>53333</v>
      </c>
      <c r="BL243" t="s">
        <v>56</v>
      </c>
      <c r="BM243" t="s">
        <v>1436</v>
      </c>
      <c r="BN243" t="s">
        <v>29</v>
      </c>
      <c r="BO243" t="s">
        <v>22</v>
      </c>
      <c r="BP243">
        <v>266666</v>
      </c>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K243" s="9"/>
      <c r="HW243" s="58"/>
      <c r="IG243" t="s">
        <v>1442</v>
      </c>
      <c r="IH243" s="84" t="s">
        <v>1453</v>
      </c>
      <c r="II243" t="s">
        <v>660</v>
      </c>
      <c r="IJ243" t="s">
        <v>661</v>
      </c>
      <c r="IK243" t="s">
        <v>29</v>
      </c>
      <c r="IL243" t="s">
        <v>29</v>
      </c>
      <c r="IM243" t="s">
        <v>29</v>
      </c>
      <c r="JI243" t="s">
        <v>1441</v>
      </c>
      <c r="JJ243" t="s">
        <v>1440</v>
      </c>
      <c r="JK243" t="s">
        <v>14</v>
      </c>
      <c r="JL243" t="s">
        <v>1446</v>
      </c>
      <c r="JM243" s="4" t="s">
        <v>13</v>
      </c>
      <c r="JN243" t="s">
        <v>1448</v>
      </c>
      <c r="MS243" t="s">
        <v>1415</v>
      </c>
      <c r="MT243">
        <v>70</v>
      </c>
      <c r="ND243" t="s">
        <v>1455</v>
      </c>
      <c r="NE243" t="s">
        <v>1423</v>
      </c>
      <c r="NF243" t="s">
        <v>1417</v>
      </c>
      <c r="NG243" s="4" t="s">
        <v>1426</v>
      </c>
      <c r="NH243" s="6" t="s">
        <v>265</v>
      </c>
      <c r="NQ243" t="s">
        <v>6</v>
      </c>
      <c r="NR243">
        <v>188</v>
      </c>
      <c r="NS243" t="s">
        <v>1456</v>
      </c>
      <c r="NT243">
        <v>6</v>
      </c>
      <c r="NW243">
        <v>3</v>
      </c>
      <c r="OH243" t="s">
        <v>1418</v>
      </c>
      <c r="OI243" t="s">
        <v>6</v>
      </c>
      <c r="OK243">
        <v>2015</v>
      </c>
      <c r="OL243">
        <v>2016</v>
      </c>
      <c r="OO243" t="s">
        <v>1178</v>
      </c>
      <c r="OP243" s="58">
        <v>46104</v>
      </c>
    </row>
    <row r="244" spans="1:406" ht="15.75" thickBot="1">
      <c r="A244" t="s">
        <v>248</v>
      </c>
      <c r="B244" t="s">
        <v>1413</v>
      </c>
      <c r="C244" t="s">
        <v>1414</v>
      </c>
      <c r="D244" s="67" t="s">
        <v>245</v>
      </c>
      <c r="E244" t="s">
        <v>1425</v>
      </c>
      <c r="F244" s="4" t="s">
        <v>1427</v>
      </c>
      <c r="G244" t="s">
        <v>2</v>
      </c>
      <c r="H244" t="s">
        <v>30</v>
      </c>
      <c r="I244">
        <v>7.971944444</v>
      </c>
      <c r="J244">
        <v>38.633055560000003</v>
      </c>
      <c r="K244" t="s">
        <v>29</v>
      </c>
      <c r="AV244" t="s">
        <v>1428</v>
      </c>
      <c r="AW244">
        <v>420</v>
      </c>
      <c r="AX244">
        <v>2.5</v>
      </c>
      <c r="AY244">
        <v>1</v>
      </c>
      <c r="AZ244" t="s">
        <v>838</v>
      </c>
      <c r="BA244">
        <v>2015</v>
      </c>
      <c r="BB244">
        <v>2016</v>
      </c>
      <c r="BD244" t="s">
        <v>238</v>
      </c>
      <c r="BE244" t="s">
        <v>1435</v>
      </c>
      <c r="BF244" t="s">
        <v>57</v>
      </c>
      <c r="BG244" s="3" t="s">
        <v>1243</v>
      </c>
      <c r="BH244" t="s">
        <v>23</v>
      </c>
      <c r="BI244" t="s">
        <v>29</v>
      </c>
      <c r="BJ244" t="s">
        <v>22</v>
      </c>
      <c r="BK244">
        <v>53333</v>
      </c>
      <c r="BL244" t="s">
        <v>56</v>
      </c>
      <c r="BM244" t="s">
        <v>1424</v>
      </c>
      <c r="BN244" t="s">
        <v>29</v>
      </c>
      <c r="BO244" t="s">
        <v>22</v>
      </c>
      <c r="BP244">
        <v>66666</v>
      </c>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K244" s="9"/>
      <c r="HW244" s="58"/>
      <c r="IG244" t="s">
        <v>1443</v>
      </c>
      <c r="IH244" s="84" t="s">
        <v>1453</v>
      </c>
      <c r="II244" t="s">
        <v>660</v>
      </c>
      <c r="IJ244" t="s">
        <v>661</v>
      </c>
      <c r="IK244" t="s">
        <v>29</v>
      </c>
      <c r="IL244" t="s">
        <v>29</v>
      </c>
      <c r="IM244" t="s">
        <v>29</v>
      </c>
      <c r="JI244" t="s">
        <v>1444</v>
      </c>
      <c r="JJ244" t="s">
        <v>1440</v>
      </c>
      <c r="JK244" t="s">
        <v>14</v>
      </c>
      <c r="JL244" t="s">
        <v>1446</v>
      </c>
      <c r="JM244" s="4" t="s">
        <v>13</v>
      </c>
      <c r="JN244" t="s">
        <v>1448</v>
      </c>
      <c r="MS244" t="s">
        <v>1415</v>
      </c>
      <c r="MT244">
        <v>70</v>
      </c>
      <c r="ND244" t="s">
        <v>1455</v>
      </c>
      <c r="NE244" t="s">
        <v>1423</v>
      </c>
      <c r="NF244" t="s">
        <v>1417</v>
      </c>
      <c r="NG244" s="4" t="s">
        <v>1426</v>
      </c>
      <c r="NH244" s="6" t="s">
        <v>265</v>
      </c>
      <c r="NQ244" t="s">
        <v>6</v>
      </c>
      <c r="NR244">
        <v>225</v>
      </c>
      <c r="NS244" t="s">
        <v>1456</v>
      </c>
      <c r="NT244">
        <v>6</v>
      </c>
      <c r="NW244">
        <v>3</v>
      </c>
      <c r="OH244" t="s">
        <v>1418</v>
      </c>
      <c r="OI244" t="s">
        <v>6</v>
      </c>
      <c r="OK244">
        <v>2015</v>
      </c>
      <c r="OL244">
        <v>2016</v>
      </c>
      <c r="OO244" t="s">
        <v>1178</v>
      </c>
      <c r="OP244" s="58">
        <v>46104</v>
      </c>
    </row>
    <row r="245" spans="1:406" ht="15.75" thickBot="1">
      <c r="A245" t="s">
        <v>248</v>
      </c>
      <c r="B245" t="s">
        <v>1413</v>
      </c>
      <c r="C245" t="s">
        <v>1414</v>
      </c>
      <c r="D245" s="67" t="s">
        <v>245</v>
      </c>
      <c r="E245" t="s">
        <v>1425</v>
      </c>
      <c r="F245" s="4" t="s">
        <v>1427</v>
      </c>
      <c r="G245" t="s">
        <v>2</v>
      </c>
      <c r="H245" t="s">
        <v>30</v>
      </c>
      <c r="I245">
        <v>7.971944444</v>
      </c>
      <c r="J245">
        <v>38.633055560000003</v>
      </c>
      <c r="K245" t="s">
        <v>29</v>
      </c>
      <c r="AV245" t="s">
        <v>1428</v>
      </c>
      <c r="AW245">
        <v>420</v>
      </c>
      <c r="AX245">
        <v>2.5</v>
      </c>
      <c r="AY245">
        <v>1</v>
      </c>
      <c r="AZ245" t="s">
        <v>838</v>
      </c>
      <c r="BA245">
        <v>2015</v>
      </c>
      <c r="BB245">
        <v>2016</v>
      </c>
      <c r="BD245" t="s">
        <v>19</v>
      </c>
      <c r="BE245" t="s">
        <v>1433</v>
      </c>
      <c r="BF245" t="s">
        <v>256</v>
      </c>
      <c r="BG245" s="3" t="s">
        <v>1243</v>
      </c>
      <c r="BH245" t="s">
        <v>23</v>
      </c>
      <c r="BI245" t="s">
        <v>29</v>
      </c>
      <c r="BJ245" t="s">
        <v>22</v>
      </c>
      <c r="BK245">
        <v>53333</v>
      </c>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K245" s="9"/>
      <c r="HR245" t="s">
        <v>1449</v>
      </c>
      <c r="HW245" s="58"/>
      <c r="IG245" t="s">
        <v>255</v>
      </c>
      <c r="IH245" t="s">
        <v>19</v>
      </c>
      <c r="JI245" t="s">
        <v>1445</v>
      </c>
      <c r="JJ245" t="s">
        <v>1440</v>
      </c>
      <c r="JK245" t="s">
        <v>14</v>
      </c>
      <c r="JL245" t="s">
        <v>1446</v>
      </c>
      <c r="JM245" s="4" t="s">
        <v>13</v>
      </c>
      <c r="JN245" t="s">
        <v>1448</v>
      </c>
      <c r="MS245" t="s">
        <v>1415</v>
      </c>
      <c r="MT245">
        <v>70</v>
      </c>
      <c r="ND245" t="s">
        <v>1455</v>
      </c>
      <c r="NE245" t="s">
        <v>1423</v>
      </c>
      <c r="NF245" t="s">
        <v>1417</v>
      </c>
      <c r="NG245" s="4" t="s">
        <v>1426</v>
      </c>
      <c r="NH245" s="6" t="s">
        <v>265</v>
      </c>
      <c r="NP245" t="s">
        <v>745</v>
      </c>
      <c r="NQ245" t="s">
        <v>6</v>
      </c>
      <c r="NR245">
        <v>136</v>
      </c>
      <c r="NS245" t="s">
        <v>1456</v>
      </c>
      <c r="NT245">
        <v>6</v>
      </c>
      <c r="NW245">
        <v>3</v>
      </c>
      <c r="OH245" t="s">
        <v>1418</v>
      </c>
      <c r="OI245" t="s">
        <v>6</v>
      </c>
      <c r="OK245">
        <v>2015</v>
      </c>
      <c r="OL245">
        <v>2016</v>
      </c>
      <c r="OO245" t="s">
        <v>1178</v>
      </c>
      <c r="OP245" s="58">
        <v>46104</v>
      </c>
    </row>
    <row r="246" spans="1:406" ht="15.75" thickBot="1">
      <c r="A246" t="s">
        <v>248</v>
      </c>
      <c r="B246" t="s">
        <v>1413</v>
      </c>
      <c r="C246" t="s">
        <v>1414</v>
      </c>
      <c r="D246" s="67" t="s">
        <v>245</v>
      </c>
      <c r="E246" t="s">
        <v>1419</v>
      </c>
      <c r="F246" s="4" t="s">
        <v>1427</v>
      </c>
      <c r="G246" t="s">
        <v>2</v>
      </c>
      <c r="H246" t="s">
        <v>30</v>
      </c>
      <c r="I246">
        <v>7.306944444</v>
      </c>
      <c r="J246">
        <v>38.012222219999998</v>
      </c>
      <c r="K246" t="s">
        <v>29</v>
      </c>
      <c r="AV246" t="s">
        <v>1428</v>
      </c>
      <c r="AW246">
        <v>420</v>
      </c>
      <c r="AX246">
        <v>1.5</v>
      </c>
      <c r="AY246">
        <v>1</v>
      </c>
      <c r="AZ246" t="s">
        <v>838</v>
      </c>
      <c r="BA246">
        <v>2015</v>
      </c>
      <c r="BB246">
        <v>2016</v>
      </c>
      <c r="BD246" t="s">
        <v>19</v>
      </c>
      <c r="BE246" t="s">
        <v>1430</v>
      </c>
      <c r="BF246" t="s">
        <v>39</v>
      </c>
      <c r="BG246" s="3" t="s">
        <v>1243</v>
      </c>
      <c r="BH246" t="s">
        <v>23</v>
      </c>
      <c r="BI246" t="s">
        <v>29</v>
      </c>
      <c r="BJ246" s="4" t="s">
        <v>22</v>
      </c>
      <c r="BK246">
        <v>53333</v>
      </c>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K246" s="9"/>
      <c r="HW246" s="58"/>
      <c r="IG246" t="s">
        <v>255</v>
      </c>
      <c r="IH246" t="s">
        <v>19</v>
      </c>
      <c r="JI246" t="s">
        <v>1429</v>
      </c>
      <c r="JJ246" s="84" t="s">
        <v>1437</v>
      </c>
      <c r="JK246" s="8" t="s">
        <v>14</v>
      </c>
      <c r="JL246" s="8" t="s">
        <v>1446</v>
      </c>
      <c r="JM246" s="4" t="s">
        <v>13</v>
      </c>
      <c r="JN246" s="4" t="s">
        <v>13</v>
      </c>
      <c r="MS246" t="s">
        <v>1415</v>
      </c>
      <c r="MT246">
        <v>70</v>
      </c>
      <c r="ND246" t="s">
        <v>1455</v>
      </c>
      <c r="NE246" t="s">
        <v>1423</v>
      </c>
      <c r="NF246" t="s">
        <v>1417</v>
      </c>
      <c r="NG246" s="4" t="s">
        <v>1426</v>
      </c>
      <c r="NH246" s="6" t="s">
        <v>265</v>
      </c>
      <c r="NP246" t="s">
        <v>1457</v>
      </c>
      <c r="NQ246" t="s">
        <v>6</v>
      </c>
      <c r="NR246">
        <v>213</v>
      </c>
      <c r="NS246" t="s">
        <v>1456</v>
      </c>
      <c r="NT246">
        <v>4</v>
      </c>
      <c r="NW246">
        <v>3</v>
      </c>
      <c r="OH246" t="s">
        <v>1420</v>
      </c>
      <c r="OI246" t="s">
        <v>6</v>
      </c>
      <c r="OK246">
        <v>2015</v>
      </c>
      <c r="OL246">
        <v>2016</v>
      </c>
      <c r="OO246" t="s">
        <v>1178</v>
      </c>
      <c r="OP246" s="58">
        <v>46104</v>
      </c>
    </row>
    <row r="247" spans="1:406" ht="15.75" thickBot="1">
      <c r="A247" t="s">
        <v>248</v>
      </c>
      <c r="B247" t="s">
        <v>1413</v>
      </c>
      <c r="C247" t="s">
        <v>1414</v>
      </c>
      <c r="D247" s="67" t="s">
        <v>245</v>
      </c>
      <c r="E247" t="s">
        <v>1419</v>
      </c>
      <c r="F247" s="4" t="s">
        <v>1427</v>
      </c>
      <c r="G247" t="s">
        <v>2</v>
      </c>
      <c r="H247" t="s">
        <v>30</v>
      </c>
      <c r="I247">
        <v>7.306944444</v>
      </c>
      <c r="J247">
        <v>38.012222219999998</v>
      </c>
      <c r="K247" t="s">
        <v>29</v>
      </c>
      <c r="AV247" t="s">
        <v>1428</v>
      </c>
      <c r="AW247">
        <v>420</v>
      </c>
      <c r="AX247">
        <v>1.5</v>
      </c>
      <c r="AY247">
        <v>1</v>
      </c>
      <c r="AZ247" t="s">
        <v>838</v>
      </c>
      <c r="BA247">
        <v>2015</v>
      </c>
      <c r="BB247">
        <v>2016</v>
      </c>
      <c r="BD247" t="s">
        <v>19</v>
      </c>
      <c r="BE247" t="s">
        <v>1431</v>
      </c>
      <c r="BF247" t="s">
        <v>24</v>
      </c>
      <c r="BG247" s="3" t="s">
        <v>1243</v>
      </c>
      <c r="BH247" t="s">
        <v>23</v>
      </c>
      <c r="BI247" t="s">
        <v>29</v>
      </c>
      <c r="BJ247" t="s">
        <v>22</v>
      </c>
      <c r="BK247">
        <v>53333</v>
      </c>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K247" s="9"/>
      <c r="HW247" s="58"/>
      <c r="IG247" t="s">
        <v>255</v>
      </c>
      <c r="IH247" t="s">
        <v>19</v>
      </c>
      <c r="JI247" t="s">
        <v>1438</v>
      </c>
      <c r="JJ247" s="54" t="s">
        <v>1440</v>
      </c>
      <c r="JK247" t="s">
        <v>14</v>
      </c>
      <c r="JL247" s="8" t="s">
        <v>1446</v>
      </c>
      <c r="JM247" s="4" t="s">
        <v>13</v>
      </c>
      <c r="JN247" s="4" t="s">
        <v>13</v>
      </c>
      <c r="MS247" t="s">
        <v>1415</v>
      </c>
      <c r="MT247">
        <v>70</v>
      </c>
      <c r="ND247" t="s">
        <v>1455</v>
      </c>
      <c r="NE247" t="s">
        <v>1423</v>
      </c>
      <c r="NF247" t="s">
        <v>1417</v>
      </c>
      <c r="NG247" s="4" t="s">
        <v>1426</v>
      </c>
      <c r="NH247" s="6" t="s">
        <v>265</v>
      </c>
      <c r="NP247" t="s">
        <v>745</v>
      </c>
      <c r="NQ247" t="s">
        <v>6</v>
      </c>
      <c r="NR247">
        <v>129</v>
      </c>
      <c r="NS247" t="s">
        <v>1456</v>
      </c>
      <c r="NT247">
        <v>4</v>
      </c>
      <c r="NW247">
        <v>3</v>
      </c>
      <c r="OH247" t="s">
        <v>1420</v>
      </c>
      <c r="OI247" t="s">
        <v>6</v>
      </c>
      <c r="OK247">
        <v>2015</v>
      </c>
      <c r="OL247">
        <v>2016</v>
      </c>
      <c r="OO247" t="s">
        <v>1178</v>
      </c>
      <c r="OP247" s="58">
        <v>46104</v>
      </c>
    </row>
    <row r="248" spans="1:406" ht="15.75" thickBot="1">
      <c r="A248" t="s">
        <v>248</v>
      </c>
      <c r="B248" t="s">
        <v>1413</v>
      </c>
      <c r="C248" t="s">
        <v>1414</v>
      </c>
      <c r="D248" s="67" t="s">
        <v>245</v>
      </c>
      <c r="E248" t="s">
        <v>1419</v>
      </c>
      <c r="F248" s="4" t="s">
        <v>1427</v>
      </c>
      <c r="G248" t="s">
        <v>2</v>
      </c>
      <c r="H248" t="s">
        <v>30</v>
      </c>
      <c r="I248">
        <v>7.306944444</v>
      </c>
      <c r="J248">
        <v>38.012222219999998</v>
      </c>
      <c r="K248" t="s">
        <v>29</v>
      </c>
      <c r="AV248" t="s">
        <v>1428</v>
      </c>
      <c r="AW248">
        <v>420</v>
      </c>
      <c r="AX248">
        <v>1.5</v>
      </c>
      <c r="AY248">
        <v>1</v>
      </c>
      <c r="AZ248" t="s">
        <v>838</v>
      </c>
      <c r="BA248">
        <v>2015</v>
      </c>
      <c r="BB248">
        <v>2016</v>
      </c>
      <c r="BD248" t="s">
        <v>19</v>
      </c>
      <c r="BE248" t="s">
        <v>1432</v>
      </c>
      <c r="BF248" t="s">
        <v>299</v>
      </c>
      <c r="BG248" s="3" t="s">
        <v>1243</v>
      </c>
      <c r="BH248" t="s">
        <v>23</v>
      </c>
      <c r="BI248" t="s">
        <v>29</v>
      </c>
      <c r="BJ248" t="s">
        <v>22</v>
      </c>
      <c r="BK248">
        <v>53333</v>
      </c>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K248" s="9"/>
      <c r="HR248" t="s">
        <v>1449</v>
      </c>
      <c r="HW248" s="58"/>
      <c r="IG248" t="s">
        <v>255</v>
      </c>
      <c r="IH248" t="s">
        <v>19</v>
      </c>
      <c r="JI248" t="s">
        <v>1439</v>
      </c>
      <c r="JJ248" s="84" t="s">
        <v>1437</v>
      </c>
      <c r="JK248" t="s">
        <v>14</v>
      </c>
      <c r="JL248" t="s">
        <v>1446</v>
      </c>
      <c r="JM248" s="4" t="s">
        <v>13</v>
      </c>
      <c r="JN248" t="s">
        <v>13</v>
      </c>
      <c r="KU248" t="s">
        <v>1450</v>
      </c>
      <c r="MS248" t="s">
        <v>1415</v>
      </c>
      <c r="MT248">
        <v>70</v>
      </c>
      <c r="ND248" t="s">
        <v>1455</v>
      </c>
      <c r="NE248" t="s">
        <v>1423</v>
      </c>
      <c r="NF248" t="s">
        <v>1417</v>
      </c>
      <c r="NG248" s="4" t="s">
        <v>1426</v>
      </c>
      <c r="NH248" s="6" t="s">
        <v>265</v>
      </c>
      <c r="NP248" t="s">
        <v>1457</v>
      </c>
      <c r="NQ248" t="s">
        <v>6</v>
      </c>
      <c r="NR248">
        <v>213</v>
      </c>
      <c r="NS248" t="s">
        <v>1456</v>
      </c>
      <c r="NT248">
        <v>4</v>
      </c>
      <c r="NW248">
        <v>3</v>
      </c>
      <c r="OH248" t="s">
        <v>1420</v>
      </c>
      <c r="OI248" t="s">
        <v>6</v>
      </c>
      <c r="OK248">
        <v>2015</v>
      </c>
      <c r="OL248">
        <v>2016</v>
      </c>
      <c r="OO248" t="s">
        <v>1178</v>
      </c>
      <c r="OP248" s="58">
        <v>46104</v>
      </c>
    </row>
    <row r="249" spans="1:406" ht="15.75" thickBot="1">
      <c r="A249" t="s">
        <v>248</v>
      </c>
      <c r="B249" t="s">
        <v>1413</v>
      </c>
      <c r="C249" t="s">
        <v>1414</v>
      </c>
      <c r="D249" s="67" t="s">
        <v>245</v>
      </c>
      <c r="E249" t="s">
        <v>1419</v>
      </c>
      <c r="F249" s="4" t="s">
        <v>1427</v>
      </c>
      <c r="G249" t="s">
        <v>2</v>
      </c>
      <c r="H249" t="s">
        <v>30</v>
      </c>
      <c r="I249">
        <v>7.306944444</v>
      </c>
      <c r="J249">
        <v>38.012222219999998</v>
      </c>
      <c r="K249" t="s">
        <v>29</v>
      </c>
      <c r="AV249" t="s">
        <v>1428</v>
      </c>
      <c r="AW249">
        <v>420</v>
      </c>
      <c r="AX249">
        <v>1.5</v>
      </c>
      <c r="AY249">
        <v>1</v>
      </c>
      <c r="AZ249" t="s">
        <v>838</v>
      </c>
      <c r="BA249">
        <v>2015</v>
      </c>
      <c r="BB249">
        <v>2016</v>
      </c>
      <c r="BD249" t="s">
        <v>238</v>
      </c>
      <c r="BE249" t="s">
        <v>1434</v>
      </c>
      <c r="BF249" t="s">
        <v>64</v>
      </c>
      <c r="BG249" s="3" t="s">
        <v>1243</v>
      </c>
      <c r="BH249" t="s">
        <v>23</v>
      </c>
      <c r="BI249" t="s">
        <v>29</v>
      </c>
      <c r="BJ249" t="s">
        <v>22</v>
      </c>
      <c r="BK249">
        <v>53333</v>
      </c>
      <c r="BL249" t="s">
        <v>56</v>
      </c>
      <c r="BM249" t="s">
        <v>1436</v>
      </c>
      <c r="BN249" t="s">
        <v>29</v>
      </c>
      <c r="BO249" t="s">
        <v>22</v>
      </c>
      <c r="BP249">
        <v>266666</v>
      </c>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K249" s="9"/>
      <c r="HW249" s="58"/>
      <c r="IG249" t="s">
        <v>1442</v>
      </c>
      <c r="IH249" s="84" t="s">
        <v>1453</v>
      </c>
      <c r="II249" t="s">
        <v>660</v>
      </c>
      <c r="IJ249" t="s">
        <v>661</v>
      </c>
      <c r="IK249" t="s">
        <v>29</v>
      </c>
      <c r="IL249" t="s">
        <v>29</v>
      </c>
      <c r="IM249" t="s">
        <v>29</v>
      </c>
      <c r="JI249" t="s">
        <v>1441</v>
      </c>
      <c r="JJ249" t="s">
        <v>1440</v>
      </c>
      <c r="JK249" t="s">
        <v>14</v>
      </c>
      <c r="JL249" t="s">
        <v>1446</v>
      </c>
      <c r="JM249" s="4" t="s">
        <v>13</v>
      </c>
      <c r="JN249" t="s">
        <v>1448</v>
      </c>
      <c r="MS249" t="s">
        <v>1415</v>
      </c>
      <c r="MT249">
        <v>70</v>
      </c>
      <c r="ND249" t="s">
        <v>1455</v>
      </c>
      <c r="NE249" t="s">
        <v>1423</v>
      </c>
      <c r="NF249" t="s">
        <v>1417</v>
      </c>
      <c r="NG249" s="4" t="s">
        <v>1426</v>
      </c>
      <c r="NH249" s="6" t="s">
        <v>265</v>
      </c>
      <c r="NQ249" t="s">
        <v>6</v>
      </c>
      <c r="NR249">
        <v>182</v>
      </c>
      <c r="NS249" t="s">
        <v>1456</v>
      </c>
      <c r="NT249">
        <v>4</v>
      </c>
      <c r="NW249">
        <v>3</v>
      </c>
      <c r="OH249" t="s">
        <v>1420</v>
      </c>
      <c r="OI249" t="s">
        <v>6</v>
      </c>
      <c r="OK249">
        <v>2015</v>
      </c>
      <c r="OL249">
        <v>2016</v>
      </c>
      <c r="OO249" t="s">
        <v>1178</v>
      </c>
      <c r="OP249" s="58">
        <v>46104</v>
      </c>
    </row>
    <row r="250" spans="1:406" ht="15.75" thickBot="1">
      <c r="A250" t="s">
        <v>248</v>
      </c>
      <c r="B250" t="s">
        <v>1413</v>
      </c>
      <c r="C250" t="s">
        <v>1414</v>
      </c>
      <c r="D250" s="67" t="s">
        <v>245</v>
      </c>
      <c r="E250" t="s">
        <v>1419</v>
      </c>
      <c r="F250" s="4" t="s">
        <v>1427</v>
      </c>
      <c r="G250" t="s">
        <v>2</v>
      </c>
      <c r="H250" t="s">
        <v>30</v>
      </c>
      <c r="I250">
        <v>7.306944444</v>
      </c>
      <c r="J250">
        <v>38.012222219999998</v>
      </c>
      <c r="K250" t="s">
        <v>29</v>
      </c>
      <c r="AV250" t="s">
        <v>1428</v>
      </c>
      <c r="AW250">
        <v>420</v>
      </c>
      <c r="AX250">
        <v>1.5</v>
      </c>
      <c r="AY250">
        <v>1</v>
      </c>
      <c r="AZ250" t="s">
        <v>838</v>
      </c>
      <c r="BA250">
        <v>2015</v>
      </c>
      <c r="BB250">
        <v>2016</v>
      </c>
      <c r="BD250" t="s">
        <v>238</v>
      </c>
      <c r="BE250" t="s">
        <v>1435</v>
      </c>
      <c r="BF250" t="s">
        <v>57</v>
      </c>
      <c r="BG250" s="3" t="s">
        <v>1243</v>
      </c>
      <c r="BH250" t="s">
        <v>23</v>
      </c>
      <c r="BI250" t="s">
        <v>29</v>
      </c>
      <c r="BJ250" t="s">
        <v>22</v>
      </c>
      <c r="BK250">
        <v>53333</v>
      </c>
      <c r="BL250" t="s">
        <v>56</v>
      </c>
      <c r="BM250" t="s">
        <v>1424</v>
      </c>
      <c r="BN250" t="s">
        <v>29</v>
      </c>
      <c r="BO250" t="s">
        <v>22</v>
      </c>
      <c r="BP250">
        <v>66666</v>
      </c>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K250" s="9"/>
      <c r="HW250" s="58"/>
      <c r="IG250" t="s">
        <v>1443</v>
      </c>
      <c r="IH250" s="84" t="s">
        <v>1453</v>
      </c>
      <c r="II250" t="s">
        <v>660</v>
      </c>
      <c r="IJ250" t="s">
        <v>661</v>
      </c>
      <c r="IK250" t="s">
        <v>29</v>
      </c>
      <c r="IL250" t="s">
        <v>29</v>
      </c>
      <c r="IM250" t="s">
        <v>29</v>
      </c>
      <c r="JI250" t="s">
        <v>1444</v>
      </c>
      <c r="JJ250" t="s">
        <v>1440</v>
      </c>
      <c r="JK250" t="s">
        <v>14</v>
      </c>
      <c r="JL250" t="s">
        <v>1446</v>
      </c>
      <c r="JM250" s="4" t="s">
        <v>13</v>
      </c>
      <c r="JN250" t="s">
        <v>1448</v>
      </c>
      <c r="MS250" t="s">
        <v>1415</v>
      </c>
      <c r="MT250">
        <v>70</v>
      </c>
      <c r="ND250" t="s">
        <v>1455</v>
      </c>
      <c r="NE250" t="s">
        <v>1423</v>
      </c>
      <c r="NF250" t="s">
        <v>1417</v>
      </c>
      <c r="NG250" s="4" t="s">
        <v>1426</v>
      </c>
      <c r="NH250" s="6" t="s">
        <v>265</v>
      </c>
      <c r="NQ250" t="s">
        <v>6</v>
      </c>
      <c r="NR250">
        <v>218</v>
      </c>
      <c r="NS250" t="s">
        <v>1456</v>
      </c>
      <c r="NT250">
        <v>4</v>
      </c>
      <c r="NW250">
        <v>3</v>
      </c>
      <c r="OH250" t="s">
        <v>1420</v>
      </c>
      <c r="OI250" t="s">
        <v>6</v>
      </c>
      <c r="OK250">
        <v>2015</v>
      </c>
      <c r="OL250">
        <v>2016</v>
      </c>
      <c r="OO250" t="s">
        <v>1178</v>
      </c>
      <c r="OP250" s="58">
        <v>46104</v>
      </c>
    </row>
    <row r="251" spans="1:406" ht="15.75" thickBot="1">
      <c r="A251" t="s">
        <v>248</v>
      </c>
      <c r="B251" t="s">
        <v>1413</v>
      </c>
      <c r="C251" t="s">
        <v>1414</v>
      </c>
      <c r="D251" s="67" t="s">
        <v>245</v>
      </c>
      <c r="E251" t="s">
        <v>1419</v>
      </c>
      <c r="F251" s="4" t="s">
        <v>1427</v>
      </c>
      <c r="G251" t="s">
        <v>2</v>
      </c>
      <c r="H251" t="s">
        <v>30</v>
      </c>
      <c r="I251">
        <v>7.306944444</v>
      </c>
      <c r="J251">
        <v>38.012222219999998</v>
      </c>
      <c r="K251" t="s">
        <v>29</v>
      </c>
      <c r="AV251" t="s">
        <v>1428</v>
      </c>
      <c r="AW251">
        <v>420</v>
      </c>
      <c r="AX251">
        <v>1.5</v>
      </c>
      <c r="AY251">
        <v>1</v>
      </c>
      <c r="AZ251" t="s">
        <v>838</v>
      </c>
      <c r="BA251">
        <v>2015</v>
      </c>
      <c r="BB251">
        <v>2016</v>
      </c>
      <c r="BD251" t="s">
        <v>19</v>
      </c>
      <c r="BE251" t="s">
        <v>1433</v>
      </c>
      <c r="BF251" t="s">
        <v>256</v>
      </c>
      <c r="BG251" s="3" t="s">
        <v>1243</v>
      </c>
      <c r="BH251" t="s">
        <v>23</v>
      </c>
      <c r="BI251" t="s">
        <v>29</v>
      </c>
      <c r="BJ251" t="s">
        <v>22</v>
      </c>
      <c r="BK251">
        <v>53333</v>
      </c>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K251" s="9"/>
      <c r="HR251" t="s">
        <v>1449</v>
      </c>
      <c r="HW251" s="58"/>
      <c r="IG251" t="s">
        <v>255</v>
      </c>
      <c r="IH251" t="s">
        <v>19</v>
      </c>
      <c r="JI251" t="s">
        <v>1445</v>
      </c>
      <c r="JJ251" t="s">
        <v>1440</v>
      </c>
      <c r="JK251" t="s">
        <v>14</v>
      </c>
      <c r="JL251" t="s">
        <v>1446</v>
      </c>
      <c r="JM251" s="4" t="s">
        <v>13</v>
      </c>
      <c r="JN251" t="s">
        <v>1448</v>
      </c>
      <c r="MS251" t="s">
        <v>1415</v>
      </c>
      <c r="MT251">
        <v>70</v>
      </c>
      <c r="ND251" t="s">
        <v>1455</v>
      </c>
      <c r="NE251" t="s">
        <v>1423</v>
      </c>
      <c r="NF251" t="s">
        <v>1417</v>
      </c>
      <c r="NG251" s="4" t="s">
        <v>1426</v>
      </c>
      <c r="NH251" s="6" t="s">
        <v>265</v>
      </c>
      <c r="NP251" t="s">
        <v>745</v>
      </c>
      <c r="NQ251" t="s">
        <v>6</v>
      </c>
      <c r="NR251">
        <v>129</v>
      </c>
      <c r="NS251" t="s">
        <v>1456</v>
      </c>
      <c r="NT251">
        <v>4</v>
      </c>
      <c r="NW251">
        <v>3</v>
      </c>
      <c r="OH251" t="s">
        <v>1420</v>
      </c>
      <c r="OI251" t="s">
        <v>6</v>
      </c>
      <c r="OK251">
        <v>2015</v>
      </c>
      <c r="OL251">
        <v>2016</v>
      </c>
      <c r="OO251" t="s">
        <v>1178</v>
      </c>
      <c r="OP251" s="58">
        <v>46104</v>
      </c>
    </row>
    <row r="252" spans="1:406" ht="15.75" thickBot="1">
      <c r="A252" t="s">
        <v>248</v>
      </c>
      <c r="B252" t="s">
        <v>1413</v>
      </c>
      <c r="C252" t="s">
        <v>1414</v>
      </c>
      <c r="D252" s="67" t="s">
        <v>245</v>
      </c>
      <c r="E252" t="s">
        <v>1421</v>
      </c>
      <c r="F252" s="4" t="s">
        <v>1427</v>
      </c>
      <c r="G252" t="s">
        <v>2</v>
      </c>
      <c r="H252" t="s">
        <v>30</v>
      </c>
      <c r="I252">
        <v>6.7519444440000003</v>
      </c>
      <c r="J252">
        <v>38.33361111</v>
      </c>
      <c r="K252" t="s">
        <v>29</v>
      </c>
      <c r="AV252" t="s">
        <v>1428</v>
      </c>
      <c r="AW252">
        <v>420</v>
      </c>
      <c r="AX252">
        <v>0.18</v>
      </c>
      <c r="AY252">
        <v>1</v>
      </c>
      <c r="AZ252" t="s">
        <v>838</v>
      </c>
      <c r="BA252">
        <v>2015</v>
      </c>
      <c r="BB252">
        <v>2016</v>
      </c>
      <c r="BD252" t="s">
        <v>19</v>
      </c>
      <c r="BE252" t="s">
        <v>1430</v>
      </c>
      <c r="BF252" t="s">
        <v>39</v>
      </c>
      <c r="BG252" s="3" t="s">
        <v>1243</v>
      </c>
      <c r="BH252" t="s">
        <v>23</v>
      </c>
      <c r="BI252" t="s">
        <v>29</v>
      </c>
      <c r="BJ252" s="4" t="s">
        <v>22</v>
      </c>
      <c r="BK252">
        <v>53333</v>
      </c>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K252" s="9"/>
      <c r="HW252" s="58"/>
      <c r="IG252" t="s">
        <v>255</v>
      </c>
      <c r="IH252" t="s">
        <v>19</v>
      </c>
      <c r="JI252" t="s">
        <v>1429</v>
      </c>
      <c r="JJ252" s="84" t="s">
        <v>1437</v>
      </c>
      <c r="JK252" s="8" t="s">
        <v>14</v>
      </c>
      <c r="JL252" s="8" t="s">
        <v>1446</v>
      </c>
      <c r="JM252" s="4" t="s">
        <v>13</v>
      </c>
      <c r="JN252" s="4" t="s">
        <v>13</v>
      </c>
      <c r="MS252" t="s">
        <v>1415</v>
      </c>
      <c r="MT252">
        <v>70</v>
      </c>
      <c r="ND252" t="s">
        <v>1455</v>
      </c>
      <c r="NE252" t="s">
        <v>1423</v>
      </c>
      <c r="NF252" t="s">
        <v>1417</v>
      </c>
      <c r="NG252" s="4" t="s">
        <v>1426</v>
      </c>
      <c r="NH252" s="6" t="s">
        <v>265</v>
      </c>
      <c r="NP252" t="s">
        <v>1457</v>
      </c>
      <c r="NQ252" t="s">
        <v>6</v>
      </c>
      <c r="NR252">
        <v>213</v>
      </c>
      <c r="NS252" t="s">
        <v>1456</v>
      </c>
      <c r="NT252">
        <v>4</v>
      </c>
      <c r="NW252">
        <v>3</v>
      </c>
      <c r="OH252" t="s">
        <v>1422</v>
      </c>
      <c r="OI252" t="s">
        <v>6</v>
      </c>
      <c r="OK252">
        <v>2015</v>
      </c>
      <c r="OL252">
        <v>2016</v>
      </c>
      <c r="OO252" t="s">
        <v>1178</v>
      </c>
      <c r="OP252" s="58">
        <v>46104</v>
      </c>
    </row>
    <row r="253" spans="1:406" ht="15.75" thickBot="1">
      <c r="A253" t="s">
        <v>248</v>
      </c>
      <c r="B253" t="s">
        <v>1413</v>
      </c>
      <c r="C253" t="s">
        <v>1414</v>
      </c>
      <c r="D253" s="67" t="s">
        <v>245</v>
      </c>
      <c r="E253" t="s">
        <v>1421</v>
      </c>
      <c r="F253" s="4" t="s">
        <v>1427</v>
      </c>
      <c r="G253" t="s">
        <v>2</v>
      </c>
      <c r="H253" t="s">
        <v>30</v>
      </c>
      <c r="I253">
        <v>6.7519444440000003</v>
      </c>
      <c r="J253">
        <v>38.33361111</v>
      </c>
      <c r="K253" t="s">
        <v>29</v>
      </c>
      <c r="AV253" t="s">
        <v>1428</v>
      </c>
      <c r="AW253">
        <v>420</v>
      </c>
      <c r="AX253">
        <v>0.18</v>
      </c>
      <c r="AY253">
        <v>1</v>
      </c>
      <c r="AZ253" t="s">
        <v>838</v>
      </c>
      <c r="BA253">
        <v>2015</v>
      </c>
      <c r="BB253">
        <v>2016</v>
      </c>
      <c r="BD253" t="s">
        <v>19</v>
      </c>
      <c r="BE253" t="s">
        <v>1431</v>
      </c>
      <c r="BF253" t="s">
        <v>24</v>
      </c>
      <c r="BG253" s="3" t="s">
        <v>1243</v>
      </c>
      <c r="BH253" t="s">
        <v>23</v>
      </c>
      <c r="BI253" t="s">
        <v>29</v>
      </c>
      <c r="BJ253" t="s">
        <v>22</v>
      </c>
      <c r="BK253">
        <v>53333</v>
      </c>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K253" s="9"/>
      <c r="HW253" s="58"/>
      <c r="IG253" t="s">
        <v>255</v>
      </c>
      <c r="IH253" t="s">
        <v>19</v>
      </c>
      <c r="JI253" t="s">
        <v>1438</v>
      </c>
      <c r="JJ253" s="54" t="s">
        <v>1440</v>
      </c>
      <c r="JK253" t="s">
        <v>14</v>
      </c>
      <c r="JL253" s="8" t="s">
        <v>1446</v>
      </c>
      <c r="JM253" s="4" t="s">
        <v>13</v>
      </c>
      <c r="JN253" s="4" t="s">
        <v>13</v>
      </c>
      <c r="MS253" t="s">
        <v>1415</v>
      </c>
      <c r="MT253">
        <v>70</v>
      </c>
      <c r="ND253" t="s">
        <v>1455</v>
      </c>
      <c r="NE253" t="s">
        <v>1423</v>
      </c>
      <c r="NF253" t="s">
        <v>1417</v>
      </c>
      <c r="NG253" s="4" t="s">
        <v>1426</v>
      </c>
      <c r="NH253" s="6" t="s">
        <v>265</v>
      </c>
      <c r="NP253" t="s">
        <v>745</v>
      </c>
      <c r="NQ253" t="s">
        <v>6</v>
      </c>
      <c r="NR253">
        <v>129</v>
      </c>
      <c r="NS253" t="s">
        <v>1456</v>
      </c>
      <c r="NT253">
        <v>4</v>
      </c>
      <c r="NW253">
        <v>3</v>
      </c>
      <c r="OH253" t="s">
        <v>1422</v>
      </c>
      <c r="OI253" t="s">
        <v>6</v>
      </c>
      <c r="OK253">
        <v>2015</v>
      </c>
      <c r="OL253">
        <v>2016</v>
      </c>
      <c r="OO253" t="s">
        <v>1178</v>
      </c>
      <c r="OP253" s="58">
        <v>46104</v>
      </c>
    </row>
    <row r="254" spans="1:406" ht="15.75" thickBot="1">
      <c r="A254" t="s">
        <v>248</v>
      </c>
      <c r="B254" t="s">
        <v>1413</v>
      </c>
      <c r="C254" t="s">
        <v>1414</v>
      </c>
      <c r="D254" s="67" t="s">
        <v>245</v>
      </c>
      <c r="E254" t="s">
        <v>1421</v>
      </c>
      <c r="F254" s="4" t="s">
        <v>1427</v>
      </c>
      <c r="G254" t="s">
        <v>2</v>
      </c>
      <c r="H254" t="s">
        <v>30</v>
      </c>
      <c r="I254">
        <v>6.7519444440000003</v>
      </c>
      <c r="J254">
        <v>38.33361111</v>
      </c>
      <c r="K254" t="s">
        <v>29</v>
      </c>
      <c r="AV254" t="s">
        <v>1428</v>
      </c>
      <c r="AW254">
        <v>420</v>
      </c>
      <c r="AX254">
        <v>0.18</v>
      </c>
      <c r="AY254">
        <v>1</v>
      </c>
      <c r="AZ254" t="s">
        <v>838</v>
      </c>
      <c r="BA254">
        <v>2015</v>
      </c>
      <c r="BB254">
        <v>2016</v>
      </c>
      <c r="BD254" t="s">
        <v>19</v>
      </c>
      <c r="BE254" t="s">
        <v>1432</v>
      </c>
      <c r="BF254" t="s">
        <v>299</v>
      </c>
      <c r="BG254" s="3" t="s">
        <v>1243</v>
      </c>
      <c r="BH254" t="s">
        <v>23</v>
      </c>
      <c r="BI254" t="s">
        <v>29</v>
      </c>
      <c r="BJ254" t="s">
        <v>22</v>
      </c>
      <c r="BK254">
        <v>53333</v>
      </c>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K254" s="9"/>
      <c r="HR254" t="s">
        <v>1449</v>
      </c>
      <c r="HW254" s="58"/>
      <c r="IG254" t="s">
        <v>255</v>
      </c>
      <c r="IH254" t="s">
        <v>19</v>
      </c>
      <c r="JI254" t="s">
        <v>1439</v>
      </c>
      <c r="JJ254" s="84" t="s">
        <v>1437</v>
      </c>
      <c r="JK254" t="s">
        <v>14</v>
      </c>
      <c r="JL254" t="s">
        <v>1446</v>
      </c>
      <c r="JM254" s="4" t="s">
        <v>13</v>
      </c>
      <c r="JN254" t="s">
        <v>13</v>
      </c>
      <c r="KU254" t="s">
        <v>1450</v>
      </c>
      <c r="MS254" t="s">
        <v>1415</v>
      </c>
      <c r="MT254">
        <v>70</v>
      </c>
      <c r="ND254" t="s">
        <v>1455</v>
      </c>
      <c r="NE254" t="s">
        <v>1423</v>
      </c>
      <c r="NF254" t="s">
        <v>1417</v>
      </c>
      <c r="NG254" s="4" t="s">
        <v>1426</v>
      </c>
      <c r="NH254" s="6" t="s">
        <v>265</v>
      </c>
      <c r="NP254" t="s">
        <v>1457</v>
      </c>
      <c r="NQ254" t="s">
        <v>6</v>
      </c>
      <c r="NR254">
        <v>213</v>
      </c>
      <c r="NS254" t="s">
        <v>1456</v>
      </c>
      <c r="NT254">
        <v>4</v>
      </c>
      <c r="NW254">
        <v>3</v>
      </c>
      <c r="OH254" t="s">
        <v>1422</v>
      </c>
      <c r="OI254" t="s">
        <v>6</v>
      </c>
      <c r="OK254">
        <v>2015</v>
      </c>
      <c r="OL254">
        <v>2016</v>
      </c>
      <c r="OO254" t="s">
        <v>1178</v>
      </c>
      <c r="OP254" s="58">
        <v>46104</v>
      </c>
    </row>
    <row r="255" spans="1:406" ht="15.75" thickBot="1">
      <c r="A255" t="s">
        <v>248</v>
      </c>
      <c r="B255" t="s">
        <v>1413</v>
      </c>
      <c r="C255" t="s">
        <v>1414</v>
      </c>
      <c r="D255" s="67" t="s">
        <v>245</v>
      </c>
      <c r="E255" t="s">
        <v>1421</v>
      </c>
      <c r="F255" s="4" t="s">
        <v>1427</v>
      </c>
      <c r="G255" t="s">
        <v>2</v>
      </c>
      <c r="H255" t="s">
        <v>30</v>
      </c>
      <c r="I255">
        <v>6.7519444440000003</v>
      </c>
      <c r="J255">
        <v>38.33361111</v>
      </c>
      <c r="K255" t="s">
        <v>29</v>
      </c>
      <c r="AV255" t="s">
        <v>1428</v>
      </c>
      <c r="AW255">
        <v>420</v>
      </c>
      <c r="AX255">
        <v>0.18</v>
      </c>
      <c r="AY255">
        <v>1</v>
      </c>
      <c r="AZ255" t="s">
        <v>838</v>
      </c>
      <c r="BA255">
        <v>2015</v>
      </c>
      <c r="BB255">
        <v>2016</v>
      </c>
      <c r="BD255" t="s">
        <v>238</v>
      </c>
      <c r="BE255" t="s">
        <v>1434</v>
      </c>
      <c r="BF255" t="s">
        <v>64</v>
      </c>
      <c r="BG255" s="3" t="s">
        <v>1243</v>
      </c>
      <c r="BH255" t="s">
        <v>23</v>
      </c>
      <c r="BI255" t="s">
        <v>29</v>
      </c>
      <c r="BJ255" t="s">
        <v>22</v>
      </c>
      <c r="BK255">
        <v>53333</v>
      </c>
      <c r="BL255" t="s">
        <v>56</v>
      </c>
      <c r="BM255" t="s">
        <v>1436</v>
      </c>
      <c r="BN255" t="s">
        <v>29</v>
      </c>
      <c r="BO255" t="s">
        <v>22</v>
      </c>
      <c r="BP255">
        <v>266666</v>
      </c>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K255" s="9"/>
      <c r="HW255" s="58"/>
      <c r="IG255" t="s">
        <v>1442</v>
      </c>
      <c r="IH255" s="84" t="s">
        <v>1453</v>
      </c>
      <c r="II255" t="s">
        <v>660</v>
      </c>
      <c r="IJ255" t="s">
        <v>661</v>
      </c>
      <c r="IK255" t="s">
        <v>29</v>
      </c>
      <c r="IL255" t="s">
        <v>29</v>
      </c>
      <c r="IM255" t="s">
        <v>29</v>
      </c>
      <c r="JI255" t="s">
        <v>1441</v>
      </c>
      <c r="JJ255" t="s">
        <v>1440</v>
      </c>
      <c r="JK255" t="s">
        <v>14</v>
      </c>
      <c r="JL255" t="s">
        <v>1446</v>
      </c>
      <c r="JM255" s="4" t="s">
        <v>13</v>
      </c>
      <c r="JN255" t="s">
        <v>1448</v>
      </c>
      <c r="MS255" t="s">
        <v>1415</v>
      </c>
      <c r="MT255">
        <v>70</v>
      </c>
      <c r="ND255" t="s">
        <v>1455</v>
      </c>
      <c r="NE255" t="s">
        <v>1423</v>
      </c>
      <c r="NF255" t="s">
        <v>1417</v>
      </c>
      <c r="NG255" s="4" t="s">
        <v>1426</v>
      </c>
      <c r="NH255" s="6" t="s">
        <v>265</v>
      </c>
      <c r="NQ255" t="s">
        <v>6</v>
      </c>
      <c r="NR255">
        <v>182</v>
      </c>
      <c r="NS255" t="s">
        <v>1456</v>
      </c>
      <c r="NT255">
        <v>4</v>
      </c>
      <c r="NW255">
        <v>3</v>
      </c>
      <c r="OH255" t="s">
        <v>1422</v>
      </c>
      <c r="OI255" t="s">
        <v>6</v>
      </c>
      <c r="OK255">
        <v>2015</v>
      </c>
      <c r="OL255">
        <v>2016</v>
      </c>
      <c r="OO255" t="s">
        <v>1178</v>
      </c>
      <c r="OP255" s="58">
        <v>46104</v>
      </c>
    </row>
    <row r="256" spans="1:406" ht="15.75" thickBot="1">
      <c r="A256" t="s">
        <v>248</v>
      </c>
      <c r="B256" t="s">
        <v>1413</v>
      </c>
      <c r="C256" t="s">
        <v>1414</v>
      </c>
      <c r="D256" s="67" t="s">
        <v>245</v>
      </c>
      <c r="E256" t="s">
        <v>1421</v>
      </c>
      <c r="F256" s="4" t="s">
        <v>1427</v>
      </c>
      <c r="G256" t="s">
        <v>2</v>
      </c>
      <c r="H256" t="s">
        <v>30</v>
      </c>
      <c r="I256">
        <v>6.7519444440000003</v>
      </c>
      <c r="J256">
        <v>38.33361111</v>
      </c>
      <c r="K256" t="s">
        <v>29</v>
      </c>
      <c r="AV256" t="s">
        <v>1428</v>
      </c>
      <c r="AW256">
        <v>420</v>
      </c>
      <c r="AX256">
        <v>0.18</v>
      </c>
      <c r="AY256">
        <v>1</v>
      </c>
      <c r="AZ256" t="s">
        <v>838</v>
      </c>
      <c r="BA256">
        <v>2015</v>
      </c>
      <c r="BB256">
        <v>2016</v>
      </c>
      <c r="BD256" t="s">
        <v>238</v>
      </c>
      <c r="BE256" t="s">
        <v>1435</v>
      </c>
      <c r="BF256" t="s">
        <v>57</v>
      </c>
      <c r="BG256" s="3" t="s">
        <v>1243</v>
      </c>
      <c r="BH256" t="s">
        <v>23</v>
      </c>
      <c r="BI256" t="s">
        <v>29</v>
      </c>
      <c r="BJ256" t="s">
        <v>22</v>
      </c>
      <c r="BK256">
        <v>53333</v>
      </c>
      <c r="BL256" t="s">
        <v>56</v>
      </c>
      <c r="BM256" t="s">
        <v>1424</v>
      </c>
      <c r="BN256" t="s">
        <v>29</v>
      </c>
      <c r="BO256" t="s">
        <v>22</v>
      </c>
      <c r="BP256">
        <v>66666</v>
      </c>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K256" s="9"/>
      <c r="HW256" s="58"/>
      <c r="IG256" t="s">
        <v>1443</v>
      </c>
      <c r="IH256" s="84" t="s">
        <v>1453</v>
      </c>
      <c r="II256" t="s">
        <v>660</v>
      </c>
      <c r="IJ256" t="s">
        <v>661</v>
      </c>
      <c r="IK256" t="s">
        <v>29</v>
      </c>
      <c r="IL256" t="s">
        <v>29</v>
      </c>
      <c r="IM256" t="s">
        <v>29</v>
      </c>
      <c r="JI256" t="s">
        <v>1444</v>
      </c>
      <c r="JJ256" t="s">
        <v>1440</v>
      </c>
      <c r="JK256" t="s">
        <v>14</v>
      </c>
      <c r="JL256" t="s">
        <v>1446</v>
      </c>
      <c r="JM256" s="4" t="s">
        <v>13</v>
      </c>
      <c r="JN256" t="s">
        <v>1448</v>
      </c>
      <c r="MS256" t="s">
        <v>1415</v>
      </c>
      <c r="MT256">
        <v>70</v>
      </c>
      <c r="ND256" t="s">
        <v>1455</v>
      </c>
      <c r="NE256" t="s">
        <v>1423</v>
      </c>
      <c r="NF256" t="s">
        <v>1417</v>
      </c>
      <c r="NG256" s="4" t="s">
        <v>1426</v>
      </c>
      <c r="NH256" s="6" t="s">
        <v>265</v>
      </c>
      <c r="NQ256" t="s">
        <v>6</v>
      </c>
      <c r="NR256">
        <v>218</v>
      </c>
      <c r="NS256" t="s">
        <v>1456</v>
      </c>
      <c r="NT256">
        <v>4</v>
      </c>
      <c r="NW256">
        <v>3</v>
      </c>
      <c r="OH256" t="s">
        <v>1422</v>
      </c>
      <c r="OI256" t="s">
        <v>6</v>
      </c>
      <c r="OK256">
        <v>2015</v>
      </c>
      <c r="OL256">
        <v>2016</v>
      </c>
      <c r="OO256" t="s">
        <v>1178</v>
      </c>
      <c r="OP256" s="58">
        <v>46104</v>
      </c>
    </row>
    <row r="257" spans="1:406" ht="15.75" thickBot="1">
      <c r="A257" t="s">
        <v>248</v>
      </c>
      <c r="B257" t="s">
        <v>1413</v>
      </c>
      <c r="C257" t="s">
        <v>1414</v>
      </c>
      <c r="D257" s="67" t="s">
        <v>245</v>
      </c>
      <c r="E257" t="s">
        <v>1421</v>
      </c>
      <c r="F257" s="4" t="s">
        <v>1427</v>
      </c>
      <c r="G257" t="s">
        <v>2</v>
      </c>
      <c r="H257" t="s">
        <v>30</v>
      </c>
      <c r="I257">
        <v>6.7519444440000003</v>
      </c>
      <c r="J257">
        <v>38.33361111</v>
      </c>
      <c r="K257" t="s">
        <v>29</v>
      </c>
      <c r="AV257" t="s">
        <v>1428</v>
      </c>
      <c r="AW257">
        <v>420</v>
      </c>
      <c r="AX257">
        <v>0.18</v>
      </c>
      <c r="AY257">
        <v>1</v>
      </c>
      <c r="AZ257" t="s">
        <v>838</v>
      </c>
      <c r="BA257">
        <v>2015</v>
      </c>
      <c r="BB257">
        <v>2016</v>
      </c>
      <c r="BD257" t="s">
        <v>19</v>
      </c>
      <c r="BE257" t="s">
        <v>1433</v>
      </c>
      <c r="BF257" t="s">
        <v>256</v>
      </c>
      <c r="BG257" s="3" t="s">
        <v>1243</v>
      </c>
      <c r="BH257" t="s">
        <v>23</v>
      </c>
      <c r="BI257" t="s">
        <v>29</v>
      </c>
      <c r="BJ257" t="s">
        <v>22</v>
      </c>
      <c r="BK257">
        <v>53333</v>
      </c>
      <c r="EH257" s="9"/>
      <c r="EI257" s="9"/>
      <c r="EJ257" s="9"/>
      <c r="EK257" s="9"/>
      <c r="EL257" s="9"/>
      <c r="EM257" s="9"/>
      <c r="EN257" s="9"/>
      <c r="EO257" s="9"/>
      <c r="EP257" s="9"/>
      <c r="EQ257" s="9"/>
      <c r="ER257" s="9"/>
      <c r="ES257" s="9"/>
      <c r="ET257" s="9"/>
      <c r="EU257" s="9"/>
      <c r="EV257" s="9"/>
      <c r="EW257" s="9"/>
      <c r="EX257" s="9"/>
      <c r="EY257" s="9"/>
      <c r="EZ257" s="9"/>
      <c r="FA257" s="9"/>
      <c r="FB257" s="9"/>
      <c r="FC257" s="9"/>
      <c r="FD257" s="9"/>
      <c r="FE257" s="9"/>
      <c r="FF257" s="9"/>
      <c r="FG257" s="9"/>
      <c r="FH257" s="9"/>
      <c r="FI257" s="9"/>
      <c r="FJ257" s="9"/>
      <c r="FK257" s="9"/>
      <c r="FL257" s="9"/>
      <c r="FM257" s="9"/>
      <c r="FN257" s="9"/>
      <c r="FO257" s="9"/>
      <c r="FP257" s="9"/>
      <c r="FQ257" s="9"/>
      <c r="FR257" s="9"/>
      <c r="FS257" s="9"/>
      <c r="FT257" s="9"/>
      <c r="FU257" s="9"/>
      <c r="FV257" s="9"/>
      <c r="FW257" s="9"/>
      <c r="FX257" s="9"/>
      <c r="FY257" s="9"/>
      <c r="FZ257" s="9"/>
      <c r="GA257" s="9"/>
      <c r="GB257" s="9"/>
      <c r="GC257" s="9"/>
      <c r="GD257" s="9"/>
      <c r="GE257" s="9"/>
      <c r="GF257" s="9"/>
      <c r="GG257" s="9"/>
      <c r="GH257" s="9"/>
      <c r="GI257" s="9"/>
      <c r="GJ257" s="9"/>
      <c r="GK257" s="9"/>
      <c r="GL257" s="9"/>
      <c r="GM257" s="9"/>
      <c r="GN257" s="9"/>
      <c r="GO257" s="9"/>
      <c r="GP257" s="9"/>
      <c r="GQ257" s="9"/>
      <c r="GR257" s="9"/>
      <c r="GS257" s="9"/>
      <c r="GT257" s="9"/>
      <c r="GU257" s="9"/>
      <c r="GV257" s="9"/>
      <c r="GW257" s="9"/>
      <c r="GX257" s="9"/>
      <c r="GY257" s="9"/>
      <c r="GZ257" s="9"/>
      <c r="HA257" s="9"/>
      <c r="HB257" s="9"/>
      <c r="HC257" s="9"/>
      <c r="HD257" s="9"/>
      <c r="HE257" s="9"/>
      <c r="HF257" s="9"/>
      <c r="HG257" s="9"/>
      <c r="HH257" s="9"/>
      <c r="HI257" s="9"/>
      <c r="HJ257" s="9"/>
      <c r="HK257" s="9"/>
      <c r="HR257" t="s">
        <v>1449</v>
      </c>
      <c r="HW257" s="58"/>
      <c r="IG257" t="s">
        <v>255</v>
      </c>
      <c r="IH257" t="s">
        <v>19</v>
      </c>
      <c r="JI257" t="s">
        <v>1445</v>
      </c>
      <c r="JJ257" t="s">
        <v>1440</v>
      </c>
      <c r="JK257" t="s">
        <v>14</v>
      </c>
      <c r="JL257" t="s">
        <v>1446</v>
      </c>
      <c r="JM257" s="4" t="s">
        <v>13</v>
      </c>
      <c r="JN257" t="s">
        <v>1448</v>
      </c>
      <c r="MS257" t="s">
        <v>1415</v>
      </c>
      <c r="MT257">
        <v>70</v>
      </c>
      <c r="ND257" t="s">
        <v>1455</v>
      </c>
      <c r="NE257" t="s">
        <v>1423</v>
      </c>
      <c r="NF257" t="s">
        <v>1417</v>
      </c>
      <c r="NG257" s="4" t="s">
        <v>1426</v>
      </c>
      <c r="NH257" s="6" t="s">
        <v>265</v>
      </c>
      <c r="NP257" t="s">
        <v>745</v>
      </c>
      <c r="NQ257" t="s">
        <v>6</v>
      </c>
      <c r="NR257">
        <v>129</v>
      </c>
      <c r="NS257" t="s">
        <v>1456</v>
      </c>
      <c r="NT257">
        <v>4</v>
      </c>
      <c r="NW257">
        <v>3</v>
      </c>
      <c r="OH257" t="s">
        <v>1422</v>
      </c>
      <c r="OI257" t="s">
        <v>6</v>
      </c>
      <c r="OK257">
        <v>2015</v>
      </c>
      <c r="OL257">
        <v>2016</v>
      </c>
      <c r="OO257" t="s">
        <v>1178</v>
      </c>
      <c r="OP257" s="58">
        <v>46104</v>
      </c>
    </row>
    <row r="258" spans="1:406" ht="15.75" thickBot="1">
      <c r="A258" t="s">
        <v>248</v>
      </c>
      <c r="B258" t="s">
        <v>1413</v>
      </c>
      <c r="C258" t="s">
        <v>1414</v>
      </c>
      <c r="D258" s="67" t="s">
        <v>245</v>
      </c>
      <c r="E258" t="s">
        <v>1425</v>
      </c>
      <c r="F258" s="4" t="s">
        <v>1427</v>
      </c>
      <c r="G258" t="s">
        <v>2</v>
      </c>
      <c r="H258" t="s">
        <v>30</v>
      </c>
      <c r="I258">
        <v>7.971944444</v>
      </c>
      <c r="J258">
        <v>38.633055560000003</v>
      </c>
      <c r="K258" t="s">
        <v>29</v>
      </c>
      <c r="AV258" t="s">
        <v>1428</v>
      </c>
      <c r="AW258">
        <v>420</v>
      </c>
      <c r="AX258">
        <v>2.5</v>
      </c>
      <c r="AY258">
        <v>1</v>
      </c>
      <c r="AZ258" t="s">
        <v>838</v>
      </c>
      <c r="BA258">
        <v>2015</v>
      </c>
      <c r="BB258">
        <v>2016</v>
      </c>
      <c r="BD258" t="s">
        <v>19</v>
      </c>
      <c r="BE258" t="s">
        <v>1430</v>
      </c>
      <c r="BF258" t="s">
        <v>39</v>
      </c>
      <c r="BG258" s="3" t="s">
        <v>1243</v>
      </c>
      <c r="BH258" t="s">
        <v>23</v>
      </c>
      <c r="BI258" t="s">
        <v>29</v>
      </c>
      <c r="BJ258" s="4" t="s">
        <v>22</v>
      </c>
      <c r="BK258">
        <v>53333</v>
      </c>
      <c r="IG258" t="s">
        <v>255</v>
      </c>
      <c r="IH258" t="s">
        <v>19</v>
      </c>
      <c r="JI258" t="s">
        <v>1429</v>
      </c>
      <c r="JJ258" s="84" t="s">
        <v>1437</v>
      </c>
      <c r="JK258" s="8" t="s">
        <v>14</v>
      </c>
      <c r="JL258" s="8" t="s">
        <v>1446</v>
      </c>
      <c r="JM258" s="4" t="s">
        <v>13</v>
      </c>
      <c r="JN258" t="s">
        <v>1447</v>
      </c>
      <c r="MS258" t="s">
        <v>1451</v>
      </c>
      <c r="MT258">
        <v>70</v>
      </c>
      <c r="MU258" t="s">
        <v>1452</v>
      </c>
      <c r="MW258" t="s">
        <v>168</v>
      </c>
      <c r="MX258" s="4" t="s">
        <v>10</v>
      </c>
      <c r="NE258" t="s">
        <v>1532</v>
      </c>
      <c r="NF258" t="s">
        <v>1417</v>
      </c>
      <c r="NG258" s="4" t="s">
        <v>1531</v>
      </c>
      <c r="NH258" s="6" t="s">
        <v>265</v>
      </c>
      <c r="NP258" t="s">
        <v>1457</v>
      </c>
      <c r="NQ258" t="s">
        <v>6</v>
      </c>
      <c r="NR258">
        <v>2347</v>
      </c>
      <c r="NS258" t="s">
        <v>29</v>
      </c>
      <c r="NT258" t="s">
        <v>29</v>
      </c>
      <c r="NW258" s="15">
        <v>3</v>
      </c>
      <c r="OH258" t="s">
        <v>1418</v>
      </c>
      <c r="OI258" t="s">
        <v>6</v>
      </c>
      <c r="OK258">
        <v>2015</v>
      </c>
      <c r="OL258">
        <v>2016</v>
      </c>
      <c r="OO258" t="s">
        <v>1178</v>
      </c>
      <c r="OP258" s="58">
        <v>46104</v>
      </c>
    </row>
    <row r="259" spans="1:406" ht="15.75" thickBot="1">
      <c r="A259" t="s">
        <v>248</v>
      </c>
      <c r="B259" t="s">
        <v>1413</v>
      </c>
      <c r="C259" t="s">
        <v>1414</v>
      </c>
      <c r="D259" s="67" t="s">
        <v>245</v>
      </c>
      <c r="E259" t="s">
        <v>1425</v>
      </c>
      <c r="F259" s="4" t="s">
        <v>1427</v>
      </c>
      <c r="G259" t="s">
        <v>2</v>
      </c>
      <c r="H259" t="s">
        <v>30</v>
      </c>
      <c r="I259">
        <v>7.971944444</v>
      </c>
      <c r="J259">
        <v>38.633055560000003</v>
      </c>
      <c r="K259" t="s">
        <v>29</v>
      </c>
      <c r="AV259" t="s">
        <v>1428</v>
      </c>
      <c r="AW259">
        <v>420</v>
      </c>
      <c r="AX259">
        <v>2.5</v>
      </c>
      <c r="AY259">
        <v>1</v>
      </c>
      <c r="AZ259" t="s">
        <v>838</v>
      </c>
      <c r="BA259">
        <v>2015</v>
      </c>
      <c r="BB259">
        <v>2016</v>
      </c>
      <c r="BD259" t="s">
        <v>19</v>
      </c>
      <c r="BE259" t="s">
        <v>1431</v>
      </c>
      <c r="BF259" t="s">
        <v>24</v>
      </c>
      <c r="BG259" s="3" t="s">
        <v>1243</v>
      </c>
      <c r="BH259" t="s">
        <v>23</v>
      </c>
      <c r="BI259" t="s">
        <v>29</v>
      </c>
      <c r="BJ259" t="s">
        <v>22</v>
      </c>
      <c r="BK259">
        <v>53333</v>
      </c>
      <c r="IG259" t="s">
        <v>255</v>
      </c>
      <c r="IH259" t="s">
        <v>19</v>
      </c>
      <c r="JI259" t="s">
        <v>1438</v>
      </c>
      <c r="JJ259" s="54" t="s">
        <v>1440</v>
      </c>
      <c r="JK259" s="8" t="s">
        <v>14</v>
      </c>
      <c r="JL259" s="8" t="s">
        <v>1446</v>
      </c>
      <c r="JM259" s="4" t="s">
        <v>13</v>
      </c>
      <c r="JN259" t="s">
        <v>1448</v>
      </c>
      <c r="MS259" t="s">
        <v>1451</v>
      </c>
      <c r="MT259">
        <v>70</v>
      </c>
      <c r="MU259" t="s">
        <v>1452</v>
      </c>
      <c r="MW259" t="s">
        <v>168</v>
      </c>
      <c r="MX259" s="4" t="s">
        <v>10</v>
      </c>
      <c r="NE259" t="s">
        <v>1532</v>
      </c>
      <c r="NF259" t="s">
        <v>1417</v>
      </c>
      <c r="NG259" s="4" t="s">
        <v>1531</v>
      </c>
      <c r="NH259" s="6" t="s">
        <v>265</v>
      </c>
      <c r="NP259" t="s">
        <v>745</v>
      </c>
      <c r="NQ259" t="s">
        <v>6</v>
      </c>
      <c r="NR259">
        <v>3252</v>
      </c>
      <c r="NS259" t="s">
        <v>29</v>
      </c>
      <c r="NT259" t="s">
        <v>29</v>
      </c>
      <c r="NW259" s="15">
        <v>3</v>
      </c>
      <c r="OH259" t="s">
        <v>1418</v>
      </c>
      <c r="OI259" t="s">
        <v>6</v>
      </c>
      <c r="OK259">
        <v>2015</v>
      </c>
      <c r="OL259">
        <v>2016</v>
      </c>
      <c r="OO259" t="s">
        <v>1178</v>
      </c>
      <c r="OP259" s="58">
        <v>46104</v>
      </c>
    </row>
    <row r="260" spans="1:406" ht="15.75" thickBot="1">
      <c r="A260" t="s">
        <v>248</v>
      </c>
      <c r="B260" t="s">
        <v>1413</v>
      </c>
      <c r="C260" t="s">
        <v>1414</v>
      </c>
      <c r="D260" s="67" t="s">
        <v>245</v>
      </c>
      <c r="E260" t="s">
        <v>1425</v>
      </c>
      <c r="F260" s="4" t="s">
        <v>1427</v>
      </c>
      <c r="G260" t="s">
        <v>2</v>
      </c>
      <c r="H260" t="s">
        <v>30</v>
      </c>
      <c r="I260">
        <v>7.971944444</v>
      </c>
      <c r="J260">
        <v>38.633055560000003</v>
      </c>
      <c r="K260" t="s">
        <v>29</v>
      </c>
      <c r="AV260" t="s">
        <v>1428</v>
      </c>
      <c r="AW260">
        <v>420</v>
      </c>
      <c r="AX260">
        <v>2.5</v>
      </c>
      <c r="AY260">
        <v>1</v>
      </c>
      <c r="AZ260" t="s">
        <v>838</v>
      </c>
      <c r="BA260">
        <v>2015</v>
      </c>
      <c r="BB260">
        <v>2016</v>
      </c>
      <c r="BD260" t="s">
        <v>19</v>
      </c>
      <c r="BE260" t="s">
        <v>1432</v>
      </c>
      <c r="BF260" t="s">
        <v>299</v>
      </c>
      <c r="BG260" s="3" t="s">
        <v>1243</v>
      </c>
      <c r="BH260" t="s">
        <v>23</v>
      </c>
      <c r="BI260" t="s">
        <v>29</v>
      </c>
      <c r="BJ260" t="s">
        <v>22</v>
      </c>
      <c r="BK260">
        <v>53333</v>
      </c>
      <c r="HR260" t="s">
        <v>1449</v>
      </c>
      <c r="IG260" t="s">
        <v>255</v>
      </c>
      <c r="IH260" t="s">
        <v>19</v>
      </c>
      <c r="JI260" t="s">
        <v>1439</v>
      </c>
      <c r="JJ260" s="84" t="s">
        <v>1437</v>
      </c>
      <c r="JK260" t="s">
        <v>14</v>
      </c>
      <c r="JL260" t="s">
        <v>1446</v>
      </c>
      <c r="JM260" s="4" t="s">
        <v>13</v>
      </c>
      <c r="JN260" t="s">
        <v>1447</v>
      </c>
      <c r="KU260" t="s">
        <v>1450</v>
      </c>
      <c r="MS260" t="s">
        <v>1451</v>
      </c>
      <c r="MT260">
        <v>70</v>
      </c>
      <c r="MU260" t="s">
        <v>1452</v>
      </c>
      <c r="MW260" t="s">
        <v>168</v>
      </c>
      <c r="MX260" s="4" t="s">
        <v>10</v>
      </c>
      <c r="NE260" t="s">
        <v>1532</v>
      </c>
      <c r="NF260" t="s">
        <v>1417</v>
      </c>
      <c r="NG260" s="4" t="s">
        <v>1531</v>
      </c>
      <c r="NH260" s="6" t="s">
        <v>265</v>
      </c>
      <c r="NP260" t="s">
        <v>1457</v>
      </c>
      <c r="NQ260" t="s">
        <v>6</v>
      </c>
      <c r="NR260">
        <v>2931</v>
      </c>
      <c r="NS260" t="s">
        <v>29</v>
      </c>
      <c r="NT260" t="s">
        <v>29</v>
      </c>
      <c r="NW260" s="15">
        <v>3</v>
      </c>
      <c r="OH260" t="s">
        <v>1418</v>
      </c>
      <c r="OI260" t="s">
        <v>6</v>
      </c>
      <c r="OK260">
        <v>2015</v>
      </c>
      <c r="OL260">
        <v>2016</v>
      </c>
      <c r="OO260" t="s">
        <v>1178</v>
      </c>
      <c r="OP260" s="58">
        <v>46104</v>
      </c>
    </row>
    <row r="261" spans="1:406" ht="15.75" thickBot="1">
      <c r="A261" t="s">
        <v>248</v>
      </c>
      <c r="B261" t="s">
        <v>1413</v>
      </c>
      <c r="C261" t="s">
        <v>1414</v>
      </c>
      <c r="D261" s="67" t="s">
        <v>245</v>
      </c>
      <c r="E261" t="s">
        <v>1425</v>
      </c>
      <c r="F261" s="4" t="s">
        <v>1427</v>
      </c>
      <c r="G261" t="s">
        <v>2</v>
      </c>
      <c r="H261" t="s">
        <v>30</v>
      </c>
      <c r="I261">
        <v>7.971944444</v>
      </c>
      <c r="J261">
        <v>38.633055560000003</v>
      </c>
      <c r="K261" t="s">
        <v>29</v>
      </c>
      <c r="AV261" t="s">
        <v>1428</v>
      </c>
      <c r="AW261">
        <v>420</v>
      </c>
      <c r="AX261">
        <v>2.5</v>
      </c>
      <c r="AY261">
        <v>1</v>
      </c>
      <c r="AZ261" t="s">
        <v>838</v>
      </c>
      <c r="BA261">
        <v>2015</v>
      </c>
      <c r="BB261">
        <v>2016</v>
      </c>
      <c r="BD261" t="s">
        <v>238</v>
      </c>
      <c r="BE261" t="s">
        <v>1434</v>
      </c>
      <c r="BF261" t="s">
        <v>64</v>
      </c>
      <c r="BG261" s="3" t="s">
        <v>1243</v>
      </c>
      <c r="BH261" t="s">
        <v>23</v>
      </c>
      <c r="BI261" t="s">
        <v>29</v>
      </c>
      <c r="BJ261" t="s">
        <v>22</v>
      </c>
      <c r="BK261">
        <v>53333</v>
      </c>
      <c r="BL261" t="s">
        <v>56</v>
      </c>
      <c r="BM261" t="s">
        <v>1436</v>
      </c>
      <c r="BN261" t="s">
        <v>29</v>
      </c>
      <c r="BO261" t="s">
        <v>22</v>
      </c>
      <c r="BP261">
        <v>266666</v>
      </c>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K261" s="9"/>
      <c r="HW261" s="58"/>
      <c r="IG261" t="s">
        <v>1442</v>
      </c>
      <c r="IH261" s="84" t="s">
        <v>1453</v>
      </c>
      <c r="II261" t="s">
        <v>660</v>
      </c>
      <c r="IJ261" t="s">
        <v>661</v>
      </c>
      <c r="IK261" t="s">
        <v>29</v>
      </c>
      <c r="IL261" t="s">
        <v>29</v>
      </c>
      <c r="IM261" t="s">
        <v>29</v>
      </c>
      <c r="JI261" t="s">
        <v>1441</v>
      </c>
      <c r="JJ261" t="s">
        <v>1440</v>
      </c>
      <c r="JK261" t="s">
        <v>14</v>
      </c>
      <c r="JL261" t="s">
        <v>1446</v>
      </c>
      <c r="JM261" s="4" t="s">
        <v>13</v>
      </c>
      <c r="JN261" t="s">
        <v>1448</v>
      </c>
      <c r="MS261" t="s">
        <v>1451</v>
      </c>
      <c r="MT261">
        <v>70</v>
      </c>
      <c r="MU261" t="s">
        <v>1452</v>
      </c>
      <c r="MW261" t="s">
        <v>168</v>
      </c>
      <c r="MX261" s="4" t="s">
        <v>10</v>
      </c>
      <c r="MY261" t="s">
        <v>1533</v>
      </c>
      <c r="NE261" t="s">
        <v>1532</v>
      </c>
      <c r="NF261" t="s">
        <v>1417</v>
      </c>
      <c r="NG261" s="4" t="s">
        <v>1531</v>
      </c>
      <c r="NH261" s="6" t="s">
        <v>265</v>
      </c>
      <c r="NQ261" t="s">
        <v>6</v>
      </c>
      <c r="NR261">
        <v>4013</v>
      </c>
      <c r="NS261" t="s">
        <v>29</v>
      </c>
      <c r="NT261" t="s">
        <v>29</v>
      </c>
      <c r="NW261" s="15">
        <v>3</v>
      </c>
      <c r="OH261" t="s">
        <v>1418</v>
      </c>
      <c r="OI261" t="s">
        <v>6</v>
      </c>
      <c r="OK261">
        <v>2015</v>
      </c>
      <c r="OL261">
        <v>2016</v>
      </c>
      <c r="OO261" t="s">
        <v>1178</v>
      </c>
      <c r="OP261" s="58">
        <v>46104</v>
      </c>
    </row>
    <row r="262" spans="1:406" ht="15.75" thickBot="1">
      <c r="A262" t="s">
        <v>248</v>
      </c>
      <c r="B262" t="s">
        <v>1413</v>
      </c>
      <c r="C262" t="s">
        <v>1414</v>
      </c>
      <c r="D262" s="67" t="s">
        <v>245</v>
      </c>
      <c r="E262" t="s">
        <v>1425</v>
      </c>
      <c r="F262" s="4" t="s">
        <v>1427</v>
      </c>
      <c r="G262" t="s">
        <v>2</v>
      </c>
      <c r="H262" t="s">
        <v>30</v>
      </c>
      <c r="I262">
        <v>7.971944444</v>
      </c>
      <c r="J262">
        <v>38.633055560000003</v>
      </c>
      <c r="K262" t="s">
        <v>29</v>
      </c>
      <c r="AV262" t="s">
        <v>1428</v>
      </c>
      <c r="AW262">
        <v>420</v>
      </c>
      <c r="AX262">
        <v>2.5</v>
      </c>
      <c r="AY262">
        <v>1</v>
      </c>
      <c r="AZ262" t="s">
        <v>838</v>
      </c>
      <c r="BA262">
        <v>2015</v>
      </c>
      <c r="BB262">
        <v>2016</v>
      </c>
      <c r="BD262" t="s">
        <v>238</v>
      </c>
      <c r="BE262" t="s">
        <v>1435</v>
      </c>
      <c r="BF262" t="s">
        <v>57</v>
      </c>
      <c r="BG262" s="3" t="s">
        <v>1243</v>
      </c>
      <c r="BH262" t="s">
        <v>23</v>
      </c>
      <c r="BI262" t="s">
        <v>29</v>
      </c>
      <c r="BJ262" t="s">
        <v>22</v>
      </c>
      <c r="BK262">
        <v>53333</v>
      </c>
      <c r="BL262" t="s">
        <v>56</v>
      </c>
      <c r="BM262" t="s">
        <v>1424</v>
      </c>
      <c r="BN262" t="s">
        <v>29</v>
      </c>
      <c r="BO262" t="s">
        <v>22</v>
      </c>
      <c r="BP262">
        <v>66666</v>
      </c>
      <c r="EH262" s="9"/>
      <c r="EI262" s="9"/>
      <c r="EJ262" s="9"/>
      <c r="EK262" s="9"/>
      <c r="EL262" s="9"/>
      <c r="EM262" s="9"/>
      <c r="EN262" s="9"/>
      <c r="EO262" s="9"/>
      <c r="EP262" s="9"/>
      <c r="EQ262" s="9"/>
      <c r="ER262" s="9"/>
      <c r="ES262" s="9"/>
      <c r="ET262" s="9"/>
      <c r="EU262" s="9"/>
      <c r="EV262" s="9"/>
      <c r="EW262" s="9"/>
      <c r="EX262" s="9"/>
      <c r="EY262" s="9"/>
      <c r="EZ262" s="9"/>
      <c r="FA262" s="9"/>
      <c r="FB262" s="9"/>
      <c r="FC262" s="9"/>
      <c r="FD262" s="9"/>
      <c r="FE262" s="9"/>
      <c r="FF262" s="9"/>
      <c r="FG262" s="9"/>
      <c r="FH262" s="9"/>
      <c r="FI262" s="9"/>
      <c r="FJ262" s="9"/>
      <c r="FK262" s="9"/>
      <c r="FL262" s="9"/>
      <c r="FM262" s="9"/>
      <c r="FN262" s="9"/>
      <c r="FO262" s="9"/>
      <c r="FP262" s="9"/>
      <c r="FQ262" s="9"/>
      <c r="FR262" s="9"/>
      <c r="FS262" s="9"/>
      <c r="FT262" s="9"/>
      <c r="FU262" s="9"/>
      <c r="FV262" s="9"/>
      <c r="FW262" s="9"/>
      <c r="FX262" s="9"/>
      <c r="FY262" s="9"/>
      <c r="FZ262" s="9"/>
      <c r="GA262" s="9"/>
      <c r="GB262" s="9"/>
      <c r="GC262" s="9"/>
      <c r="GD262" s="9"/>
      <c r="GE262" s="9"/>
      <c r="GF262" s="9"/>
      <c r="GG262" s="9"/>
      <c r="GH262" s="9"/>
      <c r="GI262" s="9"/>
      <c r="GJ262" s="9"/>
      <c r="GK262" s="9"/>
      <c r="GL262" s="9"/>
      <c r="GM262" s="9"/>
      <c r="GN262" s="9"/>
      <c r="GO262" s="9"/>
      <c r="GP262" s="9"/>
      <c r="GQ262" s="9"/>
      <c r="GR262" s="9"/>
      <c r="GS262" s="9"/>
      <c r="GT262" s="9"/>
      <c r="GU262" s="9"/>
      <c r="GV262" s="9"/>
      <c r="GW262" s="9"/>
      <c r="GX262" s="9"/>
      <c r="GY262" s="9"/>
      <c r="GZ262" s="9"/>
      <c r="HA262" s="9"/>
      <c r="HB262" s="9"/>
      <c r="HC262" s="9"/>
      <c r="HD262" s="9"/>
      <c r="HE262" s="9"/>
      <c r="HF262" s="9"/>
      <c r="HG262" s="9"/>
      <c r="HH262" s="9"/>
      <c r="HI262" s="9"/>
      <c r="HJ262" s="9"/>
      <c r="HK262" s="9"/>
      <c r="HW262" s="58"/>
      <c r="IG262" t="s">
        <v>1443</v>
      </c>
      <c r="IH262" s="84" t="s">
        <v>1453</v>
      </c>
      <c r="II262" t="s">
        <v>660</v>
      </c>
      <c r="IJ262" t="s">
        <v>661</v>
      </c>
      <c r="IK262" t="s">
        <v>29</v>
      </c>
      <c r="IL262" t="s">
        <v>29</v>
      </c>
      <c r="IM262" t="s">
        <v>29</v>
      </c>
      <c r="JI262" t="s">
        <v>1444</v>
      </c>
      <c r="JJ262" t="s">
        <v>1440</v>
      </c>
      <c r="JK262" t="s">
        <v>14</v>
      </c>
      <c r="JL262" t="s">
        <v>1446</v>
      </c>
      <c r="JM262" s="4" t="s">
        <v>13</v>
      </c>
      <c r="JN262" t="s">
        <v>1448</v>
      </c>
      <c r="MS262" t="s">
        <v>1451</v>
      </c>
      <c r="MT262">
        <v>70</v>
      </c>
      <c r="MU262" t="s">
        <v>1452</v>
      </c>
      <c r="MW262" t="s">
        <v>168</v>
      </c>
      <c r="MX262" s="4" t="s">
        <v>10</v>
      </c>
      <c r="MY262" t="s">
        <v>1454</v>
      </c>
      <c r="NE262" t="s">
        <v>1532</v>
      </c>
      <c r="NF262" t="s">
        <v>1417</v>
      </c>
      <c r="NG262" s="4" t="s">
        <v>1531</v>
      </c>
      <c r="NH262" s="6" t="s">
        <v>265</v>
      </c>
      <c r="NQ262" t="s">
        <v>6</v>
      </c>
      <c r="NR262">
        <v>3788</v>
      </c>
      <c r="NS262" t="s">
        <v>29</v>
      </c>
      <c r="NT262" t="s">
        <v>29</v>
      </c>
      <c r="NW262" s="15">
        <v>3</v>
      </c>
      <c r="OH262" t="s">
        <v>1418</v>
      </c>
      <c r="OI262" t="s">
        <v>6</v>
      </c>
      <c r="OK262">
        <v>2015</v>
      </c>
      <c r="OL262">
        <v>2016</v>
      </c>
      <c r="OO262" t="s">
        <v>1178</v>
      </c>
      <c r="OP262" s="58">
        <v>46104</v>
      </c>
    </row>
    <row r="263" spans="1:406" ht="15.75" thickBot="1">
      <c r="A263" t="s">
        <v>248</v>
      </c>
      <c r="B263" t="s">
        <v>1413</v>
      </c>
      <c r="C263" t="s">
        <v>1414</v>
      </c>
      <c r="D263" s="67" t="s">
        <v>245</v>
      </c>
      <c r="E263" t="s">
        <v>1425</v>
      </c>
      <c r="F263" s="4" t="s">
        <v>1427</v>
      </c>
      <c r="G263" t="s">
        <v>2</v>
      </c>
      <c r="H263" t="s">
        <v>30</v>
      </c>
      <c r="I263">
        <v>7.971944444</v>
      </c>
      <c r="J263">
        <v>38.633055560000003</v>
      </c>
      <c r="K263" t="s">
        <v>29</v>
      </c>
      <c r="AV263" t="s">
        <v>1428</v>
      </c>
      <c r="AW263">
        <v>420</v>
      </c>
      <c r="AX263">
        <v>2.5</v>
      </c>
      <c r="AY263">
        <v>1</v>
      </c>
      <c r="AZ263" t="s">
        <v>838</v>
      </c>
      <c r="BA263">
        <v>2015</v>
      </c>
      <c r="BB263">
        <v>2016</v>
      </c>
      <c r="BD263" t="s">
        <v>19</v>
      </c>
      <c r="BE263" t="s">
        <v>1433</v>
      </c>
      <c r="BF263" t="s">
        <v>256</v>
      </c>
      <c r="BG263" s="3" t="s">
        <v>1243</v>
      </c>
      <c r="BH263" t="s">
        <v>23</v>
      </c>
      <c r="BI263" t="s">
        <v>29</v>
      </c>
      <c r="BJ263" t="s">
        <v>22</v>
      </c>
      <c r="BK263">
        <v>53333</v>
      </c>
      <c r="HR263" t="s">
        <v>1449</v>
      </c>
      <c r="IG263" t="s">
        <v>255</v>
      </c>
      <c r="IH263" t="s">
        <v>19</v>
      </c>
      <c r="JI263" t="s">
        <v>1445</v>
      </c>
      <c r="JJ263" t="s">
        <v>1440</v>
      </c>
      <c r="JK263" t="s">
        <v>14</v>
      </c>
      <c r="JL263" t="s">
        <v>1446</v>
      </c>
      <c r="JM263" s="4" t="s">
        <v>13</v>
      </c>
      <c r="JN263" t="s">
        <v>1448</v>
      </c>
      <c r="MS263" t="s">
        <v>1451</v>
      </c>
      <c r="MT263">
        <v>70</v>
      </c>
      <c r="MU263" t="s">
        <v>1452</v>
      </c>
      <c r="MW263" t="s">
        <v>168</v>
      </c>
      <c r="MX263" s="4" t="s">
        <v>10</v>
      </c>
      <c r="NE263" t="s">
        <v>1532</v>
      </c>
      <c r="NF263" t="s">
        <v>1417</v>
      </c>
      <c r="NG263" s="4" t="s">
        <v>1531</v>
      </c>
      <c r="NH263" s="6" t="s">
        <v>265</v>
      </c>
      <c r="NP263" t="s">
        <v>745</v>
      </c>
      <c r="NQ263" t="s">
        <v>6</v>
      </c>
      <c r="NR263">
        <v>3834</v>
      </c>
      <c r="NS263" t="s">
        <v>29</v>
      </c>
      <c r="NT263" t="s">
        <v>29</v>
      </c>
      <c r="NW263" s="15">
        <v>3</v>
      </c>
      <c r="OH263" t="s">
        <v>1418</v>
      </c>
      <c r="OI263" t="s">
        <v>6</v>
      </c>
      <c r="OK263">
        <v>2015</v>
      </c>
      <c r="OL263">
        <v>2016</v>
      </c>
      <c r="OO263" t="s">
        <v>1178</v>
      </c>
      <c r="OP263" s="58">
        <v>46104</v>
      </c>
    </row>
    <row r="264" spans="1:406" ht="15.75" thickBot="1">
      <c r="A264" t="s">
        <v>248</v>
      </c>
      <c r="B264" t="s">
        <v>1413</v>
      </c>
      <c r="C264" t="s">
        <v>1414</v>
      </c>
      <c r="D264" s="67" t="s">
        <v>245</v>
      </c>
      <c r="E264" t="s">
        <v>1419</v>
      </c>
      <c r="F264" s="4" t="s">
        <v>1427</v>
      </c>
      <c r="G264" t="s">
        <v>2</v>
      </c>
      <c r="H264" t="s">
        <v>30</v>
      </c>
      <c r="I264">
        <v>7.306944444</v>
      </c>
      <c r="J264">
        <v>38.012222219999998</v>
      </c>
      <c r="K264" t="s">
        <v>29</v>
      </c>
      <c r="AV264" t="s">
        <v>1428</v>
      </c>
      <c r="AW264">
        <v>420</v>
      </c>
      <c r="AX264">
        <v>1.5</v>
      </c>
      <c r="AY264">
        <v>1</v>
      </c>
      <c r="AZ264" t="s">
        <v>838</v>
      </c>
      <c r="BA264">
        <v>2015</v>
      </c>
      <c r="BB264">
        <v>2016</v>
      </c>
      <c r="BD264" t="s">
        <v>19</v>
      </c>
      <c r="BE264" t="s">
        <v>1430</v>
      </c>
      <c r="BF264" t="s">
        <v>39</v>
      </c>
      <c r="BG264" s="3" t="s">
        <v>1243</v>
      </c>
      <c r="BH264" t="s">
        <v>23</v>
      </c>
      <c r="BI264" t="s">
        <v>29</v>
      </c>
      <c r="BJ264" s="4" t="s">
        <v>22</v>
      </c>
      <c r="BK264">
        <v>53333</v>
      </c>
      <c r="IG264" t="s">
        <v>255</v>
      </c>
      <c r="IH264" t="s">
        <v>19</v>
      </c>
      <c r="JI264" t="s">
        <v>1429</v>
      </c>
      <c r="JJ264" s="84" t="s">
        <v>1437</v>
      </c>
      <c r="JK264" s="8" t="s">
        <v>14</v>
      </c>
      <c r="JL264" s="8" t="s">
        <v>1446</v>
      </c>
      <c r="JM264" s="4" t="s">
        <v>13</v>
      </c>
      <c r="JN264" t="s">
        <v>1447</v>
      </c>
      <c r="MS264" t="s">
        <v>1451</v>
      </c>
      <c r="MT264">
        <v>70</v>
      </c>
      <c r="MU264" t="s">
        <v>1452</v>
      </c>
      <c r="MW264" t="s">
        <v>168</v>
      </c>
      <c r="MX264" s="4" t="s">
        <v>10</v>
      </c>
      <c r="NE264" t="s">
        <v>1532</v>
      </c>
      <c r="NF264" t="s">
        <v>1417</v>
      </c>
      <c r="NG264" s="4" t="s">
        <v>1531</v>
      </c>
      <c r="NH264" s="6" t="s">
        <v>265</v>
      </c>
      <c r="NP264" t="s">
        <v>1457</v>
      </c>
      <c r="NQ264" t="s">
        <v>6</v>
      </c>
      <c r="NR264">
        <v>3028</v>
      </c>
      <c r="NS264" t="s">
        <v>29</v>
      </c>
      <c r="NT264" t="s">
        <v>29</v>
      </c>
      <c r="NW264" s="15">
        <v>3</v>
      </c>
      <c r="OH264" t="s">
        <v>1420</v>
      </c>
      <c r="OI264" t="s">
        <v>6</v>
      </c>
      <c r="OK264">
        <v>2015</v>
      </c>
      <c r="OL264">
        <v>2016</v>
      </c>
      <c r="OO264" t="s">
        <v>1178</v>
      </c>
      <c r="OP264" s="58">
        <v>46104</v>
      </c>
    </row>
    <row r="265" spans="1:406" ht="15.75" thickBot="1">
      <c r="A265" t="s">
        <v>248</v>
      </c>
      <c r="B265" t="s">
        <v>1413</v>
      </c>
      <c r="C265" t="s">
        <v>1414</v>
      </c>
      <c r="D265" s="67" t="s">
        <v>245</v>
      </c>
      <c r="E265" t="s">
        <v>1419</v>
      </c>
      <c r="F265" s="4" t="s">
        <v>1427</v>
      </c>
      <c r="G265" t="s">
        <v>2</v>
      </c>
      <c r="H265" t="s">
        <v>30</v>
      </c>
      <c r="I265">
        <v>7.306944444</v>
      </c>
      <c r="J265">
        <v>38.012222219999998</v>
      </c>
      <c r="K265" t="s">
        <v>29</v>
      </c>
      <c r="AV265" t="s">
        <v>1428</v>
      </c>
      <c r="AW265">
        <v>420</v>
      </c>
      <c r="AX265">
        <v>1.5</v>
      </c>
      <c r="AY265">
        <v>1</v>
      </c>
      <c r="AZ265" t="s">
        <v>838</v>
      </c>
      <c r="BA265">
        <v>2015</v>
      </c>
      <c r="BB265">
        <v>2016</v>
      </c>
      <c r="BD265" t="s">
        <v>19</v>
      </c>
      <c r="BE265" t="s">
        <v>1431</v>
      </c>
      <c r="BF265" t="s">
        <v>24</v>
      </c>
      <c r="BG265" s="3" t="s">
        <v>1243</v>
      </c>
      <c r="BH265" t="s">
        <v>23</v>
      </c>
      <c r="BI265" t="s">
        <v>29</v>
      </c>
      <c r="BJ265" t="s">
        <v>22</v>
      </c>
      <c r="BK265">
        <v>53333</v>
      </c>
      <c r="IG265" t="s">
        <v>255</v>
      </c>
      <c r="IH265" t="s">
        <v>19</v>
      </c>
      <c r="JI265" t="s">
        <v>1438</v>
      </c>
      <c r="JJ265" s="54" t="s">
        <v>1440</v>
      </c>
      <c r="JK265" t="s">
        <v>14</v>
      </c>
      <c r="JL265" s="8" t="s">
        <v>1446</v>
      </c>
      <c r="JM265" s="4" t="s">
        <v>13</v>
      </c>
      <c r="JN265" t="s">
        <v>1448</v>
      </c>
      <c r="MS265" t="s">
        <v>1451</v>
      </c>
      <c r="MT265">
        <v>70</v>
      </c>
      <c r="MU265" t="s">
        <v>1452</v>
      </c>
      <c r="MW265" t="s">
        <v>168</v>
      </c>
      <c r="MX265" s="4" t="s">
        <v>10</v>
      </c>
      <c r="NE265" t="s">
        <v>1532</v>
      </c>
      <c r="NF265" t="s">
        <v>1417</v>
      </c>
      <c r="NG265" s="4" t="s">
        <v>1531</v>
      </c>
      <c r="NH265" s="6" t="s">
        <v>265</v>
      </c>
      <c r="NP265" t="s">
        <v>745</v>
      </c>
      <c r="NQ265" t="s">
        <v>6</v>
      </c>
      <c r="NR265">
        <v>3372</v>
      </c>
      <c r="NS265" t="s">
        <v>29</v>
      </c>
      <c r="NT265" t="s">
        <v>29</v>
      </c>
      <c r="NW265" s="15">
        <v>3</v>
      </c>
      <c r="OH265" t="s">
        <v>1420</v>
      </c>
      <c r="OI265" t="s">
        <v>6</v>
      </c>
      <c r="OK265">
        <v>2015</v>
      </c>
      <c r="OL265">
        <v>2016</v>
      </c>
      <c r="OO265" t="s">
        <v>1178</v>
      </c>
      <c r="OP265" s="58">
        <v>46104</v>
      </c>
    </row>
    <row r="266" spans="1:406" ht="15.75" thickBot="1">
      <c r="A266" t="s">
        <v>248</v>
      </c>
      <c r="B266" t="s">
        <v>1413</v>
      </c>
      <c r="C266" t="s">
        <v>1414</v>
      </c>
      <c r="D266" s="67" t="s">
        <v>245</v>
      </c>
      <c r="E266" t="s">
        <v>1419</v>
      </c>
      <c r="F266" s="4" t="s">
        <v>1427</v>
      </c>
      <c r="G266" t="s">
        <v>2</v>
      </c>
      <c r="H266" t="s">
        <v>30</v>
      </c>
      <c r="I266">
        <v>7.306944444</v>
      </c>
      <c r="J266">
        <v>38.012222219999998</v>
      </c>
      <c r="K266" t="s">
        <v>29</v>
      </c>
      <c r="AV266" t="s">
        <v>1428</v>
      </c>
      <c r="AW266">
        <v>420</v>
      </c>
      <c r="AX266">
        <v>1.5</v>
      </c>
      <c r="AY266">
        <v>1</v>
      </c>
      <c r="AZ266" t="s">
        <v>838</v>
      </c>
      <c r="BA266">
        <v>2015</v>
      </c>
      <c r="BB266">
        <v>2016</v>
      </c>
      <c r="BD266" t="s">
        <v>19</v>
      </c>
      <c r="BE266" t="s">
        <v>1432</v>
      </c>
      <c r="BF266" t="s">
        <v>299</v>
      </c>
      <c r="BG266" s="3" t="s">
        <v>1243</v>
      </c>
      <c r="BH266" t="s">
        <v>23</v>
      </c>
      <c r="BI266" t="s">
        <v>29</v>
      </c>
      <c r="BJ266" t="s">
        <v>22</v>
      </c>
      <c r="BK266">
        <v>53333</v>
      </c>
      <c r="HR266" t="s">
        <v>1449</v>
      </c>
      <c r="IG266" t="s">
        <v>255</v>
      </c>
      <c r="IH266" t="s">
        <v>19</v>
      </c>
      <c r="JI266" t="s">
        <v>1439</v>
      </c>
      <c r="JJ266" s="84" t="s">
        <v>1437</v>
      </c>
      <c r="JK266" t="s">
        <v>14</v>
      </c>
      <c r="JL266" s="8" t="s">
        <v>1446</v>
      </c>
      <c r="JM266" s="4" t="s">
        <v>13</v>
      </c>
      <c r="JN266" t="s">
        <v>1447</v>
      </c>
      <c r="KU266" t="s">
        <v>1450</v>
      </c>
      <c r="MS266" t="s">
        <v>1451</v>
      </c>
      <c r="MT266">
        <v>70</v>
      </c>
      <c r="MU266" t="s">
        <v>1452</v>
      </c>
      <c r="MW266" t="s">
        <v>168</v>
      </c>
      <c r="MX266" s="4" t="s">
        <v>10</v>
      </c>
      <c r="NE266" t="s">
        <v>1532</v>
      </c>
      <c r="NF266" t="s">
        <v>1417</v>
      </c>
      <c r="NG266" s="4" t="s">
        <v>1531</v>
      </c>
      <c r="NH266" s="6" t="s">
        <v>265</v>
      </c>
      <c r="NP266" t="s">
        <v>1457</v>
      </c>
      <c r="NQ266" t="s">
        <v>6</v>
      </c>
      <c r="NR266">
        <v>3871</v>
      </c>
      <c r="NS266" t="s">
        <v>29</v>
      </c>
      <c r="NT266" t="s">
        <v>29</v>
      </c>
      <c r="NW266" s="15">
        <v>3</v>
      </c>
      <c r="OH266" t="s">
        <v>1420</v>
      </c>
      <c r="OI266" t="s">
        <v>6</v>
      </c>
      <c r="OK266">
        <v>2015</v>
      </c>
      <c r="OL266">
        <v>2016</v>
      </c>
      <c r="OO266" t="s">
        <v>1178</v>
      </c>
      <c r="OP266" s="58">
        <v>46104</v>
      </c>
    </row>
    <row r="267" spans="1:406" ht="15.75" thickBot="1">
      <c r="A267" t="s">
        <v>248</v>
      </c>
      <c r="B267" t="s">
        <v>1413</v>
      </c>
      <c r="C267" t="s">
        <v>1414</v>
      </c>
      <c r="D267" s="67" t="s">
        <v>245</v>
      </c>
      <c r="E267" t="s">
        <v>1419</v>
      </c>
      <c r="F267" s="4" t="s">
        <v>1427</v>
      </c>
      <c r="G267" t="s">
        <v>2</v>
      </c>
      <c r="H267" t="s">
        <v>30</v>
      </c>
      <c r="I267">
        <v>7.306944444</v>
      </c>
      <c r="J267">
        <v>38.012222219999998</v>
      </c>
      <c r="K267" t="s">
        <v>29</v>
      </c>
      <c r="AV267" t="s">
        <v>1428</v>
      </c>
      <c r="AW267">
        <v>420</v>
      </c>
      <c r="AX267">
        <v>1.5</v>
      </c>
      <c r="AY267">
        <v>1</v>
      </c>
      <c r="AZ267" t="s">
        <v>838</v>
      </c>
      <c r="BA267">
        <v>2015</v>
      </c>
      <c r="BB267">
        <v>2016</v>
      </c>
      <c r="BD267" t="s">
        <v>238</v>
      </c>
      <c r="BE267" t="s">
        <v>1434</v>
      </c>
      <c r="BF267" t="s">
        <v>64</v>
      </c>
      <c r="BG267" s="3" t="s">
        <v>1243</v>
      </c>
      <c r="BH267" t="s">
        <v>23</v>
      </c>
      <c r="BI267" t="s">
        <v>29</v>
      </c>
      <c r="BJ267" t="s">
        <v>22</v>
      </c>
      <c r="BK267">
        <v>53333</v>
      </c>
      <c r="BL267" t="s">
        <v>56</v>
      </c>
      <c r="BM267" t="s">
        <v>1436</v>
      </c>
      <c r="BN267" t="s">
        <v>29</v>
      </c>
      <c r="BO267" t="s">
        <v>22</v>
      </c>
      <c r="BP267">
        <v>266666</v>
      </c>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K267" s="9"/>
      <c r="HW267" s="58"/>
      <c r="IG267" t="s">
        <v>1442</v>
      </c>
      <c r="IH267" s="84" t="s">
        <v>1453</v>
      </c>
      <c r="II267" t="s">
        <v>660</v>
      </c>
      <c r="IJ267" t="s">
        <v>661</v>
      </c>
      <c r="IK267" t="s">
        <v>29</v>
      </c>
      <c r="IL267" t="s">
        <v>29</v>
      </c>
      <c r="IM267" t="s">
        <v>29</v>
      </c>
      <c r="JI267" t="s">
        <v>1441</v>
      </c>
      <c r="JJ267" t="s">
        <v>1440</v>
      </c>
      <c r="JK267" t="s">
        <v>14</v>
      </c>
      <c r="JL267" t="s">
        <v>1446</v>
      </c>
      <c r="JM267" s="4" t="s">
        <v>13</v>
      </c>
      <c r="JN267" t="s">
        <v>1448</v>
      </c>
      <c r="MS267" t="s">
        <v>1451</v>
      </c>
      <c r="MT267">
        <v>70</v>
      </c>
      <c r="MU267" t="s">
        <v>1452</v>
      </c>
      <c r="MW267" t="s">
        <v>168</v>
      </c>
      <c r="MX267" s="4" t="s">
        <v>10</v>
      </c>
      <c r="MY267" t="s">
        <v>1533</v>
      </c>
      <c r="NE267" t="s">
        <v>1532</v>
      </c>
      <c r="NF267" t="s">
        <v>1417</v>
      </c>
      <c r="NG267" s="4" t="s">
        <v>1531</v>
      </c>
      <c r="NH267" s="6" t="s">
        <v>265</v>
      </c>
      <c r="NQ267" t="s">
        <v>6</v>
      </c>
      <c r="NR267">
        <v>5866</v>
      </c>
      <c r="NS267" t="s">
        <v>29</v>
      </c>
      <c r="NT267" t="s">
        <v>29</v>
      </c>
      <c r="NW267" s="15">
        <v>3</v>
      </c>
      <c r="OH267" t="s">
        <v>1420</v>
      </c>
      <c r="OI267" t="s">
        <v>6</v>
      </c>
      <c r="OK267">
        <v>2015</v>
      </c>
      <c r="OL267">
        <v>2016</v>
      </c>
      <c r="OO267" t="s">
        <v>1178</v>
      </c>
      <c r="OP267" s="58">
        <v>46104</v>
      </c>
    </row>
    <row r="268" spans="1:406" ht="15.75" thickBot="1">
      <c r="A268" t="s">
        <v>248</v>
      </c>
      <c r="B268" t="s">
        <v>1413</v>
      </c>
      <c r="C268" t="s">
        <v>1414</v>
      </c>
      <c r="D268" s="67" t="s">
        <v>245</v>
      </c>
      <c r="E268" t="s">
        <v>1419</v>
      </c>
      <c r="F268" s="4" t="s">
        <v>1427</v>
      </c>
      <c r="G268" t="s">
        <v>2</v>
      </c>
      <c r="H268" t="s">
        <v>30</v>
      </c>
      <c r="I268">
        <v>7.306944444</v>
      </c>
      <c r="J268">
        <v>38.012222219999998</v>
      </c>
      <c r="K268" t="s">
        <v>29</v>
      </c>
      <c r="AV268" t="s">
        <v>1428</v>
      </c>
      <c r="AW268">
        <v>420</v>
      </c>
      <c r="AX268">
        <v>1.5</v>
      </c>
      <c r="AY268">
        <v>1</v>
      </c>
      <c r="AZ268" t="s">
        <v>838</v>
      </c>
      <c r="BA268">
        <v>2015</v>
      </c>
      <c r="BB268">
        <v>2016</v>
      </c>
      <c r="BD268" t="s">
        <v>238</v>
      </c>
      <c r="BE268" t="s">
        <v>1435</v>
      </c>
      <c r="BF268" t="s">
        <v>57</v>
      </c>
      <c r="BG268" s="3" t="s">
        <v>1243</v>
      </c>
      <c r="BH268" t="s">
        <v>23</v>
      </c>
      <c r="BI268" t="s">
        <v>29</v>
      </c>
      <c r="BJ268" t="s">
        <v>22</v>
      </c>
      <c r="BK268">
        <v>53333</v>
      </c>
      <c r="BL268" t="s">
        <v>56</v>
      </c>
      <c r="BM268" t="s">
        <v>1424</v>
      </c>
      <c r="BN268" t="s">
        <v>29</v>
      </c>
      <c r="BO268" t="s">
        <v>22</v>
      </c>
      <c r="BP268">
        <v>66666</v>
      </c>
      <c r="EH268" s="9"/>
      <c r="EI268" s="9"/>
      <c r="EJ268" s="9"/>
      <c r="EK268" s="9"/>
      <c r="EL268" s="9"/>
      <c r="EM268" s="9"/>
      <c r="EN268" s="9"/>
      <c r="EO268" s="9"/>
      <c r="EP268" s="9"/>
      <c r="EQ268" s="9"/>
      <c r="ER268" s="9"/>
      <c r="ES268" s="9"/>
      <c r="ET268" s="9"/>
      <c r="EU268" s="9"/>
      <c r="EV268" s="9"/>
      <c r="EW268" s="9"/>
      <c r="EX268" s="9"/>
      <c r="EY268" s="9"/>
      <c r="EZ268" s="9"/>
      <c r="FA268" s="9"/>
      <c r="FB268" s="9"/>
      <c r="FC268" s="9"/>
      <c r="FD268" s="9"/>
      <c r="FE268" s="9"/>
      <c r="FF268" s="9"/>
      <c r="FG268" s="9"/>
      <c r="FH268" s="9"/>
      <c r="FI268" s="9"/>
      <c r="FJ268" s="9"/>
      <c r="FK268" s="9"/>
      <c r="FL268" s="9"/>
      <c r="FM268" s="9"/>
      <c r="FN268" s="9"/>
      <c r="FO268" s="9"/>
      <c r="FP268" s="9"/>
      <c r="FQ268" s="9"/>
      <c r="FR268" s="9"/>
      <c r="FS268" s="9"/>
      <c r="FT268" s="9"/>
      <c r="FU268" s="9"/>
      <c r="FV268" s="9"/>
      <c r="FW268" s="9"/>
      <c r="FX268" s="9"/>
      <c r="FY268" s="9"/>
      <c r="FZ268" s="9"/>
      <c r="GA268" s="9"/>
      <c r="GB268" s="9"/>
      <c r="GC268" s="9"/>
      <c r="GD268" s="9"/>
      <c r="GE268" s="9"/>
      <c r="GF268" s="9"/>
      <c r="GG268" s="9"/>
      <c r="GH268" s="9"/>
      <c r="GI268" s="9"/>
      <c r="GJ268" s="9"/>
      <c r="GK268" s="9"/>
      <c r="GL268" s="9"/>
      <c r="GM268" s="9"/>
      <c r="GN268" s="9"/>
      <c r="GO268" s="9"/>
      <c r="GP268" s="9"/>
      <c r="GQ268" s="9"/>
      <c r="GR268" s="9"/>
      <c r="GS268" s="9"/>
      <c r="GT268" s="9"/>
      <c r="GU268" s="9"/>
      <c r="GV268" s="9"/>
      <c r="GW268" s="9"/>
      <c r="GX268" s="9"/>
      <c r="GY268" s="9"/>
      <c r="GZ268" s="9"/>
      <c r="HA268" s="9"/>
      <c r="HB268" s="9"/>
      <c r="HC268" s="9"/>
      <c r="HD268" s="9"/>
      <c r="HE268" s="9"/>
      <c r="HF268" s="9"/>
      <c r="HG268" s="9"/>
      <c r="HH268" s="9"/>
      <c r="HI268" s="9"/>
      <c r="HJ268" s="9"/>
      <c r="HK268" s="9"/>
      <c r="HW268" s="58"/>
      <c r="IG268" t="s">
        <v>1443</v>
      </c>
      <c r="IH268" s="84" t="s">
        <v>1453</v>
      </c>
      <c r="II268" t="s">
        <v>660</v>
      </c>
      <c r="IJ268" t="s">
        <v>661</v>
      </c>
      <c r="IK268" t="s">
        <v>29</v>
      </c>
      <c r="IL268" t="s">
        <v>29</v>
      </c>
      <c r="IM268" t="s">
        <v>29</v>
      </c>
      <c r="JI268" t="s">
        <v>1444</v>
      </c>
      <c r="JJ268" t="s">
        <v>1440</v>
      </c>
      <c r="JK268" t="s">
        <v>14</v>
      </c>
      <c r="JL268" t="s">
        <v>1446</v>
      </c>
      <c r="JM268" s="4" t="s">
        <v>13</v>
      </c>
      <c r="JN268" t="s">
        <v>1448</v>
      </c>
      <c r="MS268" t="s">
        <v>1451</v>
      </c>
      <c r="MT268">
        <v>70</v>
      </c>
      <c r="MU268" t="s">
        <v>1452</v>
      </c>
      <c r="MW268" t="s">
        <v>168</v>
      </c>
      <c r="MX268" s="4" t="s">
        <v>10</v>
      </c>
      <c r="MY268" t="s">
        <v>1454</v>
      </c>
      <c r="NE268" t="s">
        <v>1532</v>
      </c>
      <c r="NF268" t="s">
        <v>1417</v>
      </c>
      <c r="NG268" s="4" t="s">
        <v>1531</v>
      </c>
      <c r="NH268" s="6" t="s">
        <v>265</v>
      </c>
      <c r="NQ268" t="s">
        <v>6</v>
      </c>
      <c r="NR268">
        <v>4761</v>
      </c>
      <c r="NS268" t="s">
        <v>29</v>
      </c>
      <c r="NT268" t="s">
        <v>29</v>
      </c>
      <c r="NW268" s="15">
        <v>3</v>
      </c>
      <c r="OH268" t="s">
        <v>1420</v>
      </c>
      <c r="OI268" t="s">
        <v>6</v>
      </c>
      <c r="OK268">
        <v>2015</v>
      </c>
      <c r="OL268">
        <v>2016</v>
      </c>
      <c r="OO268" t="s">
        <v>1178</v>
      </c>
      <c r="OP268" s="58">
        <v>46104</v>
      </c>
    </row>
    <row r="269" spans="1:406" ht="15.75" thickBot="1">
      <c r="A269" t="s">
        <v>248</v>
      </c>
      <c r="B269" t="s">
        <v>1413</v>
      </c>
      <c r="C269" t="s">
        <v>1414</v>
      </c>
      <c r="D269" s="67" t="s">
        <v>245</v>
      </c>
      <c r="E269" t="s">
        <v>1419</v>
      </c>
      <c r="F269" s="4" t="s">
        <v>1427</v>
      </c>
      <c r="G269" t="s">
        <v>2</v>
      </c>
      <c r="H269" t="s">
        <v>30</v>
      </c>
      <c r="I269">
        <v>7.306944444</v>
      </c>
      <c r="J269">
        <v>38.012222219999998</v>
      </c>
      <c r="K269" t="s">
        <v>29</v>
      </c>
      <c r="AV269" t="s">
        <v>1428</v>
      </c>
      <c r="AW269">
        <v>420</v>
      </c>
      <c r="AX269">
        <v>1.5</v>
      </c>
      <c r="AY269">
        <v>1</v>
      </c>
      <c r="AZ269" t="s">
        <v>838</v>
      </c>
      <c r="BA269">
        <v>2015</v>
      </c>
      <c r="BB269">
        <v>2016</v>
      </c>
      <c r="BD269" t="s">
        <v>19</v>
      </c>
      <c r="BE269" t="s">
        <v>1433</v>
      </c>
      <c r="BF269" t="s">
        <v>256</v>
      </c>
      <c r="BG269" s="3" t="s">
        <v>1243</v>
      </c>
      <c r="BH269" t="s">
        <v>23</v>
      </c>
      <c r="BI269" t="s">
        <v>29</v>
      </c>
      <c r="BJ269" t="s">
        <v>22</v>
      </c>
      <c r="BK269">
        <v>53333</v>
      </c>
      <c r="HR269" t="s">
        <v>1449</v>
      </c>
      <c r="IG269" t="s">
        <v>255</v>
      </c>
      <c r="IH269" t="s">
        <v>19</v>
      </c>
      <c r="JI269" t="s">
        <v>1445</v>
      </c>
      <c r="JJ269" t="s">
        <v>1440</v>
      </c>
      <c r="JK269" t="s">
        <v>14</v>
      </c>
      <c r="JL269" s="8" t="s">
        <v>1446</v>
      </c>
      <c r="JM269" s="4" t="s">
        <v>13</v>
      </c>
      <c r="JN269" t="s">
        <v>1448</v>
      </c>
      <c r="MS269" t="s">
        <v>1451</v>
      </c>
      <c r="MT269">
        <v>70</v>
      </c>
      <c r="MU269" t="s">
        <v>1452</v>
      </c>
      <c r="MW269" t="s">
        <v>168</v>
      </c>
      <c r="MX269" s="4" t="s">
        <v>10</v>
      </c>
      <c r="NE269" t="s">
        <v>1532</v>
      </c>
      <c r="NF269" t="s">
        <v>1417</v>
      </c>
      <c r="NG269" s="4" t="s">
        <v>1531</v>
      </c>
      <c r="NH269" s="6" t="s">
        <v>265</v>
      </c>
      <c r="NP269" t="s">
        <v>745</v>
      </c>
      <c r="NQ269" t="s">
        <v>6</v>
      </c>
      <c r="NR269">
        <v>4157</v>
      </c>
      <c r="NS269" t="s">
        <v>29</v>
      </c>
      <c r="NT269" t="s">
        <v>29</v>
      </c>
      <c r="NW269" s="15">
        <v>3</v>
      </c>
      <c r="OH269" t="s">
        <v>1420</v>
      </c>
      <c r="OI269" t="s">
        <v>6</v>
      </c>
      <c r="OK269">
        <v>2015</v>
      </c>
      <c r="OL269">
        <v>2016</v>
      </c>
      <c r="OO269" t="s">
        <v>1178</v>
      </c>
      <c r="OP269" s="58">
        <v>46104</v>
      </c>
    </row>
    <row r="270" spans="1:406" ht="15.75" thickBot="1">
      <c r="A270" t="s">
        <v>248</v>
      </c>
      <c r="B270" t="s">
        <v>1413</v>
      </c>
      <c r="C270" t="s">
        <v>1414</v>
      </c>
      <c r="D270" s="67" t="s">
        <v>245</v>
      </c>
      <c r="E270" t="s">
        <v>1421</v>
      </c>
      <c r="F270" s="4" t="s">
        <v>1427</v>
      </c>
      <c r="G270" t="s">
        <v>2</v>
      </c>
      <c r="H270" t="s">
        <v>30</v>
      </c>
      <c r="I270">
        <v>6.7519444440000003</v>
      </c>
      <c r="J270">
        <v>38.33361111</v>
      </c>
      <c r="K270" t="s">
        <v>29</v>
      </c>
      <c r="AV270" t="s">
        <v>1428</v>
      </c>
      <c r="AW270">
        <v>420</v>
      </c>
      <c r="AX270">
        <v>0.18</v>
      </c>
      <c r="AY270">
        <v>1</v>
      </c>
      <c r="AZ270" t="s">
        <v>838</v>
      </c>
      <c r="BA270">
        <v>2015</v>
      </c>
      <c r="BB270">
        <v>2016</v>
      </c>
      <c r="BD270" t="s">
        <v>19</v>
      </c>
      <c r="BE270" t="s">
        <v>1430</v>
      </c>
      <c r="BF270" t="s">
        <v>39</v>
      </c>
      <c r="BG270" s="3" t="s">
        <v>1243</v>
      </c>
      <c r="BH270" t="s">
        <v>23</v>
      </c>
      <c r="BI270" t="s">
        <v>29</v>
      </c>
      <c r="BJ270" s="4" t="s">
        <v>22</v>
      </c>
      <c r="BK270">
        <v>53333</v>
      </c>
      <c r="IG270" t="s">
        <v>255</v>
      </c>
      <c r="IH270" t="s">
        <v>19</v>
      </c>
      <c r="JI270" t="s">
        <v>1429</v>
      </c>
      <c r="JJ270" s="84" t="s">
        <v>1437</v>
      </c>
      <c r="JK270" s="8" t="s">
        <v>14</v>
      </c>
      <c r="JL270" s="8" t="s">
        <v>1446</v>
      </c>
      <c r="JM270" s="4" t="s">
        <v>13</v>
      </c>
      <c r="JN270" t="s">
        <v>1447</v>
      </c>
      <c r="MS270" t="s">
        <v>1451</v>
      </c>
      <c r="MT270">
        <v>70</v>
      </c>
      <c r="MU270" t="s">
        <v>1452</v>
      </c>
      <c r="MW270" t="s">
        <v>168</v>
      </c>
      <c r="MX270" s="4" t="s">
        <v>10</v>
      </c>
      <c r="NE270" t="s">
        <v>1532</v>
      </c>
      <c r="NF270" t="s">
        <v>1417</v>
      </c>
      <c r="NG270" s="4" t="s">
        <v>1531</v>
      </c>
      <c r="NH270" s="6" t="s">
        <v>265</v>
      </c>
      <c r="NP270" t="s">
        <v>1457</v>
      </c>
      <c r="NQ270" t="s">
        <v>6</v>
      </c>
      <c r="NR270">
        <v>3466</v>
      </c>
      <c r="NS270" t="s">
        <v>29</v>
      </c>
      <c r="NT270" t="s">
        <v>29</v>
      </c>
      <c r="NW270" s="15">
        <v>3</v>
      </c>
      <c r="OH270" t="s">
        <v>1422</v>
      </c>
      <c r="OI270" t="s">
        <v>6</v>
      </c>
      <c r="OK270">
        <v>2015</v>
      </c>
      <c r="OL270">
        <v>2016</v>
      </c>
      <c r="OO270" t="s">
        <v>1178</v>
      </c>
      <c r="OP270" s="58">
        <v>46104</v>
      </c>
    </row>
    <row r="271" spans="1:406" ht="15.75" thickBot="1">
      <c r="A271" t="s">
        <v>248</v>
      </c>
      <c r="B271" t="s">
        <v>1413</v>
      </c>
      <c r="C271" t="s">
        <v>1414</v>
      </c>
      <c r="D271" s="67" t="s">
        <v>245</v>
      </c>
      <c r="E271" t="s">
        <v>1421</v>
      </c>
      <c r="F271" s="4" t="s">
        <v>1427</v>
      </c>
      <c r="G271" t="s">
        <v>2</v>
      </c>
      <c r="H271" t="s">
        <v>30</v>
      </c>
      <c r="I271">
        <v>6.7519444440000003</v>
      </c>
      <c r="J271">
        <v>38.33361111</v>
      </c>
      <c r="K271" t="s">
        <v>29</v>
      </c>
      <c r="AV271" t="s">
        <v>1428</v>
      </c>
      <c r="AW271">
        <v>420</v>
      </c>
      <c r="AX271">
        <v>0.18</v>
      </c>
      <c r="AY271">
        <v>1</v>
      </c>
      <c r="AZ271" t="s">
        <v>838</v>
      </c>
      <c r="BA271">
        <v>2015</v>
      </c>
      <c r="BB271">
        <v>2016</v>
      </c>
      <c r="BD271" t="s">
        <v>19</v>
      </c>
      <c r="BE271" t="s">
        <v>1431</v>
      </c>
      <c r="BF271" t="s">
        <v>24</v>
      </c>
      <c r="BG271" s="3" t="s">
        <v>1243</v>
      </c>
      <c r="BH271" t="s">
        <v>23</v>
      </c>
      <c r="BI271" t="s">
        <v>29</v>
      </c>
      <c r="BJ271" t="s">
        <v>22</v>
      </c>
      <c r="BK271">
        <v>53333</v>
      </c>
      <c r="IG271" t="s">
        <v>255</v>
      </c>
      <c r="IH271" t="s">
        <v>19</v>
      </c>
      <c r="JI271" t="s">
        <v>1438</v>
      </c>
      <c r="JJ271" s="54" t="s">
        <v>1440</v>
      </c>
      <c r="JK271" t="s">
        <v>14</v>
      </c>
      <c r="JL271" s="8" t="s">
        <v>1446</v>
      </c>
      <c r="JM271" s="4" t="s">
        <v>13</v>
      </c>
      <c r="JN271" t="s">
        <v>1448</v>
      </c>
      <c r="MS271" t="s">
        <v>1451</v>
      </c>
      <c r="MT271">
        <v>70</v>
      </c>
      <c r="MU271" t="s">
        <v>1452</v>
      </c>
      <c r="MW271" t="s">
        <v>168</v>
      </c>
      <c r="MX271" s="4" t="s">
        <v>10</v>
      </c>
      <c r="NE271" t="s">
        <v>1532</v>
      </c>
      <c r="NF271" t="s">
        <v>1417</v>
      </c>
      <c r="NG271" s="4" t="s">
        <v>1531</v>
      </c>
      <c r="NH271" s="6" t="s">
        <v>265</v>
      </c>
      <c r="NP271" t="s">
        <v>745</v>
      </c>
      <c r="NQ271" t="s">
        <v>6</v>
      </c>
      <c r="NR271">
        <v>3728</v>
      </c>
      <c r="NS271" t="s">
        <v>29</v>
      </c>
      <c r="NT271" t="s">
        <v>29</v>
      </c>
      <c r="NW271" s="15">
        <v>3</v>
      </c>
      <c r="OH271" t="s">
        <v>1422</v>
      </c>
      <c r="OI271" t="s">
        <v>6</v>
      </c>
      <c r="OK271">
        <v>2015</v>
      </c>
      <c r="OL271">
        <v>2016</v>
      </c>
      <c r="OO271" t="s">
        <v>1178</v>
      </c>
      <c r="OP271" s="58">
        <v>46104</v>
      </c>
    </row>
    <row r="272" spans="1:406" ht="15.75" thickBot="1">
      <c r="A272" t="s">
        <v>248</v>
      </c>
      <c r="B272" t="s">
        <v>1413</v>
      </c>
      <c r="C272" t="s">
        <v>1414</v>
      </c>
      <c r="D272" s="67" t="s">
        <v>245</v>
      </c>
      <c r="E272" t="s">
        <v>1421</v>
      </c>
      <c r="F272" s="4" t="s">
        <v>1427</v>
      </c>
      <c r="G272" t="s">
        <v>2</v>
      </c>
      <c r="H272" t="s">
        <v>30</v>
      </c>
      <c r="I272">
        <v>6.7519444440000003</v>
      </c>
      <c r="J272">
        <v>38.33361111</v>
      </c>
      <c r="K272" t="s">
        <v>29</v>
      </c>
      <c r="AV272" t="s">
        <v>1428</v>
      </c>
      <c r="AW272">
        <v>420</v>
      </c>
      <c r="AX272">
        <v>0.18</v>
      </c>
      <c r="AY272">
        <v>1</v>
      </c>
      <c r="AZ272" t="s">
        <v>838</v>
      </c>
      <c r="BA272">
        <v>2015</v>
      </c>
      <c r="BB272">
        <v>2016</v>
      </c>
      <c r="BD272" t="s">
        <v>19</v>
      </c>
      <c r="BE272" t="s">
        <v>1432</v>
      </c>
      <c r="BF272" t="s">
        <v>299</v>
      </c>
      <c r="BG272" s="3" t="s">
        <v>1243</v>
      </c>
      <c r="BH272" t="s">
        <v>23</v>
      </c>
      <c r="BI272" t="s">
        <v>29</v>
      </c>
      <c r="BJ272" t="s">
        <v>22</v>
      </c>
      <c r="BK272">
        <v>53333</v>
      </c>
      <c r="HR272" t="s">
        <v>1449</v>
      </c>
      <c r="IG272" t="s">
        <v>255</v>
      </c>
      <c r="IH272" t="s">
        <v>19</v>
      </c>
      <c r="JI272" t="s">
        <v>1439</v>
      </c>
      <c r="JJ272" s="84" t="s">
        <v>1437</v>
      </c>
      <c r="JK272" t="s">
        <v>14</v>
      </c>
      <c r="JL272" t="s">
        <v>1446</v>
      </c>
      <c r="JM272" s="4" t="s">
        <v>13</v>
      </c>
      <c r="JN272" t="s">
        <v>1447</v>
      </c>
      <c r="KU272" t="s">
        <v>1450</v>
      </c>
      <c r="MS272" t="s">
        <v>1451</v>
      </c>
      <c r="MT272">
        <v>70</v>
      </c>
      <c r="MU272" t="s">
        <v>1452</v>
      </c>
      <c r="MW272" t="s">
        <v>168</v>
      </c>
      <c r="MX272" s="4" t="s">
        <v>10</v>
      </c>
      <c r="NE272" t="s">
        <v>1532</v>
      </c>
      <c r="NF272" t="s">
        <v>1417</v>
      </c>
      <c r="NG272" s="4" t="s">
        <v>1531</v>
      </c>
      <c r="NH272" s="6" t="s">
        <v>265</v>
      </c>
      <c r="NP272" t="s">
        <v>1457</v>
      </c>
      <c r="NQ272" t="s">
        <v>6</v>
      </c>
      <c r="NR272">
        <v>4248</v>
      </c>
      <c r="NS272" t="s">
        <v>29</v>
      </c>
      <c r="NT272" t="s">
        <v>29</v>
      </c>
      <c r="NW272" s="15">
        <v>3</v>
      </c>
      <c r="OH272" t="s">
        <v>1422</v>
      </c>
      <c r="OI272" t="s">
        <v>6</v>
      </c>
      <c r="OK272">
        <v>2015</v>
      </c>
      <c r="OL272">
        <v>2016</v>
      </c>
      <c r="OO272" t="s">
        <v>1178</v>
      </c>
      <c r="OP272" s="58">
        <v>46104</v>
      </c>
    </row>
    <row r="273" spans="1:406" ht="15.75" thickBot="1">
      <c r="A273" t="s">
        <v>248</v>
      </c>
      <c r="B273" t="s">
        <v>1413</v>
      </c>
      <c r="C273" t="s">
        <v>1414</v>
      </c>
      <c r="D273" s="67" t="s">
        <v>245</v>
      </c>
      <c r="E273" t="s">
        <v>1421</v>
      </c>
      <c r="F273" s="4" t="s">
        <v>1427</v>
      </c>
      <c r="G273" t="s">
        <v>2</v>
      </c>
      <c r="H273" t="s">
        <v>30</v>
      </c>
      <c r="I273">
        <v>6.7519444440000003</v>
      </c>
      <c r="J273">
        <v>38.33361111</v>
      </c>
      <c r="K273" t="s">
        <v>29</v>
      </c>
      <c r="AV273" t="s">
        <v>1428</v>
      </c>
      <c r="AW273">
        <v>420</v>
      </c>
      <c r="AX273">
        <v>0.18</v>
      </c>
      <c r="AY273">
        <v>1</v>
      </c>
      <c r="AZ273" t="s">
        <v>838</v>
      </c>
      <c r="BA273">
        <v>2015</v>
      </c>
      <c r="BB273">
        <v>2016</v>
      </c>
      <c r="BD273" t="s">
        <v>238</v>
      </c>
      <c r="BE273" t="s">
        <v>1434</v>
      </c>
      <c r="BF273" t="s">
        <v>64</v>
      </c>
      <c r="BG273" s="3" t="s">
        <v>1243</v>
      </c>
      <c r="BH273" t="s">
        <v>23</v>
      </c>
      <c r="BI273" t="s">
        <v>29</v>
      </c>
      <c r="BJ273" t="s">
        <v>22</v>
      </c>
      <c r="BK273">
        <v>53333</v>
      </c>
      <c r="BL273" t="s">
        <v>56</v>
      </c>
      <c r="BM273" t="s">
        <v>1436</v>
      </c>
      <c r="BN273" t="s">
        <v>29</v>
      </c>
      <c r="BO273" t="s">
        <v>22</v>
      </c>
      <c r="BP273">
        <v>266666</v>
      </c>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K273" s="9"/>
      <c r="HW273" s="58"/>
      <c r="IG273" t="s">
        <v>1442</v>
      </c>
      <c r="IH273" s="84" t="s">
        <v>1453</v>
      </c>
      <c r="II273" t="s">
        <v>660</v>
      </c>
      <c r="IJ273" t="s">
        <v>661</v>
      </c>
      <c r="IK273" t="s">
        <v>29</v>
      </c>
      <c r="IL273" t="s">
        <v>29</v>
      </c>
      <c r="IM273" t="s">
        <v>29</v>
      </c>
      <c r="JI273" t="s">
        <v>1441</v>
      </c>
      <c r="JJ273" t="s">
        <v>1440</v>
      </c>
      <c r="JK273" t="s">
        <v>14</v>
      </c>
      <c r="JL273" t="s">
        <v>1446</v>
      </c>
      <c r="JM273" s="4" t="s">
        <v>13</v>
      </c>
      <c r="JN273" t="s">
        <v>1448</v>
      </c>
      <c r="MS273" t="s">
        <v>1451</v>
      </c>
      <c r="MT273">
        <v>70</v>
      </c>
      <c r="MU273" t="s">
        <v>1452</v>
      </c>
      <c r="MW273" t="s">
        <v>168</v>
      </c>
      <c r="MX273" s="4" t="s">
        <v>10</v>
      </c>
      <c r="MY273" t="s">
        <v>1533</v>
      </c>
      <c r="NE273" t="s">
        <v>1532</v>
      </c>
      <c r="NF273" t="s">
        <v>1417</v>
      </c>
      <c r="NG273" s="4" t="s">
        <v>1531</v>
      </c>
      <c r="NH273" s="6" t="s">
        <v>265</v>
      </c>
      <c r="NQ273" t="s">
        <v>6</v>
      </c>
      <c r="NR273">
        <v>4519</v>
      </c>
      <c r="NS273" t="s">
        <v>29</v>
      </c>
      <c r="NT273" t="s">
        <v>29</v>
      </c>
      <c r="NW273" s="15">
        <v>3</v>
      </c>
      <c r="OH273" t="s">
        <v>1422</v>
      </c>
      <c r="OI273" t="s">
        <v>6</v>
      </c>
      <c r="OK273">
        <v>2015</v>
      </c>
      <c r="OL273">
        <v>2016</v>
      </c>
      <c r="OO273" t="s">
        <v>1178</v>
      </c>
      <c r="OP273" s="58">
        <v>46104</v>
      </c>
    </row>
    <row r="274" spans="1:406" ht="15.75" thickBot="1">
      <c r="A274" t="s">
        <v>248</v>
      </c>
      <c r="B274" t="s">
        <v>1413</v>
      </c>
      <c r="C274" t="s">
        <v>1414</v>
      </c>
      <c r="D274" s="67" t="s">
        <v>245</v>
      </c>
      <c r="E274" t="s">
        <v>1421</v>
      </c>
      <c r="F274" s="4" t="s">
        <v>1427</v>
      </c>
      <c r="G274" t="s">
        <v>2</v>
      </c>
      <c r="H274" t="s">
        <v>30</v>
      </c>
      <c r="I274">
        <v>6.7519444440000003</v>
      </c>
      <c r="J274">
        <v>38.33361111</v>
      </c>
      <c r="K274" t="s">
        <v>29</v>
      </c>
      <c r="AV274" t="s">
        <v>1428</v>
      </c>
      <c r="AW274">
        <v>420</v>
      </c>
      <c r="AX274">
        <v>0.18</v>
      </c>
      <c r="AY274">
        <v>1</v>
      </c>
      <c r="AZ274" t="s">
        <v>838</v>
      </c>
      <c r="BA274">
        <v>2015</v>
      </c>
      <c r="BB274">
        <v>2016</v>
      </c>
      <c r="BD274" t="s">
        <v>238</v>
      </c>
      <c r="BE274" t="s">
        <v>1435</v>
      </c>
      <c r="BF274" t="s">
        <v>57</v>
      </c>
      <c r="BG274" s="3" t="s">
        <v>1243</v>
      </c>
      <c r="BH274" t="s">
        <v>23</v>
      </c>
      <c r="BI274" t="s">
        <v>29</v>
      </c>
      <c r="BJ274" t="s">
        <v>22</v>
      </c>
      <c r="BK274">
        <v>53333</v>
      </c>
      <c r="BL274" t="s">
        <v>56</v>
      </c>
      <c r="BM274" t="s">
        <v>1424</v>
      </c>
      <c r="BN274" t="s">
        <v>29</v>
      </c>
      <c r="BO274" t="s">
        <v>22</v>
      </c>
      <c r="BP274">
        <v>66666</v>
      </c>
      <c r="EH274" s="9"/>
      <c r="EI274" s="9"/>
      <c r="EJ274" s="9"/>
      <c r="EK274" s="9"/>
      <c r="EL274" s="9"/>
      <c r="EM274" s="9"/>
      <c r="EN274" s="9"/>
      <c r="EO274" s="9"/>
      <c r="EP274" s="9"/>
      <c r="EQ274" s="9"/>
      <c r="ER274" s="9"/>
      <c r="ES274" s="9"/>
      <c r="ET274" s="9"/>
      <c r="EU274" s="9"/>
      <c r="EV274" s="9"/>
      <c r="EW274" s="9"/>
      <c r="EX274" s="9"/>
      <c r="EY274" s="9"/>
      <c r="EZ274" s="9"/>
      <c r="FA274" s="9"/>
      <c r="FB274" s="9"/>
      <c r="FC274" s="9"/>
      <c r="FD274" s="9"/>
      <c r="FE274" s="9"/>
      <c r="FF274" s="9"/>
      <c r="FG274" s="9"/>
      <c r="FH274" s="9"/>
      <c r="FI274" s="9"/>
      <c r="FJ274" s="9"/>
      <c r="FK274" s="9"/>
      <c r="FL274" s="9"/>
      <c r="FM274" s="9"/>
      <c r="FN274" s="9"/>
      <c r="FO274" s="9"/>
      <c r="FP274" s="9"/>
      <c r="FQ274" s="9"/>
      <c r="FR274" s="9"/>
      <c r="FS274" s="9"/>
      <c r="FT274" s="9"/>
      <c r="FU274" s="9"/>
      <c r="FV274" s="9"/>
      <c r="FW274" s="9"/>
      <c r="FX274" s="9"/>
      <c r="FY274" s="9"/>
      <c r="FZ274" s="9"/>
      <c r="GA274" s="9"/>
      <c r="GB274" s="9"/>
      <c r="GC274" s="9"/>
      <c r="GD274" s="9"/>
      <c r="GE274" s="9"/>
      <c r="GF274" s="9"/>
      <c r="GG274" s="9"/>
      <c r="GH274" s="9"/>
      <c r="GI274" s="9"/>
      <c r="GJ274" s="9"/>
      <c r="GK274" s="9"/>
      <c r="GL274" s="9"/>
      <c r="GM274" s="9"/>
      <c r="GN274" s="9"/>
      <c r="GO274" s="9"/>
      <c r="GP274" s="9"/>
      <c r="GQ274" s="9"/>
      <c r="GR274" s="9"/>
      <c r="GS274" s="9"/>
      <c r="GT274" s="9"/>
      <c r="GU274" s="9"/>
      <c r="GV274" s="9"/>
      <c r="GW274" s="9"/>
      <c r="GX274" s="9"/>
      <c r="GY274" s="9"/>
      <c r="GZ274" s="9"/>
      <c r="HA274" s="9"/>
      <c r="HB274" s="9"/>
      <c r="HC274" s="9"/>
      <c r="HD274" s="9"/>
      <c r="HE274" s="9"/>
      <c r="HF274" s="9"/>
      <c r="HG274" s="9"/>
      <c r="HH274" s="9"/>
      <c r="HI274" s="9"/>
      <c r="HJ274" s="9"/>
      <c r="HK274" s="9"/>
      <c r="HW274" s="58"/>
      <c r="IG274" t="s">
        <v>1443</v>
      </c>
      <c r="IH274" s="84" t="s">
        <v>1453</v>
      </c>
      <c r="II274" t="s">
        <v>660</v>
      </c>
      <c r="IJ274" t="s">
        <v>661</v>
      </c>
      <c r="IK274" t="s">
        <v>29</v>
      </c>
      <c r="IL274" t="s">
        <v>29</v>
      </c>
      <c r="IM274" t="s">
        <v>29</v>
      </c>
      <c r="JI274" t="s">
        <v>1444</v>
      </c>
      <c r="JJ274" t="s">
        <v>1440</v>
      </c>
      <c r="JK274" t="s">
        <v>14</v>
      </c>
      <c r="JL274" t="s">
        <v>1446</v>
      </c>
      <c r="JM274" s="4" t="s">
        <v>13</v>
      </c>
      <c r="JN274" t="s">
        <v>1448</v>
      </c>
      <c r="MS274" t="s">
        <v>1451</v>
      </c>
      <c r="MT274">
        <v>70</v>
      </c>
      <c r="MU274" t="s">
        <v>1452</v>
      </c>
      <c r="MW274" t="s">
        <v>168</v>
      </c>
      <c r="MX274" s="4" t="s">
        <v>10</v>
      </c>
      <c r="MY274" t="s">
        <v>1454</v>
      </c>
      <c r="NE274" t="s">
        <v>1532</v>
      </c>
      <c r="NF274" t="s">
        <v>1417</v>
      </c>
      <c r="NG274" s="4" t="s">
        <v>1531</v>
      </c>
      <c r="NH274" s="6" t="s">
        <v>265</v>
      </c>
      <c r="NQ274" t="s">
        <v>6</v>
      </c>
      <c r="NR274">
        <v>3707</v>
      </c>
      <c r="NS274" t="s">
        <v>29</v>
      </c>
      <c r="NT274" t="s">
        <v>29</v>
      </c>
      <c r="NW274" s="15">
        <v>3</v>
      </c>
      <c r="OH274" t="s">
        <v>1422</v>
      </c>
      <c r="OI274" t="s">
        <v>6</v>
      </c>
      <c r="OK274">
        <v>2015</v>
      </c>
      <c r="OL274">
        <v>2016</v>
      </c>
      <c r="OO274" t="s">
        <v>1178</v>
      </c>
      <c r="OP274" s="58">
        <v>46104</v>
      </c>
    </row>
    <row r="275" spans="1:406" ht="15.75" thickBot="1">
      <c r="A275" t="s">
        <v>248</v>
      </c>
      <c r="B275" t="s">
        <v>1413</v>
      </c>
      <c r="C275" t="s">
        <v>1414</v>
      </c>
      <c r="D275" s="67" t="s">
        <v>245</v>
      </c>
      <c r="E275" t="s">
        <v>1421</v>
      </c>
      <c r="F275" s="4" t="s">
        <v>1427</v>
      </c>
      <c r="G275" t="s">
        <v>2</v>
      </c>
      <c r="H275" t="s">
        <v>30</v>
      </c>
      <c r="I275">
        <v>6.7519444440000003</v>
      </c>
      <c r="J275">
        <v>38.33361111</v>
      </c>
      <c r="K275" t="s">
        <v>29</v>
      </c>
      <c r="AV275" t="s">
        <v>1428</v>
      </c>
      <c r="AW275">
        <v>420</v>
      </c>
      <c r="AX275">
        <v>0.18</v>
      </c>
      <c r="AY275">
        <v>1</v>
      </c>
      <c r="AZ275" t="s">
        <v>838</v>
      </c>
      <c r="BA275">
        <v>2015</v>
      </c>
      <c r="BB275">
        <v>2016</v>
      </c>
      <c r="BD275" t="s">
        <v>19</v>
      </c>
      <c r="BE275" t="s">
        <v>1433</v>
      </c>
      <c r="BF275" t="s">
        <v>256</v>
      </c>
      <c r="BG275" s="3" t="s">
        <v>1243</v>
      </c>
      <c r="BH275" t="s">
        <v>23</v>
      </c>
      <c r="BI275" t="s">
        <v>29</v>
      </c>
      <c r="BJ275" t="s">
        <v>22</v>
      </c>
      <c r="BK275">
        <v>53333</v>
      </c>
      <c r="HR275" t="s">
        <v>1449</v>
      </c>
      <c r="IG275" t="s">
        <v>255</v>
      </c>
      <c r="IH275" t="s">
        <v>19</v>
      </c>
      <c r="JI275" t="s">
        <v>1445</v>
      </c>
      <c r="JJ275" t="s">
        <v>1440</v>
      </c>
      <c r="JK275" t="s">
        <v>14</v>
      </c>
      <c r="JL275" t="s">
        <v>1446</v>
      </c>
      <c r="JM275" s="4" t="s">
        <v>13</v>
      </c>
      <c r="JN275" t="s">
        <v>1448</v>
      </c>
      <c r="MS275" t="s">
        <v>1451</v>
      </c>
      <c r="MT275">
        <v>70</v>
      </c>
      <c r="MU275" t="s">
        <v>1452</v>
      </c>
      <c r="MW275" t="s">
        <v>168</v>
      </c>
      <c r="MX275" s="4" t="s">
        <v>10</v>
      </c>
      <c r="NE275" t="s">
        <v>1532</v>
      </c>
      <c r="NF275" t="s">
        <v>1417</v>
      </c>
      <c r="NG275" s="4" t="s">
        <v>1531</v>
      </c>
      <c r="NH275" s="6" t="s">
        <v>265</v>
      </c>
      <c r="NP275" t="s">
        <v>745</v>
      </c>
      <c r="NQ275" t="s">
        <v>6</v>
      </c>
      <c r="NR275">
        <v>4783</v>
      </c>
      <c r="NS275" t="s">
        <v>29</v>
      </c>
      <c r="NT275" t="s">
        <v>29</v>
      </c>
      <c r="NW275" s="15">
        <v>3</v>
      </c>
      <c r="OH275" t="s">
        <v>1422</v>
      </c>
      <c r="OI275" t="s">
        <v>6</v>
      </c>
      <c r="OK275">
        <v>2015</v>
      </c>
      <c r="OL275">
        <v>2016</v>
      </c>
      <c r="OO275" t="s">
        <v>1178</v>
      </c>
      <c r="OP275" s="58">
        <v>46104</v>
      </c>
    </row>
    <row r="276" spans="1:406" ht="15.75" thickBot="1">
      <c r="A276" t="s">
        <v>248</v>
      </c>
      <c r="B276" t="s">
        <v>1413</v>
      </c>
      <c r="C276" t="s">
        <v>1414</v>
      </c>
      <c r="D276" s="67" t="s">
        <v>245</v>
      </c>
      <c r="E276" t="s">
        <v>1425</v>
      </c>
      <c r="F276" s="4" t="s">
        <v>1427</v>
      </c>
      <c r="G276" t="s">
        <v>2</v>
      </c>
      <c r="H276" t="s">
        <v>30</v>
      </c>
      <c r="I276">
        <v>7.971944444</v>
      </c>
      <c r="J276">
        <v>38.633055560000003</v>
      </c>
      <c r="K276" t="s">
        <v>29</v>
      </c>
      <c r="AV276" t="s">
        <v>1428</v>
      </c>
      <c r="AW276">
        <v>420</v>
      </c>
      <c r="AX276">
        <v>2.5</v>
      </c>
      <c r="AY276">
        <v>1</v>
      </c>
      <c r="AZ276" t="s">
        <v>838</v>
      </c>
      <c r="BA276">
        <v>2015</v>
      </c>
      <c r="BB276">
        <v>2016</v>
      </c>
      <c r="BD276" t="s">
        <v>19</v>
      </c>
      <c r="BE276" t="s">
        <v>1430</v>
      </c>
      <c r="BF276" t="s">
        <v>39</v>
      </c>
      <c r="BG276" s="3" t="s">
        <v>1243</v>
      </c>
      <c r="BH276" t="s">
        <v>23</v>
      </c>
      <c r="BI276" t="s">
        <v>29</v>
      </c>
      <c r="BJ276" s="4" t="s">
        <v>22</v>
      </c>
      <c r="BK276">
        <v>53333</v>
      </c>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K276" s="9"/>
      <c r="HW276" s="58"/>
      <c r="IG276" t="s">
        <v>255</v>
      </c>
      <c r="IH276" t="s">
        <v>19</v>
      </c>
      <c r="JI276" t="s">
        <v>1429</v>
      </c>
      <c r="JJ276" s="84" t="s">
        <v>1437</v>
      </c>
      <c r="JK276" s="8" t="s">
        <v>14</v>
      </c>
      <c r="JL276" s="8" t="s">
        <v>1446</v>
      </c>
      <c r="JM276" s="4" t="s">
        <v>13</v>
      </c>
      <c r="JN276" t="s">
        <v>1447</v>
      </c>
      <c r="MS276" t="s">
        <v>1451</v>
      </c>
      <c r="MT276">
        <v>70</v>
      </c>
      <c r="MU276" t="s">
        <v>1452</v>
      </c>
      <c r="MW276" t="s">
        <v>168</v>
      </c>
      <c r="MX276" s="4" t="s">
        <v>10</v>
      </c>
      <c r="NE276" t="s">
        <v>1534</v>
      </c>
      <c r="NF276" t="s">
        <v>1417</v>
      </c>
      <c r="NG276" s="87" t="s">
        <v>8</v>
      </c>
      <c r="NH276" s="6" t="s">
        <v>13</v>
      </c>
      <c r="NP276" t="s">
        <v>1457</v>
      </c>
      <c r="NQ276" t="s">
        <v>6</v>
      </c>
      <c r="NS276" t="s">
        <v>29</v>
      </c>
      <c r="NW276" s="15">
        <v>3</v>
      </c>
      <c r="NX276">
        <v>3564</v>
      </c>
      <c r="NY276" t="s">
        <v>29</v>
      </c>
      <c r="NZ276">
        <v>4812</v>
      </c>
      <c r="OA276" t="s">
        <v>29</v>
      </c>
      <c r="OH276" t="s">
        <v>1418</v>
      </c>
      <c r="OI276" t="s">
        <v>6</v>
      </c>
      <c r="OK276">
        <v>2015</v>
      </c>
      <c r="OL276">
        <v>2016</v>
      </c>
      <c r="OO276" t="s">
        <v>1178</v>
      </c>
      <c r="OP276" s="58">
        <v>46105</v>
      </c>
    </row>
    <row r="277" spans="1:406" ht="15.75" thickBot="1">
      <c r="A277" t="s">
        <v>248</v>
      </c>
      <c r="B277" t="s">
        <v>1413</v>
      </c>
      <c r="C277" t="s">
        <v>1414</v>
      </c>
      <c r="D277" s="67" t="s">
        <v>245</v>
      </c>
      <c r="E277" t="s">
        <v>1425</v>
      </c>
      <c r="F277" s="4" t="s">
        <v>1427</v>
      </c>
      <c r="G277" t="s">
        <v>2</v>
      </c>
      <c r="H277" t="s">
        <v>30</v>
      </c>
      <c r="I277">
        <v>7.971944444</v>
      </c>
      <c r="J277">
        <v>38.633055560000003</v>
      </c>
      <c r="K277" t="s">
        <v>29</v>
      </c>
      <c r="AV277" t="s">
        <v>1428</v>
      </c>
      <c r="AW277">
        <v>420</v>
      </c>
      <c r="AX277">
        <v>2.5</v>
      </c>
      <c r="AY277">
        <v>1</v>
      </c>
      <c r="AZ277" t="s">
        <v>838</v>
      </c>
      <c r="BA277">
        <v>2015</v>
      </c>
      <c r="BB277">
        <v>2016</v>
      </c>
      <c r="BD277" t="s">
        <v>19</v>
      </c>
      <c r="BE277" t="s">
        <v>1431</v>
      </c>
      <c r="BF277" t="s">
        <v>24</v>
      </c>
      <c r="BG277" s="3" t="s">
        <v>1243</v>
      </c>
      <c r="BH277" t="s">
        <v>23</v>
      </c>
      <c r="BI277" t="s">
        <v>29</v>
      </c>
      <c r="BJ277" t="s">
        <v>22</v>
      </c>
      <c r="BK277">
        <v>53333</v>
      </c>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K277" s="9"/>
      <c r="HW277" s="58"/>
      <c r="IG277" t="s">
        <v>255</v>
      </c>
      <c r="IH277" t="s">
        <v>19</v>
      </c>
      <c r="JI277" t="s">
        <v>1438</v>
      </c>
      <c r="JJ277" s="54" t="s">
        <v>1440</v>
      </c>
      <c r="JK277" s="8" t="s">
        <v>14</v>
      </c>
      <c r="JL277" s="8" t="s">
        <v>1446</v>
      </c>
      <c r="JM277" s="4" t="s">
        <v>13</v>
      </c>
      <c r="JN277" t="s">
        <v>1448</v>
      </c>
      <c r="MS277" t="s">
        <v>1451</v>
      </c>
      <c r="MT277">
        <v>70</v>
      </c>
      <c r="MU277" t="s">
        <v>1452</v>
      </c>
      <c r="MW277" t="s">
        <v>168</v>
      </c>
      <c r="MX277" s="4" t="s">
        <v>10</v>
      </c>
      <c r="NE277" t="s">
        <v>1534</v>
      </c>
      <c r="NF277" t="s">
        <v>1417</v>
      </c>
      <c r="NG277" s="87" t="s">
        <v>8</v>
      </c>
      <c r="NH277" s="6" t="s">
        <v>13</v>
      </c>
      <c r="NP277" t="s">
        <v>745</v>
      </c>
      <c r="NQ277" t="s">
        <v>6</v>
      </c>
      <c r="NS277" t="s">
        <v>29</v>
      </c>
      <c r="NW277" s="15">
        <v>3</v>
      </c>
      <c r="NX277">
        <v>4211</v>
      </c>
      <c r="NY277" t="s">
        <v>29</v>
      </c>
      <c r="NZ277">
        <v>7230</v>
      </c>
      <c r="OA277" t="s">
        <v>29</v>
      </c>
      <c r="OH277" t="s">
        <v>1418</v>
      </c>
      <c r="OI277" t="s">
        <v>6</v>
      </c>
      <c r="OK277">
        <v>2015</v>
      </c>
      <c r="OL277">
        <v>2016</v>
      </c>
      <c r="OO277" t="s">
        <v>1178</v>
      </c>
      <c r="OP277" s="58">
        <v>46105</v>
      </c>
    </row>
    <row r="278" spans="1:406" ht="15.75" thickBot="1">
      <c r="A278" t="s">
        <v>248</v>
      </c>
      <c r="B278" t="s">
        <v>1413</v>
      </c>
      <c r="C278" t="s">
        <v>1414</v>
      </c>
      <c r="D278" s="67" t="s">
        <v>245</v>
      </c>
      <c r="E278" t="s">
        <v>1425</v>
      </c>
      <c r="F278" s="4" t="s">
        <v>1427</v>
      </c>
      <c r="G278" t="s">
        <v>2</v>
      </c>
      <c r="H278" t="s">
        <v>30</v>
      </c>
      <c r="I278">
        <v>7.971944444</v>
      </c>
      <c r="J278">
        <v>38.633055560000003</v>
      </c>
      <c r="K278" t="s">
        <v>29</v>
      </c>
      <c r="AV278" t="s">
        <v>1428</v>
      </c>
      <c r="AW278">
        <v>420</v>
      </c>
      <c r="AX278">
        <v>2.5</v>
      </c>
      <c r="AY278">
        <v>1</v>
      </c>
      <c r="AZ278" t="s">
        <v>838</v>
      </c>
      <c r="BA278">
        <v>2015</v>
      </c>
      <c r="BB278">
        <v>2016</v>
      </c>
      <c r="BD278" t="s">
        <v>19</v>
      </c>
      <c r="BE278" t="s">
        <v>1432</v>
      </c>
      <c r="BF278" t="s">
        <v>299</v>
      </c>
      <c r="BG278" s="3" t="s">
        <v>1243</v>
      </c>
      <c r="BH278" t="s">
        <v>23</v>
      </c>
      <c r="BI278" t="s">
        <v>29</v>
      </c>
      <c r="BJ278" t="s">
        <v>22</v>
      </c>
      <c r="BK278">
        <v>53333</v>
      </c>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K278" s="9"/>
      <c r="HR278" t="s">
        <v>1449</v>
      </c>
      <c r="HW278" s="58"/>
      <c r="IG278" t="s">
        <v>255</v>
      </c>
      <c r="IH278" t="s">
        <v>19</v>
      </c>
      <c r="JI278" t="s">
        <v>1439</v>
      </c>
      <c r="JJ278" s="84" t="s">
        <v>1437</v>
      </c>
      <c r="JK278" t="s">
        <v>14</v>
      </c>
      <c r="JL278" t="s">
        <v>1446</v>
      </c>
      <c r="JM278" s="4" t="s">
        <v>13</v>
      </c>
      <c r="JN278" t="s">
        <v>1447</v>
      </c>
      <c r="KU278" t="s">
        <v>1450</v>
      </c>
      <c r="MS278" t="s">
        <v>1451</v>
      </c>
      <c r="MT278">
        <v>70</v>
      </c>
      <c r="MU278" t="s">
        <v>1452</v>
      </c>
      <c r="MW278" t="s">
        <v>168</v>
      </c>
      <c r="MX278" s="4" t="s">
        <v>10</v>
      </c>
      <c r="NE278" t="s">
        <v>1534</v>
      </c>
      <c r="NF278" t="s">
        <v>1417</v>
      </c>
      <c r="NG278" s="87" t="s">
        <v>8</v>
      </c>
      <c r="NH278" s="6" t="s">
        <v>13</v>
      </c>
      <c r="NP278" t="s">
        <v>1457</v>
      </c>
      <c r="NQ278" t="s">
        <v>6</v>
      </c>
      <c r="NS278" t="s">
        <v>29</v>
      </c>
      <c r="NW278" s="15">
        <v>3</v>
      </c>
      <c r="NX278">
        <v>4663</v>
      </c>
      <c r="NY278" t="s">
        <v>29</v>
      </c>
      <c r="NZ278">
        <v>5846</v>
      </c>
      <c r="OA278" t="s">
        <v>29</v>
      </c>
      <c r="OH278" t="s">
        <v>1418</v>
      </c>
      <c r="OI278" t="s">
        <v>6</v>
      </c>
      <c r="OK278">
        <v>2015</v>
      </c>
      <c r="OL278">
        <v>2016</v>
      </c>
      <c r="OO278" t="s">
        <v>1178</v>
      </c>
      <c r="OP278" s="58">
        <v>46105</v>
      </c>
    </row>
    <row r="279" spans="1:406" ht="15.75" thickBot="1">
      <c r="A279" t="s">
        <v>248</v>
      </c>
      <c r="B279" t="s">
        <v>1413</v>
      </c>
      <c r="C279" t="s">
        <v>1414</v>
      </c>
      <c r="D279" s="67" t="s">
        <v>245</v>
      </c>
      <c r="E279" t="s">
        <v>1425</v>
      </c>
      <c r="F279" s="4" t="s">
        <v>1427</v>
      </c>
      <c r="G279" t="s">
        <v>2</v>
      </c>
      <c r="H279" t="s">
        <v>30</v>
      </c>
      <c r="I279">
        <v>7.971944444</v>
      </c>
      <c r="J279">
        <v>38.633055560000003</v>
      </c>
      <c r="K279" t="s">
        <v>29</v>
      </c>
      <c r="AV279" t="s">
        <v>1428</v>
      </c>
      <c r="AW279">
        <v>420</v>
      </c>
      <c r="AX279">
        <v>2.5</v>
      </c>
      <c r="AY279">
        <v>1</v>
      </c>
      <c r="AZ279" t="s">
        <v>838</v>
      </c>
      <c r="BA279">
        <v>2015</v>
      </c>
      <c r="BB279">
        <v>2016</v>
      </c>
      <c r="BD279" t="s">
        <v>238</v>
      </c>
      <c r="BE279" t="s">
        <v>1434</v>
      </c>
      <c r="BF279" t="s">
        <v>64</v>
      </c>
      <c r="BG279" s="3" t="s">
        <v>1243</v>
      </c>
      <c r="BH279" t="s">
        <v>23</v>
      </c>
      <c r="BI279" t="s">
        <v>29</v>
      </c>
      <c r="BJ279" t="s">
        <v>22</v>
      </c>
      <c r="BK279">
        <v>53333</v>
      </c>
      <c r="BL279" t="s">
        <v>56</v>
      </c>
      <c r="BM279" t="s">
        <v>1436</v>
      </c>
      <c r="BN279" t="s">
        <v>29</v>
      </c>
      <c r="BO279" t="s">
        <v>22</v>
      </c>
      <c r="BP279">
        <v>266666</v>
      </c>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K279" s="9"/>
      <c r="HW279" s="58"/>
      <c r="IG279" t="s">
        <v>1442</v>
      </c>
      <c r="IH279" s="84" t="s">
        <v>1453</v>
      </c>
      <c r="II279" t="s">
        <v>660</v>
      </c>
      <c r="IJ279" t="s">
        <v>661</v>
      </c>
      <c r="IK279" t="s">
        <v>29</v>
      </c>
      <c r="IL279" t="s">
        <v>29</v>
      </c>
      <c r="IM279" t="s">
        <v>29</v>
      </c>
      <c r="JI279" t="s">
        <v>1441</v>
      </c>
      <c r="JJ279" t="s">
        <v>1440</v>
      </c>
      <c r="JK279" t="s">
        <v>14</v>
      </c>
      <c r="JL279" t="s">
        <v>1446</v>
      </c>
      <c r="JM279" s="4" t="s">
        <v>13</v>
      </c>
      <c r="JN279" t="s">
        <v>1448</v>
      </c>
      <c r="MS279" t="s">
        <v>1451</v>
      </c>
      <c r="MT279">
        <v>70</v>
      </c>
      <c r="MU279" t="s">
        <v>1452</v>
      </c>
      <c r="MW279" t="s">
        <v>168</v>
      </c>
      <c r="MX279" s="4" t="s">
        <v>10</v>
      </c>
      <c r="MY279" t="s">
        <v>1533</v>
      </c>
      <c r="NE279" t="s">
        <v>1534</v>
      </c>
      <c r="NF279" t="s">
        <v>1417</v>
      </c>
      <c r="NG279" s="87" t="s">
        <v>8</v>
      </c>
      <c r="NH279" s="6" t="s">
        <v>13</v>
      </c>
      <c r="NQ279" t="s">
        <v>6</v>
      </c>
      <c r="NS279" t="s">
        <v>29</v>
      </c>
      <c r="NW279" s="15">
        <v>3</v>
      </c>
      <c r="NX279">
        <v>3891</v>
      </c>
      <c r="NY279" t="s">
        <v>29</v>
      </c>
      <c r="NZ279">
        <v>6439</v>
      </c>
      <c r="OA279" t="s">
        <v>29</v>
      </c>
      <c r="OB279">
        <v>3495</v>
      </c>
      <c r="OC279" t="s">
        <v>29</v>
      </c>
      <c r="OH279" t="s">
        <v>1418</v>
      </c>
      <c r="OI279" t="s">
        <v>6</v>
      </c>
      <c r="OK279">
        <v>2015</v>
      </c>
      <c r="OL279">
        <v>2016</v>
      </c>
      <c r="OO279" t="s">
        <v>1178</v>
      </c>
      <c r="OP279" s="58">
        <v>46105</v>
      </c>
    </row>
    <row r="280" spans="1:406" ht="15.75" thickBot="1">
      <c r="A280" t="s">
        <v>248</v>
      </c>
      <c r="B280" t="s">
        <v>1413</v>
      </c>
      <c r="C280" t="s">
        <v>1414</v>
      </c>
      <c r="D280" s="67" t="s">
        <v>245</v>
      </c>
      <c r="E280" t="s">
        <v>1425</v>
      </c>
      <c r="F280" s="4" t="s">
        <v>1427</v>
      </c>
      <c r="G280" t="s">
        <v>2</v>
      </c>
      <c r="H280" t="s">
        <v>30</v>
      </c>
      <c r="I280">
        <v>7.971944444</v>
      </c>
      <c r="J280">
        <v>38.633055560000003</v>
      </c>
      <c r="K280" t="s">
        <v>29</v>
      </c>
      <c r="AV280" t="s">
        <v>1428</v>
      </c>
      <c r="AW280">
        <v>420</v>
      </c>
      <c r="AX280">
        <v>2.5</v>
      </c>
      <c r="AY280">
        <v>1</v>
      </c>
      <c r="AZ280" t="s">
        <v>838</v>
      </c>
      <c r="BA280">
        <v>2015</v>
      </c>
      <c r="BB280">
        <v>2016</v>
      </c>
      <c r="BD280" t="s">
        <v>238</v>
      </c>
      <c r="BE280" t="s">
        <v>1435</v>
      </c>
      <c r="BF280" t="s">
        <v>57</v>
      </c>
      <c r="BG280" s="3" t="s">
        <v>1243</v>
      </c>
      <c r="BH280" t="s">
        <v>23</v>
      </c>
      <c r="BI280" t="s">
        <v>29</v>
      </c>
      <c r="BJ280" t="s">
        <v>22</v>
      </c>
      <c r="BK280">
        <v>53333</v>
      </c>
      <c r="BL280" t="s">
        <v>56</v>
      </c>
      <c r="BM280" t="s">
        <v>1424</v>
      </c>
      <c r="BN280" t="s">
        <v>29</v>
      </c>
      <c r="BO280" t="s">
        <v>22</v>
      </c>
      <c r="BP280">
        <v>66666</v>
      </c>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K280" s="9"/>
      <c r="HW280" s="58"/>
      <c r="IG280" t="s">
        <v>1443</v>
      </c>
      <c r="IH280" s="84" t="s">
        <v>1453</v>
      </c>
      <c r="II280" t="s">
        <v>660</v>
      </c>
      <c r="IJ280" t="s">
        <v>661</v>
      </c>
      <c r="IK280" t="s">
        <v>29</v>
      </c>
      <c r="IL280" t="s">
        <v>29</v>
      </c>
      <c r="IM280" t="s">
        <v>29</v>
      </c>
      <c r="JI280" t="s">
        <v>1444</v>
      </c>
      <c r="JJ280" t="s">
        <v>1440</v>
      </c>
      <c r="JK280" t="s">
        <v>14</v>
      </c>
      <c r="JL280" t="s">
        <v>1446</v>
      </c>
      <c r="JM280" s="4" t="s">
        <v>13</v>
      </c>
      <c r="JN280" t="s">
        <v>1448</v>
      </c>
      <c r="MS280" t="s">
        <v>1451</v>
      </c>
      <c r="MT280">
        <v>70</v>
      </c>
      <c r="MU280" t="s">
        <v>1452</v>
      </c>
      <c r="MW280" t="s">
        <v>168</v>
      </c>
      <c r="MX280" s="4" t="s">
        <v>10</v>
      </c>
      <c r="MY280" t="s">
        <v>1454</v>
      </c>
      <c r="NE280" t="s">
        <v>1534</v>
      </c>
      <c r="NF280" t="s">
        <v>1417</v>
      </c>
      <c r="NG280" s="87" t="s">
        <v>8</v>
      </c>
      <c r="NH280" s="6" t="s">
        <v>13</v>
      </c>
      <c r="NQ280" t="s">
        <v>6</v>
      </c>
      <c r="NS280" t="s">
        <v>29</v>
      </c>
      <c r="NW280" s="15">
        <v>3</v>
      </c>
      <c r="NX280">
        <v>4255</v>
      </c>
      <c r="NY280" t="s">
        <v>29</v>
      </c>
      <c r="NZ280">
        <v>5914</v>
      </c>
      <c r="OA280" t="s">
        <v>29</v>
      </c>
      <c r="OB280">
        <v>3010</v>
      </c>
      <c r="OC280" t="s">
        <v>29</v>
      </c>
      <c r="OH280" t="s">
        <v>1418</v>
      </c>
      <c r="OI280" t="s">
        <v>6</v>
      </c>
      <c r="OK280">
        <v>2015</v>
      </c>
      <c r="OL280">
        <v>2016</v>
      </c>
      <c r="OO280" t="s">
        <v>1178</v>
      </c>
      <c r="OP280" s="58">
        <v>46105</v>
      </c>
    </row>
    <row r="281" spans="1:406" ht="15.75" thickBot="1">
      <c r="A281" t="s">
        <v>248</v>
      </c>
      <c r="B281" t="s">
        <v>1413</v>
      </c>
      <c r="C281" t="s">
        <v>1414</v>
      </c>
      <c r="D281" s="67" t="s">
        <v>245</v>
      </c>
      <c r="E281" t="s">
        <v>1425</v>
      </c>
      <c r="F281" s="4" t="s">
        <v>1427</v>
      </c>
      <c r="G281" t="s">
        <v>2</v>
      </c>
      <c r="H281" t="s">
        <v>30</v>
      </c>
      <c r="I281">
        <v>7.971944444</v>
      </c>
      <c r="J281">
        <v>38.633055560000003</v>
      </c>
      <c r="K281" t="s">
        <v>29</v>
      </c>
      <c r="AV281" t="s">
        <v>1428</v>
      </c>
      <c r="AW281">
        <v>420</v>
      </c>
      <c r="AX281">
        <v>2.5</v>
      </c>
      <c r="AY281">
        <v>1</v>
      </c>
      <c r="AZ281" t="s">
        <v>838</v>
      </c>
      <c r="BA281">
        <v>2015</v>
      </c>
      <c r="BB281">
        <v>2016</v>
      </c>
      <c r="BD281" t="s">
        <v>19</v>
      </c>
      <c r="BE281" t="s">
        <v>1433</v>
      </c>
      <c r="BF281" t="s">
        <v>256</v>
      </c>
      <c r="BG281" s="3" t="s">
        <v>1243</v>
      </c>
      <c r="BH281" t="s">
        <v>23</v>
      </c>
      <c r="BI281" t="s">
        <v>29</v>
      </c>
      <c r="BJ281" t="s">
        <v>22</v>
      </c>
      <c r="BK281">
        <v>53333</v>
      </c>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K281" s="9"/>
      <c r="HR281" t="s">
        <v>1449</v>
      </c>
      <c r="HW281" s="58"/>
      <c r="IG281" t="s">
        <v>255</v>
      </c>
      <c r="IH281" t="s">
        <v>19</v>
      </c>
      <c r="JI281" t="s">
        <v>1445</v>
      </c>
      <c r="JJ281" t="s">
        <v>1440</v>
      </c>
      <c r="JK281" t="s">
        <v>14</v>
      </c>
      <c r="JL281" t="s">
        <v>1446</v>
      </c>
      <c r="JM281" s="4" t="s">
        <v>13</v>
      </c>
      <c r="JN281" t="s">
        <v>1448</v>
      </c>
      <c r="MS281" t="s">
        <v>1451</v>
      </c>
      <c r="MT281">
        <v>70</v>
      </c>
      <c r="MU281" t="s">
        <v>1452</v>
      </c>
      <c r="MW281" t="s">
        <v>168</v>
      </c>
      <c r="MX281" s="4" t="s">
        <v>10</v>
      </c>
      <c r="NE281" t="s">
        <v>1534</v>
      </c>
      <c r="NF281" t="s">
        <v>1417</v>
      </c>
      <c r="NG281" s="87" t="s">
        <v>8</v>
      </c>
      <c r="NH281" s="6" t="s">
        <v>13</v>
      </c>
      <c r="NP281" t="s">
        <v>745</v>
      </c>
      <c r="NQ281" t="s">
        <v>6</v>
      </c>
      <c r="NS281" t="s">
        <v>29</v>
      </c>
      <c r="NW281" s="15">
        <v>3</v>
      </c>
      <c r="NX281">
        <v>5259</v>
      </c>
      <c r="NY281" t="s">
        <v>29</v>
      </c>
      <c r="NZ281">
        <v>8296</v>
      </c>
      <c r="OA281" t="s">
        <v>29</v>
      </c>
      <c r="OH281" t="s">
        <v>1418</v>
      </c>
      <c r="OI281" t="s">
        <v>6</v>
      </c>
      <c r="OK281">
        <v>2015</v>
      </c>
      <c r="OL281">
        <v>2016</v>
      </c>
      <c r="OO281" t="s">
        <v>1178</v>
      </c>
      <c r="OP281" s="58">
        <v>46105</v>
      </c>
    </row>
    <row r="282" spans="1:406" ht="15.75" thickBot="1">
      <c r="A282" t="s">
        <v>248</v>
      </c>
      <c r="B282" t="s">
        <v>1413</v>
      </c>
      <c r="C282" t="s">
        <v>1414</v>
      </c>
      <c r="D282" s="67" t="s">
        <v>245</v>
      </c>
      <c r="E282" t="s">
        <v>1419</v>
      </c>
      <c r="F282" s="4" t="s">
        <v>1427</v>
      </c>
      <c r="G282" t="s">
        <v>2</v>
      </c>
      <c r="H282" t="s">
        <v>30</v>
      </c>
      <c r="I282">
        <v>7.306944444</v>
      </c>
      <c r="J282">
        <v>38.012222219999998</v>
      </c>
      <c r="K282" t="s">
        <v>29</v>
      </c>
      <c r="AV282" t="s">
        <v>1428</v>
      </c>
      <c r="AW282">
        <v>420</v>
      </c>
      <c r="AX282">
        <v>1.5</v>
      </c>
      <c r="AY282">
        <v>1</v>
      </c>
      <c r="AZ282" t="s">
        <v>838</v>
      </c>
      <c r="BA282">
        <v>2015</v>
      </c>
      <c r="BB282">
        <v>2016</v>
      </c>
      <c r="BD282" t="s">
        <v>19</v>
      </c>
      <c r="BE282" t="s">
        <v>1430</v>
      </c>
      <c r="BF282" t="s">
        <v>39</v>
      </c>
      <c r="BG282" s="3" t="s">
        <v>1243</v>
      </c>
      <c r="BH282" t="s">
        <v>23</v>
      </c>
      <c r="BI282" t="s">
        <v>29</v>
      </c>
      <c r="BJ282" s="4" t="s">
        <v>22</v>
      </c>
      <c r="BK282">
        <v>53333</v>
      </c>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K282" s="9"/>
      <c r="HW282" s="58"/>
      <c r="IG282" t="s">
        <v>255</v>
      </c>
      <c r="IH282" t="s">
        <v>19</v>
      </c>
      <c r="JI282" t="s">
        <v>1429</v>
      </c>
      <c r="JJ282" s="84" t="s">
        <v>1437</v>
      </c>
      <c r="JK282" s="8" t="s">
        <v>14</v>
      </c>
      <c r="JL282" s="8" t="s">
        <v>1446</v>
      </c>
      <c r="JM282" s="4" t="s">
        <v>13</v>
      </c>
      <c r="JN282" t="s">
        <v>1447</v>
      </c>
      <c r="MS282" t="s">
        <v>1451</v>
      </c>
      <c r="MT282">
        <v>70</v>
      </c>
      <c r="MU282" t="s">
        <v>1452</v>
      </c>
      <c r="MW282" t="s">
        <v>168</v>
      </c>
      <c r="MX282" s="4" t="s">
        <v>10</v>
      </c>
      <c r="NE282" t="s">
        <v>1534</v>
      </c>
      <c r="NF282" t="s">
        <v>1417</v>
      </c>
      <c r="NG282" s="87" t="s">
        <v>8</v>
      </c>
      <c r="NH282" s="6" t="s">
        <v>13</v>
      </c>
      <c r="NP282" t="s">
        <v>1457</v>
      </c>
      <c r="NQ282" t="s">
        <v>6</v>
      </c>
      <c r="NS282" t="s">
        <v>29</v>
      </c>
      <c r="NW282" s="15">
        <v>3</v>
      </c>
      <c r="NX282">
        <v>4034</v>
      </c>
      <c r="NY282" t="s">
        <v>29</v>
      </c>
      <c r="NZ282">
        <v>7034</v>
      </c>
      <c r="OA282" t="s">
        <v>29</v>
      </c>
      <c r="OH282" t="s">
        <v>1420</v>
      </c>
      <c r="OI282" t="s">
        <v>6</v>
      </c>
      <c r="OK282">
        <v>2015</v>
      </c>
      <c r="OL282">
        <v>2016</v>
      </c>
      <c r="OO282" t="s">
        <v>1178</v>
      </c>
      <c r="OP282" s="58">
        <v>46105</v>
      </c>
    </row>
    <row r="283" spans="1:406" ht="15.75" thickBot="1">
      <c r="A283" t="s">
        <v>248</v>
      </c>
      <c r="B283" t="s">
        <v>1413</v>
      </c>
      <c r="C283" t="s">
        <v>1414</v>
      </c>
      <c r="D283" s="67" t="s">
        <v>245</v>
      </c>
      <c r="E283" t="s">
        <v>1419</v>
      </c>
      <c r="F283" s="4" t="s">
        <v>1427</v>
      </c>
      <c r="G283" t="s">
        <v>2</v>
      </c>
      <c r="H283" t="s">
        <v>30</v>
      </c>
      <c r="I283">
        <v>7.306944444</v>
      </c>
      <c r="J283">
        <v>38.012222219999998</v>
      </c>
      <c r="K283" t="s">
        <v>29</v>
      </c>
      <c r="AV283" t="s">
        <v>1428</v>
      </c>
      <c r="AW283">
        <v>420</v>
      </c>
      <c r="AX283">
        <v>1.5</v>
      </c>
      <c r="AY283">
        <v>1</v>
      </c>
      <c r="AZ283" t="s">
        <v>838</v>
      </c>
      <c r="BA283">
        <v>2015</v>
      </c>
      <c r="BB283">
        <v>2016</v>
      </c>
      <c r="BD283" t="s">
        <v>19</v>
      </c>
      <c r="BE283" t="s">
        <v>1431</v>
      </c>
      <c r="BF283" t="s">
        <v>24</v>
      </c>
      <c r="BG283" s="3" t="s">
        <v>1243</v>
      </c>
      <c r="BH283" t="s">
        <v>23</v>
      </c>
      <c r="BI283" t="s">
        <v>29</v>
      </c>
      <c r="BJ283" t="s">
        <v>22</v>
      </c>
      <c r="BK283">
        <v>53333</v>
      </c>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K283" s="9"/>
      <c r="HW283" s="58"/>
      <c r="IG283" t="s">
        <v>255</v>
      </c>
      <c r="IH283" t="s">
        <v>19</v>
      </c>
      <c r="JI283" t="s">
        <v>1438</v>
      </c>
      <c r="JJ283" s="54" t="s">
        <v>1440</v>
      </c>
      <c r="JK283" t="s">
        <v>14</v>
      </c>
      <c r="JL283" s="8" t="s">
        <v>1446</v>
      </c>
      <c r="JM283" s="4" t="s">
        <v>13</v>
      </c>
      <c r="JN283" t="s">
        <v>1448</v>
      </c>
      <c r="MS283" t="s">
        <v>1451</v>
      </c>
      <c r="MT283">
        <v>70</v>
      </c>
      <c r="MU283" t="s">
        <v>1452</v>
      </c>
      <c r="MW283" t="s">
        <v>168</v>
      </c>
      <c r="MX283" s="4" t="s">
        <v>10</v>
      </c>
      <c r="NE283" t="s">
        <v>1534</v>
      </c>
      <c r="NF283" t="s">
        <v>1417</v>
      </c>
      <c r="NG283" s="87" t="s">
        <v>8</v>
      </c>
      <c r="NH283" s="6" t="s">
        <v>13</v>
      </c>
      <c r="NP283" t="s">
        <v>745</v>
      </c>
      <c r="NQ283" t="s">
        <v>6</v>
      </c>
      <c r="NS283" t="s">
        <v>29</v>
      </c>
      <c r="NW283" s="15">
        <v>3</v>
      </c>
      <c r="NX283">
        <v>3957</v>
      </c>
      <c r="NY283" t="s">
        <v>29</v>
      </c>
      <c r="NZ283">
        <v>8196</v>
      </c>
      <c r="OA283" t="s">
        <v>29</v>
      </c>
      <c r="OH283" t="s">
        <v>1420</v>
      </c>
      <c r="OI283" t="s">
        <v>6</v>
      </c>
      <c r="OK283">
        <v>2015</v>
      </c>
      <c r="OL283">
        <v>2016</v>
      </c>
      <c r="OO283" t="s">
        <v>1178</v>
      </c>
      <c r="OP283" s="58">
        <v>46105</v>
      </c>
    </row>
    <row r="284" spans="1:406" ht="15.75" thickBot="1">
      <c r="A284" t="s">
        <v>248</v>
      </c>
      <c r="B284" t="s">
        <v>1413</v>
      </c>
      <c r="C284" t="s">
        <v>1414</v>
      </c>
      <c r="D284" s="67" t="s">
        <v>245</v>
      </c>
      <c r="E284" t="s">
        <v>1419</v>
      </c>
      <c r="F284" s="4" t="s">
        <v>1427</v>
      </c>
      <c r="G284" t="s">
        <v>2</v>
      </c>
      <c r="H284" t="s">
        <v>30</v>
      </c>
      <c r="I284">
        <v>7.306944444</v>
      </c>
      <c r="J284">
        <v>38.012222219999998</v>
      </c>
      <c r="K284" t="s">
        <v>29</v>
      </c>
      <c r="AV284" t="s">
        <v>1428</v>
      </c>
      <c r="AW284">
        <v>420</v>
      </c>
      <c r="AX284">
        <v>1.5</v>
      </c>
      <c r="AY284">
        <v>1</v>
      </c>
      <c r="AZ284" t="s">
        <v>838</v>
      </c>
      <c r="BA284">
        <v>2015</v>
      </c>
      <c r="BB284">
        <v>2016</v>
      </c>
      <c r="BD284" t="s">
        <v>19</v>
      </c>
      <c r="BE284" t="s">
        <v>1432</v>
      </c>
      <c r="BF284" t="s">
        <v>299</v>
      </c>
      <c r="BG284" s="3" t="s">
        <v>1243</v>
      </c>
      <c r="BH284" t="s">
        <v>23</v>
      </c>
      <c r="BI284" t="s">
        <v>29</v>
      </c>
      <c r="BJ284" t="s">
        <v>22</v>
      </c>
      <c r="BK284">
        <v>53333</v>
      </c>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K284" s="9"/>
      <c r="HR284" t="s">
        <v>1449</v>
      </c>
      <c r="HW284" s="58"/>
      <c r="IG284" t="s">
        <v>255</v>
      </c>
      <c r="IH284" t="s">
        <v>19</v>
      </c>
      <c r="JI284" t="s">
        <v>1439</v>
      </c>
      <c r="JJ284" s="84" t="s">
        <v>1437</v>
      </c>
      <c r="JK284" t="s">
        <v>14</v>
      </c>
      <c r="JL284" s="8" t="s">
        <v>1446</v>
      </c>
      <c r="JM284" s="4" t="s">
        <v>13</v>
      </c>
      <c r="JN284" t="s">
        <v>1447</v>
      </c>
      <c r="KU284" t="s">
        <v>1450</v>
      </c>
      <c r="MS284" t="s">
        <v>1451</v>
      </c>
      <c r="MT284">
        <v>70</v>
      </c>
      <c r="MU284" t="s">
        <v>1452</v>
      </c>
      <c r="MW284" t="s">
        <v>168</v>
      </c>
      <c r="MX284" s="4" t="s">
        <v>10</v>
      </c>
      <c r="NE284" t="s">
        <v>1534</v>
      </c>
      <c r="NF284" t="s">
        <v>1417</v>
      </c>
      <c r="NG284" s="87" t="s">
        <v>8</v>
      </c>
      <c r="NH284" s="6" t="s">
        <v>13</v>
      </c>
      <c r="NP284" t="s">
        <v>1457</v>
      </c>
      <c r="NQ284" t="s">
        <v>6</v>
      </c>
      <c r="NS284" t="s">
        <v>29</v>
      </c>
      <c r="NW284" s="15">
        <v>3</v>
      </c>
      <c r="NX284">
        <v>5154</v>
      </c>
      <c r="NY284" t="s">
        <v>29</v>
      </c>
      <c r="NZ284">
        <v>8996</v>
      </c>
      <c r="OA284" t="s">
        <v>29</v>
      </c>
      <c r="OH284" t="s">
        <v>1420</v>
      </c>
      <c r="OI284" t="s">
        <v>6</v>
      </c>
      <c r="OK284">
        <v>2015</v>
      </c>
      <c r="OL284">
        <v>2016</v>
      </c>
      <c r="OO284" t="s">
        <v>1178</v>
      </c>
      <c r="OP284" s="58">
        <v>46105</v>
      </c>
    </row>
    <row r="285" spans="1:406" ht="15.75" thickBot="1">
      <c r="A285" t="s">
        <v>248</v>
      </c>
      <c r="B285" t="s">
        <v>1413</v>
      </c>
      <c r="C285" t="s">
        <v>1414</v>
      </c>
      <c r="D285" s="67" t="s">
        <v>245</v>
      </c>
      <c r="E285" t="s">
        <v>1419</v>
      </c>
      <c r="F285" s="4" t="s">
        <v>1427</v>
      </c>
      <c r="G285" t="s">
        <v>2</v>
      </c>
      <c r="H285" t="s">
        <v>30</v>
      </c>
      <c r="I285">
        <v>7.306944444</v>
      </c>
      <c r="J285">
        <v>38.012222219999998</v>
      </c>
      <c r="K285" t="s">
        <v>29</v>
      </c>
      <c r="AV285" t="s">
        <v>1428</v>
      </c>
      <c r="AW285">
        <v>420</v>
      </c>
      <c r="AX285">
        <v>1.5</v>
      </c>
      <c r="AY285">
        <v>1</v>
      </c>
      <c r="AZ285" t="s">
        <v>838</v>
      </c>
      <c r="BA285">
        <v>2015</v>
      </c>
      <c r="BB285">
        <v>2016</v>
      </c>
      <c r="BD285" t="s">
        <v>238</v>
      </c>
      <c r="BE285" t="s">
        <v>1434</v>
      </c>
      <c r="BF285" t="s">
        <v>64</v>
      </c>
      <c r="BG285" s="3" t="s">
        <v>1243</v>
      </c>
      <c r="BH285" t="s">
        <v>23</v>
      </c>
      <c r="BI285" t="s">
        <v>29</v>
      </c>
      <c r="BJ285" t="s">
        <v>22</v>
      </c>
      <c r="BK285">
        <v>53333</v>
      </c>
      <c r="BL285" t="s">
        <v>56</v>
      </c>
      <c r="BM285" t="s">
        <v>1436</v>
      </c>
      <c r="BN285" t="s">
        <v>29</v>
      </c>
      <c r="BO285" t="s">
        <v>22</v>
      </c>
      <c r="BP285">
        <v>266666</v>
      </c>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K285" s="9"/>
      <c r="HW285" s="58"/>
      <c r="IG285" t="s">
        <v>1442</v>
      </c>
      <c r="IH285" s="84" t="s">
        <v>1453</v>
      </c>
      <c r="II285" t="s">
        <v>660</v>
      </c>
      <c r="IJ285" t="s">
        <v>661</v>
      </c>
      <c r="IK285" t="s">
        <v>29</v>
      </c>
      <c r="IL285" t="s">
        <v>29</v>
      </c>
      <c r="IM285" t="s">
        <v>29</v>
      </c>
      <c r="JI285" t="s">
        <v>1441</v>
      </c>
      <c r="JJ285" t="s">
        <v>1440</v>
      </c>
      <c r="JK285" t="s">
        <v>14</v>
      </c>
      <c r="JL285" t="s">
        <v>1446</v>
      </c>
      <c r="JM285" s="4" t="s">
        <v>13</v>
      </c>
      <c r="JN285" t="s">
        <v>1448</v>
      </c>
      <c r="MS285" t="s">
        <v>1451</v>
      </c>
      <c r="MT285">
        <v>70</v>
      </c>
      <c r="MU285" t="s">
        <v>1452</v>
      </c>
      <c r="MW285" t="s">
        <v>168</v>
      </c>
      <c r="MX285" s="4" t="s">
        <v>10</v>
      </c>
      <c r="MY285" t="s">
        <v>1533</v>
      </c>
      <c r="NE285" t="s">
        <v>1534</v>
      </c>
      <c r="NF285" t="s">
        <v>1417</v>
      </c>
      <c r="NG285" s="87" t="s">
        <v>8</v>
      </c>
      <c r="NH285" s="6" t="s">
        <v>13</v>
      </c>
      <c r="NQ285" t="s">
        <v>6</v>
      </c>
      <c r="NS285" t="s">
        <v>29</v>
      </c>
      <c r="NW285" s="15">
        <v>3</v>
      </c>
      <c r="NX285">
        <v>4302</v>
      </c>
      <c r="NY285" t="s">
        <v>29</v>
      </c>
      <c r="NZ285">
        <v>7896</v>
      </c>
      <c r="OA285" t="s">
        <v>29</v>
      </c>
      <c r="OB285">
        <v>7396</v>
      </c>
      <c r="OC285" t="s">
        <v>29</v>
      </c>
      <c r="OH285" t="s">
        <v>1420</v>
      </c>
      <c r="OI285" t="s">
        <v>6</v>
      </c>
      <c r="OK285">
        <v>2015</v>
      </c>
      <c r="OL285">
        <v>2016</v>
      </c>
      <c r="OO285" t="s">
        <v>1178</v>
      </c>
      <c r="OP285" s="58">
        <v>46105</v>
      </c>
    </row>
    <row r="286" spans="1:406" ht="15.75" thickBot="1">
      <c r="A286" t="s">
        <v>248</v>
      </c>
      <c r="B286" t="s">
        <v>1413</v>
      </c>
      <c r="C286" t="s">
        <v>1414</v>
      </c>
      <c r="D286" s="67" t="s">
        <v>245</v>
      </c>
      <c r="E286" t="s">
        <v>1419</v>
      </c>
      <c r="F286" s="4" t="s">
        <v>1427</v>
      </c>
      <c r="G286" t="s">
        <v>2</v>
      </c>
      <c r="H286" t="s">
        <v>30</v>
      </c>
      <c r="I286">
        <v>7.306944444</v>
      </c>
      <c r="J286">
        <v>38.012222219999998</v>
      </c>
      <c r="K286" t="s">
        <v>29</v>
      </c>
      <c r="AV286" t="s">
        <v>1428</v>
      </c>
      <c r="AW286">
        <v>420</v>
      </c>
      <c r="AX286">
        <v>1.5</v>
      </c>
      <c r="AY286">
        <v>1</v>
      </c>
      <c r="AZ286" t="s">
        <v>838</v>
      </c>
      <c r="BA286">
        <v>2015</v>
      </c>
      <c r="BB286">
        <v>2016</v>
      </c>
      <c r="BD286" t="s">
        <v>238</v>
      </c>
      <c r="BE286" t="s">
        <v>1435</v>
      </c>
      <c r="BF286" t="s">
        <v>57</v>
      </c>
      <c r="BG286" s="3" t="s">
        <v>1243</v>
      </c>
      <c r="BH286" t="s">
        <v>23</v>
      </c>
      <c r="BI286" t="s">
        <v>29</v>
      </c>
      <c r="BJ286" t="s">
        <v>22</v>
      </c>
      <c r="BK286">
        <v>53333</v>
      </c>
      <c r="BL286" t="s">
        <v>56</v>
      </c>
      <c r="BM286" t="s">
        <v>1424</v>
      </c>
      <c r="BN286" t="s">
        <v>29</v>
      </c>
      <c r="BO286" t="s">
        <v>22</v>
      </c>
      <c r="BP286">
        <v>66666</v>
      </c>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K286" s="9"/>
      <c r="HW286" s="58"/>
      <c r="IG286" t="s">
        <v>1443</v>
      </c>
      <c r="IH286" s="84" t="s">
        <v>1453</v>
      </c>
      <c r="II286" t="s">
        <v>660</v>
      </c>
      <c r="IJ286" t="s">
        <v>661</v>
      </c>
      <c r="IK286" t="s">
        <v>29</v>
      </c>
      <c r="IL286" t="s">
        <v>29</v>
      </c>
      <c r="IM286" t="s">
        <v>29</v>
      </c>
      <c r="JI286" t="s">
        <v>1444</v>
      </c>
      <c r="JJ286" t="s">
        <v>1440</v>
      </c>
      <c r="JK286" t="s">
        <v>14</v>
      </c>
      <c r="JL286" t="s">
        <v>1446</v>
      </c>
      <c r="JM286" s="4" t="s">
        <v>13</v>
      </c>
      <c r="JN286" t="s">
        <v>1448</v>
      </c>
      <c r="MS286" t="s">
        <v>1451</v>
      </c>
      <c r="MT286">
        <v>70</v>
      </c>
      <c r="MU286" t="s">
        <v>1452</v>
      </c>
      <c r="MW286" t="s">
        <v>168</v>
      </c>
      <c r="MX286" s="4" t="s">
        <v>10</v>
      </c>
      <c r="MY286" t="s">
        <v>1454</v>
      </c>
      <c r="NE286" t="s">
        <v>1534</v>
      </c>
      <c r="NF286" t="s">
        <v>1417</v>
      </c>
      <c r="NG286" s="87" t="s">
        <v>8</v>
      </c>
      <c r="NH286" s="6" t="s">
        <v>13</v>
      </c>
      <c r="NQ286" t="s">
        <v>6</v>
      </c>
      <c r="NS286" t="s">
        <v>29</v>
      </c>
      <c r="NW286" s="15">
        <v>3</v>
      </c>
      <c r="NX286">
        <v>4630</v>
      </c>
      <c r="NY286" t="s">
        <v>29</v>
      </c>
      <c r="NZ286">
        <v>8578</v>
      </c>
      <c r="OA286" t="s">
        <v>29</v>
      </c>
      <c r="OB286">
        <v>3321</v>
      </c>
      <c r="OC286" t="s">
        <v>29</v>
      </c>
      <c r="OH286" t="s">
        <v>1420</v>
      </c>
      <c r="OI286" t="s">
        <v>6</v>
      </c>
      <c r="OK286">
        <v>2015</v>
      </c>
      <c r="OL286">
        <v>2016</v>
      </c>
      <c r="OO286" t="s">
        <v>1178</v>
      </c>
      <c r="OP286" s="58">
        <v>46105</v>
      </c>
    </row>
    <row r="287" spans="1:406" ht="15.75" thickBot="1">
      <c r="A287" t="s">
        <v>248</v>
      </c>
      <c r="B287" t="s">
        <v>1413</v>
      </c>
      <c r="C287" t="s">
        <v>1414</v>
      </c>
      <c r="D287" s="67" t="s">
        <v>245</v>
      </c>
      <c r="E287" t="s">
        <v>1419</v>
      </c>
      <c r="F287" s="4" t="s">
        <v>1427</v>
      </c>
      <c r="G287" t="s">
        <v>2</v>
      </c>
      <c r="H287" t="s">
        <v>30</v>
      </c>
      <c r="I287">
        <v>7.306944444</v>
      </c>
      <c r="J287">
        <v>38.012222219999998</v>
      </c>
      <c r="K287" t="s">
        <v>29</v>
      </c>
      <c r="AV287" t="s">
        <v>1428</v>
      </c>
      <c r="AW287">
        <v>420</v>
      </c>
      <c r="AX287">
        <v>1.5</v>
      </c>
      <c r="AY287">
        <v>1</v>
      </c>
      <c r="AZ287" t="s">
        <v>838</v>
      </c>
      <c r="BA287">
        <v>2015</v>
      </c>
      <c r="BB287">
        <v>2016</v>
      </c>
      <c r="BD287" t="s">
        <v>19</v>
      </c>
      <c r="BE287" t="s">
        <v>1433</v>
      </c>
      <c r="BF287" t="s">
        <v>256</v>
      </c>
      <c r="BG287" s="3" t="s">
        <v>1243</v>
      </c>
      <c r="BH287" t="s">
        <v>23</v>
      </c>
      <c r="BI287" t="s">
        <v>29</v>
      </c>
      <c r="BJ287" t="s">
        <v>22</v>
      </c>
      <c r="BK287">
        <v>53333</v>
      </c>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K287" s="9"/>
      <c r="HR287" t="s">
        <v>1449</v>
      </c>
      <c r="HW287" s="58"/>
      <c r="IG287" t="s">
        <v>255</v>
      </c>
      <c r="IH287" t="s">
        <v>19</v>
      </c>
      <c r="JI287" t="s">
        <v>1445</v>
      </c>
      <c r="JJ287" t="s">
        <v>1440</v>
      </c>
      <c r="JK287" t="s">
        <v>14</v>
      </c>
      <c r="JL287" s="8" t="s">
        <v>1446</v>
      </c>
      <c r="JM287" s="4" t="s">
        <v>13</v>
      </c>
      <c r="JN287" t="s">
        <v>1448</v>
      </c>
      <c r="MS287" t="s">
        <v>1451</v>
      </c>
      <c r="MT287">
        <v>70</v>
      </c>
      <c r="MU287" t="s">
        <v>1452</v>
      </c>
      <c r="MW287" t="s">
        <v>168</v>
      </c>
      <c r="MX287" s="4" t="s">
        <v>10</v>
      </c>
      <c r="NE287" t="s">
        <v>1534</v>
      </c>
      <c r="NF287" t="s">
        <v>1417</v>
      </c>
      <c r="NG287" s="87" t="s">
        <v>8</v>
      </c>
      <c r="NH287" s="6" t="s">
        <v>13</v>
      </c>
      <c r="NP287" t="s">
        <v>745</v>
      </c>
      <c r="NQ287" t="s">
        <v>6</v>
      </c>
      <c r="NS287" t="s">
        <v>29</v>
      </c>
      <c r="NW287" s="15">
        <v>3</v>
      </c>
      <c r="NX287">
        <v>5955</v>
      </c>
      <c r="NY287" t="s">
        <v>29</v>
      </c>
      <c r="NZ287">
        <v>9375</v>
      </c>
      <c r="OA287" t="s">
        <v>29</v>
      </c>
      <c r="OH287" t="s">
        <v>1420</v>
      </c>
      <c r="OI287" t="s">
        <v>6</v>
      </c>
      <c r="OK287">
        <v>2015</v>
      </c>
      <c r="OL287">
        <v>2016</v>
      </c>
      <c r="OO287" t="s">
        <v>1178</v>
      </c>
      <c r="OP287" s="58">
        <v>46105</v>
      </c>
    </row>
    <row r="288" spans="1:406" ht="15.75" thickBot="1">
      <c r="A288" t="s">
        <v>248</v>
      </c>
      <c r="B288" t="s">
        <v>1413</v>
      </c>
      <c r="C288" t="s">
        <v>1414</v>
      </c>
      <c r="D288" s="67" t="s">
        <v>245</v>
      </c>
      <c r="E288" t="s">
        <v>1421</v>
      </c>
      <c r="F288" s="4" t="s">
        <v>1427</v>
      </c>
      <c r="G288" t="s">
        <v>2</v>
      </c>
      <c r="H288" t="s">
        <v>30</v>
      </c>
      <c r="I288">
        <v>6.7519444440000003</v>
      </c>
      <c r="J288">
        <v>38.33361111</v>
      </c>
      <c r="K288" t="s">
        <v>29</v>
      </c>
      <c r="AV288" t="s">
        <v>1428</v>
      </c>
      <c r="AW288">
        <v>420</v>
      </c>
      <c r="AX288">
        <v>0.18</v>
      </c>
      <c r="AY288">
        <v>1</v>
      </c>
      <c r="AZ288" t="s">
        <v>838</v>
      </c>
      <c r="BA288">
        <v>2015</v>
      </c>
      <c r="BB288">
        <v>2016</v>
      </c>
      <c r="BD288" t="s">
        <v>19</v>
      </c>
      <c r="BE288" t="s">
        <v>1430</v>
      </c>
      <c r="BF288" t="s">
        <v>39</v>
      </c>
      <c r="BG288" s="3" t="s">
        <v>1243</v>
      </c>
      <c r="BH288" t="s">
        <v>23</v>
      </c>
      <c r="BI288" t="s">
        <v>29</v>
      </c>
      <c r="BJ288" s="4" t="s">
        <v>22</v>
      </c>
      <c r="BK288">
        <v>53333</v>
      </c>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K288" s="9"/>
      <c r="HW288" s="58"/>
      <c r="IG288" t="s">
        <v>255</v>
      </c>
      <c r="IH288" t="s">
        <v>19</v>
      </c>
      <c r="JI288" t="s">
        <v>1429</v>
      </c>
      <c r="JJ288" s="84" t="s">
        <v>1437</v>
      </c>
      <c r="JK288" s="8" t="s">
        <v>14</v>
      </c>
      <c r="JL288" s="8" t="s">
        <v>1446</v>
      </c>
      <c r="JM288" s="4" t="s">
        <v>13</v>
      </c>
      <c r="JN288" t="s">
        <v>1447</v>
      </c>
      <c r="MS288" t="s">
        <v>1451</v>
      </c>
      <c r="MT288">
        <v>70</v>
      </c>
      <c r="MU288" t="s">
        <v>1452</v>
      </c>
      <c r="MW288" t="s">
        <v>168</v>
      </c>
      <c r="MX288" s="4" t="s">
        <v>10</v>
      </c>
      <c r="NE288" t="s">
        <v>1534</v>
      </c>
      <c r="NF288" t="s">
        <v>1417</v>
      </c>
      <c r="NG288" s="87" t="s">
        <v>8</v>
      </c>
      <c r="NH288" s="6" t="s">
        <v>13</v>
      </c>
      <c r="NP288" t="s">
        <v>1457</v>
      </c>
      <c r="NQ288" t="s">
        <v>6</v>
      </c>
      <c r="NS288" t="s">
        <v>29</v>
      </c>
      <c r="NW288" s="15">
        <v>3</v>
      </c>
      <c r="NX288">
        <v>5293</v>
      </c>
      <c r="NY288" t="s">
        <v>29</v>
      </c>
      <c r="NZ288">
        <v>7081</v>
      </c>
      <c r="OA288" t="s">
        <v>29</v>
      </c>
      <c r="OH288" t="s">
        <v>1422</v>
      </c>
      <c r="OI288" t="s">
        <v>6</v>
      </c>
      <c r="OK288">
        <v>2015</v>
      </c>
      <c r="OL288">
        <v>2016</v>
      </c>
      <c r="OO288" t="s">
        <v>1178</v>
      </c>
      <c r="OP288" s="58">
        <v>46105</v>
      </c>
    </row>
    <row r="289" spans="1:406" ht="15.75" thickBot="1">
      <c r="A289" t="s">
        <v>248</v>
      </c>
      <c r="B289" t="s">
        <v>1413</v>
      </c>
      <c r="C289" t="s">
        <v>1414</v>
      </c>
      <c r="D289" s="67" t="s">
        <v>245</v>
      </c>
      <c r="E289" t="s">
        <v>1421</v>
      </c>
      <c r="F289" s="4" t="s">
        <v>1427</v>
      </c>
      <c r="G289" t="s">
        <v>2</v>
      </c>
      <c r="H289" t="s">
        <v>30</v>
      </c>
      <c r="I289">
        <v>6.7519444440000003</v>
      </c>
      <c r="J289">
        <v>38.33361111</v>
      </c>
      <c r="K289" t="s">
        <v>29</v>
      </c>
      <c r="AV289" t="s">
        <v>1428</v>
      </c>
      <c r="AW289">
        <v>420</v>
      </c>
      <c r="AX289">
        <v>0.18</v>
      </c>
      <c r="AY289">
        <v>1</v>
      </c>
      <c r="AZ289" t="s">
        <v>838</v>
      </c>
      <c r="BA289">
        <v>2015</v>
      </c>
      <c r="BB289">
        <v>2016</v>
      </c>
      <c r="BD289" t="s">
        <v>19</v>
      </c>
      <c r="BE289" t="s">
        <v>1431</v>
      </c>
      <c r="BF289" t="s">
        <v>24</v>
      </c>
      <c r="BG289" s="3" t="s">
        <v>1243</v>
      </c>
      <c r="BH289" t="s">
        <v>23</v>
      </c>
      <c r="BI289" t="s">
        <v>29</v>
      </c>
      <c r="BJ289" t="s">
        <v>22</v>
      </c>
      <c r="BK289">
        <v>53333</v>
      </c>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K289" s="9"/>
      <c r="HW289" s="58"/>
      <c r="IG289" t="s">
        <v>255</v>
      </c>
      <c r="IH289" t="s">
        <v>19</v>
      </c>
      <c r="JI289" t="s">
        <v>1438</v>
      </c>
      <c r="JJ289" s="54" t="s">
        <v>1440</v>
      </c>
      <c r="JK289" t="s">
        <v>14</v>
      </c>
      <c r="JL289" s="8" t="s">
        <v>1446</v>
      </c>
      <c r="JM289" s="4" t="s">
        <v>13</v>
      </c>
      <c r="JN289" t="s">
        <v>1448</v>
      </c>
      <c r="MS289" t="s">
        <v>1451</v>
      </c>
      <c r="MT289">
        <v>70</v>
      </c>
      <c r="MU289" t="s">
        <v>1452</v>
      </c>
      <c r="MW289" t="s">
        <v>168</v>
      </c>
      <c r="MX289" s="4" t="s">
        <v>10</v>
      </c>
      <c r="NE289" t="s">
        <v>1534</v>
      </c>
      <c r="NF289" t="s">
        <v>1417</v>
      </c>
      <c r="NG289" s="87" t="s">
        <v>8</v>
      </c>
      <c r="NH289" s="6" t="s">
        <v>13</v>
      </c>
      <c r="NP289" t="s">
        <v>745</v>
      </c>
      <c r="NQ289" t="s">
        <v>6</v>
      </c>
      <c r="NS289" t="s">
        <v>29</v>
      </c>
      <c r="NW289" s="15">
        <v>3</v>
      </c>
      <c r="NX289">
        <v>5312</v>
      </c>
      <c r="NY289" t="s">
        <v>29</v>
      </c>
      <c r="NZ289">
        <v>7914</v>
      </c>
      <c r="OA289" t="s">
        <v>29</v>
      </c>
      <c r="OH289" t="s">
        <v>1422</v>
      </c>
      <c r="OI289" t="s">
        <v>6</v>
      </c>
      <c r="OK289">
        <v>2015</v>
      </c>
      <c r="OL289">
        <v>2016</v>
      </c>
      <c r="OO289" t="s">
        <v>1178</v>
      </c>
      <c r="OP289" s="58">
        <v>46105</v>
      </c>
    </row>
    <row r="290" spans="1:406" ht="15.75" thickBot="1">
      <c r="A290" t="s">
        <v>248</v>
      </c>
      <c r="B290" t="s">
        <v>1413</v>
      </c>
      <c r="C290" t="s">
        <v>1414</v>
      </c>
      <c r="D290" s="67" t="s">
        <v>245</v>
      </c>
      <c r="E290" t="s">
        <v>1421</v>
      </c>
      <c r="F290" s="4" t="s">
        <v>1427</v>
      </c>
      <c r="G290" t="s">
        <v>2</v>
      </c>
      <c r="H290" t="s">
        <v>30</v>
      </c>
      <c r="I290">
        <v>6.7519444440000003</v>
      </c>
      <c r="J290">
        <v>38.33361111</v>
      </c>
      <c r="K290" t="s">
        <v>29</v>
      </c>
      <c r="AV290" t="s">
        <v>1428</v>
      </c>
      <c r="AW290">
        <v>420</v>
      </c>
      <c r="AX290">
        <v>0.18</v>
      </c>
      <c r="AY290">
        <v>1</v>
      </c>
      <c r="AZ290" t="s">
        <v>838</v>
      </c>
      <c r="BA290">
        <v>2015</v>
      </c>
      <c r="BB290">
        <v>2016</v>
      </c>
      <c r="BD290" t="s">
        <v>19</v>
      </c>
      <c r="BE290" t="s">
        <v>1432</v>
      </c>
      <c r="BF290" t="s">
        <v>299</v>
      </c>
      <c r="BG290" s="3" t="s">
        <v>1243</v>
      </c>
      <c r="BH290" t="s">
        <v>23</v>
      </c>
      <c r="BI290" t="s">
        <v>29</v>
      </c>
      <c r="BJ290" t="s">
        <v>22</v>
      </c>
      <c r="BK290">
        <v>53333</v>
      </c>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K290" s="9"/>
      <c r="HR290" t="s">
        <v>1449</v>
      </c>
      <c r="HW290" s="58"/>
      <c r="IG290" t="s">
        <v>255</v>
      </c>
      <c r="IH290" t="s">
        <v>19</v>
      </c>
      <c r="JI290" t="s">
        <v>1439</v>
      </c>
      <c r="JJ290" s="84" t="s">
        <v>1437</v>
      </c>
      <c r="JK290" t="s">
        <v>14</v>
      </c>
      <c r="JL290" t="s">
        <v>1446</v>
      </c>
      <c r="JM290" s="4" t="s">
        <v>13</v>
      </c>
      <c r="JN290" t="s">
        <v>1447</v>
      </c>
      <c r="KU290" t="s">
        <v>1450</v>
      </c>
      <c r="MS290" t="s">
        <v>1451</v>
      </c>
      <c r="MT290">
        <v>70</v>
      </c>
      <c r="MU290" t="s">
        <v>1452</v>
      </c>
      <c r="MW290" t="s">
        <v>168</v>
      </c>
      <c r="MX290" s="4" t="s">
        <v>10</v>
      </c>
      <c r="NE290" t="s">
        <v>1534</v>
      </c>
      <c r="NF290" t="s">
        <v>1417</v>
      </c>
      <c r="NG290" s="87" t="s">
        <v>8</v>
      </c>
      <c r="NH290" s="6" t="s">
        <v>13</v>
      </c>
      <c r="NP290" t="s">
        <v>1457</v>
      </c>
      <c r="NQ290" t="s">
        <v>6</v>
      </c>
      <c r="NS290" t="s">
        <v>29</v>
      </c>
      <c r="NW290" s="15">
        <v>3</v>
      </c>
      <c r="NX290">
        <v>6827</v>
      </c>
      <c r="NY290" t="s">
        <v>29</v>
      </c>
      <c r="NZ290">
        <v>8418</v>
      </c>
      <c r="OA290" t="s">
        <v>29</v>
      </c>
      <c r="OH290" t="s">
        <v>1422</v>
      </c>
      <c r="OI290" t="s">
        <v>6</v>
      </c>
      <c r="OK290">
        <v>2015</v>
      </c>
      <c r="OL290">
        <v>2016</v>
      </c>
      <c r="OO290" t="s">
        <v>1178</v>
      </c>
      <c r="OP290" s="58">
        <v>46105</v>
      </c>
    </row>
    <row r="291" spans="1:406" ht="15.75" thickBot="1">
      <c r="A291" t="s">
        <v>248</v>
      </c>
      <c r="B291" t="s">
        <v>1413</v>
      </c>
      <c r="C291" t="s">
        <v>1414</v>
      </c>
      <c r="D291" s="67" t="s">
        <v>245</v>
      </c>
      <c r="E291" t="s">
        <v>1421</v>
      </c>
      <c r="F291" s="4" t="s">
        <v>1427</v>
      </c>
      <c r="G291" t="s">
        <v>2</v>
      </c>
      <c r="H291" t="s">
        <v>30</v>
      </c>
      <c r="I291">
        <v>6.7519444440000003</v>
      </c>
      <c r="J291">
        <v>38.33361111</v>
      </c>
      <c r="K291" t="s">
        <v>29</v>
      </c>
      <c r="AV291" t="s">
        <v>1428</v>
      </c>
      <c r="AW291">
        <v>420</v>
      </c>
      <c r="AX291">
        <v>0.18</v>
      </c>
      <c r="AY291">
        <v>1</v>
      </c>
      <c r="AZ291" t="s">
        <v>838</v>
      </c>
      <c r="BA291">
        <v>2015</v>
      </c>
      <c r="BB291">
        <v>2016</v>
      </c>
      <c r="BD291" t="s">
        <v>238</v>
      </c>
      <c r="BE291" t="s">
        <v>1434</v>
      </c>
      <c r="BF291" t="s">
        <v>64</v>
      </c>
      <c r="BG291" s="3" t="s">
        <v>1243</v>
      </c>
      <c r="BH291" t="s">
        <v>23</v>
      </c>
      <c r="BI291" t="s">
        <v>29</v>
      </c>
      <c r="BJ291" t="s">
        <v>22</v>
      </c>
      <c r="BK291">
        <v>53333</v>
      </c>
      <c r="BL291" t="s">
        <v>56</v>
      </c>
      <c r="BM291" t="s">
        <v>1436</v>
      </c>
      <c r="BN291" t="s">
        <v>29</v>
      </c>
      <c r="BO291" t="s">
        <v>22</v>
      </c>
      <c r="BP291">
        <v>266666</v>
      </c>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K291" s="9"/>
      <c r="HW291" s="58"/>
      <c r="IG291" t="s">
        <v>1442</v>
      </c>
      <c r="IH291" s="84" t="s">
        <v>1453</v>
      </c>
      <c r="II291" t="s">
        <v>660</v>
      </c>
      <c r="IJ291" t="s">
        <v>661</v>
      </c>
      <c r="IK291" t="s">
        <v>29</v>
      </c>
      <c r="IL291" t="s">
        <v>29</v>
      </c>
      <c r="IM291" t="s">
        <v>29</v>
      </c>
      <c r="JI291" t="s">
        <v>1441</v>
      </c>
      <c r="JJ291" s="84" t="s">
        <v>15</v>
      </c>
      <c r="JK291" t="s">
        <v>14</v>
      </c>
      <c r="JL291" t="s">
        <v>1446</v>
      </c>
      <c r="JM291" s="4" t="s">
        <v>13</v>
      </c>
      <c r="JN291" t="s">
        <v>1448</v>
      </c>
      <c r="MS291" t="s">
        <v>1451</v>
      </c>
      <c r="MT291">
        <v>70</v>
      </c>
      <c r="MU291" t="s">
        <v>1452</v>
      </c>
      <c r="MW291" t="s">
        <v>168</v>
      </c>
      <c r="MX291" s="4" t="s">
        <v>10</v>
      </c>
      <c r="MY291" t="s">
        <v>1533</v>
      </c>
      <c r="NE291" t="s">
        <v>1534</v>
      </c>
      <c r="NF291" t="s">
        <v>1417</v>
      </c>
      <c r="NG291" s="87" t="s">
        <v>8</v>
      </c>
      <c r="NH291" s="6" t="s">
        <v>13</v>
      </c>
      <c r="NQ291" t="s">
        <v>6</v>
      </c>
      <c r="NS291" t="s">
        <v>29</v>
      </c>
      <c r="NW291" s="15">
        <v>3</v>
      </c>
      <c r="NX291">
        <v>5282</v>
      </c>
      <c r="NY291" t="s">
        <v>29</v>
      </c>
      <c r="NZ291">
        <v>6990</v>
      </c>
      <c r="OA291" t="s">
        <v>29</v>
      </c>
      <c r="OB291">
        <v>7743</v>
      </c>
      <c r="OC291" t="s">
        <v>29</v>
      </c>
      <c r="OH291" t="s">
        <v>1422</v>
      </c>
      <c r="OI291" t="s">
        <v>6</v>
      </c>
      <c r="OK291">
        <v>2015</v>
      </c>
      <c r="OL291">
        <v>2016</v>
      </c>
      <c r="OO291" t="s">
        <v>1178</v>
      </c>
      <c r="OP291" s="58">
        <v>46105</v>
      </c>
    </row>
    <row r="292" spans="1:406" ht="15.75" thickBot="1">
      <c r="A292" t="s">
        <v>248</v>
      </c>
      <c r="B292" t="s">
        <v>1413</v>
      </c>
      <c r="C292" t="s">
        <v>1414</v>
      </c>
      <c r="D292" s="67" t="s">
        <v>245</v>
      </c>
      <c r="E292" t="s">
        <v>1421</v>
      </c>
      <c r="F292" s="4" t="s">
        <v>1427</v>
      </c>
      <c r="G292" t="s">
        <v>2</v>
      </c>
      <c r="H292" t="s">
        <v>30</v>
      </c>
      <c r="I292">
        <v>6.7519444440000003</v>
      </c>
      <c r="J292">
        <v>38.33361111</v>
      </c>
      <c r="K292" t="s">
        <v>29</v>
      </c>
      <c r="AV292" t="s">
        <v>1428</v>
      </c>
      <c r="AW292">
        <v>420</v>
      </c>
      <c r="AX292">
        <v>0.18</v>
      </c>
      <c r="AY292">
        <v>1</v>
      </c>
      <c r="AZ292" t="s">
        <v>838</v>
      </c>
      <c r="BA292">
        <v>2015</v>
      </c>
      <c r="BB292">
        <v>2016</v>
      </c>
      <c r="BD292" t="s">
        <v>238</v>
      </c>
      <c r="BE292" t="s">
        <v>1435</v>
      </c>
      <c r="BF292" t="s">
        <v>57</v>
      </c>
      <c r="BG292" s="3" t="s">
        <v>1243</v>
      </c>
      <c r="BH292" t="s">
        <v>23</v>
      </c>
      <c r="BI292" t="s">
        <v>29</v>
      </c>
      <c r="BJ292" t="s">
        <v>22</v>
      </c>
      <c r="BK292">
        <v>53333</v>
      </c>
      <c r="BL292" t="s">
        <v>56</v>
      </c>
      <c r="BM292" t="s">
        <v>1424</v>
      </c>
      <c r="BN292" t="s">
        <v>29</v>
      </c>
      <c r="BO292" t="s">
        <v>22</v>
      </c>
      <c r="BP292">
        <v>66666</v>
      </c>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K292" s="9"/>
      <c r="HW292" s="58"/>
      <c r="IG292" t="s">
        <v>1443</v>
      </c>
      <c r="IH292" s="84" t="s">
        <v>1453</v>
      </c>
      <c r="II292" t="s">
        <v>660</v>
      </c>
      <c r="IJ292" t="s">
        <v>661</v>
      </c>
      <c r="IK292" t="s">
        <v>29</v>
      </c>
      <c r="IL292" t="s">
        <v>29</v>
      </c>
      <c r="IM292" t="s">
        <v>29</v>
      </c>
      <c r="JI292" t="s">
        <v>1444</v>
      </c>
      <c r="JJ292" s="84" t="s">
        <v>15</v>
      </c>
      <c r="JK292" t="s">
        <v>14</v>
      </c>
      <c r="JL292" t="s">
        <v>1446</v>
      </c>
      <c r="JM292" s="4" t="s">
        <v>13</v>
      </c>
      <c r="JN292" t="s">
        <v>1448</v>
      </c>
      <c r="MS292" t="s">
        <v>1451</v>
      </c>
      <c r="MT292">
        <v>70</v>
      </c>
      <c r="MU292" t="s">
        <v>1452</v>
      </c>
      <c r="MW292" t="s">
        <v>168</v>
      </c>
      <c r="MX292" s="4" t="s">
        <v>10</v>
      </c>
      <c r="MY292" t="s">
        <v>1454</v>
      </c>
      <c r="NE292" t="s">
        <v>1534</v>
      </c>
      <c r="NF292" t="s">
        <v>1417</v>
      </c>
      <c r="NG292" s="87" t="s">
        <v>8</v>
      </c>
      <c r="NH292" s="6" t="s">
        <v>13</v>
      </c>
      <c r="NQ292" t="s">
        <v>6</v>
      </c>
      <c r="NS292" t="s">
        <v>29</v>
      </c>
      <c r="NW292" s="15">
        <v>3</v>
      </c>
      <c r="NX292">
        <v>5683</v>
      </c>
      <c r="NY292" t="s">
        <v>29</v>
      </c>
      <c r="NZ292">
        <v>6788</v>
      </c>
      <c r="OA292" t="s">
        <v>29</v>
      </c>
      <c r="OB292">
        <v>1705</v>
      </c>
      <c r="OC292" t="s">
        <v>29</v>
      </c>
      <c r="OH292" t="s">
        <v>1422</v>
      </c>
      <c r="OI292" t="s">
        <v>6</v>
      </c>
      <c r="OK292">
        <v>2015</v>
      </c>
      <c r="OL292">
        <v>2016</v>
      </c>
      <c r="OO292" t="s">
        <v>1178</v>
      </c>
      <c r="OP292" s="58">
        <v>46105</v>
      </c>
    </row>
    <row r="293" spans="1:406" ht="15.75" thickBot="1">
      <c r="A293" t="s">
        <v>248</v>
      </c>
      <c r="B293" t="s">
        <v>1413</v>
      </c>
      <c r="C293" t="s">
        <v>1414</v>
      </c>
      <c r="D293" s="67" t="s">
        <v>245</v>
      </c>
      <c r="E293" t="s">
        <v>1421</v>
      </c>
      <c r="F293" s="4" t="s">
        <v>1427</v>
      </c>
      <c r="G293" t="s">
        <v>2</v>
      </c>
      <c r="H293" t="s">
        <v>30</v>
      </c>
      <c r="I293">
        <v>6.7519444440000003</v>
      </c>
      <c r="J293">
        <v>38.33361111</v>
      </c>
      <c r="K293" t="s">
        <v>29</v>
      </c>
      <c r="AV293" t="s">
        <v>1428</v>
      </c>
      <c r="AW293">
        <v>420</v>
      </c>
      <c r="AX293">
        <v>0.18</v>
      </c>
      <c r="AY293">
        <v>1</v>
      </c>
      <c r="AZ293" t="s">
        <v>838</v>
      </c>
      <c r="BA293">
        <v>2015</v>
      </c>
      <c r="BB293">
        <v>2016</v>
      </c>
      <c r="BD293" t="s">
        <v>19</v>
      </c>
      <c r="BE293" t="s">
        <v>1433</v>
      </c>
      <c r="BF293" t="s">
        <v>256</v>
      </c>
      <c r="BG293" s="3" t="s">
        <v>1243</v>
      </c>
      <c r="BH293" t="s">
        <v>23</v>
      </c>
      <c r="BI293" t="s">
        <v>29</v>
      </c>
      <c r="BJ293" t="s">
        <v>22</v>
      </c>
      <c r="BK293">
        <v>53333</v>
      </c>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K293" s="9"/>
      <c r="HR293" t="s">
        <v>1449</v>
      </c>
      <c r="HW293" s="58"/>
      <c r="IG293" t="s">
        <v>255</v>
      </c>
      <c r="IH293" t="s">
        <v>19</v>
      </c>
      <c r="JI293" t="s">
        <v>1445</v>
      </c>
      <c r="JJ293" s="84" t="s">
        <v>15</v>
      </c>
      <c r="JK293" t="s">
        <v>14</v>
      </c>
      <c r="JL293" t="s">
        <v>1446</v>
      </c>
      <c r="JM293" s="4" t="s">
        <v>13</v>
      </c>
      <c r="JN293" t="s">
        <v>1448</v>
      </c>
      <c r="MS293" t="s">
        <v>1451</v>
      </c>
      <c r="MT293">
        <v>70</v>
      </c>
      <c r="MU293" t="s">
        <v>1452</v>
      </c>
      <c r="MW293" t="s">
        <v>168</v>
      </c>
      <c r="MX293" s="4" t="s">
        <v>10</v>
      </c>
      <c r="NE293" t="s">
        <v>1534</v>
      </c>
      <c r="NF293" t="s">
        <v>1417</v>
      </c>
      <c r="NG293" s="89" t="s">
        <v>8</v>
      </c>
      <c r="NH293" s="6" t="s">
        <v>13</v>
      </c>
      <c r="NP293" t="s">
        <v>745</v>
      </c>
      <c r="NQ293" t="s">
        <v>6</v>
      </c>
      <c r="NS293" t="s">
        <v>29</v>
      </c>
      <c r="NW293" s="15">
        <v>3</v>
      </c>
      <c r="NX293">
        <v>7440</v>
      </c>
      <c r="NY293" t="s">
        <v>29</v>
      </c>
      <c r="NZ293">
        <v>9668</v>
      </c>
      <c r="OA293" t="s">
        <v>29</v>
      </c>
      <c r="OH293" t="s">
        <v>1422</v>
      </c>
      <c r="OI293" t="s">
        <v>6</v>
      </c>
      <c r="OK293">
        <v>2015</v>
      </c>
      <c r="OL293">
        <v>2016</v>
      </c>
      <c r="OO293" t="s">
        <v>1178</v>
      </c>
      <c r="OP293" s="58">
        <v>46105</v>
      </c>
    </row>
    <row r="294" spans="1:406" ht="15.75" thickBot="1">
      <c r="A294" t="s">
        <v>248</v>
      </c>
      <c r="B294" t="s">
        <v>1458</v>
      </c>
      <c r="C294" t="s">
        <v>1183</v>
      </c>
      <c r="D294" s="4" t="s">
        <v>1955</v>
      </c>
      <c r="E294" s="90" t="s">
        <v>1497</v>
      </c>
      <c r="F294" s="90" t="s">
        <v>31</v>
      </c>
      <c r="G294" t="s">
        <v>2</v>
      </c>
      <c r="H294" t="s">
        <v>30</v>
      </c>
      <c r="I294">
        <v>12.133333329999999</v>
      </c>
      <c r="J294">
        <v>8.5333333329999999</v>
      </c>
      <c r="K294" t="s">
        <v>29</v>
      </c>
      <c r="AV294" t="s">
        <v>1499</v>
      </c>
      <c r="AW294">
        <v>27</v>
      </c>
      <c r="AX294" t="s">
        <v>29</v>
      </c>
      <c r="AY294">
        <v>1</v>
      </c>
      <c r="AZ294" t="s">
        <v>1498</v>
      </c>
      <c r="BA294">
        <v>1999</v>
      </c>
      <c r="BB294">
        <v>2000</v>
      </c>
      <c r="BD294" t="s">
        <v>19</v>
      </c>
      <c r="BE294" t="s">
        <v>1459</v>
      </c>
      <c r="BF294" t="s">
        <v>39</v>
      </c>
      <c r="BG294" s="3" t="s">
        <v>1243</v>
      </c>
      <c r="BH294" t="s">
        <v>250</v>
      </c>
      <c r="BI294" t="s">
        <v>1476</v>
      </c>
      <c r="BJ294" t="s">
        <v>29</v>
      </c>
      <c r="BK294" t="s">
        <v>29</v>
      </c>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K294" s="9"/>
      <c r="HW294" s="58" t="s">
        <v>1459</v>
      </c>
      <c r="HX294" t="s">
        <v>1476</v>
      </c>
      <c r="HY294" s="12"/>
      <c r="HZ294" s="4" t="s">
        <v>1481</v>
      </c>
      <c r="IA294" t="s">
        <v>1482</v>
      </c>
      <c r="IG294" t="s">
        <v>1459</v>
      </c>
      <c r="IH294" t="s">
        <v>19</v>
      </c>
      <c r="JI294" t="s">
        <v>1494</v>
      </c>
      <c r="JJ294" s="84" t="s">
        <v>15</v>
      </c>
      <c r="JK294" t="s">
        <v>14</v>
      </c>
      <c r="JL294" t="s">
        <v>1495</v>
      </c>
      <c r="JM294" s="4" t="s">
        <v>13</v>
      </c>
      <c r="JN294" t="s">
        <v>1496</v>
      </c>
      <c r="JO294" s="4"/>
      <c r="KH294" t="s">
        <v>1460</v>
      </c>
      <c r="KI294" t="s">
        <v>222</v>
      </c>
      <c r="KJ294" s="8" t="s">
        <v>1493</v>
      </c>
      <c r="KK294" s="4" t="s">
        <v>220</v>
      </c>
      <c r="KL294">
        <v>1</v>
      </c>
      <c r="MS294" t="s">
        <v>1535</v>
      </c>
      <c r="MT294">
        <v>27</v>
      </c>
      <c r="MU294" t="s">
        <v>1480</v>
      </c>
      <c r="MW294" t="s">
        <v>1479</v>
      </c>
      <c r="NE294" t="s">
        <v>1478</v>
      </c>
      <c r="NF294" t="s">
        <v>1462</v>
      </c>
      <c r="NG294" t="s">
        <v>8</v>
      </c>
      <c r="NH294" t="s">
        <v>13</v>
      </c>
      <c r="NP294" t="s">
        <v>64</v>
      </c>
      <c r="NQ294" t="s">
        <v>6</v>
      </c>
      <c r="NR294">
        <v>1142</v>
      </c>
      <c r="NS294" s="88" t="s">
        <v>29</v>
      </c>
      <c r="NT294" s="2" t="s">
        <v>29</v>
      </c>
      <c r="NW294">
        <v>3</v>
      </c>
      <c r="OH294" t="s">
        <v>1491</v>
      </c>
      <c r="OJ294">
        <v>1999</v>
      </c>
      <c r="OO294" t="s">
        <v>1178</v>
      </c>
      <c r="OP294" s="58">
        <v>46104</v>
      </c>
    </row>
    <row r="295" spans="1:406" ht="15.75" thickBot="1">
      <c r="A295" t="s">
        <v>248</v>
      </c>
      <c r="B295" t="s">
        <v>1458</v>
      </c>
      <c r="C295" t="s">
        <v>1183</v>
      </c>
      <c r="D295" s="4" t="s">
        <v>1955</v>
      </c>
      <c r="E295" s="90" t="s">
        <v>1497</v>
      </c>
      <c r="F295" s="90" t="s">
        <v>31</v>
      </c>
      <c r="G295" t="s">
        <v>2</v>
      </c>
      <c r="H295" t="s">
        <v>30</v>
      </c>
      <c r="I295">
        <v>12.133333329999999</v>
      </c>
      <c r="J295">
        <v>8.5333333329999999</v>
      </c>
      <c r="K295" t="s">
        <v>29</v>
      </c>
      <c r="AV295" t="s">
        <v>1499</v>
      </c>
      <c r="AW295">
        <v>27</v>
      </c>
      <c r="AX295" t="s">
        <v>29</v>
      </c>
      <c r="AY295">
        <v>1</v>
      </c>
      <c r="AZ295" t="s">
        <v>1498</v>
      </c>
      <c r="BA295">
        <v>1999</v>
      </c>
      <c r="BB295">
        <v>2000</v>
      </c>
      <c r="BD295" t="s">
        <v>19</v>
      </c>
      <c r="BE295" t="s">
        <v>1463</v>
      </c>
      <c r="BF295" t="s">
        <v>24</v>
      </c>
      <c r="BG295" s="3" t="s">
        <v>1243</v>
      </c>
      <c r="BH295" t="s">
        <v>250</v>
      </c>
      <c r="BI295" t="s">
        <v>1471</v>
      </c>
      <c r="BJ295" t="s">
        <v>29</v>
      </c>
      <c r="BK295" t="s">
        <v>29</v>
      </c>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K295" s="9"/>
      <c r="HW295" s="58" t="s">
        <v>1463</v>
      </c>
      <c r="HX295" t="s">
        <v>1471</v>
      </c>
      <c r="HY295" s="12"/>
      <c r="HZ295" t="s">
        <v>1484</v>
      </c>
      <c r="IA295" t="s">
        <v>1483</v>
      </c>
      <c r="IG295" t="s">
        <v>1463</v>
      </c>
      <c r="IH295" t="s">
        <v>19</v>
      </c>
      <c r="JI295" t="s">
        <v>1494</v>
      </c>
      <c r="JJ295" s="84" t="s">
        <v>15</v>
      </c>
      <c r="JK295" t="s">
        <v>14</v>
      </c>
      <c r="JL295" t="s">
        <v>1495</v>
      </c>
      <c r="JM295" s="4" t="s">
        <v>13</v>
      </c>
      <c r="JN295" t="s">
        <v>1496</v>
      </c>
      <c r="JO295" s="4"/>
      <c r="KH295" t="s">
        <v>1460</v>
      </c>
      <c r="KI295" t="s">
        <v>222</v>
      </c>
      <c r="KJ295" s="8" t="s">
        <v>1493</v>
      </c>
      <c r="KK295" s="4" t="s">
        <v>220</v>
      </c>
      <c r="KL295">
        <v>1</v>
      </c>
      <c r="MS295" t="s">
        <v>1535</v>
      </c>
      <c r="MT295">
        <v>27</v>
      </c>
      <c r="MU295" t="s">
        <v>1480</v>
      </c>
      <c r="MW295" t="s">
        <v>1479</v>
      </c>
      <c r="NE295" t="s">
        <v>1478</v>
      </c>
      <c r="NG295" t="s">
        <v>8</v>
      </c>
      <c r="NH295" t="s">
        <v>13</v>
      </c>
      <c r="NP295" t="s">
        <v>57</v>
      </c>
      <c r="NQ295" t="s">
        <v>6</v>
      </c>
      <c r="NR295">
        <v>1876</v>
      </c>
      <c r="NS295" s="88" t="s">
        <v>29</v>
      </c>
      <c r="NT295" s="2" t="s">
        <v>29</v>
      </c>
      <c r="NW295">
        <v>3</v>
      </c>
      <c r="OH295" t="s">
        <v>1491</v>
      </c>
      <c r="OJ295">
        <v>1999</v>
      </c>
      <c r="OO295" t="s">
        <v>1178</v>
      </c>
      <c r="OP295" s="58">
        <v>46104</v>
      </c>
    </row>
    <row r="296" spans="1:406" ht="15.75" thickBot="1">
      <c r="A296" t="s">
        <v>248</v>
      </c>
      <c r="B296" t="s">
        <v>1458</v>
      </c>
      <c r="C296" t="s">
        <v>1183</v>
      </c>
      <c r="D296" s="4" t="s">
        <v>1955</v>
      </c>
      <c r="E296" s="90" t="s">
        <v>1497</v>
      </c>
      <c r="F296" s="90" t="s">
        <v>31</v>
      </c>
      <c r="G296" t="s">
        <v>2</v>
      </c>
      <c r="H296" t="s">
        <v>30</v>
      </c>
      <c r="I296">
        <v>12.133333329999999</v>
      </c>
      <c r="J296">
        <v>8.5333333329999999</v>
      </c>
      <c r="K296" t="s">
        <v>29</v>
      </c>
      <c r="AV296" t="s">
        <v>1499</v>
      </c>
      <c r="AW296">
        <v>27</v>
      </c>
      <c r="AX296" t="s">
        <v>29</v>
      </c>
      <c r="AY296">
        <v>1</v>
      </c>
      <c r="AZ296" t="s">
        <v>1498</v>
      </c>
      <c r="BA296">
        <v>1999</v>
      </c>
      <c r="BB296">
        <v>2000</v>
      </c>
      <c r="BD296" t="s">
        <v>19</v>
      </c>
      <c r="BE296" t="s">
        <v>1464</v>
      </c>
      <c r="BF296" t="s">
        <v>299</v>
      </c>
      <c r="BG296" s="3" t="s">
        <v>1243</v>
      </c>
      <c r="BH296" t="s">
        <v>250</v>
      </c>
      <c r="BI296" t="s">
        <v>1472</v>
      </c>
      <c r="BJ296" t="s">
        <v>29</v>
      </c>
      <c r="BK296" t="s">
        <v>29</v>
      </c>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K296" s="9"/>
      <c r="HW296" s="58" t="s">
        <v>1464</v>
      </c>
      <c r="HX296" t="s">
        <v>1472</v>
      </c>
      <c r="HY296" s="12"/>
      <c r="HZ296" t="s">
        <v>1484</v>
      </c>
      <c r="IA296" t="s">
        <v>1483</v>
      </c>
      <c r="IG296" t="s">
        <v>1464</v>
      </c>
      <c r="IH296" t="s">
        <v>19</v>
      </c>
      <c r="JI296" t="s">
        <v>1494</v>
      </c>
      <c r="JJ296" s="84" t="s">
        <v>15</v>
      </c>
      <c r="JK296" t="s">
        <v>14</v>
      </c>
      <c r="JL296" t="s">
        <v>1495</v>
      </c>
      <c r="JM296" s="4" t="s">
        <v>13</v>
      </c>
      <c r="JN296" t="s">
        <v>1496</v>
      </c>
      <c r="JO296" s="4"/>
      <c r="KH296" t="s">
        <v>1460</v>
      </c>
      <c r="KI296" t="s">
        <v>222</v>
      </c>
      <c r="KJ296" s="8" t="s">
        <v>1493</v>
      </c>
      <c r="KK296" s="4" t="s">
        <v>220</v>
      </c>
      <c r="KL296">
        <v>1</v>
      </c>
      <c r="MS296" t="s">
        <v>1535</v>
      </c>
      <c r="MT296">
        <v>27</v>
      </c>
      <c r="MU296" t="s">
        <v>1480</v>
      </c>
      <c r="MW296" t="s">
        <v>1479</v>
      </c>
      <c r="NE296" t="s">
        <v>1478</v>
      </c>
      <c r="NG296" t="s">
        <v>8</v>
      </c>
      <c r="NH296" t="s">
        <v>13</v>
      </c>
      <c r="NP296" t="s">
        <v>48</v>
      </c>
      <c r="NQ296" t="s">
        <v>6</v>
      </c>
      <c r="NR296">
        <v>1454</v>
      </c>
      <c r="NS296" s="88" t="s">
        <v>29</v>
      </c>
      <c r="NT296" s="2" t="s">
        <v>29</v>
      </c>
      <c r="NW296">
        <v>3</v>
      </c>
      <c r="OH296" t="s">
        <v>1491</v>
      </c>
      <c r="OJ296">
        <v>1999</v>
      </c>
      <c r="OO296" t="s">
        <v>1178</v>
      </c>
      <c r="OP296" s="58">
        <v>46104</v>
      </c>
    </row>
    <row r="297" spans="1:406" ht="15.75" thickBot="1">
      <c r="A297" t="s">
        <v>248</v>
      </c>
      <c r="B297" t="s">
        <v>1458</v>
      </c>
      <c r="C297" t="s">
        <v>1183</v>
      </c>
      <c r="D297" s="4" t="s">
        <v>1955</v>
      </c>
      <c r="E297" s="90" t="s">
        <v>1497</v>
      </c>
      <c r="F297" s="90" t="s">
        <v>31</v>
      </c>
      <c r="G297" t="s">
        <v>2</v>
      </c>
      <c r="H297" t="s">
        <v>30</v>
      </c>
      <c r="I297">
        <v>12.133333329999999</v>
      </c>
      <c r="J297">
        <v>8.5333333329999999</v>
      </c>
      <c r="K297" t="s">
        <v>29</v>
      </c>
      <c r="AV297" t="s">
        <v>1499</v>
      </c>
      <c r="AW297">
        <v>27</v>
      </c>
      <c r="AX297" t="s">
        <v>29</v>
      </c>
      <c r="AY297">
        <v>1</v>
      </c>
      <c r="AZ297" t="s">
        <v>1498</v>
      </c>
      <c r="BA297">
        <v>1999</v>
      </c>
      <c r="BB297">
        <v>2000</v>
      </c>
      <c r="BD297" t="s">
        <v>19</v>
      </c>
      <c r="BE297" t="s">
        <v>1465</v>
      </c>
      <c r="BF297" t="s">
        <v>256</v>
      </c>
      <c r="BG297" s="3" t="s">
        <v>1243</v>
      </c>
      <c r="BH297" t="s">
        <v>250</v>
      </c>
      <c r="BI297" t="s">
        <v>1473</v>
      </c>
      <c r="BJ297" t="s">
        <v>29</v>
      </c>
      <c r="BK297" t="s">
        <v>29</v>
      </c>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K297" s="9"/>
      <c r="HW297" s="58" t="s">
        <v>1465</v>
      </c>
      <c r="HX297" t="s">
        <v>1473</v>
      </c>
      <c r="HY297" s="12"/>
      <c r="HZ297" t="s">
        <v>1484</v>
      </c>
      <c r="IA297" t="s">
        <v>1483</v>
      </c>
      <c r="IG297" t="s">
        <v>1465</v>
      </c>
      <c r="IH297" t="s">
        <v>19</v>
      </c>
      <c r="JI297" t="s">
        <v>1494</v>
      </c>
      <c r="JJ297" s="84" t="s">
        <v>15</v>
      </c>
      <c r="JK297" t="s">
        <v>14</v>
      </c>
      <c r="JL297" t="s">
        <v>1495</v>
      </c>
      <c r="JM297" s="4" t="s">
        <v>13</v>
      </c>
      <c r="JN297" t="s">
        <v>1496</v>
      </c>
      <c r="JO297" s="4"/>
      <c r="KH297" t="s">
        <v>1460</v>
      </c>
      <c r="KI297" t="s">
        <v>222</v>
      </c>
      <c r="KJ297" s="8" t="s">
        <v>1493</v>
      </c>
      <c r="KK297" s="4" t="s">
        <v>220</v>
      </c>
      <c r="KL297">
        <v>1</v>
      </c>
      <c r="MS297" t="s">
        <v>1535</v>
      </c>
      <c r="MT297">
        <v>27</v>
      </c>
      <c r="MU297" t="s">
        <v>1480</v>
      </c>
      <c r="MW297" t="s">
        <v>1479</v>
      </c>
      <c r="NE297" t="s">
        <v>1478</v>
      </c>
      <c r="NG297" t="s">
        <v>8</v>
      </c>
      <c r="NH297" t="s">
        <v>13</v>
      </c>
      <c r="NP297" t="s">
        <v>43</v>
      </c>
      <c r="NQ297" t="s">
        <v>6</v>
      </c>
      <c r="NR297">
        <v>1087</v>
      </c>
      <c r="NS297" s="88" t="s">
        <v>29</v>
      </c>
      <c r="NT297" s="2" t="s">
        <v>29</v>
      </c>
      <c r="NW297">
        <v>3</v>
      </c>
      <c r="OH297" t="s">
        <v>1491</v>
      </c>
      <c r="OJ297">
        <v>1999</v>
      </c>
      <c r="OO297" t="s">
        <v>1178</v>
      </c>
      <c r="OP297" s="58">
        <v>46104</v>
      </c>
    </row>
    <row r="298" spans="1:406" ht="15.75" thickBot="1">
      <c r="A298" t="s">
        <v>248</v>
      </c>
      <c r="B298" t="s">
        <v>1458</v>
      </c>
      <c r="C298" t="s">
        <v>1183</v>
      </c>
      <c r="D298" s="4" t="s">
        <v>1955</v>
      </c>
      <c r="E298" s="90" t="s">
        <v>1497</v>
      </c>
      <c r="F298" s="90" t="s">
        <v>31</v>
      </c>
      <c r="G298" t="s">
        <v>2</v>
      </c>
      <c r="H298" t="s">
        <v>30</v>
      </c>
      <c r="I298">
        <v>12.133333329999999</v>
      </c>
      <c r="J298">
        <v>8.5333333329999999</v>
      </c>
      <c r="K298" t="s">
        <v>29</v>
      </c>
      <c r="AV298" t="s">
        <v>1499</v>
      </c>
      <c r="AW298">
        <v>27</v>
      </c>
      <c r="AX298" t="s">
        <v>29</v>
      </c>
      <c r="AY298">
        <v>1</v>
      </c>
      <c r="AZ298" t="s">
        <v>1498</v>
      </c>
      <c r="BA298">
        <v>1999</v>
      </c>
      <c r="BB298">
        <v>2000</v>
      </c>
      <c r="BD298" t="s">
        <v>19</v>
      </c>
      <c r="BE298" t="s">
        <v>1466</v>
      </c>
      <c r="BF298" t="s">
        <v>1467</v>
      </c>
      <c r="BG298" s="3" t="s">
        <v>1243</v>
      </c>
      <c r="BH298" t="s">
        <v>250</v>
      </c>
      <c r="BI298" t="s">
        <v>1474</v>
      </c>
      <c r="BJ298" t="s">
        <v>29</v>
      </c>
      <c r="BK298" t="s">
        <v>29</v>
      </c>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K298" s="9"/>
      <c r="HW298" s="58" t="s">
        <v>1466</v>
      </c>
      <c r="HX298" t="s">
        <v>1474</v>
      </c>
      <c r="HY298" s="12"/>
      <c r="HZ298" t="s">
        <v>1484</v>
      </c>
      <c r="IA298" t="s">
        <v>1483</v>
      </c>
      <c r="IG298" t="s">
        <v>1466</v>
      </c>
      <c r="IH298" t="s">
        <v>19</v>
      </c>
      <c r="JI298" t="s">
        <v>1494</v>
      </c>
      <c r="JJ298" s="84" t="s">
        <v>15</v>
      </c>
      <c r="JK298" t="s">
        <v>14</v>
      </c>
      <c r="JL298" t="s">
        <v>1495</v>
      </c>
      <c r="JM298" s="4" t="s">
        <v>13</v>
      </c>
      <c r="JN298" t="s">
        <v>1496</v>
      </c>
      <c r="JO298" s="4"/>
      <c r="KH298" t="s">
        <v>1460</v>
      </c>
      <c r="KI298" t="s">
        <v>222</v>
      </c>
      <c r="KJ298" s="8" t="s">
        <v>1493</v>
      </c>
      <c r="KK298" s="4" t="s">
        <v>220</v>
      </c>
      <c r="KL298">
        <v>1</v>
      </c>
      <c r="MS298" t="s">
        <v>1535</v>
      </c>
      <c r="MT298">
        <v>27</v>
      </c>
      <c r="MU298" t="s">
        <v>1480</v>
      </c>
      <c r="MW298" t="s">
        <v>1479</v>
      </c>
      <c r="NE298" t="s">
        <v>1478</v>
      </c>
      <c r="NG298" t="s">
        <v>8</v>
      </c>
      <c r="NH298" t="s">
        <v>13</v>
      </c>
      <c r="NP298" t="s">
        <v>252</v>
      </c>
      <c r="NQ298" t="s">
        <v>6</v>
      </c>
      <c r="NR298">
        <v>1069</v>
      </c>
      <c r="NS298" s="88" t="s">
        <v>29</v>
      </c>
      <c r="NT298" s="2" t="s">
        <v>29</v>
      </c>
      <c r="NW298">
        <v>3</v>
      </c>
      <c r="OH298" t="s">
        <v>1491</v>
      </c>
      <c r="OJ298">
        <v>1999</v>
      </c>
      <c r="OO298" t="s">
        <v>1178</v>
      </c>
      <c r="OP298" s="58">
        <v>46104</v>
      </c>
    </row>
    <row r="299" spans="1:406" ht="15.75" thickBot="1">
      <c r="A299" t="s">
        <v>248</v>
      </c>
      <c r="B299" t="s">
        <v>1458</v>
      </c>
      <c r="C299" t="s">
        <v>1183</v>
      </c>
      <c r="D299" s="4" t="s">
        <v>1955</v>
      </c>
      <c r="E299" s="90" t="s">
        <v>1497</v>
      </c>
      <c r="F299" s="90" t="s">
        <v>31</v>
      </c>
      <c r="G299" t="s">
        <v>2</v>
      </c>
      <c r="H299" t="s">
        <v>30</v>
      </c>
      <c r="I299">
        <v>12.133333329999999</v>
      </c>
      <c r="J299">
        <v>8.5333333329999999</v>
      </c>
      <c r="K299" t="s">
        <v>29</v>
      </c>
      <c r="AV299" t="s">
        <v>1499</v>
      </c>
      <c r="AW299">
        <v>27</v>
      </c>
      <c r="AX299" t="s">
        <v>29</v>
      </c>
      <c r="AY299">
        <v>1</v>
      </c>
      <c r="AZ299" t="s">
        <v>1498</v>
      </c>
      <c r="BA299">
        <v>1999</v>
      </c>
      <c r="BB299">
        <v>2000</v>
      </c>
      <c r="BD299" t="s">
        <v>19</v>
      </c>
      <c r="BE299" t="s">
        <v>1468</v>
      </c>
      <c r="BF299" t="s">
        <v>1469</v>
      </c>
      <c r="BG299" s="3" t="s">
        <v>1243</v>
      </c>
      <c r="BH299" t="s">
        <v>250</v>
      </c>
      <c r="BI299" t="s">
        <v>1475</v>
      </c>
      <c r="BJ299" t="s">
        <v>29</v>
      </c>
      <c r="BK299" t="s">
        <v>29</v>
      </c>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K299" s="9"/>
      <c r="HW299" s="58" t="s">
        <v>1468</v>
      </c>
      <c r="HX299" t="s">
        <v>1475</v>
      </c>
      <c r="HY299" s="12"/>
      <c r="HZ299" t="s">
        <v>1484</v>
      </c>
      <c r="IA299" t="s">
        <v>1483</v>
      </c>
      <c r="IG299" t="s">
        <v>1468</v>
      </c>
      <c r="IH299" t="s">
        <v>19</v>
      </c>
      <c r="JI299" t="s">
        <v>1494</v>
      </c>
      <c r="JJ299" s="84" t="s">
        <v>15</v>
      </c>
      <c r="JK299" t="s">
        <v>14</v>
      </c>
      <c r="JL299" t="s">
        <v>1495</v>
      </c>
      <c r="JM299" s="4" t="s">
        <v>13</v>
      </c>
      <c r="JN299" t="s">
        <v>1496</v>
      </c>
      <c r="JO299" s="4"/>
      <c r="KH299" t="s">
        <v>1460</v>
      </c>
      <c r="KI299" t="s">
        <v>222</v>
      </c>
      <c r="KJ299" s="8" t="s">
        <v>1493</v>
      </c>
      <c r="KK299" s="4" t="s">
        <v>220</v>
      </c>
      <c r="KL299">
        <v>1</v>
      </c>
      <c r="MS299" t="s">
        <v>1535</v>
      </c>
      <c r="MT299">
        <v>27</v>
      </c>
      <c r="MU299" t="s">
        <v>1480</v>
      </c>
      <c r="MW299" t="s">
        <v>1479</v>
      </c>
      <c r="NE299" t="s">
        <v>1478</v>
      </c>
      <c r="NG299" t="s">
        <v>8</v>
      </c>
      <c r="NH299" t="s">
        <v>13</v>
      </c>
      <c r="NP299" t="s">
        <v>236</v>
      </c>
      <c r="NQ299" t="s">
        <v>6</v>
      </c>
      <c r="NR299">
        <v>920</v>
      </c>
      <c r="NS299" s="88" t="s">
        <v>29</v>
      </c>
      <c r="NT299" s="2" t="s">
        <v>29</v>
      </c>
      <c r="NW299">
        <v>3</v>
      </c>
      <c r="OH299" t="s">
        <v>1491</v>
      </c>
      <c r="OJ299">
        <v>1999</v>
      </c>
      <c r="OO299" t="s">
        <v>1178</v>
      </c>
      <c r="OP299" s="58">
        <v>46104</v>
      </c>
    </row>
    <row r="300" spans="1:406" ht="15.75" thickBot="1">
      <c r="A300" t="s">
        <v>248</v>
      </c>
      <c r="B300" t="s">
        <v>1458</v>
      </c>
      <c r="C300" t="s">
        <v>1183</v>
      </c>
      <c r="D300" s="4" t="s">
        <v>1955</v>
      </c>
      <c r="E300" s="90" t="s">
        <v>1497</v>
      </c>
      <c r="F300" s="90" t="s">
        <v>31</v>
      </c>
      <c r="G300" t="s">
        <v>2</v>
      </c>
      <c r="H300" t="s">
        <v>30</v>
      </c>
      <c r="I300">
        <v>12.133333329999999</v>
      </c>
      <c r="J300">
        <v>8.5333333329999999</v>
      </c>
      <c r="K300" t="s">
        <v>29</v>
      </c>
      <c r="AV300" t="s">
        <v>1499</v>
      </c>
      <c r="AW300">
        <v>46.5</v>
      </c>
      <c r="AX300" t="s">
        <v>29</v>
      </c>
      <c r="AY300">
        <v>1</v>
      </c>
      <c r="AZ300" t="s">
        <v>1498</v>
      </c>
      <c r="BA300">
        <v>1999</v>
      </c>
      <c r="BB300">
        <v>2000</v>
      </c>
      <c r="BD300" t="s">
        <v>238</v>
      </c>
      <c r="BE300" t="s">
        <v>1485</v>
      </c>
      <c r="BF300" t="s">
        <v>64</v>
      </c>
      <c r="BG300" s="3" t="s">
        <v>1243</v>
      </c>
      <c r="BH300" t="s">
        <v>250</v>
      </c>
      <c r="BI300" t="s">
        <v>1476</v>
      </c>
      <c r="BJ300" t="s">
        <v>29</v>
      </c>
      <c r="BK300" t="s">
        <v>29</v>
      </c>
      <c r="BL300" t="s">
        <v>56</v>
      </c>
      <c r="BM300" t="s">
        <v>1470</v>
      </c>
      <c r="BN300" t="s">
        <v>29</v>
      </c>
      <c r="BO300" t="s">
        <v>29</v>
      </c>
      <c r="BP300" t="s">
        <v>29</v>
      </c>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K300" s="9"/>
      <c r="HW300" s="58" t="s">
        <v>1459</v>
      </c>
      <c r="HX300" t="s">
        <v>1476</v>
      </c>
      <c r="HY300" s="12"/>
      <c r="HZ300" s="4" t="s">
        <v>1481</v>
      </c>
      <c r="IA300" t="s">
        <v>1482</v>
      </c>
      <c r="IG300" t="s">
        <v>1485</v>
      </c>
      <c r="IH300" t="s">
        <v>1200</v>
      </c>
      <c r="II300" t="s">
        <v>1477</v>
      </c>
      <c r="IJ300" t="s">
        <v>661</v>
      </c>
      <c r="IK300" s="88">
        <v>1999</v>
      </c>
      <c r="IL300" s="88" t="s">
        <v>29</v>
      </c>
      <c r="IM300" s="87" t="s">
        <v>29</v>
      </c>
      <c r="JI300" t="s">
        <v>1494</v>
      </c>
      <c r="JJ300" s="84" t="s">
        <v>15</v>
      </c>
      <c r="JK300" t="s">
        <v>14</v>
      </c>
      <c r="JL300" t="s">
        <v>1495</v>
      </c>
      <c r="JM300" s="4" t="s">
        <v>13</v>
      </c>
      <c r="JN300" t="s">
        <v>1496</v>
      </c>
      <c r="JO300" s="4"/>
      <c r="KH300" t="s">
        <v>1460</v>
      </c>
      <c r="KI300" t="s">
        <v>222</v>
      </c>
      <c r="KJ300" s="8" t="s">
        <v>1493</v>
      </c>
      <c r="KK300" s="4" t="s">
        <v>220</v>
      </c>
      <c r="KL300">
        <v>1</v>
      </c>
      <c r="MS300" t="s">
        <v>1535</v>
      </c>
      <c r="MT300">
        <v>46.5</v>
      </c>
      <c r="MU300" t="s">
        <v>1480</v>
      </c>
      <c r="MW300" t="s">
        <v>1479</v>
      </c>
      <c r="NE300" t="s">
        <v>1500</v>
      </c>
      <c r="NG300" t="s">
        <v>8</v>
      </c>
      <c r="NH300" t="s">
        <v>13</v>
      </c>
      <c r="NQ300" t="s">
        <v>6</v>
      </c>
      <c r="NR300">
        <v>367</v>
      </c>
      <c r="NS300" s="88" t="s">
        <v>29</v>
      </c>
      <c r="NT300" s="2" t="s">
        <v>29</v>
      </c>
      <c r="NW300">
        <v>3</v>
      </c>
      <c r="OH300" t="s">
        <v>1492</v>
      </c>
      <c r="OJ300">
        <v>1999</v>
      </c>
      <c r="OO300" t="s">
        <v>1178</v>
      </c>
      <c r="OP300" s="58">
        <v>46104</v>
      </c>
    </row>
    <row r="301" spans="1:406" ht="15.75" thickBot="1">
      <c r="A301" t="s">
        <v>248</v>
      </c>
      <c r="B301" t="s">
        <v>1458</v>
      </c>
      <c r="C301" t="s">
        <v>1183</v>
      </c>
      <c r="D301" s="4" t="s">
        <v>1955</v>
      </c>
      <c r="E301" s="90" t="s">
        <v>1497</v>
      </c>
      <c r="F301" s="90" t="s">
        <v>31</v>
      </c>
      <c r="G301" t="s">
        <v>2</v>
      </c>
      <c r="H301" t="s">
        <v>30</v>
      </c>
      <c r="I301">
        <v>12.133333329999999</v>
      </c>
      <c r="J301">
        <v>8.5333333329999999</v>
      </c>
      <c r="K301" t="s">
        <v>29</v>
      </c>
      <c r="AV301" t="s">
        <v>1499</v>
      </c>
      <c r="AW301">
        <v>46.5</v>
      </c>
      <c r="AX301" t="s">
        <v>29</v>
      </c>
      <c r="AY301">
        <v>1</v>
      </c>
      <c r="AZ301" t="s">
        <v>1498</v>
      </c>
      <c r="BA301">
        <v>1999</v>
      </c>
      <c r="BB301">
        <v>2000</v>
      </c>
      <c r="BD301" t="s">
        <v>238</v>
      </c>
      <c r="BE301" t="s">
        <v>1486</v>
      </c>
      <c r="BF301" t="s">
        <v>57</v>
      </c>
      <c r="BG301" s="3" t="s">
        <v>1243</v>
      </c>
      <c r="BH301" t="s">
        <v>250</v>
      </c>
      <c r="BI301" t="s">
        <v>1471</v>
      </c>
      <c r="BJ301" t="s">
        <v>29</v>
      </c>
      <c r="BK301" t="s">
        <v>29</v>
      </c>
      <c r="BL301" t="s">
        <v>56</v>
      </c>
      <c r="BM301" t="s">
        <v>1470</v>
      </c>
      <c r="BN301" t="s">
        <v>29</v>
      </c>
      <c r="BO301" t="s">
        <v>29</v>
      </c>
      <c r="BP301" t="s">
        <v>29</v>
      </c>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K301" s="9"/>
      <c r="HW301" s="58" t="s">
        <v>1463</v>
      </c>
      <c r="HX301" t="s">
        <v>1471</v>
      </c>
      <c r="HY301" s="12"/>
      <c r="HZ301" t="s">
        <v>1484</v>
      </c>
      <c r="IA301" t="s">
        <v>1483</v>
      </c>
      <c r="IG301" t="s">
        <v>1486</v>
      </c>
      <c r="IH301" t="s">
        <v>1200</v>
      </c>
      <c r="II301" t="s">
        <v>1477</v>
      </c>
      <c r="IJ301" t="s">
        <v>661</v>
      </c>
      <c r="IK301" s="88">
        <v>1999</v>
      </c>
      <c r="IL301" s="87" t="s">
        <v>29</v>
      </c>
      <c r="IM301" s="87" t="s">
        <v>29</v>
      </c>
      <c r="JI301" t="s">
        <v>1494</v>
      </c>
      <c r="JJ301" s="84" t="s">
        <v>15</v>
      </c>
      <c r="JK301" t="s">
        <v>14</v>
      </c>
      <c r="JL301" t="s">
        <v>1495</v>
      </c>
      <c r="JM301" s="4" t="s">
        <v>13</v>
      </c>
      <c r="JN301" t="s">
        <v>1496</v>
      </c>
      <c r="JO301" s="4"/>
      <c r="KH301" t="s">
        <v>1460</v>
      </c>
      <c r="KI301" t="s">
        <v>222</v>
      </c>
      <c r="KJ301" s="8" t="s">
        <v>1493</v>
      </c>
      <c r="KK301" s="4" t="s">
        <v>220</v>
      </c>
      <c r="KL301">
        <v>1</v>
      </c>
      <c r="MS301" t="s">
        <v>1535</v>
      </c>
      <c r="MT301">
        <v>46.5</v>
      </c>
      <c r="MU301" t="s">
        <v>1480</v>
      </c>
      <c r="MW301" t="s">
        <v>1479</v>
      </c>
      <c r="NE301" t="s">
        <v>1500</v>
      </c>
      <c r="NG301" t="s">
        <v>8</v>
      </c>
      <c r="NH301" t="s">
        <v>13</v>
      </c>
      <c r="NQ301" t="s">
        <v>6</v>
      </c>
      <c r="NR301">
        <v>702</v>
      </c>
      <c r="NS301" s="88" t="s">
        <v>29</v>
      </c>
      <c r="NT301" s="2" t="s">
        <v>29</v>
      </c>
      <c r="NW301">
        <v>3</v>
      </c>
      <c r="OH301" t="s">
        <v>1492</v>
      </c>
      <c r="OJ301">
        <v>1999</v>
      </c>
      <c r="OO301" t="s">
        <v>1178</v>
      </c>
      <c r="OP301" s="58">
        <v>46104</v>
      </c>
    </row>
    <row r="302" spans="1:406" ht="15.75" thickBot="1">
      <c r="A302" t="s">
        <v>248</v>
      </c>
      <c r="B302" t="s">
        <v>1458</v>
      </c>
      <c r="C302" t="s">
        <v>1183</v>
      </c>
      <c r="D302" s="4" t="s">
        <v>1955</v>
      </c>
      <c r="E302" s="90" t="s">
        <v>1497</v>
      </c>
      <c r="F302" s="90" t="s">
        <v>31</v>
      </c>
      <c r="G302" t="s">
        <v>2</v>
      </c>
      <c r="H302" t="s">
        <v>30</v>
      </c>
      <c r="I302">
        <v>12.133333329999999</v>
      </c>
      <c r="J302">
        <v>8.5333333329999999</v>
      </c>
      <c r="K302" t="s">
        <v>29</v>
      </c>
      <c r="AV302" t="s">
        <v>1499</v>
      </c>
      <c r="AW302">
        <v>46.5</v>
      </c>
      <c r="AX302" t="s">
        <v>29</v>
      </c>
      <c r="AY302">
        <v>1</v>
      </c>
      <c r="AZ302" t="s">
        <v>1498</v>
      </c>
      <c r="BA302">
        <v>1999</v>
      </c>
      <c r="BB302">
        <v>2000</v>
      </c>
      <c r="BD302" t="s">
        <v>238</v>
      </c>
      <c r="BE302" t="s">
        <v>1487</v>
      </c>
      <c r="BF302" t="s">
        <v>48</v>
      </c>
      <c r="BG302" s="3" t="s">
        <v>1243</v>
      </c>
      <c r="BH302" t="s">
        <v>250</v>
      </c>
      <c r="BI302" t="s">
        <v>1472</v>
      </c>
      <c r="BJ302" t="s">
        <v>29</v>
      </c>
      <c r="BK302" t="s">
        <v>29</v>
      </c>
      <c r="BL302" t="s">
        <v>56</v>
      </c>
      <c r="BM302" t="s">
        <v>1470</v>
      </c>
      <c r="BN302" t="s">
        <v>29</v>
      </c>
      <c r="BO302" t="s">
        <v>29</v>
      </c>
      <c r="BP302" t="s">
        <v>29</v>
      </c>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K302" s="9"/>
      <c r="HW302" s="58" t="s">
        <v>1464</v>
      </c>
      <c r="HX302" t="s">
        <v>1472</v>
      </c>
      <c r="HY302" s="12"/>
      <c r="HZ302" t="s">
        <v>1484</v>
      </c>
      <c r="IA302" t="s">
        <v>1483</v>
      </c>
      <c r="IG302" t="s">
        <v>1487</v>
      </c>
      <c r="IH302" t="s">
        <v>1200</v>
      </c>
      <c r="II302" t="s">
        <v>1477</v>
      </c>
      <c r="IJ302" t="s">
        <v>661</v>
      </c>
      <c r="IK302" s="88">
        <v>1999</v>
      </c>
      <c r="IL302" s="88" t="s">
        <v>29</v>
      </c>
      <c r="IM302" s="87" t="s">
        <v>29</v>
      </c>
      <c r="JI302" t="s">
        <v>1494</v>
      </c>
      <c r="JJ302" s="84" t="s">
        <v>15</v>
      </c>
      <c r="JK302" t="s">
        <v>14</v>
      </c>
      <c r="JL302" t="s">
        <v>1495</v>
      </c>
      <c r="JM302" s="4" t="s">
        <v>13</v>
      </c>
      <c r="JN302" t="s">
        <v>1496</v>
      </c>
      <c r="JO302" s="4"/>
      <c r="KH302" t="s">
        <v>1460</v>
      </c>
      <c r="KI302" t="s">
        <v>222</v>
      </c>
      <c r="KJ302" s="8" t="s">
        <v>1493</v>
      </c>
      <c r="KK302" s="4" t="s">
        <v>220</v>
      </c>
      <c r="KL302">
        <v>1</v>
      </c>
      <c r="MS302" t="s">
        <v>1535</v>
      </c>
      <c r="MT302">
        <v>46.5</v>
      </c>
      <c r="MU302" t="s">
        <v>1480</v>
      </c>
      <c r="MW302" t="s">
        <v>1479</v>
      </c>
      <c r="NE302" t="s">
        <v>1500</v>
      </c>
      <c r="NG302" t="s">
        <v>8</v>
      </c>
      <c r="NH302" t="s">
        <v>13</v>
      </c>
      <c r="NQ302" t="s">
        <v>6</v>
      </c>
      <c r="NR302">
        <v>616</v>
      </c>
      <c r="NS302" s="88" t="s">
        <v>29</v>
      </c>
      <c r="NT302" s="2" t="s">
        <v>29</v>
      </c>
      <c r="NW302">
        <v>3</v>
      </c>
      <c r="OH302" t="s">
        <v>1492</v>
      </c>
      <c r="OJ302">
        <v>1999</v>
      </c>
      <c r="OO302" t="s">
        <v>1178</v>
      </c>
      <c r="OP302" s="58">
        <v>46104</v>
      </c>
    </row>
    <row r="303" spans="1:406" ht="15.75" thickBot="1">
      <c r="A303" t="s">
        <v>248</v>
      </c>
      <c r="B303" t="s">
        <v>1458</v>
      </c>
      <c r="C303" t="s">
        <v>1183</v>
      </c>
      <c r="D303" s="4" t="s">
        <v>1955</v>
      </c>
      <c r="E303" s="90" t="s">
        <v>1497</v>
      </c>
      <c r="F303" s="90" t="s">
        <v>31</v>
      </c>
      <c r="G303" t="s">
        <v>2</v>
      </c>
      <c r="H303" t="s">
        <v>30</v>
      </c>
      <c r="I303">
        <v>12.133333329999999</v>
      </c>
      <c r="J303">
        <v>8.5333333329999999</v>
      </c>
      <c r="K303" t="s">
        <v>29</v>
      </c>
      <c r="AV303" t="s">
        <v>1499</v>
      </c>
      <c r="AW303">
        <v>46.5</v>
      </c>
      <c r="AX303" t="s">
        <v>29</v>
      </c>
      <c r="AY303">
        <v>1</v>
      </c>
      <c r="AZ303" t="s">
        <v>1498</v>
      </c>
      <c r="BA303">
        <v>1999</v>
      </c>
      <c r="BB303">
        <v>2000</v>
      </c>
      <c r="BD303" t="s">
        <v>238</v>
      </c>
      <c r="BE303" t="s">
        <v>1488</v>
      </c>
      <c r="BF303" t="s">
        <v>43</v>
      </c>
      <c r="BG303" s="3" t="s">
        <v>1243</v>
      </c>
      <c r="BH303" t="s">
        <v>250</v>
      </c>
      <c r="BI303" t="s">
        <v>1473</v>
      </c>
      <c r="BJ303" t="s">
        <v>29</v>
      </c>
      <c r="BK303" t="s">
        <v>29</v>
      </c>
      <c r="BL303" t="s">
        <v>56</v>
      </c>
      <c r="BM303" t="s">
        <v>1470</v>
      </c>
      <c r="BN303" t="s">
        <v>29</v>
      </c>
      <c r="BO303" t="s">
        <v>29</v>
      </c>
      <c r="BP303" t="s">
        <v>29</v>
      </c>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K303" s="9"/>
      <c r="HW303" s="58" t="s">
        <v>1465</v>
      </c>
      <c r="HX303" t="s">
        <v>1473</v>
      </c>
      <c r="HY303" s="12"/>
      <c r="HZ303" t="s">
        <v>1484</v>
      </c>
      <c r="IA303" t="s">
        <v>1483</v>
      </c>
      <c r="IG303" t="s">
        <v>1488</v>
      </c>
      <c r="IH303" t="s">
        <v>1200</v>
      </c>
      <c r="II303" t="s">
        <v>1477</v>
      </c>
      <c r="IJ303" t="s">
        <v>661</v>
      </c>
      <c r="IK303" s="88">
        <v>1999</v>
      </c>
      <c r="IL303" s="87" t="s">
        <v>29</v>
      </c>
      <c r="IM303" s="87" t="s">
        <v>29</v>
      </c>
      <c r="JI303" t="s">
        <v>1494</v>
      </c>
      <c r="JJ303" s="84" t="s">
        <v>15</v>
      </c>
      <c r="JK303" t="s">
        <v>14</v>
      </c>
      <c r="JL303" t="s">
        <v>1495</v>
      </c>
      <c r="JM303" s="4" t="s">
        <v>13</v>
      </c>
      <c r="JN303" t="s">
        <v>1496</v>
      </c>
      <c r="JO303" s="4"/>
      <c r="KH303" t="s">
        <v>1460</v>
      </c>
      <c r="KI303" t="s">
        <v>222</v>
      </c>
      <c r="KJ303" s="8" t="s">
        <v>1493</v>
      </c>
      <c r="KK303" s="4" t="s">
        <v>220</v>
      </c>
      <c r="KL303">
        <v>1</v>
      </c>
      <c r="MS303" t="s">
        <v>1535</v>
      </c>
      <c r="MT303">
        <v>46.5</v>
      </c>
      <c r="MU303" t="s">
        <v>1480</v>
      </c>
      <c r="MW303" t="s">
        <v>1479</v>
      </c>
      <c r="NE303" t="s">
        <v>1500</v>
      </c>
      <c r="NG303" t="s">
        <v>8</v>
      </c>
      <c r="NH303" t="s">
        <v>13</v>
      </c>
      <c r="NQ303" t="s">
        <v>6</v>
      </c>
      <c r="NR303">
        <v>487</v>
      </c>
      <c r="NS303" s="88" t="s">
        <v>29</v>
      </c>
      <c r="NT303" s="2" t="s">
        <v>29</v>
      </c>
      <c r="NW303">
        <v>3</v>
      </c>
      <c r="OH303" t="s">
        <v>1492</v>
      </c>
      <c r="OJ303">
        <v>1999</v>
      </c>
      <c r="OO303" t="s">
        <v>1178</v>
      </c>
      <c r="OP303" s="58">
        <v>46104</v>
      </c>
    </row>
    <row r="304" spans="1:406" ht="15.75" thickBot="1">
      <c r="A304" t="s">
        <v>248</v>
      </c>
      <c r="B304" t="s">
        <v>1458</v>
      </c>
      <c r="C304" t="s">
        <v>1183</v>
      </c>
      <c r="D304" s="4" t="s">
        <v>1955</v>
      </c>
      <c r="E304" s="90" t="s">
        <v>1497</v>
      </c>
      <c r="F304" s="90" t="s">
        <v>31</v>
      </c>
      <c r="G304" t="s">
        <v>2</v>
      </c>
      <c r="H304" t="s">
        <v>30</v>
      </c>
      <c r="I304">
        <v>12.133333329999999</v>
      </c>
      <c r="J304">
        <v>8.5333333329999999</v>
      </c>
      <c r="K304" t="s">
        <v>29</v>
      </c>
      <c r="AV304" t="s">
        <v>1499</v>
      </c>
      <c r="AW304">
        <v>46.5</v>
      </c>
      <c r="AX304" t="s">
        <v>29</v>
      </c>
      <c r="AY304">
        <v>1</v>
      </c>
      <c r="AZ304" t="s">
        <v>1498</v>
      </c>
      <c r="BA304">
        <v>1999</v>
      </c>
      <c r="BB304">
        <v>2000</v>
      </c>
      <c r="BD304" t="s">
        <v>238</v>
      </c>
      <c r="BE304" t="s">
        <v>1489</v>
      </c>
      <c r="BF304" t="s">
        <v>252</v>
      </c>
      <c r="BG304" s="3" t="s">
        <v>1243</v>
      </c>
      <c r="BH304" t="s">
        <v>250</v>
      </c>
      <c r="BI304" t="s">
        <v>1474</v>
      </c>
      <c r="BJ304" t="s">
        <v>29</v>
      </c>
      <c r="BK304" t="s">
        <v>29</v>
      </c>
      <c r="BL304" t="s">
        <v>56</v>
      </c>
      <c r="BM304" t="s">
        <v>1470</v>
      </c>
      <c r="BN304" t="s">
        <v>29</v>
      </c>
      <c r="BO304" t="s">
        <v>29</v>
      </c>
      <c r="BP304" t="s">
        <v>29</v>
      </c>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K304" s="9"/>
      <c r="HW304" s="58" t="s">
        <v>1466</v>
      </c>
      <c r="HX304" t="s">
        <v>1474</v>
      </c>
      <c r="HY304" s="12"/>
      <c r="HZ304" t="s">
        <v>1484</v>
      </c>
      <c r="IA304" t="s">
        <v>1483</v>
      </c>
      <c r="IG304" t="s">
        <v>1489</v>
      </c>
      <c r="IH304" t="s">
        <v>1200</v>
      </c>
      <c r="II304" t="s">
        <v>1477</v>
      </c>
      <c r="IJ304" t="s">
        <v>661</v>
      </c>
      <c r="IK304" s="88">
        <v>1999</v>
      </c>
      <c r="IL304" s="88" t="s">
        <v>29</v>
      </c>
      <c r="IM304" s="87" t="s">
        <v>29</v>
      </c>
      <c r="JI304" t="s">
        <v>1494</v>
      </c>
      <c r="JJ304" s="84" t="s">
        <v>15</v>
      </c>
      <c r="JK304" t="s">
        <v>14</v>
      </c>
      <c r="JL304" t="s">
        <v>1495</v>
      </c>
      <c r="JM304" s="4" t="s">
        <v>13</v>
      </c>
      <c r="JN304" t="s">
        <v>1496</v>
      </c>
      <c r="JO304" s="4"/>
      <c r="KH304" t="s">
        <v>1460</v>
      </c>
      <c r="KI304" t="s">
        <v>222</v>
      </c>
      <c r="KJ304" s="8" t="s">
        <v>1493</v>
      </c>
      <c r="KK304" s="4" t="s">
        <v>220</v>
      </c>
      <c r="KL304">
        <v>1</v>
      </c>
      <c r="MS304" t="s">
        <v>1535</v>
      </c>
      <c r="MT304">
        <v>46.5</v>
      </c>
      <c r="MU304" t="s">
        <v>1480</v>
      </c>
      <c r="MW304" t="s">
        <v>1479</v>
      </c>
      <c r="NE304" t="s">
        <v>1500</v>
      </c>
      <c r="NG304" t="s">
        <v>8</v>
      </c>
      <c r="NH304" t="s">
        <v>13</v>
      </c>
      <c r="NQ304" t="s">
        <v>6</v>
      </c>
      <c r="NR304">
        <v>434</v>
      </c>
      <c r="NS304" s="88" t="s">
        <v>29</v>
      </c>
      <c r="NT304" s="2" t="s">
        <v>29</v>
      </c>
      <c r="NW304">
        <v>3</v>
      </c>
      <c r="OH304" t="s">
        <v>1492</v>
      </c>
      <c r="OJ304">
        <v>1999</v>
      </c>
      <c r="OO304" t="s">
        <v>1178</v>
      </c>
      <c r="OP304" s="58">
        <v>46104</v>
      </c>
    </row>
    <row r="305" spans="1:406" ht="15.75" thickBot="1">
      <c r="A305" t="s">
        <v>248</v>
      </c>
      <c r="B305" t="s">
        <v>1458</v>
      </c>
      <c r="C305" t="s">
        <v>1183</v>
      </c>
      <c r="D305" s="4" t="s">
        <v>1955</v>
      </c>
      <c r="E305" s="90" t="s">
        <v>1497</v>
      </c>
      <c r="F305" s="90" t="s">
        <v>31</v>
      </c>
      <c r="G305" t="s">
        <v>2</v>
      </c>
      <c r="H305" t="s">
        <v>30</v>
      </c>
      <c r="I305">
        <v>12.133333329999999</v>
      </c>
      <c r="J305">
        <v>8.5333333329999999</v>
      </c>
      <c r="K305" t="s">
        <v>29</v>
      </c>
      <c r="AV305" t="s">
        <v>1499</v>
      </c>
      <c r="AW305">
        <v>46.5</v>
      </c>
      <c r="AX305" t="s">
        <v>29</v>
      </c>
      <c r="AY305">
        <v>1</v>
      </c>
      <c r="AZ305" t="s">
        <v>1498</v>
      </c>
      <c r="BA305">
        <v>1999</v>
      </c>
      <c r="BB305">
        <v>2000</v>
      </c>
      <c r="BD305" t="s">
        <v>238</v>
      </c>
      <c r="BE305" t="s">
        <v>1490</v>
      </c>
      <c r="BF305" t="s">
        <v>236</v>
      </c>
      <c r="BG305" s="3" t="s">
        <v>1243</v>
      </c>
      <c r="BH305" t="s">
        <v>250</v>
      </c>
      <c r="BI305" t="s">
        <v>1475</v>
      </c>
      <c r="BJ305" t="s">
        <v>29</v>
      </c>
      <c r="BK305" t="s">
        <v>29</v>
      </c>
      <c r="BL305" t="s">
        <v>56</v>
      </c>
      <c r="BM305" t="s">
        <v>1470</v>
      </c>
      <c r="BN305" t="s">
        <v>29</v>
      </c>
      <c r="BO305" t="s">
        <v>29</v>
      </c>
      <c r="BP305" t="s">
        <v>29</v>
      </c>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K305" s="9"/>
      <c r="HW305" s="58" t="s">
        <v>1468</v>
      </c>
      <c r="HX305" t="s">
        <v>1475</v>
      </c>
      <c r="HY305" s="14"/>
      <c r="HZ305" t="s">
        <v>1484</v>
      </c>
      <c r="IA305" t="s">
        <v>1483</v>
      </c>
      <c r="IG305" t="s">
        <v>1490</v>
      </c>
      <c r="IH305" t="s">
        <v>1200</v>
      </c>
      <c r="II305" t="s">
        <v>1477</v>
      </c>
      <c r="IJ305" t="s">
        <v>661</v>
      </c>
      <c r="IK305" s="88">
        <v>1999</v>
      </c>
      <c r="IL305" s="89" t="s">
        <v>29</v>
      </c>
      <c r="IM305" s="89" t="s">
        <v>29</v>
      </c>
      <c r="JI305" t="s">
        <v>1494</v>
      </c>
      <c r="JJ305" s="84" t="s">
        <v>15</v>
      </c>
      <c r="JK305" t="s">
        <v>14</v>
      </c>
      <c r="JL305" t="s">
        <v>1495</v>
      </c>
      <c r="JM305" s="4" t="s">
        <v>13</v>
      </c>
      <c r="JN305" t="s">
        <v>1496</v>
      </c>
      <c r="JO305" s="4"/>
      <c r="KH305" t="s">
        <v>1460</v>
      </c>
      <c r="KI305" t="s">
        <v>222</v>
      </c>
      <c r="KJ305" s="8" t="s">
        <v>1493</v>
      </c>
      <c r="KK305" s="4" t="s">
        <v>220</v>
      </c>
      <c r="KL305">
        <v>1</v>
      </c>
      <c r="MS305" t="s">
        <v>1535</v>
      </c>
      <c r="MT305">
        <v>46.5</v>
      </c>
      <c r="MU305" t="s">
        <v>1480</v>
      </c>
      <c r="MW305" t="s">
        <v>1479</v>
      </c>
      <c r="NE305" t="s">
        <v>1500</v>
      </c>
      <c r="NG305" t="s">
        <v>8</v>
      </c>
      <c r="NH305" t="s">
        <v>13</v>
      </c>
      <c r="NQ305" t="s">
        <v>6</v>
      </c>
      <c r="NR305">
        <v>606</v>
      </c>
      <c r="NS305" s="88" t="s">
        <v>29</v>
      </c>
      <c r="NT305" s="2" t="s">
        <v>29</v>
      </c>
      <c r="NW305">
        <v>3</v>
      </c>
      <c r="OH305" t="s">
        <v>1492</v>
      </c>
      <c r="OJ305">
        <v>1999</v>
      </c>
      <c r="OO305" t="s">
        <v>1178</v>
      </c>
      <c r="OP305" s="58">
        <v>46104</v>
      </c>
    </row>
    <row r="306" spans="1:406" ht="15.75" thickBot="1">
      <c r="A306" t="s">
        <v>248</v>
      </c>
      <c r="B306" t="s">
        <v>1458</v>
      </c>
      <c r="C306" t="s">
        <v>1183</v>
      </c>
      <c r="D306" s="4" t="s">
        <v>1955</v>
      </c>
      <c r="E306" s="90" t="s">
        <v>1497</v>
      </c>
      <c r="F306" s="90" t="s">
        <v>31</v>
      </c>
      <c r="G306" t="s">
        <v>2</v>
      </c>
      <c r="H306" t="s">
        <v>30</v>
      </c>
      <c r="I306">
        <v>12.133333329999999</v>
      </c>
      <c r="J306">
        <v>8.5333333329999999</v>
      </c>
      <c r="K306" t="s">
        <v>29</v>
      </c>
      <c r="AV306" t="s">
        <v>1499</v>
      </c>
      <c r="AW306">
        <v>27</v>
      </c>
      <c r="AX306" t="s">
        <v>29</v>
      </c>
      <c r="AY306">
        <v>1</v>
      </c>
      <c r="AZ306" t="s">
        <v>1498</v>
      </c>
      <c r="BA306">
        <v>1999</v>
      </c>
      <c r="BB306">
        <v>2000</v>
      </c>
      <c r="BD306" t="s">
        <v>19</v>
      </c>
      <c r="BE306" t="s">
        <v>1459</v>
      </c>
      <c r="BF306" t="s">
        <v>39</v>
      </c>
      <c r="BG306" s="3" t="s">
        <v>1243</v>
      </c>
      <c r="BH306" t="s">
        <v>250</v>
      </c>
      <c r="BI306" t="s">
        <v>1476</v>
      </c>
      <c r="BJ306" t="s">
        <v>29</v>
      </c>
      <c r="BK306" t="s">
        <v>29</v>
      </c>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K306" s="9"/>
      <c r="HW306" s="58" t="s">
        <v>1459</v>
      </c>
      <c r="HX306" t="s">
        <v>1476</v>
      </c>
      <c r="HY306" s="12"/>
      <c r="HZ306" s="4" t="s">
        <v>1481</v>
      </c>
      <c r="IA306" t="s">
        <v>1482</v>
      </c>
      <c r="IG306" t="s">
        <v>1459</v>
      </c>
      <c r="IH306" t="s">
        <v>19</v>
      </c>
      <c r="JI306" t="s">
        <v>1494</v>
      </c>
      <c r="JJ306" s="84" t="s">
        <v>15</v>
      </c>
      <c r="JK306" t="s">
        <v>14</v>
      </c>
      <c r="JL306" t="s">
        <v>1495</v>
      </c>
      <c r="JM306" s="4" t="s">
        <v>13</v>
      </c>
      <c r="JN306" t="s">
        <v>1496</v>
      </c>
      <c r="JO306" s="4"/>
      <c r="KH306" t="s">
        <v>1460</v>
      </c>
      <c r="KI306" t="s">
        <v>222</v>
      </c>
      <c r="KJ306" s="8" t="s">
        <v>1493</v>
      </c>
      <c r="KK306" s="4" t="s">
        <v>220</v>
      </c>
      <c r="KL306">
        <v>1</v>
      </c>
      <c r="MS306" t="s">
        <v>1535</v>
      </c>
      <c r="MT306">
        <v>27</v>
      </c>
      <c r="MU306" t="s">
        <v>1480</v>
      </c>
      <c r="MW306" t="s">
        <v>1479</v>
      </c>
      <c r="NE306" t="s">
        <v>1478</v>
      </c>
      <c r="NG306" t="s">
        <v>8</v>
      </c>
      <c r="NH306" t="s">
        <v>13</v>
      </c>
      <c r="NP306" t="s">
        <v>64</v>
      </c>
      <c r="NQ306" t="s">
        <v>6</v>
      </c>
      <c r="NR306">
        <v>1217</v>
      </c>
      <c r="NS306" s="88" t="s">
        <v>29</v>
      </c>
      <c r="NT306" s="2" t="s">
        <v>29</v>
      </c>
      <c r="NW306">
        <v>3</v>
      </c>
      <c r="OH306" t="s">
        <v>1491</v>
      </c>
      <c r="OJ306">
        <v>2000</v>
      </c>
      <c r="OO306" t="s">
        <v>1178</v>
      </c>
      <c r="OP306" s="58">
        <v>46104</v>
      </c>
    </row>
    <row r="307" spans="1:406" ht="15.75" thickBot="1">
      <c r="A307" t="s">
        <v>248</v>
      </c>
      <c r="B307" t="s">
        <v>1458</v>
      </c>
      <c r="C307" t="s">
        <v>1183</v>
      </c>
      <c r="D307" s="4" t="s">
        <v>1955</v>
      </c>
      <c r="E307" s="90" t="s">
        <v>1497</v>
      </c>
      <c r="F307" s="90" t="s">
        <v>31</v>
      </c>
      <c r="G307" t="s">
        <v>2</v>
      </c>
      <c r="H307" t="s">
        <v>30</v>
      </c>
      <c r="I307">
        <v>12.133333329999999</v>
      </c>
      <c r="J307">
        <v>8.5333333329999999</v>
      </c>
      <c r="K307" t="s">
        <v>29</v>
      </c>
      <c r="AV307" t="s">
        <v>1499</v>
      </c>
      <c r="AW307">
        <v>27</v>
      </c>
      <c r="AX307" t="s">
        <v>29</v>
      </c>
      <c r="AY307">
        <v>1</v>
      </c>
      <c r="AZ307" t="s">
        <v>1498</v>
      </c>
      <c r="BA307">
        <v>1999</v>
      </c>
      <c r="BB307">
        <v>2000</v>
      </c>
      <c r="BD307" t="s">
        <v>19</v>
      </c>
      <c r="BE307" t="s">
        <v>1463</v>
      </c>
      <c r="BF307" t="s">
        <v>24</v>
      </c>
      <c r="BG307" s="3" t="s">
        <v>1243</v>
      </c>
      <c r="BH307" t="s">
        <v>250</v>
      </c>
      <c r="BI307" t="s">
        <v>1471</v>
      </c>
      <c r="BJ307" t="s">
        <v>29</v>
      </c>
      <c r="BK307" t="s">
        <v>29</v>
      </c>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K307" s="9"/>
      <c r="HW307" s="58" t="s">
        <v>1463</v>
      </c>
      <c r="HX307" t="s">
        <v>1471</v>
      </c>
      <c r="HY307" s="12"/>
      <c r="HZ307" t="s">
        <v>1484</v>
      </c>
      <c r="IA307" t="s">
        <v>1483</v>
      </c>
      <c r="IG307" t="s">
        <v>1463</v>
      </c>
      <c r="IH307" t="s">
        <v>19</v>
      </c>
      <c r="JI307" t="s">
        <v>1494</v>
      </c>
      <c r="JJ307" s="84" t="s">
        <v>15</v>
      </c>
      <c r="JK307" t="s">
        <v>14</v>
      </c>
      <c r="JL307" t="s">
        <v>1495</v>
      </c>
      <c r="JM307" s="4" t="s">
        <v>13</v>
      </c>
      <c r="JN307" t="s">
        <v>1496</v>
      </c>
      <c r="JO307" s="4"/>
      <c r="KH307" t="s">
        <v>1460</v>
      </c>
      <c r="KI307" t="s">
        <v>222</v>
      </c>
      <c r="KJ307" s="8" t="s">
        <v>1493</v>
      </c>
      <c r="KK307" s="4" t="s">
        <v>220</v>
      </c>
      <c r="KL307">
        <v>1</v>
      </c>
      <c r="MS307" t="s">
        <v>1535</v>
      </c>
      <c r="MT307">
        <v>27</v>
      </c>
      <c r="MU307" t="s">
        <v>1480</v>
      </c>
      <c r="MW307" t="s">
        <v>1479</v>
      </c>
      <c r="NE307" t="s">
        <v>1478</v>
      </c>
      <c r="NG307" t="s">
        <v>8</v>
      </c>
      <c r="NH307" t="s">
        <v>13</v>
      </c>
      <c r="NP307" t="s">
        <v>57</v>
      </c>
      <c r="NQ307" t="s">
        <v>6</v>
      </c>
      <c r="NR307">
        <v>1576</v>
      </c>
      <c r="NS307" s="88" t="s">
        <v>29</v>
      </c>
      <c r="NT307" s="2" t="s">
        <v>29</v>
      </c>
      <c r="NW307">
        <v>3</v>
      </c>
      <c r="OH307" t="s">
        <v>1491</v>
      </c>
      <c r="OJ307">
        <v>2000</v>
      </c>
      <c r="OO307" t="s">
        <v>1178</v>
      </c>
      <c r="OP307" s="58">
        <v>46104</v>
      </c>
    </row>
    <row r="308" spans="1:406" ht="15.75" thickBot="1">
      <c r="A308" t="s">
        <v>248</v>
      </c>
      <c r="B308" t="s">
        <v>1458</v>
      </c>
      <c r="C308" t="s">
        <v>1183</v>
      </c>
      <c r="D308" s="4" t="s">
        <v>1955</v>
      </c>
      <c r="E308" s="90" t="s">
        <v>1497</v>
      </c>
      <c r="F308" s="90" t="s">
        <v>31</v>
      </c>
      <c r="G308" t="s">
        <v>2</v>
      </c>
      <c r="H308" t="s">
        <v>30</v>
      </c>
      <c r="I308">
        <v>12.133333329999999</v>
      </c>
      <c r="J308">
        <v>8.5333333329999999</v>
      </c>
      <c r="K308" t="s">
        <v>29</v>
      </c>
      <c r="AV308" t="s">
        <v>1499</v>
      </c>
      <c r="AW308">
        <v>27</v>
      </c>
      <c r="AX308" t="s">
        <v>29</v>
      </c>
      <c r="AY308">
        <v>1</v>
      </c>
      <c r="AZ308" t="s">
        <v>1498</v>
      </c>
      <c r="BA308">
        <v>1999</v>
      </c>
      <c r="BB308">
        <v>2000</v>
      </c>
      <c r="BD308" t="s">
        <v>19</v>
      </c>
      <c r="BE308" t="s">
        <v>1464</v>
      </c>
      <c r="BF308" t="s">
        <v>299</v>
      </c>
      <c r="BG308" s="3" t="s">
        <v>1243</v>
      </c>
      <c r="BH308" t="s">
        <v>250</v>
      </c>
      <c r="BI308" t="s">
        <v>1472</v>
      </c>
      <c r="BJ308" t="s">
        <v>29</v>
      </c>
      <c r="BK308" t="s">
        <v>29</v>
      </c>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K308" s="9"/>
      <c r="HW308" s="58" t="s">
        <v>1464</v>
      </c>
      <c r="HX308" t="s">
        <v>1472</v>
      </c>
      <c r="HY308" s="12"/>
      <c r="HZ308" t="s">
        <v>1484</v>
      </c>
      <c r="IA308" t="s">
        <v>1483</v>
      </c>
      <c r="IG308" t="s">
        <v>1464</v>
      </c>
      <c r="IH308" t="s">
        <v>19</v>
      </c>
      <c r="JI308" t="s">
        <v>1494</v>
      </c>
      <c r="JJ308" s="84" t="s">
        <v>15</v>
      </c>
      <c r="JK308" t="s">
        <v>14</v>
      </c>
      <c r="JL308" t="s">
        <v>1495</v>
      </c>
      <c r="JM308" s="4" t="s">
        <v>13</v>
      </c>
      <c r="JN308" t="s">
        <v>1496</v>
      </c>
      <c r="JO308" s="4"/>
      <c r="KH308" t="s">
        <v>1460</v>
      </c>
      <c r="KI308" t="s">
        <v>222</v>
      </c>
      <c r="KJ308" s="8" t="s">
        <v>1493</v>
      </c>
      <c r="KK308" s="4" t="s">
        <v>220</v>
      </c>
      <c r="KL308">
        <v>1</v>
      </c>
      <c r="MS308" t="s">
        <v>1535</v>
      </c>
      <c r="MT308">
        <v>27</v>
      </c>
      <c r="MU308" t="s">
        <v>1480</v>
      </c>
      <c r="MW308" t="s">
        <v>1479</v>
      </c>
      <c r="NE308" t="s">
        <v>1478</v>
      </c>
      <c r="NG308" t="s">
        <v>8</v>
      </c>
      <c r="NH308" t="s">
        <v>13</v>
      </c>
      <c r="NP308" t="s">
        <v>48</v>
      </c>
      <c r="NQ308" t="s">
        <v>6</v>
      </c>
      <c r="NR308">
        <v>1267</v>
      </c>
      <c r="NS308" s="88" t="s">
        <v>29</v>
      </c>
      <c r="NT308" s="2" t="s">
        <v>29</v>
      </c>
      <c r="NW308">
        <v>3</v>
      </c>
      <c r="OH308" t="s">
        <v>1491</v>
      </c>
      <c r="OJ308">
        <v>2000</v>
      </c>
      <c r="OO308" t="s">
        <v>1178</v>
      </c>
      <c r="OP308" s="58">
        <v>46104</v>
      </c>
    </row>
    <row r="309" spans="1:406" ht="15.75" thickBot="1">
      <c r="A309" t="s">
        <v>248</v>
      </c>
      <c r="B309" t="s">
        <v>1458</v>
      </c>
      <c r="C309" t="s">
        <v>1183</v>
      </c>
      <c r="D309" s="4" t="s">
        <v>1955</v>
      </c>
      <c r="E309" s="90" t="s">
        <v>1497</v>
      </c>
      <c r="F309" s="90" t="s">
        <v>31</v>
      </c>
      <c r="G309" t="s">
        <v>2</v>
      </c>
      <c r="H309" t="s">
        <v>30</v>
      </c>
      <c r="I309">
        <v>12.133333329999999</v>
      </c>
      <c r="J309">
        <v>8.5333333329999999</v>
      </c>
      <c r="K309" t="s">
        <v>29</v>
      </c>
      <c r="AV309" t="s">
        <v>1499</v>
      </c>
      <c r="AW309">
        <v>27</v>
      </c>
      <c r="AX309" t="s">
        <v>29</v>
      </c>
      <c r="AY309">
        <v>1</v>
      </c>
      <c r="AZ309" t="s">
        <v>1498</v>
      </c>
      <c r="BA309">
        <v>1999</v>
      </c>
      <c r="BB309">
        <v>2000</v>
      </c>
      <c r="BD309" t="s">
        <v>19</v>
      </c>
      <c r="BE309" t="s">
        <v>1465</v>
      </c>
      <c r="BF309" t="s">
        <v>256</v>
      </c>
      <c r="BG309" s="3" t="s">
        <v>1243</v>
      </c>
      <c r="BH309" t="s">
        <v>250</v>
      </c>
      <c r="BI309" t="s">
        <v>1473</v>
      </c>
      <c r="BJ309" t="s">
        <v>29</v>
      </c>
      <c r="BK309" t="s">
        <v>29</v>
      </c>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K309" s="9"/>
      <c r="HW309" s="58" t="s">
        <v>1465</v>
      </c>
      <c r="HX309" t="s">
        <v>1473</v>
      </c>
      <c r="HY309" s="12"/>
      <c r="HZ309" t="s">
        <v>1484</v>
      </c>
      <c r="IA309" t="s">
        <v>1483</v>
      </c>
      <c r="IG309" t="s">
        <v>1465</v>
      </c>
      <c r="IH309" t="s">
        <v>19</v>
      </c>
      <c r="JI309" t="s">
        <v>1494</v>
      </c>
      <c r="JJ309" s="84" t="s">
        <v>15</v>
      </c>
      <c r="JK309" t="s">
        <v>14</v>
      </c>
      <c r="JL309" t="s">
        <v>1495</v>
      </c>
      <c r="JM309" s="4" t="s">
        <v>13</v>
      </c>
      <c r="JN309" t="s">
        <v>1496</v>
      </c>
      <c r="JO309" s="4"/>
      <c r="KH309" t="s">
        <v>1460</v>
      </c>
      <c r="KI309" t="s">
        <v>222</v>
      </c>
      <c r="KJ309" s="8" t="s">
        <v>1493</v>
      </c>
      <c r="KK309" s="4" t="s">
        <v>220</v>
      </c>
      <c r="KL309">
        <v>1</v>
      </c>
      <c r="MS309" t="s">
        <v>1535</v>
      </c>
      <c r="MT309">
        <v>27</v>
      </c>
      <c r="MU309" t="s">
        <v>1480</v>
      </c>
      <c r="MW309" t="s">
        <v>1479</v>
      </c>
      <c r="NE309" t="s">
        <v>1478</v>
      </c>
      <c r="NG309" t="s">
        <v>8</v>
      </c>
      <c r="NH309" t="s">
        <v>13</v>
      </c>
      <c r="NP309" t="s">
        <v>43</v>
      </c>
      <c r="NQ309" t="s">
        <v>6</v>
      </c>
      <c r="NR309">
        <v>1370</v>
      </c>
      <c r="NS309" s="88" t="s">
        <v>29</v>
      </c>
      <c r="NT309" s="2" t="s">
        <v>29</v>
      </c>
      <c r="NW309">
        <v>3</v>
      </c>
      <c r="OH309" t="s">
        <v>1491</v>
      </c>
      <c r="OJ309">
        <v>2000</v>
      </c>
      <c r="OO309" t="s">
        <v>1178</v>
      </c>
      <c r="OP309" s="58">
        <v>46104</v>
      </c>
    </row>
    <row r="310" spans="1:406" ht="15.75" thickBot="1">
      <c r="A310" t="s">
        <v>248</v>
      </c>
      <c r="B310" t="s">
        <v>1458</v>
      </c>
      <c r="C310" t="s">
        <v>1183</v>
      </c>
      <c r="D310" s="4" t="s">
        <v>1955</v>
      </c>
      <c r="E310" s="90" t="s">
        <v>1497</v>
      </c>
      <c r="F310" s="90" t="s">
        <v>31</v>
      </c>
      <c r="G310" t="s">
        <v>2</v>
      </c>
      <c r="H310" t="s">
        <v>30</v>
      </c>
      <c r="I310">
        <v>12.133333329999999</v>
      </c>
      <c r="J310">
        <v>8.5333333329999999</v>
      </c>
      <c r="K310" t="s">
        <v>29</v>
      </c>
      <c r="AV310" t="s">
        <v>1499</v>
      </c>
      <c r="AW310">
        <v>27</v>
      </c>
      <c r="AX310" t="s">
        <v>29</v>
      </c>
      <c r="AY310">
        <v>1</v>
      </c>
      <c r="AZ310" t="s">
        <v>1498</v>
      </c>
      <c r="BA310">
        <v>1999</v>
      </c>
      <c r="BB310">
        <v>2000</v>
      </c>
      <c r="BD310" t="s">
        <v>19</v>
      </c>
      <c r="BE310" t="s">
        <v>1466</v>
      </c>
      <c r="BF310" t="s">
        <v>1467</v>
      </c>
      <c r="BG310" s="3" t="s">
        <v>1243</v>
      </c>
      <c r="BH310" t="s">
        <v>250</v>
      </c>
      <c r="BI310" t="s">
        <v>1474</v>
      </c>
      <c r="BJ310" t="s">
        <v>29</v>
      </c>
      <c r="BK310" t="s">
        <v>29</v>
      </c>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K310" s="9"/>
      <c r="HW310" s="58" t="s">
        <v>1466</v>
      </c>
      <c r="HX310" t="s">
        <v>1474</v>
      </c>
      <c r="HY310" s="12"/>
      <c r="HZ310" t="s">
        <v>1484</v>
      </c>
      <c r="IA310" t="s">
        <v>1483</v>
      </c>
      <c r="IG310" t="s">
        <v>1466</v>
      </c>
      <c r="IH310" t="s">
        <v>19</v>
      </c>
      <c r="JI310" t="s">
        <v>1494</v>
      </c>
      <c r="JJ310" s="84" t="s">
        <v>15</v>
      </c>
      <c r="JK310" t="s">
        <v>14</v>
      </c>
      <c r="JL310" t="s">
        <v>1495</v>
      </c>
      <c r="JM310" s="4" t="s">
        <v>13</v>
      </c>
      <c r="JN310" t="s">
        <v>1496</v>
      </c>
      <c r="JO310" s="4"/>
      <c r="KH310" t="s">
        <v>1460</v>
      </c>
      <c r="KI310" t="s">
        <v>222</v>
      </c>
      <c r="KJ310" s="8" t="s">
        <v>1493</v>
      </c>
      <c r="KK310" s="4" t="s">
        <v>220</v>
      </c>
      <c r="KL310">
        <v>1</v>
      </c>
      <c r="MS310" t="s">
        <v>1535</v>
      </c>
      <c r="MT310">
        <v>27</v>
      </c>
      <c r="MU310" t="s">
        <v>1480</v>
      </c>
      <c r="MW310" t="s">
        <v>1479</v>
      </c>
      <c r="NE310" t="s">
        <v>1478</v>
      </c>
      <c r="NG310" t="s">
        <v>8</v>
      </c>
      <c r="NH310" t="s">
        <v>13</v>
      </c>
      <c r="NP310" t="s">
        <v>252</v>
      </c>
      <c r="NQ310" t="s">
        <v>6</v>
      </c>
      <c r="NR310">
        <v>554</v>
      </c>
      <c r="NS310" s="88" t="s">
        <v>29</v>
      </c>
      <c r="NT310" s="2" t="s">
        <v>29</v>
      </c>
      <c r="NW310">
        <v>3</v>
      </c>
      <c r="OH310" t="s">
        <v>1491</v>
      </c>
      <c r="OJ310">
        <v>2000</v>
      </c>
      <c r="OO310" t="s">
        <v>1178</v>
      </c>
      <c r="OP310" s="58">
        <v>46104</v>
      </c>
    </row>
    <row r="311" spans="1:406" ht="15.75" thickBot="1">
      <c r="A311" t="s">
        <v>248</v>
      </c>
      <c r="B311" t="s">
        <v>1458</v>
      </c>
      <c r="C311" t="s">
        <v>1183</v>
      </c>
      <c r="D311" s="4" t="s">
        <v>1955</v>
      </c>
      <c r="E311" s="90" t="s">
        <v>1497</v>
      </c>
      <c r="F311" s="90" t="s">
        <v>31</v>
      </c>
      <c r="G311" t="s">
        <v>2</v>
      </c>
      <c r="H311" t="s">
        <v>30</v>
      </c>
      <c r="I311">
        <v>12.133333329999999</v>
      </c>
      <c r="J311">
        <v>8.5333333329999999</v>
      </c>
      <c r="K311" t="s">
        <v>29</v>
      </c>
      <c r="AV311" t="s">
        <v>1499</v>
      </c>
      <c r="AW311">
        <v>27</v>
      </c>
      <c r="AX311" t="s">
        <v>29</v>
      </c>
      <c r="AY311">
        <v>1</v>
      </c>
      <c r="AZ311" t="s">
        <v>1498</v>
      </c>
      <c r="BA311">
        <v>1999</v>
      </c>
      <c r="BB311">
        <v>2000</v>
      </c>
      <c r="BD311" t="s">
        <v>19</v>
      </c>
      <c r="BE311" t="s">
        <v>1468</v>
      </c>
      <c r="BF311" t="s">
        <v>1469</v>
      </c>
      <c r="BG311" s="3" t="s">
        <v>1243</v>
      </c>
      <c r="BH311" t="s">
        <v>250</v>
      </c>
      <c r="BI311" t="s">
        <v>1475</v>
      </c>
      <c r="BJ311" t="s">
        <v>29</v>
      </c>
      <c r="BK311" t="s">
        <v>29</v>
      </c>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K311" s="9"/>
      <c r="HW311" s="58" t="s">
        <v>1468</v>
      </c>
      <c r="HX311" t="s">
        <v>1475</v>
      </c>
      <c r="HY311" s="12"/>
      <c r="HZ311" t="s">
        <v>1484</v>
      </c>
      <c r="IA311" t="s">
        <v>1483</v>
      </c>
      <c r="IG311" t="s">
        <v>1468</v>
      </c>
      <c r="IH311" t="s">
        <v>19</v>
      </c>
      <c r="JI311" t="s">
        <v>1494</v>
      </c>
      <c r="JJ311" s="84" t="s">
        <v>15</v>
      </c>
      <c r="JK311" t="s">
        <v>14</v>
      </c>
      <c r="JL311" t="s">
        <v>1495</v>
      </c>
      <c r="JM311" s="4" t="s">
        <v>13</v>
      </c>
      <c r="JN311" t="s">
        <v>1496</v>
      </c>
      <c r="JO311" s="4"/>
      <c r="KH311" t="s">
        <v>1460</v>
      </c>
      <c r="KI311" t="s">
        <v>222</v>
      </c>
      <c r="KJ311" s="8" t="s">
        <v>1493</v>
      </c>
      <c r="KK311" s="4" t="s">
        <v>220</v>
      </c>
      <c r="KL311">
        <v>1</v>
      </c>
      <c r="MS311" t="s">
        <v>1535</v>
      </c>
      <c r="MT311">
        <v>27</v>
      </c>
      <c r="MU311" t="s">
        <v>1480</v>
      </c>
      <c r="MW311" t="s">
        <v>1479</v>
      </c>
      <c r="NE311" t="s">
        <v>1478</v>
      </c>
      <c r="NG311" t="s">
        <v>8</v>
      </c>
      <c r="NH311" t="s">
        <v>13</v>
      </c>
      <c r="NP311" t="s">
        <v>236</v>
      </c>
      <c r="NQ311" t="s">
        <v>6</v>
      </c>
      <c r="NR311">
        <v>1161</v>
      </c>
      <c r="NS311" s="88" t="s">
        <v>29</v>
      </c>
      <c r="NT311" s="2" t="s">
        <v>29</v>
      </c>
      <c r="NW311">
        <v>3</v>
      </c>
      <c r="OH311" t="s">
        <v>1491</v>
      </c>
      <c r="OJ311">
        <v>2000</v>
      </c>
      <c r="OO311" t="s">
        <v>1178</v>
      </c>
      <c r="OP311" s="58">
        <v>46104</v>
      </c>
    </row>
    <row r="312" spans="1:406" ht="15.75" thickBot="1">
      <c r="A312" t="s">
        <v>248</v>
      </c>
      <c r="B312" t="s">
        <v>1458</v>
      </c>
      <c r="C312" t="s">
        <v>1183</v>
      </c>
      <c r="D312" s="4" t="s">
        <v>1955</v>
      </c>
      <c r="E312" s="90" t="s">
        <v>1497</v>
      </c>
      <c r="F312" s="90" t="s">
        <v>31</v>
      </c>
      <c r="G312" t="s">
        <v>2</v>
      </c>
      <c r="H312" t="s">
        <v>30</v>
      </c>
      <c r="I312">
        <v>12.133333329999999</v>
      </c>
      <c r="J312">
        <v>8.5333333329999999</v>
      </c>
      <c r="K312" t="s">
        <v>29</v>
      </c>
      <c r="AV312" t="s">
        <v>1499</v>
      </c>
      <c r="AW312">
        <v>46.5</v>
      </c>
      <c r="AX312" t="s">
        <v>29</v>
      </c>
      <c r="AY312">
        <v>1</v>
      </c>
      <c r="AZ312" t="s">
        <v>1498</v>
      </c>
      <c r="BA312">
        <v>1999</v>
      </c>
      <c r="BB312">
        <v>2000</v>
      </c>
      <c r="BD312" t="s">
        <v>238</v>
      </c>
      <c r="BE312" t="s">
        <v>1485</v>
      </c>
      <c r="BF312" t="s">
        <v>64</v>
      </c>
      <c r="BG312" s="3" t="s">
        <v>1243</v>
      </c>
      <c r="BH312" t="s">
        <v>250</v>
      </c>
      <c r="BI312" t="s">
        <v>1476</v>
      </c>
      <c r="BJ312" t="s">
        <v>29</v>
      </c>
      <c r="BK312" t="s">
        <v>29</v>
      </c>
      <c r="BL312" t="s">
        <v>56</v>
      </c>
      <c r="BM312" t="s">
        <v>1470</v>
      </c>
      <c r="BN312" t="s">
        <v>29</v>
      </c>
      <c r="BO312" t="s">
        <v>29</v>
      </c>
      <c r="BP312" t="s">
        <v>29</v>
      </c>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K312" s="9"/>
      <c r="HW312" s="58" t="s">
        <v>1459</v>
      </c>
      <c r="HX312" t="s">
        <v>1476</v>
      </c>
      <c r="HY312" s="12"/>
      <c r="HZ312" s="4" t="s">
        <v>1481</v>
      </c>
      <c r="IA312" t="s">
        <v>1482</v>
      </c>
      <c r="IG312" t="s">
        <v>1485</v>
      </c>
      <c r="IH312" t="s">
        <v>1200</v>
      </c>
      <c r="II312" t="s">
        <v>1477</v>
      </c>
      <c r="IJ312" t="s">
        <v>661</v>
      </c>
      <c r="IK312" s="88">
        <v>1999</v>
      </c>
      <c r="IL312" s="88" t="s">
        <v>29</v>
      </c>
      <c r="IM312" s="87" t="s">
        <v>29</v>
      </c>
      <c r="JI312" t="s">
        <v>1494</v>
      </c>
      <c r="JJ312" s="84" t="s">
        <v>15</v>
      </c>
      <c r="JK312" t="s">
        <v>14</v>
      </c>
      <c r="JL312" t="s">
        <v>1495</v>
      </c>
      <c r="JM312" s="4" t="s">
        <v>13</v>
      </c>
      <c r="JN312" t="s">
        <v>1496</v>
      </c>
      <c r="JO312" s="4"/>
      <c r="KH312" t="s">
        <v>1460</v>
      </c>
      <c r="KI312" t="s">
        <v>222</v>
      </c>
      <c r="KJ312" s="8" t="s">
        <v>1493</v>
      </c>
      <c r="KK312" s="4" t="s">
        <v>220</v>
      </c>
      <c r="KL312">
        <v>1</v>
      </c>
      <c r="MS312" t="s">
        <v>1535</v>
      </c>
      <c r="MT312">
        <v>46.5</v>
      </c>
      <c r="MU312" t="s">
        <v>1480</v>
      </c>
      <c r="MW312" t="s">
        <v>1479</v>
      </c>
      <c r="NE312" t="s">
        <v>1500</v>
      </c>
      <c r="NG312" t="s">
        <v>8</v>
      </c>
      <c r="NH312" t="s">
        <v>13</v>
      </c>
      <c r="NQ312" t="s">
        <v>6</v>
      </c>
      <c r="NR312">
        <v>691</v>
      </c>
      <c r="NS312" s="88" t="s">
        <v>29</v>
      </c>
      <c r="NT312" s="2" t="s">
        <v>29</v>
      </c>
      <c r="NW312">
        <v>3</v>
      </c>
      <c r="OH312" t="s">
        <v>1492</v>
      </c>
      <c r="OJ312">
        <v>2000</v>
      </c>
      <c r="OO312" t="s">
        <v>1178</v>
      </c>
      <c r="OP312" s="58">
        <v>46104</v>
      </c>
    </row>
    <row r="313" spans="1:406" ht="15.75" thickBot="1">
      <c r="A313" t="s">
        <v>248</v>
      </c>
      <c r="B313" t="s">
        <v>1458</v>
      </c>
      <c r="C313" t="s">
        <v>1183</v>
      </c>
      <c r="D313" s="4" t="s">
        <v>1955</v>
      </c>
      <c r="E313" s="90" t="s">
        <v>1497</v>
      </c>
      <c r="F313" s="90" t="s">
        <v>31</v>
      </c>
      <c r="G313" t="s">
        <v>2</v>
      </c>
      <c r="H313" t="s">
        <v>30</v>
      </c>
      <c r="I313">
        <v>12.133333329999999</v>
      </c>
      <c r="J313">
        <v>8.5333333329999999</v>
      </c>
      <c r="K313" t="s">
        <v>29</v>
      </c>
      <c r="AV313" t="s">
        <v>1499</v>
      </c>
      <c r="AW313">
        <v>46.5</v>
      </c>
      <c r="AX313" t="s">
        <v>29</v>
      </c>
      <c r="AY313">
        <v>1</v>
      </c>
      <c r="AZ313" t="s">
        <v>1498</v>
      </c>
      <c r="BA313">
        <v>1999</v>
      </c>
      <c r="BB313">
        <v>2000</v>
      </c>
      <c r="BD313" t="s">
        <v>238</v>
      </c>
      <c r="BE313" t="s">
        <v>1486</v>
      </c>
      <c r="BF313" t="s">
        <v>57</v>
      </c>
      <c r="BG313" s="3" t="s">
        <v>1243</v>
      </c>
      <c r="BH313" t="s">
        <v>250</v>
      </c>
      <c r="BI313" t="s">
        <v>1471</v>
      </c>
      <c r="BJ313" t="s">
        <v>29</v>
      </c>
      <c r="BK313" t="s">
        <v>29</v>
      </c>
      <c r="BL313" t="s">
        <v>56</v>
      </c>
      <c r="BM313" t="s">
        <v>1470</v>
      </c>
      <c r="BN313" t="s">
        <v>29</v>
      </c>
      <c r="BO313" t="s">
        <v>29</v>
      </c>
      <c r="BP313" t="s">
        <v>29</v>
      </c>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K313" s="9"/>
      <c r="HW313" s="58" t="s">
        <v>1463</v>
      </c>
      <c r="HX313" t="s">
        <v>1471</v>
      </c>
      <c r="HY313" s="12"/>
      <c r="HZ313" t="s">
        <v>1484</v>
      </c>
      <c r="IA313" t="s">
        <v>1483</v>
      </c>
      <c r="IG313" t="s">
        <v>1486</v>
      </c>
      <c r="IH313" t="s">
        <v>1200</v>
      </c>
      <c r="II313" t="s">
        <v>1477</v>
      </c>
      <c r="IJ313" t="s">
        <v>661</v>
      </c>
      <c r="IK313" s="88">
        <v>1999</v>
      </c>
      <c r="IL313" s="87" t="s">
        <v>29</v>
      </c>
      <c r="IM313" s="87" t="s">
        <v>29</v>
      </c>
      <c r="JI313" t="s">
        <v>1494</v>
      </c>
      <c r="JJ313" s="84" t="s">
        <v>15</v>
      </c>
      <c r="JK313" t="s">
        <v>14</v>
      </c>
      <c r="JL313" t="s">
        <v>1495</v>
      </c>
      <c r="JM313" s="4" t="s">
        <v>13</v>
      </c>
      <c r="JN313" t="s">
        <v>1496</v>
      </c>
      <c r="JO313" s="4"/>
      <c r="KH313" t="s">
        <v>1460</v>
      </c>
      <c r="KI313" t="s">
        <v>222</v>
      </c>
      <c r="KJ313" s="8" t="s">
        <v>1493</v>
      </c>
      <c r="KK313" s="4" t="s">
        <v>220</v>
      </c>
      <c r="KL313">
        <v>1</v>
      </c>
      <c r="MS313" t="s">
        <v>1535</v>
      </c>
      <c r="MT313">
        <v>46.5</v>
      </c>
      <c r="MU313" t="s">
        <v>1480</v>
      </c>
      <c r="MW313" t="s">
        <v>1479</v>
      </c>
      <c r="NE313" t="s">
        <v>1500</v>
      </c>
      <c r="NG313" t="s">
        <v>8</v>
      </c>
      <c r="NH313" t="s">
        <v>13</v>
      </c>
      <c r="NQ313" t="s">
        <v>6</v>
      </c>
      <c r="NR313">
        <v>1019</v>
      </c>
      <c r="NS313" s="88" t="s">
        <v>29</v>
      </c>
      <c r="NT313" s="2" t="s">
        <v>29</v>
      </c>
      <c r="NW313">
        <v>3</v>
      </c>
      <c r="OH313" t="s">
        <v>1492</v>
      </c>
      <c r="OJ313">
        <v>2000</v>
      </c>
      <c r="OO313" t="s">
        <v>1178</v>
      </c>
      <c r="OP313" s="58">
        <v>46104</v>
      </c>
    </row>
    <row r="314" spans="1:406" ht="15.75" thickBot="1">
      <c r="A314" t="s">
        <v>248</v>
      </c>
      <c r="B314" t="s">
        <v>1458</v>
      </c>
      <c r="C314" t="s">
        <v>1183</v>
      </c>
      <c r="D314" s="4" t="s">
        <v>1955</v>
      </c>
      <c r="E314" s="90" t="s">
        <v>1497</v>
      </c>
      <c r="F314" s="90" t="s">
        <v>31</v>
      </c>
      <c r="G314" t="s">
        <v>2</v>
      </c>
      <c r="H314" t="s">
        <v>30</v>
      </c>
      <c r="I314">
        <v>12.133333329999999</v>
      </c>
      <c r="J314">
        <v>8.5333333329999999</v>
      </c>
      <c r="K314" t="s">
        <v>29</v>
      </c>
      <c r="AV314" t="s">
        <v>1499</v>
      </c>
      <c r="AW314">
        <v>46.5</v>
      </c>
      <c r="AX314" t="s">
        <v>29</v>
      </c>
      <c r="AY314">
        <v>1</v>
      </c>
      <c r="AZ314" t="s">
        <v>1498</v>
      </c>
      <c r="BA314">
        <v>1999</v>
      </c>
      <c r="BB314">
        <v>2000</v>
      </c>
      <c r="BD314" t="s">
        <v>238</v>
      </c>
      <c r="BE314" t="s">
        <v>1487</v>
      </c>
      <c r="BF314" t="s">
        <v>48</v>
      </c>
      <c r="BG314" s="3" t="s">
        <v>1243</v>
      </c>
      <c r="BH314" t="s">
        <v>250</v>
      </c>
      <c r="BI314" t="s">
        <v>1472</v>
      </c>
      <c r="BJ314" t="s">
        <v>29</v>
      </c>
      <c r="BK314" t="s">
        <v>29</v>
      </c>
      <c r="BL314" t="s">
        <v>56</v>
      </c>
      <c r="BM314" t="s">
        <v>1470</v>
      </c>
      <c r="BN314" t="s">
        <v>29</v>
      </c>
      <c r="BO314" t="s">
        <v>29</v>
      </c>
      <c r="BP314" t="s">
        <v>29</v>
      </c>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K314" s="9"/>
      <c r="HW314" s="58" t="s">
        <v>1464</v>
      </c>
      <c r="HX314" t="s">
        <v>1472</v>
      </c>
      <c r="HY314" s="12"/>
      <c r="HZ314" t="s">
        <v>1484</v>
      </c>
      <c r="IA314" t="s">
        <v>1483</v>
      </c>
      <c r="IG314" t="s">
        <v>1487</v>
      </c>
      <c r="IH314" t="s">
        <v>1200</v>
      </c>
      <c r="II314" t="s">
        <v>1477</v>
      </c>
      <c r="IJ314" t="s">
        <v>661</v>
      </c>
      <c r="IK314" s="88">
        <v>1999</v>
      </c>
      <c r="IL314" s="88" t="s">
        <v>29</v>
      </c>
      <c r="IM314" s="87" t="s">
        <v>29</v>
      </c>
      <c r="JI314" t="s">
        <v>1494</v>
      </c>
      <c r="JJ314" s="84" t="s">
        <v>15</v>
      </c>
      <c r="JK314" t="s">
        <v>14</v>
      </c>
      <c r="JL314" t="s">
        <v>1495</v>
      </c>
      <c r="JM314" s="4" t="s">
        <v>13</v>
      </c>
      <c r="JN314" t="s">
        <v>1496</v>
      </c>
      <c r="JO314" s="4"/>
      <c r="KH314" t="s">
        <v>1460</v>
      </c>
      <c r="KI314" t="s">
        <v>222</v>
      </c>
      <c r="KJ314" s="8" t="s">
        <v>1493</v>
      </c>
      <c r="KK314" s="4" t="s">
        <v>220</v>
      </c>
      <c r="KL314">
        <v>1</v>
      </c>
      <c r="MS314" t="s">
        <v>1535</v>
      </c>
      <c r="MT314">
        <v>46.5</v>
      </c>
      <c r="MU314" t="s">
        <v>1480</v>
      </c>
      <c r="MW314" t="s">
        <v>1479</v>
      </c>
      <c r="NE314" t="s">
        <v>1500</v>
      </c>
      <c r="NG314" t="s">
        <v>8</v>
      </c>
      <c r="NH314" t="s">
        <v>13</v>
      </c>
      <c r="NQ314" t="s">
        <v>6</v>
      </c>
      <c r="NR314">
        <v>795</v>
      </c>
      <c r="NS314" s="88" t="s">
        <v>29</v>
      </c>
      <c r="NT314" s="2" t="s">
        <v>29</v>
      </c>
      <c r="NW314">
        <v>3</v>
      </c>
      <c r="OH314" t="s">
        <v>1492</v>
      </c>
      <c r="OJ314">
        <v>2000</v>
      </c>
      <c r="OO314" t="s">
        <v>1178</v>
      </c>
      <c r="OP314" s="58">
        <v>46104</v>
      </c>
    </row>
    <row r="315" spans="1:406" ht="15.75" thickBot="1">
      <c r="A315" t="s">
        <v>248</v>
      </c>
      <c r="B315" t="s">
        <v>1458</v>
      </c>
      <c r="C315" t="s">
        <v>1183</v>
      </c>
      <c r="D315" s="4" t="s">
        <v>1955</v>
      </c>
      <c r="E315" s="90" t="s">
        <v>1497</v>
      </c>
      <c r="F315" s="90" t="s">
        <v>31</v>
      </c>
      <c r="G315" t="s">
        <v>2</v>
      </c>
      <c r="H315" t="s">
        <v>30</v>
      </c>
      <c r="I315">
        <v>12.133333329999999</v>
      </c>
      <c r="J315">
        <v>8.5333333329999999</v>
      </c>
      <c r="K315" t="s">
        <v>29</v>
      </c>
      <c r="AV315" t="s">
        <v>1499</v>
      </c>
      <c r="AW315">
        <v>46.5</v>
      </c>
      <c r="AX315" t="s">
        <v>29</v>
      </c>
      <c r="AY315">
        <v>1</v>
      </c>
      <c r="AZ315" t="s">
        <v>1498</v>
      </c>
      <c r="BA315">
        <v>1999</v>
      </c>
      <c r="BB315">
        <v>2000</v>
      </c>
      <c r="BD315" t="s">
        <v>238</v>
      </c>
      <c r="BE315" t="s">
        <v>1488</v>
      </c>
      <c r="BF315" t="s">
        <v>43</v>
      </c>
      <c r="BG315" s="3" t="s">
        <v>1243</v>
      </c>
      <c r="BH315" t="s">
        <v>250</v>
      </c>
      <c r="BI315" t="s">
        <v>1473</v>
      </c>
      <c r="BJ315" t="s">
        <v>29</v>
      </c>
      <c r="BK315" t="s">
        <v>29</v>
      </c>
      <c r="BL315" t="s">
        <v>56</v>
      </c>
      <c r="BM315" t="s">
        <v>1470</v>
      </c>
      <c r="BN315" t="s">
        <v>29</v>
      </c>
      <c r="BO315" t="s">
        <v>29</v>
      </c>
      <c r="BP315" t="s">
        <v>29</v>
      </c>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K315" s="9"/>
      <c r="HW315" s="58" t="s">
        <v>1465</v>
      </c>
      <c r="HX315" t="s">
        <v>1473</v>
      </c>
      <c r="HY315" s="12"/>
      <c r="HZ315" t="s">
        <v>1484</v>
      </c>
      <c r="IA315" t="s">
        <v>1483</v>
      </c>
      <c r="IG315" t="s">
        <v>1488</v>
      </c>
      <c r="IH315" t="s">
        <v>1200</v>
      </c>
      <c r="II315" t="s">
        <v>1477</v>
      </c>
      <c r="IJ315" t="s">
        <v>661</v>
      </c>
      <c r="IK315" s="88">
        <v>1999</v>
      </c>
      <c r="IL315" s="87" t="s">
        <v>29</v>
      </c>
      <c r="IM315" s="87" t="s">
        <v>29</v>
      </c>
      <c r="JI315" t="s">
        <v>1494</v>
      </c>
      <c r="JJ315" s="84" t="s">
        <v>15</v>
      </c>
      <c r="JK315" t="s">
        <v>14</v>
      </c>
      <c r="JL315" t="s">
        <v>1495</v>
      </c>
      <c r="JM315" s="4" t="s">
        <v>13</v>
      </c>
      <c r="JN315" t="s">
        <v>1496</v>
      </c>
      <c r="JO315" s="4"/>
      <c r="KH315" t="s">
        <v>1460</v>
      </c>
      <c r="KI315" t="s">
        <v>222</v>
      </c>
      <c r="KJ315" s="8" t="s">
        <v>1493</v>
      </c>
      <c r="KK315" s="4" t="s">
        <v>220</v>
      </c>
      <c r="KL315">
        <v>1</v>
      </c>
      <c r="MS315" t="s">
        <v>1535</v>
      </c>
      <c r="MT315">
        <v>46.5</v>
      </c>
      <c r="MU315" t="s">
        <v>1480</v>
      </c>
      <c r="MW315" t="s">
        <v>1479</v>
      </c>
      <c r="NE315" t="s">
        <v>1500</v>
      </c>
      <c r="NG315" t="s">
        <v>8</v>
      </c>
      <c r="NH315" t="s">
        <v>13</v>
      </c>
      <c r="NQ315" t="s">
        <v>6</v>
      </c>
      <c r="NR315">
        <v>765</v>
      </c>
      <c r="NS315" s="88" t="s">
        <v>29</v>
      </c>
      <c r="NT315" s="2" t="s">
        <v>29</v>
      </c>
      <c r="NW315">
        <v>3</v>
      </c>
      <c r="OH315" t="s">
        <v>1492</v>
      </c>
      <c r="OJ315">
        <v>2000</v>
      </c>
      <c r="OO315" t="s">
        <v>1178</v>
      </c>
      <c r="OP315" s="58">
        <v>46104</v>
      </c>
    </row>
    <row r="316" spans="1:406" ht="15.75" thickBot="1">
      <c r="A316" t="s">
        <v>248</v>
      </c>
      <c r="B316" t="s">
        <v>1458</v>
      </c>
      <c r="C316" t="s">
        <v>1183</v>
      </c>
      <c r="D316" s="4" t="s">
        <v>1955</v>
      </c>
      <c r="E316" s="90" t="s">
        <v>1497</v>
      </c>
      <c r="F316" s="90" t="s">
        <v>31</v>
      </c>
      <c r="G316" t="s">
        <v>2</v>
      </c>
      <c r="H316" t="s">
        <v>30</v>
      </c>
      <c r="I316">
        <v>12.133333329999999</v>
      </c>
      <c r="J316">
        <v>8.5333333329999999</v>
      </c>
      <c r="K316" t="s">
        <v>29</v>
      </c>
      <c r="AV316" t="s">
        <v>1499</v>
      </c>
      <c r="AW316">
        <v>46.5</v>
      </c>
      <c r="AX316" t="s">
        <v>29</v>
      </c>
      <c r="AY316">
        <v>1</v>
      </c>
      <c r="AZ316" t="s">
        <v>1498</v>
      </c>
      <c r="BA316">
        <v>1999</v>
      </c>
      <c r="BB316">
        <v>2000</v>
      </c>
      <c r="BD316" t="s">
        <v>238</v>
      </c>
      <c r="BE316" t="s">
        <v>1489</v>
      </c>
      <c r="BF316" t="s">
        <v>252</v>
      </c>
      <c r="BG316" s="3" t="s">
        <v>1243</v>
      </c>
      <c r="BH316" t="s">
        <v>250</v>
      </c>
      <c r="BI316" t="s">
        <v>1474</v>
      </c>
      <c r="BJ316" t="s">
        <v>29</v>
      </c>
      <c r="BK316" t="s">
        <v>29</v>
      </c>
      <c r="BL316" t="s">
        <v>56</v>
      </c>
      <c r="BM316" t="s">
        <v>1470</v>
      </c>
      <c r="BN316" t="s">
        <v>29</v>
      </c>
      <c r="BO316" t="s">
        <v>29</v>
      </c>
      <c r="BP316" t="s">
        <v>29</v>
      </c>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K316" s="9"/>
      <c r="HW316" s="58" t="s">
        <v>1466</v>
      </c>
      <c r="HX316" t="s">
        <v>1474</v>
      </c>
      <c r="HY316" s="12"/>
      <c r="HZ316" t="s">
        <v>1484</v>
      </c>
      <c r="IA316" t="s">
        <v>1483</v>
      </c>
      <c r="IG316" t="s">
        <v>1489</v>
      </c>
      <c r="IH316" t="s">
        <v>1200</v>
      </c>
      <c r="II316" t="s">
        <v>1477</v>
      </c>
      <c r="IJ316" t="s">
        <v>661</v>
      </c>
      <c r="IK316" s="88">
        <v>1999</v>
      </c>
      <c r="IL316" s="88" t="s">
        <v>29</v>
      </c>
      <c r="IM316" s="87" t="s">
        <v>29</v>
      </c>
      <c r="JI316" t="s">
        <v>1494</v>
      </c>
      <c r="JJ316" s="84" t="s">
        <v>15</v>
      </c>
      <c r="JK316" t="s">
        <v>14</v>
      </c>
      <c r="JL316" t="s">
        <v>1495</v>
      </c>
      <c r="JM316" s="4" t="s">
        <v>13</v>
      </c>
      <c r="JN316" t="s">
        <v>1496</v>
      </c>
      <c r="JO316" s="4"/>
      <c r="KH316" t="s">
        <v>1460</v>
      </c>
      <c r="KI316" t="s">
        <v>222</v>
      </c>
      <c r="KJ316" s="8" t="s">
        <v>1493</v>
      </c>
      <c r="KK316" s="4" t="s">
        <v>220</v>
      </c>
      <c r="KL316">
        <v>1</v>
      </c>
      <c r="MS316" t="s">
        <v>1535</v>
      </c>
      <c r="MT316">
        <v>46.5</v>
      </c>
      <c r="MU316" t="s">
        <v>1480</v>
      </c>
      <c r="MW316" t="s">
        <v>1479</v>
      </c>
      <c r="NE316" t="s">
        <v>1500</v>
      </c>
      <c r="NG316" t="s">
        <v>8</v>
      </c>
      <c r="NH316" t="s">
        <v>13</v>
      </c>
      <c r="NQ316" t="s">
        <v>6</v>
      </c>
      <c r="NR316">
        <v>511</v>
      </c>
      <c r="NS316" s="88" t="s">
        <v>29</v>
      </c>
      <c r="NT316" s="2" t="s">
        <v>29</v>
      </c>
      <c r="NW316">
        <v>3</v>
      </c>
      <c r="OH316" t="s">
        <v>1492</v>
      </c>
      <c r="OJ316">
        <v>2000</v>
      </c>
      <c r="OO316" t="s">
        <v>1178</v>
      </c>
      <c r="OP316" s="58">
        <v>46104</v>
      </c>
    </row>
    <row r="317" spans="1:406" ht="15.75" thickBot="1">
      <c r="A317" t="s">
        <v>248</v>
      </c>
      <c r="B317" t="s">
        <v>1458</v>
      </c>
      <c r="C317" t="s">
        <v>1183</v>
      </c>
      <c r="D317" s="4" t="s">
        <v>1955</v>
      </c>
      <c r="E317" s="90" t="s">
        <v>1497</v>
      </c>
      <c r="F317" s="90" t="s">
        <v>31</v>
      </c>
      <c r="G317" t="s">
        <v>2</v>
      </c>
      <c r="H317" t="s">
        <v>30</v>
      </c>
      <c r="I317">
        <v>12.133333329999999</v>
      </c>
      <c r="J317">
        <v>8.5333333329999999</v>
      </c>
      <c r="K317" t="s">
        <v>29</v>
      </c>
      <c r="AV317" t="s">
        <v>1499</v>
      </c>
      <c r="AW317">
        <v>46.5</v>
      </c>
      <c r="AX317" t="s">
        <v>29</v>
      </c>
      <c r="AY317">
        <v>1</v>
      </c>
      <c r="AZ317" t="s">
        <v>1498</v>
      </c>
      <c r="BA317">
        <v>1999</v>
      </c>
      <c r="BB317">
        <v>2000</v>
      </c>
      <c r="BD317" t="s">
        <v>238</v>
      </c>
      <c r="BE317" t="s">
        <v>1490</v>
      </c>
      <c r="BF317" t="s">
        <v>236</v>
      </c>
      <c r="BG317" s="3" t="s">
        <v>1243</v>
      </c>
      <c r="BH317" t="s">
        <v>250</v>
      </c>
      <c r="BI317" t="s">
        <v>1475</v>
      </c>
      <c r="BJ317" t="s">
        <v>29</v>
      </c>
      <c r="BK317" t="s">
        <v>29</v>
      </c>
      <c r="BL317" t="s">
        <v>56</v>
      </c>
      <c r="BM317" t="s">
        <v>1470</v>
      </c>
      <c r="BN317" t="s">
        <v>29</v>
      </c>
      <c r="BO317" t="s">
        <v>29</v>
      </c>
      <c r="BP317" t="s">
        <v>29</v>
      </c>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K317" s="9"/>
      <c r="HW317" s="58" t="s">
        <v>1468</v>
      </c>
      <c r="HX317" t="s">
        <v>1475</v>
      </c>
      <c r="HY317" s="14"/>
      <c r="HZ317" t="s">
        <v>1484</v>
      </c>
      <c r="IA317" t="s">
        <v>1483</v>
      </c>
      <c r="IG317" t="s">
        <v>1490</v>
      </c>
      <c r="IH317" t="s">
        <v>1200</v>
      </c>
      <c r="II317" t="s">
        <v>1477</v>
      </c>
      <c r="IJ317" t="s">
        <v>661</v>
      </c>
      <c r="IK317" s="2">
        <v>1999</v>
      </c>
      <c r="IL317" s="89" t="s">
        <v>29</v>
      </c>
      <c r="IM317" s="89" t="s">
        <v>29</v>
      </c>
      <c r="JI317" t="s">
        <v>1494</v>
      </c>
      <c r="JJ317" s="84" t="s">
        <v>15</v>
      </c>
      <c r="JK317" t="s">
        <v>14</v>
      </c>
      <c r="JL317" t="s">
        <v>1495</v>
      </c>
      <c r="JM317" s="4" t="s">
        <v>13</v>
      </c>
      <c r="JN317" t="s">
        <v>1496</v>
      </c>
      <c r="JO317" s="4"/>
      <c r="KH317" t="s">
        <v>1460</v>
      </c>
      <c r="KI317" t="s">
        <v>222</v>
      </c>
      <c r="KJ317" s="8" t="s">
        <v>1493</v>
      </c>
      <c r="KK317" s="4" t="s">
        <v>220</v>
      </c>
      <c r="KL317">
        <v>1</v>
      </c>
      <c r="MS317" t="s">
        <v>1535</v>
      </c>
      <c r="MT317">
        <v>46.5</v>
      </c>
      <c r="MU317" t="s">
        <v>1480</v>
      </c>
      <c r="MW317" t="s">
        <v>1479</v>
      </c>
      <c r="NE317" t="s">
        <v>1500</v>
      </c>
      <c r="NG317" t="s">
        <v>8</v>
      </c>
      <c r="NH317" t="s">
        <v>13</v>
      </c>
      <c r="NQ317" t="s">
        <v>6</v>
      </c>
      <c r="NR317">
        <v>779</v>
      </c>
      <c r="NS317" s="2" t="s">
        <v>29</v>
      </c>
      <c r="NT317" s="2" t="s">
        <v>29</v>
      </c>
      <c r="NW317">
        <v>3</v>
      </c>
      <c r="OH317" t="s">
        <v>1492</v>
      </c>
      <c r="OJ317">
        <v>2000</v>
      </c>
      <c r="OO317" t="s">
        <v>1178</v>
      </c>
      <c r="OP317" s="58">
        <v>46104</v>
      </c>
    </row>
    <row r="318" spans="1:406" ht="15.75" thickBot="1">
      <c r="A318" t="s">
        <v>248</v>
      </c>
      <c r="B318" t="s">
        <v>1458</v>
      </c>
      <c r="C318" t="s">
        <v>1183</v>
      </c>
      <c r="D318" s="4" t="s">
        <v>1955</v>
      </c>
      <c r="E318" s="90" t="s">
        <v>1497</v>
      </c>
      <c r="F318" s="90" t="s">
        <v>31</v>
      </c>
      <c r="G318" t="s">
        <v>2</v>
      </c>
      <c r="H318" t="s">
        <v>30</v>
      </c>
      <c r="I318">
        <v>12.133333329999999</v>
      </c>
      <c r="J318">
        <v>8.5333333329999999</v>
      </c>
      <c r="K318" t="s">
        <v>29</v>
      </c>
      <c r="AV318" t="s">
        <v>1499</v>
      </c>
      <c r="AW318">
        <v>27</v>
      </c>
      <c r="AX318" t="s">
        <v>29</v>
      </c>
      <c r="AY318">
        <v>1</v>
      </c>
      <c r="AZ318" t="s">
        <v>1498</v>
      </c>
      <c r="BA318">
        <v>1999</v>
      </c>
      <c r="BB318">
        <v>2000</v>
      </c>
      <c r="BD318" t="s">
        <v>19</v>
      </c>
      <c r="BE318" t="s">
        <v>1577</v>
      </c>
      <c r="BF318" t="s">
        <v>1578</v>
      </c>
      <c r="BG318" s="3" t="s">
        <v>1243</v>
      </c>
      <c r="BH318" t="s">
        <v>1470</v>
      </c>
      <c r="BI318" t="s">
        <v>29</v>
      </c>
      <c r="BJ318" t="s">
        <v>29</v>
      </c>
      <c r="BK318" t="s">
        <v>29</v>
      </c>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K318" s="9"/>
      <c r="HW318" s="58"/>
      <c r="HY318" s="12"/>
      <c r="HZ318" s="4"/>
      <c r="IG318" t="s">
        <v>1577</v>
      </c>
      <c r="IH318" t="s">
        <v>19</v>
      </c>
      <c r="IK318" s="88"/>
      <c r="IL318" s="88"/>
      <c r="IM318" s="87"/>
      <c r="JI318" t="s">
        <v>1494</v>
      </c>
      <c r="JJ318" s="84" t="s">
        <v>15</v>
      </c>
      <c r="JK318" t="s">
        <v>14</v>
      </c>
      <c r="JL318" t="s">
        <v>1495</v>
      </c>
      <c r="JM318" s="4" t="s">
        <v>13</v>
      </c>
      <c r="JN318" t="s">
        <v>1496</v>
      </c>
      <c r="JO318" s="4"/>
      <c r="KH318" t="s">
        <v>1460</v>
      </c>
      <c r="KI318" t="s">
        <v>222</v>
      </c>
      <c r="KJ318" s="8" t="s">
        <v>1493</v>
      </c>
      <c r="KK318" s="4" t="s">
        <v>220</v>
      </c>
      <c r="KL318">
        <v>1</v>
      </c>
      <c r="MS318" t="s">
        <v>1535</v>
      </c>
      <c r="MT318">
        <v>27</v>
      </c>
      <c r="MU318" t="s">
        <v>1579</v>
      </c>
      <c r="MX318" t="s">
        <v>1470</v>
      </c>
      <c r="NE318" t="s">
        <v>1576</v>
      </c>
      <c r="NG318" t="s">
        <v>1573</v>
      </c>
      <c r="NP318" t="s">
        <v>1571</v>
      </c>
      <c r="NS318" s="88"/>
      <c r="NT318" s="2"/>
      <c r="NW318">
        <v>3</v>
      </c>
      <c r="NY318" s="2"/>
      <c r="OA318" s="2"/>
      <c r="OH318" t="s">
        <v>1492</v>
      </c>
      <c r="OJ318">
        <v>1999</v>
      </c>
      <c r="OO318" t="s">
        <v>1178</v>
      </c>
      <c r="OP318" s="58">
        <v>46104</v>
      </c>
    </row>
    <row r="319" spans="1:406" ht="15.75" thickBot="1">
      <c r="A319" t="s">
        <v>248</v>
      </c>
      <c r="B319" t="s">
        <v>1458</v>
      </c>
      <c r="C319" t="s">
        <v>1183</v>
      </c>
      <c r="D319" s="4" t="s">
        <v>1955</v>
      </c>
      <c r="E319" s="90" t="s">
        <v>1497</v>
      </c>
      <c r="F319" s="90" t="s">
        <v>31</v>
      </c>
      <c r="G319" t="s">
        <v>2</v>
      </c>
      <c r="H319" t="s">
        <v>30</v>
      </c>
      <c r="I319">
        <v>12.133333329999999</v>
      </c>
      <c r="J319">
        <v>8.5333333329999999</v>
      </c>
      <c r="K319" t="s">
        <v>29</v>
      </c>
      <c r="AV319" t="s">
        <v>1499</v>
      </c>
      <c r="AW319">
        <v>27</v>
      </c>
      <c r="AX319" t="s">
        <v>29</v>
      </c>
      <c r="AY319">
        <v>1</v>
      </c>
      <c r="AZ319" t="s">
        <v>1498</v>
      </c>
      <c r="BA319">
        <v>1999</v>
      </c>
      <c r="BB319">
        <v>2000</v>
      </c>
      <c r="BD319" t="s">
        <v>19</v>
      </c>
      <c r="BE319" t="s">
        <v>1459</v>
      </c>
      <c r="BF319" t="s">
        <v>39</v>
      </c>
      <c r="BG319" s="3" t="s">
        <v>1243</v>
      </c>
      <c r="BH319" t="s">
        <v>250</v>
      </c>
      <c r="BI319" t="s">
        <v>1476</v>
      </c>
      <c r="BJ319" t="s">
        <v>29</v>
      </c>
      <c r="BK319" t="s">
        <v>29</v>
      </c>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K319" s="9"/>
      <c r="HW319" s="58" t="s">
        <v>1459</v>
      </c>
      <c r="HX319" t="s">
        <v>1476</v>
      </c>
      <c r="HY319" s="12"/>
      <c r="HZ319" s="4" t="s">
        <v>1481</v>
      </c>
      <c r="IA319" t="s">
        <v>1482</v>
      </c>
      <c r="IG319" t="s">
        <v>1459</v>
      </c>
      <c r="IH319" t="s">
        <v>19</v>
      </c>
      <c r="JI319" t="s">
        <v>1494</v>
      </c>
      <c r="JJ319" s="84" t="s">
        <v>15</v>
      </c>
      <c r="JK319" t="s">
        <v>14</v>
      </c>
      <c r="JL319" t="s">
        <v>1495</v>
      </c>
      <c r="JM319" s="4" t="s">
        <v>13</v>
      </c>
      <c r="JN319" t="s">
        <v>1496</v>
      </c>
      <c r="JO319" s="4"/>
      <c r="KH319" t="s">
        <v>1460</v>
      </c>
      <c r="KI319" t="s">
        <v>222</v>
      </c>
      <c r="KJ319" s="8" t="s">
        <v>1493</v>
      </c>
      <c r="KK319" s="4" t="s">
        <v>220</v>
      </c>
      <c r="KL319">
        <v>1</v>
      </c>
      <c r="MS319" t="s">
        <v>1535</v>
      </c>
      <c r="MT319">
        <v>27</v>
      </c>
      <c r="MU319" t="s">
        <v>1480</v>
      </c>
      <c r="MW319" t="s">
        <v>1479</v>
      </c>
      <c r="NE319" t="s">
        <v>1576</v>
      </c>
      <c r="NG319" t="s">
        <v>1573</v>
      </c>
      <c r="NP319" t="s">
        <v>64</v>
      </c>
      <c r="NS319" s="88"/>
      <c r="NT319" s="2"/>
      <c r="NW319">
        <v>3</v>
      </c>
      <c r="NY319" s="2"/>
      <c r="OH319" t="s">
        <v>1491</v>
      </c>
      <c r="OJ319">
        <v>1999</v>
      </c>
      <c r="OO319" t="s">
        <v>1178</v>
      </c>
      <c r="OP319" s="58">
        <v>46104</v>
      </c>
    </row>
    <row r="320" spans="1:406" ht="15.75" thickBot="1">
      <c r="A320" t="s">
        <v>248</v>
      </c>
      <c r="B320" t="s">
        <v>1458</v>
      </c>
      <c r="C320" t="s">
        <v>1183</v>
      </c>
      <c r="D320" s="4" t="s">
        <v>1955</v>
      </c>
      <c r="E320" s="90" t="s">
        <v>1497</v>
      </c>
      <c r="F320" s="90" t="s">
        <v>31</v>
      </c>
      <c r="G320" t="s">
        <v>2</v>
      </c>
      <c r="H320" t="s">
        <v>30</v>
      </c>
      <c r="I320">
        <v>12.133333329999999</v>
      </c>
      <c r="J320">
        <v>8.5333333329999999</v>
      </c>
      <c r="K320" t="s">
        <v>29</v>
      </c>
      <c r="AV320" t="s">
        <v>1499</v>
      </c>
      <c r="AW320">
        <v>27</v>
      </c>
      <c r="AX320" t="s">
        <v>29</v>
      </c>
      <c r="AY320">
        <v>1</v>
      </c>
      <c r="AZ320" t="s">
        <v>1498</v>
      </c>
      <c r="BA320">
        <v>1999</v>
      </c>
      <c r="BB320">
        <v>2000</v>
      </c>
      <c r="BD320" t="s">
        <v>19</v>
      </c>
      <c r="BE320" t="s">
        <v>1463</v>
      </c>
      <c r="BF320" t="s">
        <v>24</v>
      </c>
      <c r="BG320" s="3" t="s">
        <v>1243</v>
      </c>
      <c r="BH320" t="s">
        <v>250</v>
      </c>
      <c r="BI320" t="s">
        <v>1471</v>
      </c>
      <c r="BJ320" t="s">
        <v>29</v>
      </c>
      <c r="BK320" t="s">
        <v>29</v>
      </c>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K320" s="9"/>
      <c r="HW320" s="58" t="s">
        <v>1463</v>
      </c>
      <c r="HX320" t="s">
        <v>1471</v>
      </c>
      <c r="HY320" s="12"/>
      <c r="HZ320" t="s">
        <v>1484</v>
      </c>
      <c r="IA320" t="s">
        <v>1483</v>
      </c>
      <c r="IG320" t="s">
        <v>1463</v>
      </c>
      <c r="IH320" t="s">
        <v>19</v>
      </c>
      <c r="JI320" t="s">
        <v>1494</v>
      </c>
      <c r="JJ320" s="84" t="s">
        <v>15</v>
      </c>
      <c r="JK320" t="s">
        <v>14</v>
      </c>
      <c r="JL320" t="s">
        <v>1495</v>
      </c>
      <c r="JM320" s="4" t="s">
        <v>13</v>
      </c>
      <c r="JN320" t="s">
        <v>1496</v>
      </c>
      <c r="JO320" s="4"/>
      <c r="KH320" t="s">
        <v>1460</v>
      </c>
      <c r="KI320" t="s">
        <v>222</v>
      </c>
      <c r="KJ320" s="8" t="s">
        <v>1493</v>
      </c>
      <c r="KK320" s="4" t="s">
        <v>220</v>
      </c>
      <c r="KL320">
        <v>1</v>
      </c>
      <c r="MS320" t="s">
        <v>1535</v>
      </c>
      <c r="MT320">
        <v>27</v>
      </c>
      <c r="MU320" t="s">
        <v>1480</v>
      </c>
      <c r="MW320" t="s">
        <v>1479</v>
      </c>
      <c r="NE320" t="s">
        <v>1576</v>
      </c>
      <c r="NG320" t="s">
        <v>1573</v>
      </c>
      <c r="NP320" t="s">
        <v>57</v>
      </c>
      <c r="NS320" s="88"/>
      <c r="NT320" s="2"/>
      <c r="NW320">
        <v>3</v>
      </c>
      <c r="NY320" s="2"/>
      <c r="OH320" t="s">
        <v>1491</v>
      </c>
      <c r="OJ320">
        <v>1999</v>
      </c>
      <c r="OO320" t="s">
        <v>1178</v>
      </c>
      <c r="OP320" s="58">
        <v>46104</v>
      </c>
    </row>
    <row r="321" spans="1:406" ht="15.75" thickBot="1">
      <c r="A321" t="s">
        <v>248</v>
      </c>
      <c r="B321" t="s">
        <v>1458</v>
      </c>
      <c r="C321" t="s">
        <v>1183</v>
      </c>
      <c r="D321" s="4" t="s">
        <v>1955</v>
      </c>
      <c r="E321" s="90" t="s">
        <v>1497</v>
      </c>
      <c r="F321" s="90" t="s">
        <v>31</v>
      </c>
      <c r="G321" t="s">
        <v>2</v>
      </c>
      <c r="H321" t="s">
        <v>30</v>
      </c>
      <c r="I321">
        <v>12.133333329999999</v>
      </c>
      <c r="J321">
        <v>8.5333333329999999</v>
      </c>
      <c r="K321" t="s">
        <v>29</v>
      </c>
      <c r="AV321" t="s">
        <v>1499</v>
      </c>
      <c r="AW321">
        <v>27</v>
      </c>
      <c r="AX321" t="s">
        <v>29</v>
      </c>
      <c r="AY321">
        <v>1</v>
      </c>
      <c r="AZ321" t="s">
        <v>1498</v>
      </c>
      <c r="BA321">
        <v>1999</v>
      </c>
      <c r="BB321">
        <v>2000</v>
      </c>
      <c r="BD321" t="s">
        <v>19</v>
      </c>
      <c r="BE321" t="s">
        <v>1464</v>
      </c>
      <c r="BF321" t="s">
        <v>299</v>
      </c>
      <c r="BG321" s="3" t="s">
        <v>1243</v>
      </c>
      <c r="BH321" t="s">
        <v>250</v>
      </c>
      <c r="BI321" t="s">
        <v>1472</v>
      </c>
      <c r="BJ321" t="s">
        <v>29</v>
      </c>
      <c r="BK321" t="s">
        <v>29</v>
      </c>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K321" s="9"/>
      <c r="HW321" s="58" t="s">
        <v>1464</v>
      </c>
      <c r="HX321" t="s">
        <v>1472</v>
      </c>
      <c r="HY321" s="12"/>
      <c r="HZ321" t="s">
        <v>1484</v>
      </c>
      <c r="IA321" t="s">
        <v>1483</v>
      </c>
      <c r="IG321" t="s">
        <v>1464</v>
      </c>
      <c r="IH321" t="s">
        <v>19</v>
      </c>
      <c r="JI321" t="s">
        <v>1494</v>
      </c>
      <c r="JJ321" s="84" t="s">
        <v>15</v>
      </c>
      <c r="JK321" t="s">
        <v>14</v>
      </c>
      <c r="JL321" t="s">
        <v>1495</v>
      </c>
      <c r="JM321" s="4" t="s">
        <v>13</v>
      </c>
      <c r="JN321" t="s">
        <v>1496</v>
      </c>
      <c r="JO321" s="4"/>
      <c r="KH321" t="s">
        <v>1460</v>
      </c>
      <c r="KI321" t="s">
        <v>222</v>
      </c>
      <c r="KJ321" s="8" t="s">
        <v>1493</v>
      </c>
      <c r="KK321" s="4" t="s">
        <v>220</v>
      </c>
      <c r="KL321">
        <v>1</v>
      </c>
      <c r="MS321" t="s">
        <v>1535</v>
      </c>
      <c r="MT321">
        <v>27</v>
      </c>
      <c r="MU321" t="s">
        <v>1480</v>
      </c>
      <c r="MW321" t="s">
        <v>1479</v>
      </c>
      <c r="NE321" t="s">
        <v>1576</v>
      </c>
      <c r="NG321" t="s">
        <v>1573</v>
      </c>
      <c r="NP321" t="s">
        <v>48</v>
      </c>
      <c r="NS321" s="88"/>
      <c r="NT321" s="2"/>
      <c r="NW321">
        <v>3</v>
      </c>
      <c r="NY321" s="2"/>
      <c r="OH321" t="s">
        <v>1491</v>
      </c>
      <c r="OJ321">
        <v>1999</v>
      </c>
      <c r="OO321" t="s">
        <v>1178</v>
      </c>
      <c r="OP321" s="58">
        <v>46104</v>
      </c>
    </row>
    <row r="322" spans="1:406" ht="15.75" thickBot="1">
      <c r="A322" t="s">
        <v>248</v>
      </c>
      <c r="B322" t="s">
        <v>1458</v>
      </c>
      <c r="C322" t="s">
        <v>1183</v>
      </c>
      <c r="D322" s="4" t="s">
        <v>1955</v>
      </c>
      <c r="E322" s="90" t="s">
        <v>1497</v>
      </c>
      <c r="F322" s="90" t="s">
        <v>31</v>
      </c>
      <c r="G322" t="s">
        <v>2</v>
      </c>
      <c r="H322" t="s">
        <v>30</v>
      </c>
      <c r="I322">
        <v>12.133333329999999</v>
      </c>
      <c r="J322">
        <v>8.5333333329999999</v>
      </c>
      <c r="K322" t="s">
        <v>29</v>
      </c>
      <c r="AV322" t="s">
        <v>1499</v>
      </c>
      <c r="AW322">
        <v>27</v>
      </c>
      <c r="AX322" t="s">
        <v>29</v>
      </c>
      <c r="AY322">
        <v>1</v>
      </c>
      <c r="AZ322" t="s">
        <v>1498</v>
      </c>
      <c r="BA322">
        <v>1999</v>
      </c>
      <c r="BB322">
        <v>2000</v>
      </c>
      <c r="BD322" t="s">
        <v>19</v>
      </c>
      <c r="BE322" t="s">
        <v>1465</v>
      </c>
      <c r="BF322" t="s">
        <v>256</v>
      </c>
      <c r="BG322" s="3" t="s">
        <v>1243</v>
      </c>
      <c r="BH322" t="s">
        <v>250</v>
      </c>
      <c r="BI322" t="s">
        <v>1473</v>
      </c>
      <c r="BJ322" t="s">
        <v>29</v>
      </c>
      <c r="BK322" t="s">
        <v>29</v>
      </c>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K322" s="9"/>
      <c r="HW322" s="58" t="s">
        <v>1465</v>
      </c>
      <c r="HX322" t="s">
        <v>1473</v>
      </c>
      <c r="HY322" s="12"/>
      <c r="HZ322" t="s">
        <v>1484</v>
      </c>
      <c r="IA322" t="s">
        <v>1483</v>
      </c>
      <c r="IG322" t="s">
        <v>1465</v>
      </c>
      <c r="IH322" t="s">
        <v>19</v>
      </c>
      <c r="JI322" t="s">
        <v>1494</v>
      </c>
      <c r="JJ322" s="84" t="s">
        <v>15</v>
      </c>
      <c r="JK322" t="s">
        <v>14</v>
      </c>
      <c r="JL322" t="s">
        <v>1495</v>
      </c>
      <c r="JM322" s="4" t="s">
        <v>13</v>
      </c>
      <c r="JN322" t="s">
        <v>1496</v>
      </c>
      <c r="JO322" s="4"/>
      <c r="KH322" t="s">
        <v>1460</v>
      </c>
      <c r="KI322" t="s">
        <v>222</v>
      </c>
      <c r="KJ322" s="8" t="s">
        <v>1493</v>
      </c>
      <c r="KK322" s="4" t="s">
        <v>220</v>
      </c>
      <c r="KL322">
        <v>1</v>
      </c>
      <c r="MS322" t="s">
        <v>1535</v>
      </c>
      <c r="MT322">
        <v>27</v>
      </c>
      <c r="MU322" t="s">
        <v>1480</v>
      </c>
      <c r="MW322" t="s">
        <v>1479</v>
      </c>
      <c r="NE322" t="s">
        <v>1576</v>
      </c>
      <c r="NG322" t="s">
        <v>1573</v>
      </c>
      <c r="NP322" t="s">
        <v>43</v>
      </c>
      <c r="NS322" s="88"/>
      <c r="NT322" s="2"/>
      <c r="NW322">
        <v>3</v>
      </c>
      <c r="NY322" s="2"/>
      <c r="OH322" t="s">
        <v>1491</v>
      </c>
      <c r="OJ322">
        <v>1999</v>
      </c>
      <c r="OO322" t="s">
        <v>1178</v>
      </c>
      <c r="OP322" s="58">
        <v>46104</v>
      </c>
    </row>
    <row r="323" spans="1:406" ht="15.75" thickBot="1">
      <c r="A323" t="s">
        <v>248</v>
      </c>
      <c r="B323" t="s">
        <v>1458</v>
      </c>
      <c r="C323" t="s">
        <v>1183</v>
      </c>
      <c r="D323" s="4" t="s">
        <v>1955</v>
      </c>
      <c r="E323" s="90" t="s">
        <v>1497</v>
      </c>
      <c r="F323" s="90" t="s">
        <v>31</v>
      </c>
      <c r="G323" t="s">
        <v>2</v>
      </c>
      <c r="H323" t="s">
        <v>30</v>
      </c>
      <c r="I323">
        <v>12.133333329999999</v>
      </c>
      <c r="J323">
        <v>8.5333333329999999</v>
      </c>
      <c r="K323" t="s">
        <v>29</v>
      </c>
      <c r="AV323" t="s">
        <v>1499</v>
      </c>
      <c r="AW323">
        <v>27</v>
      </c>
      <c r="AX323" t="s">
        <v>29</v>
      </c>
      <c r="AY323">
        <v>1</v>
      </c>
      <c r="AZ323" t="s">
        <v>1498</v>
      </c>
      <c r="BA323">
        <v>1999</v>
      </c>
      <c r="BB323">
        <v>2000</v>
      </c>
      <c r="BD323" t="s">
        <v>19</v>
      </c>
      <c r="BE323" t="s">
        <v>1466</v>
      </c>
      <c r="BF323" t="s">
        <v>1467</v>
      </c>
      <c r="BG323" s="3" t="s">
        <v>1243</v>
      </c>
      <c r="BH323" t="s">
        <v>250</v>
      </c>
      <c r="BI323" t="s">
        <v>1474</v>
      </c>
      <c r="BJ323" t="s">
        <v>29</v>
      </c>
      <c r="BK323" t="s">
        <v>29</v>
      </c>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K323" s="9"/>
      <c r="HW323" s="58" t="s">
        <v>1466</v>
      </c>
      <c r="HX323" t="s">
        <v>1474</v>
      </c>
      <c r="HY323" s="12"/>
      <c r="HZ323" t="s">
        <v>1484</v>
      </c>
      <c r="IA323" t="s">
        <v>1483</v>
      </c>
      <c r="IG323" t="s">
        <v>1466</v>
      </c>
      <c r="IH323" t="s">
        <v>19</v>
      </c>
      <c r="JI323" t="s">
        <v>1494</v>
      </c>
      <c r="JJ323" s="84" t="s">
        <v>15</v>
      </c>
      <c r="JK323" t="s">
        <v>14</v>
      </c>
      <c r="JL323" t="s">
        <v>1495</v>
      </c>
      <c r="JM323" s="4" t="s">
        <v>13</v>
      </c>
      <c r="JN323" t="s">
        <v>1496</v>
      </c>
      <c r="JO323" s="4"/>
      <c r="KH323" t="s">
        <v>1460</v>
      </c>
      <c r="KI323" t="s">
        <v>222</v>
      </c>
      <c r="KJ323" s="8" t="s">
        <v>1493</v>
      </c>
      <c r="KK323" s="4" t="s">
        <v>220</v>
      </c>
      <c r="KL323">
        <v>1</v>
      </c>
      <c r="MS323" t="s">
        <v>1535</v>
      </c>
      <c r="MT323">
        <v>27</v>
      </c>
      <c r="MU323" t="s">
        <v>1480</v>
      </c>
      <c r="MW323" t="s">
        <v>1479</v>
      </c>
      <c r="NE323" t="s">
        <v>1576</v>
      </c>
      <c r="NG323" t="s">
        <v>1573</v>
      </c>
      <c r="NP323" t="s">
        <v>252</v>
      </c>
      <c r="NS323" s="88"/>
      <c r="NT323" s="2"/>
      <c r="NW323">
        <v>3</v>
      </c>
      <c r="NY323" s="2"/>
      <c r="OH323" t="s">
        <v>1491</v>
      </c>
      <c r="OJ323">
        <v>1999</v>
      </c>
      <c r="OO323" t="s">
        <v>1178</v>
      </c>
      <c r="OP323" s="58">
        <v>46104</v>
      </c>
    </row>
    <row r="324" spans="1:406" ht="15.75" thickBot="1">
      <c r="A324" t="s">
        <v>248</v>
      </c>
      <c r="B324" t="s">
        <v>1458</v>
      </c>
      <c r="C324" t="s">
        <v>1183</v>
      </c>
      <c r="D324" s="4" t="s">
        <v>1955</v>
      </c>
      <c r="E324" s="90" t="s">
        <v>1497</v>
      </c>
      <c r="F324" s="90" t="s">
        <v>31</v>
      </c>
      <c r="G324" t="s">
        <v>2</v>
      </c>
      <c r="H324" t="s">
        <v>30</v>
      </c>
      <c r="I324">
        <v>12.133333329999999</v>
      </c>
      <c r="J324">
        <v>8.5333333329999999</v>
      </c>
      <c r="K324" t="s">
        <v>29</v>
      </c>
      <c r="AV324" t="s">
        <v>1499</v>
      </c>
      <c r="AW324">
        <v>27</v>
      </c>
      <c r="AX324" t="s">
        <v>29</v>
      </c>
      <c r="AY324">
        <v>1</v>
      </c>
      <c r="AZ324" t="s">
        <v>1498</v>
      </c>
      <c r="BA324">
        <v>1999</v>
      </c>
      <c r="BB324">
        <v>2000</v>
      </c>
      <c r="BD324" t="s">
        <v>19</v>
      </c>
      <c r="BE324" t="s">
        <v>1468</v>
      </c>
      <c r="BF324" t="s">
        <v>1469</v>
      </c>
      <c r="BG324" s="3" t="s">
        <v>1243</v>
      </c>
      <c r="BH324" t="s">
        <v>250</v>
      </c>
      <c r="BI324" t="s">
        <v>1475</v>
      </c>
      <c r="BJ324" t="s">
        <v>29</v>
      </c>
      <c r="BK324" t="s">
        <v>29</v>
      </c>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K324" s="9"/>
      <c r="HW324" s="58" t="s">
        <v>1468</v>
      </c>
      <c r="HX324" t="s">
        <v>1475</v>
      </c>
      <c r="HY324" s="12"/>
      <c r="HZ324" t="s">
        <v>1484</v>
      </c>
      <c r="IA324" t="s">
        <v>1483</v>
      </c>
      <c r="IG324" t="s">
        <v>1468</v>
      </c>
      <c r="IH324" t="s">
        <v>19</v>
      </c>
      <c r="JI324" t="s">
        <v>1494</v>
      </c>
      <c r="JJ324" s="84" t="s">
        <v>15</v>
      </c>
      <c r="JK324" t="s">
        <v>14</v>
      </c>
      <c r="JL324" t="s">
        <v>1495</v>
      </c>
      <c r="JM324" s="4" t="s">
        <v>13</v>
      </c>
      <c r="JN324" t="s">
        <v>1496</v>
      </c>
      <c r="JO324" s="4"/>
      <c r="KH324" t="s">
        <v>1460</v>
      </c>
      <c r="KI324" t="s">
        <v>222</v>
      </c>
      <c r="KJ324" s="8" t="s">
        <v>1493</v>
      </c>
      <c r="KK324" s="4" t="s">
        <v>220</v>
      </c>
      <c r="KL324">
        <v>1</v>
      </c>
      <c r="MS324" t="s">
        <v>1535</v>
      </c>
      <c r="MT324">
        <v>27</v>
      </c>
      <c r="MU324" t="s">
        <v>1480</v>
      </c>
      <c r="MW324" t="s">
        <v>1479</v>
      </c>
      <c r="NE324" t="s">
        <v>1576</v>
      </c>
      <c r="NG324" t="s">
        <v>1573</v>
      </c>
      <c r="NP324" t="s">
        <v>236</v>
      </c>
      <c r="NS324" s="88"/>
      <c r="NT324" s="2"/>
      <c r="NW324">
        <v>3</v>
      </c>
      <c r="NY324" s="2"/>
      <c r="OH324" t="s">
        <v>1491</v>
      </c>
      <c r="OJ324">
        <v>1999</v>
      </c>
      <c r="OO324" t="s">
        <v>1178</v>
      </c>
      <c r="OP324" s="58">
        <v>46104</v>
      </c>
    </row>
    <row r="325" spans="1:406" ht="15.75" thickBot="1">
      <c r="A325" t="s">
        <v>248</v>
      </c>
      <c r="B325" t="s">
        <v>1458</v>
      </c>
      <c r="C325" t="s">
        <v>1183</v>
      </c>
      <c r="D325" s="4" t="s">
        <v>1955</v>
      </c>
      <c r="E325" s="90" t="s">
        <v>1497</v>
      </c>
      <c r="F325" s="90" t="s">
        <v>31</v>
      </c>
      <c r="G325" t="s">
        <v>2</v>
      </c>
      <c r="H325" t="s">
        <v>30</v>
      </c>
      <c r="I325">
        <v>12.133333329999999</v>
      </c>
      <c r="J325">
        <v>8.5333333329999999</v>
      </c>
      <c r="K325" t="s">
        <v>29</v>
      </c>
      <c r="AV325" t="s">
        <v>1499</v>
      </c>
      <c r="AW325">
        <v>46.5</v>
      </c>
      <c r="AX325" t="s">
        <v>29</v>
      </c>
      <c r="AY325">
        <v>1</v>
      </c>
      <c r="AZ325" t="s">
        <v>1498</v>
      </c>
      <c r="BA325">
        <v>1999</v>
      </c>
      <c r="BB325">
        <v>2000</v>
      </c>
      <c r="BD325" t="s">
        <v>238</v>
      </c>
      <c r="BE325" t="s">
        <v>1485</v>
      </c>
      <c r="BF325" t="s">
        <v>64</v>
      </c>
      <c r="BG325" s="3" t="s">
        <v>1243</v>
      </c>
      <c r="BH325" t="s">
        <v>250</v>
      </c>
      <c r="BI325" t="s">
        <v>1476</v>
      </c>
      <c r="BJ325" t="s">
        <v>29</v>
      </c>
      <c r="BK325" t="s">
        <v>29</v>
      </c>
      <c r="BL325" t="s">
        <v>56</v>
      </c>
      <c r="BM325" t="s">
        <v>1470</v>
      </c>
      <c r="BN325" t="s">
        <v>29</v>
      </c>
      <c r="BO325" t="s">
        <v>29</v>
      </c>
      <c r="BP325" t="s">
        <v>29</v>
      </c>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K325" s="9"/>
      <c r="HW325" s="58" t="s">
        <v>1459</v>
      </c>
      <c r="HX325" t="s">
        <v>1476</v>
      </c>
      <c r="HY325" s="12"/>
      <c r="HZ325" s="4" t="s">
        <v>1481</v>
      </c>
      <c r="IA325" t="s">
        <v>1482</v>
      </c>
      <c r="IG325" t="s">
        <v>1485</v>
      </c>
      <c r="IH325" t="s">
        <v>1200</v>
      </c>
      <c r="II325" t="s">
        <v>1477</v>
      </c>
      <c r="IJ325" t="s">
        <v>661</v>
      </c>
      <c r="IK325" s="88">
        <v>1999</v>
      </c>
      <c r="IL325" s="88" t="s">
        <v>29</v>
      </c>
      <c r="IM325" s="87" t="s">
        <v>29</v>
      </c>
      <c r="JI325" t="s">
        <v>1494</v>
      </c>
      <c r="JJ325" s="84" t="s">
        <v>15</v>
      </c>
      <c r="JK325" t="s">
        <v>14</v>
      </c>
      <c r="JL325" t="s">
        <v>1495</v>
      </c>
      <c r="JM325" s="4" t="s">
        <v>13</v>
      </c>
      <c r="JN325" t="s">
        <v>1496</v>
      </c>
      <c r="JO325" s="4"/>
      <c r="KH325" t="s">
        <v>1460</v>
      </c>
      <c r="KI325" t="s">
        <v>222</v>
      </c>
      <c r="KJ325" s="8" t="s">
        <v>1493</v>
      </c>
      <c r="KK325" s="4" t="s">
        <v>220</v>
      </c>
      <c r="KL325">
        <v>1</v>
      </c>
      <c r="MS325" t="s">
        <v>1535</v>
      </c>
      <c r="MT325">
        <v>46.5</v>
      </c>
      <c r="MU325" t="s">
        <v>1480</v>
      </c>
      <c r="MW325" t="s">
        <v>1479</v>
      </c>
      <c r="MX325" t="s">
        <v>1470</v>
      </c>
      <c r="NE325" t="s">
        <v>1576</v>
      </c>
      <c r="NG325" t="s">
        <v>1573</v>
      </c>
      <c r="NS325" s="88"/>
      <c r="NT325" s="2"/>
      <c r="NW325">
        <v>3</v>
      </c>
      <c r="NX325">
        <v>0.18</v>
      </c>
      <c r="NY325" s="2" t="s">
        <v>29</v>
      </c>
      <c r="NZ325">
        <v>0.84</v>
      </c>
      <c r="OA325" s="2" t="s">
        <v>29</v>
      </c>
      <c r="OH325" t="s">
        <v>1492</v>
      </c>
      <c r="OJ325">
        <v>1999</v>
      </c>
      <c r="OO325" t="s">
        <v>1178</v>
      </c>
      <c r="OP325" s="58">
        <v>46104</v>
      </c>
    </row>
    <row r="326" spans="1:406" ht="15.75" thickBot="1">
      <c r="A326" t="s">
        <v>248</v>
      </c>
      <c r="B326" t="s">
        <v>1458</v>
      </c>
      <c r="C326" t="s">
        <v>1183</v>
      </c>
      <c r="D326" s="4" t="s">
        <v>1955</v>
      </c>
      <c r="E326" s="90" t="s">
        <v>1497</v>
      </c>
      <c r="F326" s="90" t="s">
        <v>31</v>
      </c>
      <c r="G326" t="s">
        <v>2</v>
      </c>
      <c r="H326" t="s">
        <v>30</v>
      </c>
      <c r="I326">
        <v>12.133333329999999</v>
      </c>
      <c r="J326">
        <v>8.5333333329999999</v>
      </c>
      <c r="K326" t="s">
        <v>29</v>
      </c>
      <c r="AV326" t="s">
        <v>1499</v>
      </c>
      <c r="AW326">
        <v>46.5</v>
      </c>
      <c r="AX326" t="s">
        <v>29</v>
      </c>
      <c r="AY326">
        <v>1</v>
      </c>
      <c r="AZ326" t="s">
        <v>1498</v>
      </c>
      <c r="BA326">
        <v>1999</v>
      </c>
      <c r="BB326">
        <v>2000</v>
      </c>
      <c r="BD326" t="s">
        <v>238</v>
      </c>
      <c r="BE326" t="s">
        <v>1486</v>
      </c>
      <c r="BF326" t="s">
        <v>57</v>
      </c>
      <c r="BG326" s="3" t="s">
        <v>1243</v>
      </c>
      <c r="BH326" t="s">
        <v>250</v>
      </c>
      <c r="BI326" t="s">
        <v>1471</v>
      </c>
      <c r="BJ326" t="s">
        <v>29</v>
      </c>
      <c r="BK326" t="s">
        <v>29</v>
      </c>
      <c r="BL326" t="s">
        <v>56</v>
      </c>
      <c r="BM326" t="s">
        <v>1470</v>
      </c>
      <c r="BN326" t="s">
        <v>29</v>
      </c>
      <c r="BO326" t="s">
        <v>29</v>
      </c>
      <c r="BP326" t="s">
        <v>29</v>
      </c>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K326" s="9"/>
      <c r="HW326" s="58" t="s">
        <v>1463</v>
      </c>
      <c r="HX326" t="s">
        <v>1471</v>
      </c>
      <c r="HY326" s="12"/>
      <c r="HZ326" t="s">
        <v>1484</v>
      </c>
      <c r="IA326" t="s">
        <v>1483</v>
      </c>
      <c r="IG326" t="s">
        <v>1486</v>
      </c>
      <c r="IH326" t="s">
        <v>1200</v>
      </c>
      <c r="II326" t="s">
        <v>1477</v>
      </c>
      <c r="IJ326" t="s">
        <v>661</v>
      </c>
      <c r="IK326" s="88">
        <v>1999</v>
      </c>
      <c r="IL326" s="87" t="s">
        <v>29</v>
      </c>
      <c r="IM326" s="87" t="s">
        <v>29</v>
      </c>
      <c r="JI326" t="s">
        <v>1494</v>
      </c>
      <c r="JJ326" s="84" t="s">
        <v>15</v>
      </c>
      <c r="JK326" t="s">
        <v>14</v>
      </c>
      <c r="JL326" t="s">
        <v>1495</v>
      </c>
      <c r="JM326" s="4" t="s">
        <v>13</v>
      </c>
      <c r="JN326" t="s">
        <v>1496</v>
      </c>
      <c r="JO326" s="4"/>
      <c r="KH326" t="s">
        <v>1460</v>
      </c>
      <c r="KI326" t="s">
        <v>222</v>
      </c>
      <c r="KJ326" s="8" t="s">
        <v>1493</v>
      </c>
      <c r="KK326" s="4" t="s">
        <v>220</v>
      </c>
      <c r="KL326">
        <v>1</v>
      </c>
      <c r="MS326" t="s">
        <v>1535</v>
      </c>
      <c r="MT326">
        <v>46.5</v>
      </c>
      <c r="MU326" t="s">
        <v>1480</v>
      </c>
      <c r="MW326" t="s">
        <v>1479</v>
      </c>
      <c r="MX326" t="s">
        <v>1470</v>
      </c>
      <c r="NE326" t="s">
        <v>1576</v>
      </c>
      <c r="NG326" t="s">
        <v>1573</v>
      </c>
      <c r="NS326" s="88"/>
      <c r="NT326" s="2"/>
      <c r="NW326">
        <v>3</v>
      </c>
      <c r="NX326">
        <v>0.35</v>
      </c>
      <c r="NY326" s="2" t="s">
        <v>29</v>
      </c>
      <c r="NZ326">
        <v>0.81</v>
      </c>
      <c r="OA326" s="2" t="s">
        <v>29</v>
      </c>
      <c r="OH326" t="s">
        <v>1492</v>
      </c>
      <c r="OJ326">
        <v>1999</v>
      </c>
      <c r="OO326" t="s">
        <v>1178</v>
      </c>
      <c r="OP326" s="58">
        <v>46104</v>
      </c>
    </row>
    <row r="327" spans="1:406" ht="15.75" thickBot="1">
      <c r="A327" t="s">
        <v>248</v>
      </c>
      <c r="B327" t="s">
        <v>1458</v>
      </c>
      <c r="C327" t="s">
        <v>1183</v>
      </c>
      <c r="D327" s="4" t="s">
        <v>1955</v>
      </c>
      <c r="E327" s="90" t="s">
        <v>1497</v>
      </c>
      <c r="F327" s="90" t="s">
        <v>31</v>
      </c>
      <c r="G327" t="s">
        <v>2</v>
      </c>
      <c r="H327" t="s">
        <v>30</v>
      </c>
      <c r="I327">
        <v>12.133333329999999</v>
      </c>
      <c r="J327">
        <v>8.5333333329999999</v>
      </c>
      <c r="K327" t="s">
        <v>29</v>
      </c>
      <c r="AV327" t="s">
        <v>1499</v>
      </c>
      <c r="AW327">
        <v>46.5</v>
      </c>
      <c r="AX327" t="s">
        <v>29</v>
      </c>
      <c r="AY327">
        <v>1</v>
      </c>
      <c r="AZ327" t="s">
        <v>1498</v>
      </c>
      <c r="BA327">
        <v>1999</v>
      </c>
      <c r="BB327">
        <v>2000</v>
      </c>
      <c r="BD327" t="s">
        <v>238</v>
      </c>
      <c r="BE327" t="s">
        <v>1487</v>
      </c>
      <c r="BF327" t="s">
        <v>48</v>
      </c>
      <c r="BG327" s="3" t="s">
        <v>1243</v>
      </c>
      <c r="BH327" t="s">
        <v>250</v>
      </c>
      <c r="BI327" t="s">
        <v>1472</v>
      </c>
      <c r="BJ327" t="s">
        <v>29</v>
      </c>
      <c r="BK327" t="s">
        <v>29</v>
      </c>
      <c r="BL327" t="s">
        <v>56</v>
      </c>
      <c r="BM327" t="s">
        <v>1470</v>
      </c>
      <c r="BN327" t="s">
        <v>29</v>
      </c>
      <c r="BO327" t="s">
        <v>29</v>
      </c>
      <c r="BP327" t="s">
        <v>29</v>
      </c>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K327" s="9"/>
      <c r="HW327" s="58" t="s">
        <v>1464</v>
      </c>
      <c r="HX327" t="s">
        <v>1472</v>
      </c>
      <c r="HY327" s="12"/>
      <c r="HZ327" t="s">
        <v>1484</v>
      </c>
      <c r="IA327" t="s">
        <v>1483</v>
      </c>
      <c r="IG327" t="s">
        <v>1487</v>
      </c>
      <c r="IH327" t="s">
        <v>1200</v>
      </c>
      <c r="II327" t="s">
        <v>1477</v>
      </c>
      <c r="IJ327" t="s">
        <v>661</v>
      </c>
      <c r="IK327" s="88">
        <v>1999</v>
      </c>
      <c r="IL327" s="88" t="s">
        <v>29</v>
      </c>
      <c r="IM327" s="87" t="s">
        <v>29</v>
      </c>
      <c r="JI327" t="s">
        <v>1494</v>
      </c>
      <c r="JJ327" s="84" t="s">
        <v>15</v>
      </c>
      <c r="JK327" t="s">
        <v>14</v>
      </c>
      <c r="JL327" t="s">
        <v>1495</v>
      </c>
      <c r="JM327" s="4" t="s">
        <v>13</v>
      </c>
      <c r="JN327" t="s">
        <v>1496</v>
      </c>
      <c r="JO327" s="4"/>
      <c r="KH327" t="s">
        <v>1460</v>
      </c>
      <c r="KI327" t="s">
        <v>222</v>
      </c>
      <c r="KJ327" s="8" t="s">
        <v>1493</v>
      </c>
      <c r="KK327" s="4" t="s">
        <v>220</v>
      </c>
      <c r="KL327">
        <v>1</v>
      </c>
      <c r="MS327" t="s">
        <v>1535</v>
      </c>
      <c r="MT327">
        <v>46.5</v>
      </c>
      <c r="MU327" t="s">
        <v>1480</v>
      </c>
      <c r="MW327" t="s">
        <v>1479</v>
      </c>
      <c r="MX327" t="s">
        <v>1470</v>
      </c>
      <c r="NE327" t="s">
        <v>1576</v>
      </c>
      <c r="NG327" t="s">
        <v>1573</v>
      </c>
      <c r="NS327" s="88"/>
      <c r="NT327" s="2"/>
      <c r="NW327">
        <v>3</v>
      </c>
      <c r="NX327">
        <v>0.31</v>
      </c>
      <c r="NY327" s="2" t="s">
        <v>29</v>
      </c>
      <c r="NZ327">
        <v>0.82</v>
      </c>
      <c r="OA327" s="2" t="s">
        <v>29</v>
      </c>
      <c r="OH327" t="s">
        <v>1492</v>
      </c>
      <c r="OJ327">
        <v>1999</v>
      </c>
      <c r="OO327" t="s">
        <v>1178</v>
      </c>
      <c r="OP327" s="58">
        <v>46104</v>
      </c>
    </row>
    <row r="328" spans="1:406" ht="15.75" thickBot="1">
      <c r="A328" t="s">
        <v>248</v>
      </c>
      <c r="B328" t="s">
        <v>1458</v>
      </c>
      <c r="C328" t="s">
        <v>1183</v>
      </c>
      <c r="D328" s="4" t="s">
        <v>1955</v>
      </c>
      <c r="E328" s="90" t="s">
        <v>1497</v>
      </c>
      <c r="F328" s="90" t="s">
        <v>31</v>
      </c>
      <c r="G328" t="s">
        <v>2</v>
      </c>
      <c r="H328" t="s">
        <v>30</v>
      </c>
      <c r="I328">
        <v>12.133333329999999</v>
      </c>
      <c r="J328">
        <v>8.5333333329999999</v>
      </c>
      <c r="K328" t="s">
        <v>29</v>
      </c>
      <c r="AV328" t="s">
        <v>1499</v>
      </c>
      <c r="AW328">
        <v>46.5</v>
      </c>
      <c r="AX328" t="s">
        <v>29</v>
      </c>
      <c r="AY328">
        <v>1</v>
      </c>
      <c r="AZ328" t="s">
        <v>1498</v>
      </c>
      <c r="BA328">
        <v>1999</v>
      </c>
      <c r="BB328">
        <v>2000</v>
      </c>
      <c r="BD328" t="s">
        <v>238</v>
      </c>
      <c r="BE328" t="s">
        <v>1488</v>
      </c>
      <c r="BF328" t="s">
        <v>43</v>
      </c>
      <c r="BG328" s="3" t="s">
        <v>1243</v>
      </c>
      <c r="BH328" t="s">
        <v>250</v>
      </c>
      <c r="BI328" t="s">
        <v>1473</v>
      </c>
      <c r="BJ328" t="s">
        <v>29</v>
      </c>
      <c r="BK328" t="s">
        <v>29</v>
      </c>
      <c r="BL328" t="s">
        <v>56</v>
      </c>
      <c r="BM328" t="s">
        <v>1470</v>
      </c>
      <c r="BN328" t="s">
        <v>29</v>
      </c>
      <c r="BO328" t="s">
        <v>29</v>
      </c>
      <c r="BP328" t="s">
        <v>29</v>
      </c>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K328" s="9"/>
      <c r="HW328" s="58" t="s">
        <v>1465</v>
      </c>
      <c r="HX328" t="s">
        <v>1473</v>
      </c>
      <c r="HY328" s="12"/>
      <c r="HZ328" t="s">
        <v>1484</v>
      </c>
      <c r="IA328" t="s">
        <v>1483</v>
      </c>
      <c r="IG328" t="s">
        <v>1488</v>
      </c>
      <c r="IH328" t="s">
        <v>1200</v>
      </c>
      <c r="II328" t="s">
        <v>1477</v>
      </c>
      <c r="IJ328" t="s">
        <v>661</v>
      </c>
      <c r="IK328" s="88">
        <v>1999</v>
      </c>
      <c r="IL328" s="87" t="s">
        <v>29</v>
      </c>
      <c r="IM328" s="87" t="s">
        <v>29</v>
      </c>
      <c r="JI328" t="s">
        <v>1494</v>
      </c>
      <c r="JJ328" s="84" t="s">
        <v>15</v>
      </c>
      <c r="JK328" t="s">
        <v>14</v>
      </c>
      <c r="JL328" t="s">
        <v>1495</v>
      </c>
      <c r="JM328" s="4" t="s">
        <v>13</v>
      </c>
      <c r="JN328" t="s">
        <v>1496</v>
      </c>
      <c r="JO328" s="4"/>
      <c r="KH328" t="s">
        <v>1460</v>
      </c>
      <c r="KI328" t="s">
        <v>222</v>
      </c>
      <c r="KJ328" s="8" t="s">
        <v>1493</v>
      </c>
      <c r="KK328" s="4" t="s">
        <v>220</v>
      </c>
      <c r="KL328">
        <v>1</v>
      </c>
      <c r="MS328" t="s">
        <v>1535</v>
      </c>
      <c r="MT328">
        <v>46.5</v>
      </c>
      <c r="MU328" t="s">
        <v>1480</v>
      </c>
      <c r="MW328" t="s">
        <v>1479</v>
      </c>
      <c r="MX328" t="s">
        <v>1470</v>
      </c>
      <c r="NE328" t="s">
        <v>1576</v>
      </c>
      <c r="NG328" t="s">
        <v>1573</v>
      </c>
      <c r="NS328" s="88"/>
      <c r="NT328" s="2"/>
      <c r="NW328">
        <v>3</v>
      </c>
      <c r="NX328">
        <v>0.24</v>
      </c>
      <c r="NY328" s="2" t="s">
        <v>29</v>
      </c>
      <c r="NZ328">
        <v>0.81</v>
      </c>
      <c r="OA328" s="2" t="s">
        <v>29</v>
      </c>
      <c r="OH328" t="s">
        <v>1492</v>
      </c>
      <c r="OJ328">
        <v>1999</v>
      </c>
      <c r="OO328" t="s">
        <v>1178</v>
      </c>
      <c r="OP328" s="58">
        <v>46104</v>
      </c>
    </row>
    <row r="329" spans="1:406" ht="15.75" thickBot="1">
      <c r="A329" t="s">
        <v>248</v>
      </c>
      <c r="B329" t="s">
        <v>1458</v>
      </c>
      <c r="C329" t="s">
        <v>1183</v>
      </c>
      <c r="D329" s="4" t="s">
        <v>1955</v>
      </c>
      <c r="E329" s="90" t="s">
        <v>1497</v>
      </c>
      <c r="F329" s="90" t="s">
        <v>31</v>
      </c>
      <c r="G329" t="s">
        <v>2</v>
      </c>
      <c r="H329" t="s">
        <v>30</v>
      </c>
      <c r="I329">
        <v>12.133333329999999</v>
      </c>
      <c r="J329">
        <v>8.5333333329999999</v>
      </c>
      <c r="K329" t="s">
        <v>29</v>
      </c>
      <c r="AV329" t="s">
        <v>1499</v>
      </c>
      <c r="AW329">
        <v>46.5</v>
      </c>
      <c r="AX329" t="s">
        <v>29</v>
      </c>
      <c r="AY329">
        <v>1</v>
      </c>
      <c r="AZ329" t="s">
        <v>1498</v>
      </c>
      <c r="BA329">
        <v>1999</v>
      </c>
      <c r="BB329">
        <v>2000</v>
      </c>
      <c r="BD329" t="s">
        <v>238</v>
      </c>
      <c r="BE329" t="s">
        <v>1489</v>
      </c>
      <c r="BF329" t="s">
        <v>252</v>
      </c>
      <c r="BG329" s="3" t="s">
        <v>1243</v>
      </c>
      <c r="BH329" t="s">
        <v>250</v>
      </c>
      <c r="BI329" t="s">
        <v>1474</v>
      </c>
      <c r="BJ329" t="s">
        <v>29</v>
      </c>
      <c r="BK329" t="s">
        <v>29</v>
      </c>
      <c r="BL329" t="s">
        <v>56</v>
      </c>
      <c r="BM329" t="s">
        <v>1470</v>
      </c>
      <c r="BN329" t="s">
        <v>29</v>
      </c>
      <c r="BO329" t="s">
        <v>29</v>
      </c>
      <c r="BP329" t="s">
        <v>29</v>
      </c>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K329" s="9"/>
      <c r="HW329" s="58" t="s">
        <v>1466</v>
      </c>
      <c r="HX329" t="s">
        <v>1474</v>
      </c>
      <c r="HY329" s="12"/>
      <c r="HZ329" t="s">
        <v>1484</v>
      </c>
      <c r="IA329" t="s">
        <v>1483</v>
      </c>
      <c r="IG329" t="s">
        <v>1489</v>
      </c>
      <c r="IH329" t="s">
        <v>1200</v>
      </c>
      <c r="II329" t="s">
        <v>1477</v>
      </c>
      <c r="IJ329" t="s">
        <v>661</v>
      </c>
      <c r="IK329" s="88">
        <v>1999</v>
      </c>
      <c r="IL329" s="88" t="s">
        <v>29</v>
      </c>
      <c r="IM329" s="87" t="s">
        <v>29</v>
      </c>
      <c r="JI329" t="s">
        <v>1494</v>
      </c>
      <c r="JJ329" s="84" t="s">
        <v>15</v>
      </c>
      <c r="JK329" t="s">
        <v>14</v>
      </c>
      <c r="JL329" t="s">
        <v>1495</v>
      </c>
      <c r="JM329" s="4" t="s">
        <v>13</v>
      </c>
      <c r="JN329" t="s">
        <v>1496</v>
      </c>
      <c r="JO329" s="4"/>
      <c r="KH329" t="s">
        <v>1460</v>
      </c>
      <c r="KI329" t="s">
        <v>222</v>
      </c>
      <c r="KJ329" s="8" t="s">
        <v>1493</v>
      </c>
      <c r="KK329" s="4" t="s">
        <v>220</v>
      </c>
      <c r="KL329">
        <v>1</v>
      </c>
      <c r="MS329" t="s">
        <v>1535</v>
      </c>
      <c r="MT329">
        <v>46.5</v>
      </c>
      <c r="MU329" t="s">
        <v>1480</v>
      </c>
      <c r="MW329" t="s">
        <v>1479</v>
      </c>
      <c r="MX329" t="s">
        <v>1470</v>
      </c>
      <c r="NE329" t="s">
        <v>1576</v>
      </c>
      <c r="NG329" t="s">
        <v>1573</v>
      </c>
      <c r="NS329" s="88"/>
      <c r="NT329" s="2"/>
      <c r="NW329">
        <v>3</v>
      </c>
      <c r="NX329">
        <v>0.22</v>
      </c>
      <c r="NY329" s="2" t="s">
        <v>29</v>
      </c>
      <c r="NZ329">
        <v>0.8</v>
      </c>
      <c r="OA329" s="2" t="s">
        <v>29</v>
      </c>
      <c r="OH329" t="s">
        <v>1492</v>
      </c>
      <c r="OJ329">
        <v>1999</v>
      </c>
      <c r="OO329" t="s">
        <v>1178</v>
      </c>
      <c r="OP329" s="58">
        <v>46104</v>
      </c>
    </row>
    <row r="330" spans="1:406" ht="15.75" thickBot="1">
      <c r="A330" t="s">
        <v>248</v>
      </c>
      <c r="B330" t="s">
        <v>1458</v>
      </c>
      <c r="C330" t="s">
        <v>1183</v>
      </c>
      <c r="D330" s="4" t="s">
        <v>1955</v>
      </c>
      <c r="E330" s="90" t="s">
        <v>1497</v>
      </c>
      <c r="F330" s="90" t="s">
        <v>31</v>
      </c>
      <c r="G330" t="s">
        <v>2</v>
      </c>
      <c r="H330" t="s">
        <v>30</v>
      </c>
      <c r="I330">
        <v>12.133333329999999</v>
      </c>
      <c r="J330">
        <v>8.5333333329999999</v>
      </c>
      <c r="K330" t="s">
        <v>29</v>
      </c>
      <c r="AV330" t="s">
        <v>1499</v>
      </c>
      <c r="AW330">
        <v>46.5</v>
      </c>
      <c r="AX330" t="s">
        <v>29</v>
      </c>
      <c r="AY330">
        <v>1</v>
      </c>
      <c r="AZ330" t="s">
        <v>1498</v>
      </c>
      <c r="BA330">
        <v>1999</v>
      </c>
      <c r="BB330">
        <v>2000</v>
      </c>
      <c r="BD330" t="s">
        <v>238</v>
      </c>
      <c r="BE330" t="s">
        <v>1490</v>
      </c>
      <c r="BF330" t="s">
        <v>236</v>
      </c>
      <c r="BG330" s="3" t="s">
        <v>1243</v>
      </c>
      <c r="BH330" t="s">
        <v>250</v>
      </c>
      <c r="BI330" t="s">
        <v>1475</v>
      </c>
      <c r="BJ330" t="s">
        <v>29</v>
      </c>
      <c r="BK330" t="s">
        <v>29</v>
      </c>
      <c r="BL330" t="s">
        <v>56</v>
      </c>
      <c r="BM330" t="s">
        <v>1470</v>
      </c>
      <c r="BN330" t="s">
        <v>29</v>
      </c>
      <c r="BO330" t="s">
        <v>29</v>
      </c>
      <c r="BP330" t="s">
        <v>29</v>
      </c>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K330" s="9"/>
      <c r="HW330" s="58" t="s">
        <v>1468</v>
      </c>
      <c r="HX330" t="s">
        <v>1475</v>
      </c>
      <c r="HY330" s="14"/>
      <c r="HZ330" t="s">
        <v>1484</v>
      </c>
      <c r="IA330" t="s">
        <v>1483</v>
      </c>
      <c r="IG330" t="s">
        <v>1490</v>
      </c>
      <c r="IH330" t="s">
        <v>1200</v>
      </c>
      <c r="II330" t="s">
        <v>1477</v>
      </c>
      <c r="IJ330" t="s">
        <v>661</v>
      </c>
      <c r="IK330" s="88">
        <v>1999</v>
      </c>
      <c r="IL330" s="89" t="s">
        <v>29</v>
      </c>
      <c r="IM330" s="89" t="s">
        <v>29</v>
      </c>
      <c r="JI330" t="s">
        <v>1494</v>
      </c>
      <c r="JJ330" s="84" t="s">
        <v>15</v>
      </c>
      <c r="JK330" t="s">
        <v>14</v>
      </c>
      <c r="JL330" t="s">
        <v>1495</v>
      </c>
      <c r="JM330" s="4" t="s">
        <v>13</v>
      </c>
      <c r="JN330" t="s">
        <v>1496</v>
      </c>
      <c r="JO330" s="4"/>
      <c r="KH330" t="s">
        <v>1460</v>
      </c>
      <c r="KI330" t="s">
        <v>222</v>
      </c>
      <c r="KJ330" s="8" t="s">
        <v>1493</v>
      </c>
      <c r="KK330" s="4" t="s">
        <v>220</v>
      </c>
      <c r="KL330">
        <v>1</v>
      </c>
      <c r="MS330" t="s">
        <v>1535</v>
      </c>
      <c r="MT330">
        <v>46.5</v>
      </c>
      <c r="MU330" t="s">
        <v>1480</v>
      </c>
      <c r="MW330" t="s">
        <v>1479</v>
      </c>
      <c r="MX330" t="s">
        <v>1470</v>
      </c>
      <c r="NE330" t="s">
        <v>1576</v>
      </c>
      <c r="NG330" t="s">
        <v>1573</v>
      </c>
      <c r="NS330" s="88"/>
      <c r="NT330" s="2"/>
      <c r="NW330">
        <v>3</v>
      </c>
      <c r="NX330">
        <v>0.3</v>
      </c>
      <c r="NY330" s="2" t="s">
        <v>29</v>
      </c>
      <c r="NZ330">
        <v>0.74</v>
      </c>
      <c r="OA330" s="2" t="s">
        <v>29</v>
      </c>
      <c r="OH330" t="s">
        <v>1492</v>
      </c>
      <c r="OJ330">
        <v>1999</v>
      </c>
      <c r="OO330" t="s">
        <v>1178</v>
      </c>
      <c r="OP330" s="58">
        <v>46104</v>
      </c>
    </row>
    <row r="331" spans="1:406" ht="15.75" thickBot="1">
      <c r="A331" t="s">
        <v>248</v>
      </c>
      <c r="B331" t="s">
        <v>1458</v>
      </c>
      <c r="C331" t="s">
        <v>1183</v>
      </c>
      <c r="D331" s="4" t="s">
        <v>1955</v>
      </c>
      <c r="E331" s="90" t="s">
        <v>1497</v>
      </c>
      <c r="F331" s="90" t="s">
        <v>31</v>
      </c>
      <c r="G331" t="s">
        <v>2</v>
      </c>
      <c r="H331" t="s">
        <v>30</v>
      </c>
      <c r="I331">
        <v>12.133333329999999</v>
      </c>
      <c r="J331">
        <v>8.5333333329999999</v>
      </c>
      <c r="K331" t="s">
        <v>29</v>
      </c>
      <c r="AV331" t="s">
        <v>1499</v>
      </c>
      <c r="AW331">
        <v>46.5</v>
      </c>
      <c r="AX331" t="s">
        <v>29</v>
      </c>
      <c r="AY331">
        <v>1</v>
      </c>
      <c r="AZ331" t="s">
        <v>1498</v>
      </c>
      <c r="BA331">
        <v>1999</v>
      </c>
      <c r="BB331">
        <v>2000</v>
      </c>
      <c r="BD331" t="s">
        <v>19</v>
      </c>
      <c r="BE331" t="s">
        <v>1577</v>
      </c>
      <c r="BF331" t="s">
        <v>1578</v>
      </c>
      <c r="BG331" s="3" t="s">
        <v>1243</v>
      </c>
      <c r="BH331" t="s">
        <v>250</v>
      </c>
      <c r="BI331" t="s">
        <v>1470</v>
      </c>
      <c r="BJ331" t="s">
        <v>29</v>
      </c>
      <c r="BK331" t="s">
        <v>29</v>
      </c>
      <c r="BL331" t="s">
        <v>29</v>
      </c>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K331" s="9"/>
      <c r="HW331" s="58"/>
      <c r="HY331" s="12"/>
      <c r="HZ331" s="4"/>
      <c r="IG331" t="s">
        <v>1577</v>
      </c>
      <c r="IH331" t="s">
        <v>19</v>
      </c>
      <c r="IK331" s="88"/>
      <c r="IL331" s="88"/>
      <c r="IM331" s="87"/>
      <c r="JI331" t="s">
        <v>1494</v>
      </c>
      <c r="JJ331" s="84" t="s">
        <v>15</v>
      </c>
      <c r="JK331" t="s">
        <v>14</v>
      </c>
      <c r="JL331" t="s">
        <v>1495</v>
      </c>
      <c r="JM331" s="4" t="s">
        <v>13</v>
      </c>
      <c r="JN331" t="s">
        <v>1496</v>
      </c>
      <c r="JO331" s="4"/>
      <c r="KH331" t="s">
        <v>1460</v>
      </c>
      <c r="KI331" t="s">
        <v>222</v>
      </c>
      <c r="KJ331" s="8" t="s">
        <v>1493</v>
      </c>
      <c r="KK331" s="4" t="s">
        <v>220</v>
      </c>
      <c r="KL331">
        <v>1</v>
      </c>
      <c r="MS331" t="s">
        <v>1535</v>
      </c>
      <c r="MT331">
        <v>27</v>
      </c>
      <c r="MU331" t="s">
        <v>1579</v>
      </c>
      <c r="MX331" t="s">
        <v>1470</v>
      </c>
      <c r="NE331" t="s">
        <v>1576</v>
      </c>
      <c r="NG331" t="s">
        <v>1573</v>
      </c>
      <c r="NP331" t="s">
        <v>1571</v>
      </c>
      <c r="NS331" s="88"/>
      <c r="NT331" s="2"/>
      <c r="NW331">
        <v>3</v>
      </c>
      <c r="NY331" s="2"/>
      <c r="OA331" s="2"/>
      <c r="OH331" t="s">
        <v>1492</v>
      </c>
      <c r="OJ331">
        <v>2000</v>
      </c>
      <c r="OO331" t="s">
        <v>1178</v>
      </c>
      <c r="OP331" s="58">
        <v>46104</v>
      </c>
    </row>
    <row r="332" spans="1:406" ht="15.75" thickBot="1">
      <c r="A332" t="s">
        <v>248</v>
      </c>
      <c r="B332" t="s">
        <v>1458</v>
      </c>
      <c r="C332" t="s">
        <v>1183</v>
      </c>
      <c r="D332" s="4" t="s">
        <v>1955</v>
      </c>
      <c r="E332" s="90" t="s">
        <v>1497</v>
      </c>
      <c r="F332" s="90" t="s">
        <v>31</v>
      </c>
      <c r="G332" t="s">
        <v>2</v>
      </c>
      <c r="H332" t="s">
        <v>30</v>
      </c>
      <c r="I332">
        <v>12.133333329999999</v>
      </c>
      <c r="J332">
        <v>8.5333333329999999</v>
      </c>
      <c r="K332" t="s">
        <v>29</v>
      </c>
      <c r="AV332" t="s">
        <v>1499</v>
      </c>
      <c r="AW332">
        <v>27</v>
      </c>
      <c r="AX332" t="s">
        <v>29</v>
      </c>
      <c r="AY332">
        <v>1</v>
      </c>
      <c r="AZ332" t="s">
        <v>1498</v>
      </c>
      <c r="BA332">
        <v>1999</v>
      </c>
      <c r="BB332">
        <v>2000</v>
      </c>
      <c r="BD332" t="s">
        <v>19</v>
      </c>
      <c r="BE332" t="s">
        <v>1459</v>
      </c>
      <c r="BF332" t="s">
        <v>39</v>
      </c>
      <c r="BG332" s="3" t="s">
        <v>1243</v>
      </c>
      <c r="BH332" t="s">
        <v>250</v>
      </c>
      <c r="BI332" t="s">
        <v>1476</v>
      </c>
      <c r="BJ332" t="s">
        <v>29</v>
      </c>
      <c r="BK332" t="s">
        <v>29</v>
      </c>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K332" s="9"/>
      <c r="HW332" s="58" t="s">
        <v>1459</v>
      </c>
      <c r="HX332" t="s">
        <v>1476</v>
      </c>
      <c r="HY332" s="12"/>
      <c r="HZ332" s="4" t="s">
        <v>1481</v>
      </c>
      <c r="IA332" t="s">
        <v>1482</v>
      </c>
      <c r="IG332" t="s">
        <v>1459</v>
      </c>
      <c r="IH332" t="s">
        <v>19</v>
      </c>
      <c r="JI332" t="s">
        <v>1494</v>
      </c>
      <c r="JJ332" s="84" t="s">
        <v>15</v>
      </c>
      <c r="JK332" t="s">
        <v>14</v>
      </c>
      <c r="JL332" t="s">
        <v>1495</v>
      </c>
      <c r="JM332" s="4" t="s">
        <v>13</v>
      </c>
      <c r="JN332" t="s">
        <v>1496</v>
      </c>
      <c r="JO332" s="4"/>
      <c r="KH332" t="s">
        <v>1460</v>
      </c>
      <c r="KI332" t="s">
        <v>222</v>
      </c>
      <c r="KJ332" s="8" t="s">
        <v>1493</v>
      </c>
      <c r="KK332" s="4" t="s">
        <v>220</v>
      </c>
      <c r="KL332">
        <v>1</v>
      </c>
      <c r="MS332" t="s">
        <v>1535</v>
      </c>
      <c r="MT332">
        <v>27</v>
      </c>
      <c r="MU332" t="s">
        <v>1480</v>
      </c>
      <c r="MW332" t="s">
        <v>1479</v>
      </c>
      <c r="NE332" t="s">
        <v>1576</v>
      </c>
      <c r="NG332" t="s">
        <v>1573</v>
      </c>
      <c r="NP332" t="s">
        <v>64</v>
      </c>
      <c r="NS332" s="88"/>
      <c r="NT332" s="2"/>
      <c r="NW332">
        <v>3</v>
      </c>
      <c r="OH332" t="s">
        <v>1491</v>
      </c>
      <c r="OJ332">
        <v>2000</v>
      </c>
      <c r="OO332" t="s">
        <v>1178</v>
      </c>
      <c r="OP332" s="58">
        <v>46104</v>
      </c>
    </row>
    <row r="333" spans="1:406" ht="15.75" thickBot="1">
      <c r="A333" t="s">
        <v>248</v>
      </c>
      <c r="B333" t="s">
        <v>1458</v>
      </c>
      <c r="C333" t="s">
        <v>1183</v>
      </c>
      <c r="D333" s="4" t="s">
        <v>1955</v>
      </c>
      <c r="E333" s="90" t="s">
        <v>1497</v>
      </c>
      <c r="F333" s="90" t="s">
        <v>31</v>
      </c>
      <c r="G333" t="s">
        <v>2</v>
      </c>
      <c r="H333" t="s">
        <v>30</v>
      </c>
      <c r="I333">
        <v>12.133333329999999</v>
      </c>
      <c r="J333">
        <v>8.5333333329999999</v>
      </c>
      <c r="K333" t="s">
        <v>29</v>
      </c>
      <c r="AV333" t="s">
        <v>1499</v>
      </c>
      <c r="AW333">
        <v>27</v>
      </c>
      <c r="AX333" t="s">
        <v>29</v>
      </c>
      <c r="AY333">
        <v>1</v>
      </c>
      <c r="AZ333" t="s">
        <v>1498</v>
      </c>
      <c r="BA333">
        <v>1999</v>
      </c>
      <c r="BB333">
        <v>2000</v>
      </c>
      <c r="BD333" t="s">
        <v>19</v>
      </c>
      <c r="BE333" t="s">
        <v>1463</v>
      </c>
      <c r="BF333" t="s">
        <v>24</v>
      </c>
      <c r="BG333" s="3" t="s">
        <v>1243</v>
      </c>
      <c r="BH333" t="s">
        <v>250</v>
      </c>
      <c r="BI333" t="s">
        <v>1471</v>
      </c>
      <c r="BJ333" t="s">
        <v>29</v>
      </c>
      <c r="BK333" t="s">
        <v>29</v>
      </c>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K333" s="9"/>
      <c r="HW333" s="58" t="s">
        <v>1463</v>
      </c>
      <c r="HX333" t="s">
        <v>1471</v>
      </c>
      <c r="HY333" s="12"/>
      <c r="HZ333" t="s">
        <v>1484</v>
      </c>
      <c r="IA333" t="s">
        <v>1483</v>
      </c>
      <c r="IG333" t="s">
        <v>1463</v>
      </c>
      <c r="IH333" t="s">
        <v>19</v>
      </c>
      <c r="JI333" t="s">
        <v>1494</v>
      </c>
      <c r="JJ333" s="84" t="s">
        <v>15</v>
      </c>
      <c r="JK333" t="s">
        <v>14</v>
      </c>
      <c r="JL333" t="s">
        <v>1495</v>
      </c>
      <c r="JM333" s="4" t="s">
        <v>13</v>
      </c>
      <c r="JN333" t="s">
        <v>1496</v>
      </c>
      <c r="JO333" s="4"/>
      <c r="KH333" t="s">
        <v>1460</v>
      </c>
      <c r="KI333" t="s">
        <v>222</v>
      </c>
      <c r="KJ333" s="8" t="s">
        <v>1493</v>
      </c>
      <c r="KK333" s="4" t="s">
        <v>220</v>
      </c>
      <c r="KL333">
        <v>1</v>
      </c>
      <c r="MS333" t="s">
        <v>1535</v>
      </c>
      <c r="MT333">
        <v>27</v>
      </c>
      <c r="MU333" t="s">
        <v>1480</v>
      </c>
      <c r="MW333" t="s">
        <v>1479</v>
      </c>
      <c r="NE333" t="s">
        <v>1576</v>
      </c>
      <c r="NG333" t="s">
        <v>1573</v>
      </c>
      <c r="NP333" t="s">
        <v>57</v>
      </c>
      <c r="NS333" s="88"/>
      <c r="NT333" s="2"/>
      <c r="NW333">
        <v>3</v>
      </c>
      <c r="NY333" s="2"/>
      <c r="OA333" s="2"/>
      <c r="OH333" t="s">
        <v>1491</v>
      </c>
      <c r="OJ333">
        <v>2000</v>
      </c>
      <c r="OO333" t="s">
        <v>1178</v>
      </c>
      <c r="OP333" s="58">
        <v>46104</v>
      </c>
    </row>
    <row r="334" spans="1:406" ht="15.75" thickBot="1">
      <c r="A334" t="s">
        <v>248</v>
      </c>
      <c r="B334" t="s">
        <v>1458</v>
      </c>
      <c r="C334" t="s">
        <v>1183</v>
      </c>
      <c r="D334" s="4" t="s">
        <v>1955</v>
      </c>
      <c r="E334" s="90" t="s">
        <v>1497</v>
      </c>
      <c r="F334" s="90" t="s">
        <v>31</v>
      </c>
      <c r="G334" t="s">
        <v>2</v>
      </c>
      <c r="H334" t="s">
        <v>30</v>
      </c>
      <c r="I334">
        <v>12.133333329999999</v>
      </c>
      <c r="J334">
        <v>8.5333333329999999</v>
      </c>
      <c r="K334" t="s">
        <v>29</v>
      </c>
      <c r="AV334" t="s">
        <v>1499</v>
      </c>
      <c r="AW334">
        <v>27</v>
      </c>
      <c r="AX334" t="s">
        <v>29</v>
      </c>
      <c r="AY334">
        <v>1</v>
      </c>
      <c r="AZ334" t="s">
        <v>1498</v>
      </c>
      <c r="BA334">
        <v>1999</v>
      </c>
      <c r="BB334">
        <v>2000</v>
      </c>
      <c r="BD334" t="s">
        <v>19</v>
      </c>
      <c r="BE334" t="s">
        <v>1464</v>
      </c>
      <c r="BF334" t="s">
        <v>299</v>
      </c>
      <c r="BG334" s="3" t="s">
        <v>1243</v>
      </c>
      <c r="BH334" t="s">
        <v>250</v>
      </c>
      <c r="BI334" t="s">
        <v>1472</v>
      </c>
      <c r="BJ334" t="s">
        <v>29</v>
      </c>
      <c r="BK334" t="s">
        <v>29</v>
      </c>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K334" s="9"/>
      <c r="HW334" s="58" t="s">
        <v>1464</v>
      </c>
      <c r="HX334" t="s">
        <v>1472</v>
      </c>
      <c r="HY334" s="12"/>
      <c r="HZ334" t="s">
        <v>1484</v>
      </c>
      <c r="IA334" t="s">
        <v>1483</v>
      </c>
      <c r="IG334" t="s">
        <v>1464</v>
      </c>
      <c r="IH334" t="s">
        <v>19</v>
      </c>
      <c r="JI334" t="s">
        <v>1494</v>
      </c>
      <c r="JJ334" s="84" t="s">
        <v>15</v>
      </c>
      <c r="JK334" t="s">
        <v>14</v>
      </c>
      <c r="JL334" t="s">
        <v>1495</v>
      </c>
      <c r="JM334" s="4" t="s">
        <v>13</v>
      </c>
      <c r="JN334" t="s">
        <v>1496</v>
      </c>
      <c r="JO334" s="4"/>
      <c r="KH334" t="s">
        <v>1460</v>
      </c>
      <c r="KI334" t="s">
        <v>222</v>
      </c>
      <c r="KJ334" s="8" t="s">
        <v>1493</v>
      </c>
      <c r="KK334" s="4" t="s">
        <v>220</v>
      </c>
      <c r="KL334">
        <v>1</v>
      </c>
      <c r="MS334" t="s">
        <v>1535</v>
      </c>
      <c r="MT334">
        <v>27</v>
      </c>
      <c r="MU334" t="s">
        <v>1480</v>
      </c>
      <c r="MW334" t="s">
        <v>1479</v>
      </c>
      <c r="NE334" t="s">
        <v>1576</v>
      </c>
      <c r="NG334" t="s">
        <v>1573</v>
      </c>
      <c r="NP334" t="s">
        <v>48</v>
      </c>
      <c r="NS334" s="88"/>
      <c r="NT334" s="2"/>
      <c r="NW334">
        <v>3</v>
      </c>
      <c r="NY334" s="2"/>
      <c r="OA334" s="2"/>
      <c r="OH334" t="s">
        <v>1491</v>
      </c>
      <c r="OJ334">
        <v>2000</v>
      </c>
      <c r="OO334" t="s">
        <v>1178</v>
      </c>
      <c r="OP334" s="58">
        <v>46104</v>
      </c>
    </row>
    <row r="335" spans="1:406" ht="15.75" thickBot="1">
      <c r="A335" t="s">
        <v>248</v>
      </c>
      <c r="B335" t="s">
        <v>1458</v>
      </c>
      <c r="C335" t="s">
        <v>1183</v>
      </c>
      <c r="D335" s="4" t="s">
        <v>1955</v>
      </c>
      <c r="E335" s="90" t="s">
        <v>1497</v>
      </c>
      <c r="F335" s="90" t="s">
        <v>31</v>
      </c>
      <c r="G335" t="s">
        <v>2</v>
      </c>
      <c r="H335" t="s">
        <v>30</v>
      </c>
      <c r="I335">
        <v>12.133333329999999</v>
      </c>
      <c r="J335">
        <v>8.5333333329999999</v>
      </c>
      <c r="K335" t="s">
        <v>29</v>
      </c>
      <c r="AV335" t="s">
        <v>1499</v>
      </c>
      <c r="AW335">
        <v>27</v>
      </c>
      <c r="AX335" t="s">
        <v>29</v>
      </c>
      <c r="AY335">
        <v>1</v>
      </c>
      <c r="AZ335" t="s">
        <v>1498</v>
      </c>
      <c r="BA335">
        <v>1999</v>
      </c>
      <c r="BB335">
        <v>2000</v>
      </c>
      <c r="BD335" t="s">
        <v>19</v>
      </c>
      <c r="BE335" t="s">
        <v>1465</v>
      </c>
      <c r="BF335" t="s">
        <v>256</v>
      </c>
      <c r="BG335" s="3" t="s">
        <v>1243</v>
      </c>
      <c r="BH335" t="s">
        <v>250</v>
      </c>
      <c r="BI335" t="s">
        <v>1473</v>
      </c>
      <c r="BJ335" t="s">
        <v>29</v>
      </c>
      <c r="BK335" t="s">
        <v>29</v>
      </c>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K335" s="9"/>
      <c r="HW335" s="58" t="s">
        <v>1465</v>
      </c>
      <c r="HX335" t="s">
        <v>1473</v>
      </c>
      <c r="HY335" s="12"/>
      <c r="HZ335" t="s">
        <v>1484</v>
      </c>
      <c r="IA335" t="s">
        <v>1483</v>
      </c>
      <c r="IG335" t="s">
        <v>1465</v>
      </c>
      <c r="IH335" t="s">
        <v>19</v>
      </c>
      <c r="JI335" t="s">
        <v>1494</v>
      </c>
      <c r="JJ335" s="84" t="s">
        <v>15</v>
      </c>
      <c r="JK335" t="s">
        <v>14</v>
      </c>
      <c r="JL335" t="s">
        <v>1495</v>
      </c>
      <c r="JM335" s="4" t="s">
        <v>13</v>
      </c>
      <c r="JN335" t="s">
        <v>1496</v>
      </c>
      <c r="JO335" s="4"/>
      <c r="KH335" t="s">
        <v>1460</v>
      </c>
      <c r="KI335" t="s">
        <v>222</v>
      </c>
      <c r="KJ335" s="8" t="s">
        <v>1493</v>
      </c>
      <c r="KK335" s="4" t="s">
        <v>220</v>
      </c>
      <c r="KL335">
        <v>1</v>
      </c>
      <c r="MS335" t="s">
        <v>1535</v>
      </c>
      <c r="MT335">
        <v>27</v>
      </c>
      <c r="MU335" t="s">
        <v>1480</v>
      </c>
      <c r="MW335" t="s">
        <v>1479</v>
      </c>
      <c r="NE335" t="s">
        <v>1576</v>
      </c>
      <c r="NG335" t="s">
        <v>1573</v>
      </c>
      <c r="NP335" t="s">
        <v>43</v>
      </c>
      <c r="NS335" s="88"/>
      <c r="NT335" s="2"/>
      <c r="NW335">
        <v>3</v>
      </c>
      <c r="NY335" s="2"/>
      <c r="OA335" s="2"/>
      <c r="OH335" t="s">
        <v>1491</v>
      </c>
      <c r="OJ335">
        <v>2000</v>
      </c>
      <c r="OO335" t="s">
        <v>1178</v>
      </c>
      <c r="OP335" s="58">
        <v>46104</v>
      </c>
    </row>
    <row r="336" spans="1:406" ht="15.75" thickBot="1">
      <c r="A336" t="s">
        <v>248</v>
      </c>
      <c r="B336" t="s">
        <v>1458</v>
      </c>
      <c r="C336" t="s">
        <v>1183</v>
      </c>
      <c r="D336" s="4" t="s">
        <v>1955</v>
      </c>
      <c r="E336" s="90" t="s">
        <v>1497</v>
      </c>
      <c r="F336" s="90" t="s">
        <v>31</v>
      </c>
      <c r="G336" t="s">
        <v>2</v>
      </c>
      <c r="H336" t="s">
        <v>30</v>
      </c>
      <c r="I336">
        <v>12.133333329999999</v>
      </c>
      <c r="J336">
        <v>8.5333333329999999</v>
      </c>
      <c r="K336" t="s">
        <v>29</v>
      </c>
      <c r="AV336" t="s">
        <v>1499</v>
      </c>
      <c r="AW336">
        <v>27</v>
      </c>
      <c r="AX336" t="s">
        <v>29</v>
      </c>
      <c r="AY336">
        <v>1</v>
      </c>
      <c r="AZ336" t="s">
        <v>1498</v>
      </c>
      <c r="BA336">
        <v>1999</v>
      </c>
      <c r="BB336">
        <v>2000</v>
      </c>
      <c r="BD336" t="s">
        <v>19</v>
      </c>
      <c r="BE336" t="s">
        <v>1466</v>
      </c>
      <c r="BF336" t="s">
        <v>1467</v>
      </c>
      <c r="BG336" s="3" t="s">
        <v>1243</v>
      </c>
      <c r="BH336" t="s">
        <v>250</v>
      </c>
      <c r="BI336" t="s">
        <v>1474</v>
      </c>
      <c r="BJ336" t="s">
        <v>29</v>
      </c>
      <c r="BK336" t="s">
        <v>29</v>
      </c>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K336" s="9"/>
      <c r="HW336" s="58" t="s">
        <v>1466</v>
      </c>
      <c r="HX336" t="s">
        <v>1474</v>
      </c>
      <c r="HY336" s="12"/>
      <c r="HZ336" t="s">
        <v>1484</v>
      </c>
      <c r="IA336" t="s">
        <v>1483</v>
      </c>
      <c r="IG336" t="s">
        <v>1466</v>
      </c>
      <c r="IH336" t="s">
        <v>19</v>
      </c>
      <c r="JI336" t="s">
        <v>1494</v>
      </c>
      <c r="JJ336" s="84" t="s">
        <v>15</v>
      </c>
      <c r="JK336" t="s">
        <v>14</v>
      </c>
      <c r="JL336" t="s">
        <v>1495</v>
      </c>
      <c r="JM336" s="4" t="s">
        <v>13</v>
      </c>
      <c r="JN336" t="s">
        <v>1496</v>
      </c>
      <c r="JO336" s="4"/>
      <c r="KH336" t="s">
        <v>1460</v>
      </c>
      <c r="KI336" t="s">
        <v>222</v>
      </c>
      <c r="KJ336" s="8" t="s">
        <v>1493</v>
      </c>
      <c r="KK336" s="4" t="s">
        <v>220</v>
      </c>
      <c r="KL336">
        <v>1</v>
      </c>
      <c r="MS336" t="s">
        <v>1535</v>
      </c>
      <c r="MT336">
        <v>27</v>
      </c>
      <c r="MU336" t="s">
        <v>1480</v>
      </c>
      <c r="MW336" t="s">
        <v>1479</v>
      </c>
      <c r="NE336" t="s">
        <v>1576</v>
      </c>
      <c r="NG336" t="s">
        <v>1573</v>
      </c>
      <c r="NP336" t="s">
        <v>252</v>
      </c>
      <c r="NS336" s="88"/>
      <c r="NT336" s="2"/>
      <c r="NW336">
        <v>3</v>
      </c>
      <c r="NY336" s="2"/>
      <c r="OA336" s="2"/>
      <c r="OH336" t="s">
        <v>1491</v>
      </c>
      <c r="OJ336">
        <v>2000</v>
      </c>
      <c r="OO336" t="s">
        <v>1178</v>
      </c>
      <c r="OP336" s="58">
        <v>46104</v>
      </c>
    </row>
    <row r="337" spans="1:406" ht="15.75" thickBot="1">
      <c r="A337" t="s">
        <v>248</v>
      </c>
      <c r="B337" t="s">
        <v>1458</v>
      </c>
      <c r="C337" t="s">
        <v>1183</v>
      </c>
      <c r="D337" s="4" t="s">
        <v>1955</v>
      </c>
      <c r="E337" s="90" t="s">
        <v>1497</v>
      </c>
      <c r="F337" s="90" t="s">
        <v>31</v>
      </c>
      <c r="G337" t="s">
        <v>2</v>
      </c>
      <c r="H337" t="s">
        <v>30</v>
      </c>
      <c r="I337">
        <v>12.133333329999999</v>
      </c>
      <c r="J337">
        <v>8.5333333329999999</v>
      </c>
      <c r="K337" t="s">
        <v>29</v>
      </c>
      <c r="AV337" t="s">
        <v>1499</v>
      </c>
      <c r="AW337">
        <v>27</v>
      </c>
      <c r="AX337" t="s">
        <v>29</v>
      </c>
      <c r="AY337">
        <v>1</v>
      </c>
      <c r="AZ337" t="s">
        <v>1498</v>
      </c>
      <c r="BA337">
        <v>1999</v>
      </c>
      <c r="BB337">
        <v>2000</v>
      </c>
      <c r="BD337" t="s">
        <v>19</v>
      </c>
      <c r="BE337" t="s">
        <v>1468</v>
      </c>
      <c r="BF337" t="s">
        <v>1469</v>
      </c>
      <c r="BG337" s="3" t="s">
        <v>1243</v>
      </c>
      <c r="BH337" t="s">
        <v>250</v>
      </c>
      <c r="BI337" t="s">
        <v>1475</v>
      </c>
      <c r="BJ337" t="s">
        <v>29</v>
      </c>
      <c r="BK337" t="s">
        <v>29</v>
      </c>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K337" s="9"/>
      <c r="HW337" s="58" t="s">
        <v>1468</v>
      </c>
      <c r="HX337" t="s">
        <v>1475</v>
      </c>
      <c r="HY337" s="12"/>
      <c r="HZ337" t="s">
        <v>1484</v>
      </c>
      <c r="IA337" t="s">
        <v>1483</v>
      </c>
      <c r="IG337" t="s">
        <v>1468</v>
      </c>
      <c r="IH337" t="s">
        <v>19</v>
      </c>
      <c r="JI337" t="s">
        <v>1494</v>
      </c>
      <c r="JJ337" s="84" t="s">
        <v>15</v>
      </c>
      <c r="JK337" t="s">
        <v>14</v>
      </c>
      <c r="JL337" t="s">
        <v>1495</v>
      </c>
      <c r="JM337" s="4" t="s">
        <v>13</v>
      </c>
      <c r="JN337" t="s">
        <v>1496</v>
      </c>
      <c r="JO337" s="4"/>
      <c r="KH337" t="s">
        <v>1460</v>
      </c>
      <c r="KI337" t="s">
        <v>222</v>
      </c>
      <c r="KJ337" s="8" t="s">
        <v>1493</v>
      </c>
      <c r="KK337" s="4" t="s">
        <v>220</v>
      </c>
      <c r="KL337">
        <v>1</v>
      </c>
      <c r="MS337" t="s">
        <v>1535</v>
      </c>
      <c r="MT337">
        <v>27</v>
      </c>
      <c r="MU337" t="s">
        <v>1480</v>
      </c>
      <c r="MW337" t="s">
        <v>1479</v>
      </c>
      <c r="NE337" t="s">
        <v>1576</v>
      </c>
      <c r="NG337" t="s">
        <v>1573</v>
      </c>
      <c r="NP337" t="s">
        <v>236</v>
      </c>
      <c r="NS337" s="88"/>
      <c r="NT337" s="2"/>
      <c r="NW337">
        <v>3</v>
      </c>
      <c r="NY337" s="2"/>
      <c r="OA337" s="2"/>
      <c r="OH337" t="s">
        <v>1491</v>
      </c>
      <c r="OJ337">
        <v>2000</v>
      </c>
      <c r="OO337" t="s">
        <v>1178</v>
      </c>
      <c r="OP337" s="58">
        <v>46104</v>
      </c>
    </row>
    <row r="338" spans="1:406" ht="15.75" thickBot="1">
      <c r="A338" t="s">
        <v>248</v>
      </c>
      <c r="B338" t="s">
        <v>1458</v>
      </c>
      <c r="C338" t="s">
        <v>1183</v>
      </c>
      <c r="D338" s="4" t="s">
        <v>1955</v>
      </c>
      <c r="E338" s="90" t="s">
        <v>1497</v>
      </c>
      <c r="F338" s="90" t="s">
        <v>31</v>
      </c>
      <c r="G338" t="s">
        <v>2</v>
      </c>
      <c r="H338" t="s">
        <v>30</v>
      </c>
      <c r="I338">
        <v>12.133333329999999</v>
      </c>
      <c r="J338">
        <v>8.5333333329999999</v>
      </c>
      <c r="K338" t="s">
        <v>29</v>
      </c>
      <c r="AV338" t="s">
        <v>1499</v>
      </c>
      <c r="AW338">
        <v>46.5</v>
      </c>
      <c r="AX338" t="s">
        <v>29</v>
      </c>
      <c r="AY338">
        <v>1</v>
      </c>
      <c r="AZ338" t="s">
        <v>1498</v>
      </c>
      <c r="BA338">
        <v>1999</v>
      </c>
      <c r="BB338">
        <v>2000</v>
      </c>
      <c r="BD338" t="s">
        <v>238</v>
      </c>
      <c r="BE338" t="s">
        <v>1485</v>
      </c>
      <c r="BF338" t="s">
        <v>64</v>
      </c>
      <c r="BG338" s="3" t="s">
        <v>1243</v>
      </c>
      <c r="BH338" t="s">
        <v>250</v>
      </c>
      <c r="BI338" t="s">
        <v>1476</v>
      </c>
      <c r="BJ338" t="s">
        <v>29</v>
      </c>
      <c r="BK338" t="s">
        <v>29</v>
      </c>
      <c r="BL338" t="s">
        <v>56</v>
      </c>
      <c r="BM338" t="s">
        <v>1470</v>
      </c>
      <c r="BN338" t="s">
        <v>29</v>
      </c>
      <c r="BO338" t="s">
        <v>29</v>
      </c>
      <c r="BP338" t="s">
        <v>29</v>
      </c>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K338" s="9"/>
      <c r="HW338" s="58" t="s">
        <v>1459</v>
      </c>
      <c r="HX338" t="s">
        <v>1476</v>
      </c>
      <c r="HY338" s="12"/>
      <c r="HZ338" s="4" t="s">
        <v>1481</v>
      </c>
      <c r="IA338" t="s">
        <v>1482</v>
      </c>
      <c r="IG338" t="s">
        <v>1485</v>
      </c>
      <c r="IH338" t="s">
        <v>1200</v>
      </c>
      <c r="II338" t="s">
        <v>1477</v>
      </c>
      <c r="IJ338" t="s">
        <v>661</v>
      </c>
      <c r="IK338" s="88">
        <v>1999</v>
      </c>
      <c r="IL338" s="88" t="s">
        <v>29</v>
      </c>
      <c r="IM338" s="87" t="s">
        <v>29</v>
      </c>
      <c r="JI338" t="s">
        <v>1494</v>
      </c>
      <c r="JJ338" s="84" t="s">
        <v>15</v>
      </c>
      <c r="JK338" t="s">
        <v>14</v>
      </c>
      <c r="JL338" t="s">
        <v>1495</v>
      </c>
      <c r="JM338" s="4" t="s">
        <v>13</v>
      </c>
      <c r="JN338" t="s">
        <v>1496</v>
      </c>
      <c r="JO338" s="4"/>
      <c r="KH338" t="s">
        <v>1460</v>
      </c>
      <c r="KI338" t="s">
        <v>222</v>
      </c>
      <c r="KJ338" s="8" t="s">
        <v>1493</v>
      </c>
      <c r="KK338" s="4" t="s">
        <v>220</v>
      </c>
      <c r="KL338">
        <v>1</v>
      </c>
      <c r="MS338" t="s">
        <v>1535</v>
      </c>
      <c r="MT338">
        <v>46.5</v>
      </c>
      <c r="MU338" t="s">
        <v>1480</v>
      </c>
      <c r="MW338" t="s">
        <v>1479</v>
      </c>
      <c r="MX338" t="s">
        <v>1470</v>
      </c>
      <c r="NE338" t="s">
        <v>1576</v>
      </c>
      <c r="NG338" t="s">
        <v>1573</v>
      </c>
      <c r="NS338" s="88"/>
      <c r="NT338" s="2"/>
      <c r="NW338">
        <v>3</v>
      </c>
      <c r="NX338">
        <v>0.35</v>
      </c>
      <c r="NY338" s="2" t="s">
        <v>29</v>
      </c>
      <c r="NZ338">
        <v>0.78</v>
      </c>
      <c r="OA338" s="2" t="s">
        <v>29</v>
      </c>
      <c r="OH338" t="s">
        <v>1492</v>
      </c>
      <c r="OJ338">
        <v>2000</v>
      </c>
      <c r="OO338" t="s">
        <v>1178</v>
      </c>
      <c r="OP338" s="58">
        <v>46104</v>
      </c>
    </row>
    <row r="339" spans="1:406" ht="15.75" thickBot="1">
      <c r="A339" t="s">
        <v>248</v>
      </c>
      <c r="B339" t="s">
        <v>1458</v>
      </c>
      <c r="C339" t="s">
        <v>1183</v>
      </c>
      <c r="D339" s="4" t="s">
        <v>1955</v>
      </c>
      <c r="E339" s="90" t="s">
        <v>1497</v>
      </c>
      <c r="F339" s="90" t="s">
        <v>31</v>
      </c>
      <c r="G339" t="s">
        <v>2</v>
      </c>
      <c r="H339" t="s">
        <v>30</v>
      </c>
      <c r="I339">
        <v>12.133333329999999</v>
      </c>
      <c r="J339">
        <v>8.5333333329999999</v>
      </c>
      <c r="K339" t="s">
        <v>29</v>
      </c>
      <c r="AV339" t="s">
        <v>1499</v>
      </c>
      <c r="AW339">
        <v>46.5</v>
      </c>
      <c r="AX339" t="s">
        <v>29</v>
      </c>
      <c r="AY339">
        <v>1</v>
      </c>
      <c r="AZ339" t="s">
        <v>1498</v>
      </c>
      <c r="BA339">
        <v>1999</v>
      </c>
      <c r="BB339">
        <v>2000</v>
      </c>
      <c r="BD339" t="s">
        <v>238</v>
      </c>
      <c r="BE339" t="s">
        <v>1486</v>
      </c>
      <c r="BF339" t="s">
        <v>57</v>
      </c>
      <c r="BG339" s="3" t="s">
        <v>1243</v>
      </c>
      <c r="BH339" t="s">
        <v>250</v>
      </c>
      <c r="BI339" t="s">
        <v>1471</v>
      </c>
      <c r="BJ339" t="s">
        <v>29</v>
      </c>
      <c r="BK339" t="s">
        <v>29</v>
      </c>
      <c r="BL339" t="s">
        <v>56</v>
      </c>
      <c r="BM339" t="s">
        <v>1470</v>
      </c>
      <c r="BN339" t="s">
        <v>29</v>
      </c>
      <c r="BO339" t="s">
        <v>29</v>
      </c>
      <c r="BP339" t="s">
        <v>29</v>
      </c>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K339" s="9"/>
      <c r="HW339" s="58" t="s">
        <v>1463</v>
      </c>
      <c r="HX339" t="s">
        <v>1471</v>
      </c>
      <c r="HY339" s="12"/>
      <c r="HZ339" t="s">
        <v>1484</v>
      </c>
      <c r="IA339" t="s">
        <v>1483</v>
      </c>
      <c r="IG339" t="s">
        <v>1486</v>
      </c>
      <c r="IH339" t="s">
        <v>1200</v>
      </c>
      <c r="II339" t="s">
        <v>1477</v>
      </c>
      <c r="IJ339" t="s">
        <v>661</v>
      </c>
      <c r="IK339" s="88">
        <v>1999</v>
      </c>
      <c r="IL339" s="87" t="s">
        <v>29</v>
      </c>
      <c r="IM339" s="87" t="s">
        <v>29</v>
      </c>
      <c r="JI339" t="s">
        <v>1494</v>
      </c>
      <c r="JJ339" s="84" t="s">
        <v>15</v>
      </c>
      <c r="JK339" t="s">
        <v>14</v>
      </c>
      <c r="JL339" t="s">
        <v>1495</v>
      </c>
      <c r="JM339" s="4" t="s">
        <v>13</v>
      </c>
      <c r="JN339" t="s">
        <v>1496</v>
      </c>
      <c r="JO339" s="4"/>
      <c r="KH339" t="s">
        <v>1460</v>
      </c>
      <c r="KI339" t="s">
        <v>222</v>
      </c>
      <c r="KJ339" s="8" t="s">
        <v>1493</v>
      </c>
      <c r="KK339" s="4" t="s">
        <v>220</v>
      </c>
      <c r="KL339">
        <v>1</v>
      </c>
      <c r="MS339" t="s">
        <v>1535</v>
      </c>
      <c r="MT339">
        <v>46.5</v>
      </c>
      <c r="MU339" t="s">
        <v>1480</v>
      </c>
      <c r="MW339" t="s">
        <v>1479</v>
      </c>
      <c r="MX339" t="s">
        <v>1470</v>
      </c>
      <c r="NE339" t="s">
        <v>1576</v>
      </c>
      <c r="NG339" t="s">
        <v>1573</v>
      </c>
      <c r="NS339" s="88"/>
      <c r="NT339" s="2"/>
      <c r="NW339">
        <v>3</v>
      </c>
      <c r="NX339">
        <v>0.51</v>
      </c>
      <c r="NY339" s="2" t="s">
        <v>29</v>
      </c>
      <c r="NZ339">
        <v>0.75</v>
      </c>
      <c r="OA339" s="2" t="s">
        <v>29</v>
      </c>
      <c r="OH339" t="s">
        <v>1492</v>
      </c>
      <c r="OJ339">
        <v>2000</v>
      </c>
      <c r="OO339" t="s">
        <v>1178</v>
      </c>
      <c r="OP339" s="58">
        <v>46104</v>
      </c>
    </row>
    <row r="340" spans="1:406" ht="15.75" thickBot="1">
      <c r="A340" t="s">
        <v>248</v>
      </c>
      <c r="B340" t="s">
        <v>1458</v>
      </c>
      <c r="C340" t="s">
        <v>1183</v>
      </c>
      <c r="D340" s="4" t="s">
        <v>1955</v>
      </c>
      <c r="E340" s="90" t="s">
        <v>1497</v>
      </c>
      <c r="F340" s="90" t="s">
        <v>31</v>
      </c>
      <c r="G340" t="s">
        <v>2</v>
      </c>
      <c r="H340" t="s">
        <v>30</v>
      </c>
      <c r="I340">
        <v>12.133333329999999</v>
      </c>
      <c r="J340">
        <v>8.5333333329999999</v>
      </c>
      <c r="K340" t="s">
        <v>29</v>
      </c>
      <c r="AV340" t="s">
        <v>1499</v>
      </c>
      <c r="AW340">
        <v>46.5</v>
      </c>
      <c r="AX340" t="s">
        <v>29</v>
      </c>
      <c r="AY340">
        <v>1</v>
      </c>
      <c r="AZ340" t="s">
        <v>1498</v>
      </c>
      <c r="BA340">
        <v>1999</v>
      </c>
      <c r="BB340">
        <v>2000</v>
      </c>
      <c r="BD340" t="s">
        <v>238</v>
      </c>
      <c r="BE340" t="s">
        <v>1487</v>
      </c>
      <c r="BF340" t="s">
        <v>48</v>
      </c>
      <c r="BG340" s="3" t="s">
        <v>1243</v>
      </c>
      <c r="BH340" t="s">
        <v>250</v>
      </c>
      <c r="BI340" t="s">
        <v>1472</v>
      </c>
      <c r="BJ340" t="s">
        <v>29</v>
      </c>
      <c r="BK340" t="s">
        <v>29</v>
      </c>
      <c r="BL340" t="s">
        <v>56</v>
      </c>
      <c r="BM340" t="s">
        <v>1470</v>
      </c>
      <c r="BN340" t="s">
        <v>29</v>
      </c>
      <c r="BO340" t="s">
        <v>29</v>
      </c>
      <c r="BP340" t="s">
        <v>29</v>
      </c>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K340" s="9"/>
      <c r="HW340" s="58" t="s">
        <v>1464</v>
      </c>
      <c r="HX340" t="s">
        <v>1472</v>
      </c>
      <c r="HY340" s="12"/>
      <c r="HZ340" t="s">
        <v>1484</v>
      </c>
      <c r="IA340" t="s">
        <v>1483</v>
      </c>
      <c r="IG340" t="s">
        <v>1487</v>
      </c>
      <c r="IH340" t="s">
        <v>1200</v>
      </c>
      <c r="II340" t="s">
        <v>1477</v>
      </c>
      <c r="IJ340" t="s">
        <v>661</v>
      </c>
      <c r="IK340" s="88">
        <v>1999</v>
      </c>
      <c r="IL340" s="88" t="s">
        <v>29</v>
      </c>
      <c r="IM340" s="87" t="s">
        <v>29</v>
      </c>
      <c r="JI340" t="s">
        <v>1494</v>
      </c>
      <c r="JJ340" s="84" t="s">
        <v>15</v>
      </c>
      <c r="JK340" t="s">
        <v>14</v>
      </c>
      <c r="JL340" t="s">
        <v>1495</v>
      </c>
      <c r="JM340" s="4" t="s">
        <v>13</v>
      </c>
      <c r="JN340" t="s">
        <v>1496</v>
      </c>
      <c r="JO340" s="4"/>
      <c r="KH340" t="s">
        <v>1460</v>
      </c>
      <c r="KI340" t="s">
        <v>222</v>
      </c>
      <c r="KJ340" s="8" t="s">
        <v>1493</v>
      </c>
      <c r="KK340" s="4" t="s">
        <v>220</v>
      </c>
      <c r="KL340">
        <v>1</v>
      </c>
      <c r="MS340" t="s">
        <v>1535</v>
      </c>
      <c r="MT340">
        <v>46.5</v>
      </c>
      <c r="MU340" t="s">
        <v>1480</v>
      </c>
      <c r="MW340" t="s">
        <v>1479</v>
      </c>
      <c r="MX340" t="s">
        <v>1470</v>
      </c>
      <c r="NE340" t="s">
        <v>1576</v>
      </c>
      <c r="NG340" t="s">
        <v>1573</v>
      </c>
      <c r="NS340" s="88"/>
      <c r="NT340" s="2"/>
      <c r="NW340">
        <v>3</v>
      </c>
      <c r="NX340">
        <v>0.4</v>
      </c>
      <c r="NY340" s="2" t="s">
        <v>29</v>
      </c>
      <c r="NZ340">
        <v>0.86</v>
      </c>
      <c r="OA340" s="2" t="s">
        <v>29</v>
      </c>
      <c r="OH340" t="s">
        <v>1492</v>
      </c>
      <c r="OJ340">
        <v>2000</v>
      </c>
      <c r="OO340" t="s">
        <v>1178</v>
      </c>
      <c r="OP340" s="58">
        <v>46104</v>
      </c>
    </row>
    <row r="341" spans="1:406" ht="15.75" thickBot="1">
      <c r="A341" t="s">
        <v>248</v>
      </c>
      <c r="B341" t="s">
        <v>1458</v>
      </c>
      <c r="C341" t="s">
        <v>1183</v>
      </c>
      <c r="D341" s="4" t="s">
        <v>1955</v>
      </c>
      <c r="E341" s="90" t="s">
        <v>1497</v>
      </c>
      <c r="F341" s="90" t="s">
        <v>31</v>
      </c>
      <c r="G341" t="s">
        <v>2</v>
      </c>
      <c r="H341" t="s">
        <v>30</v>
      </c>
      <c r="I341">
        <v>12.133333329999999</v>
      </c>
      <c r="J341">
        <v>8.5333333329999999</v>
      </c>
      <c r="K341" t="s">
        <v>29</v>
      </c>
      <c r="AV341" t="s">
        <v>1499</v>
      </c>
      <c r="AW341">
        <v>46.5</v>
      </c>
      <c r="AX341" t="s">
        <v>29</v>
      </c>
      <c r="AY341">
        <v>1</v>
      </c>
      <c r="AZ341" t="s">
        <v>1498</v>
      </c>
      <c r="BA341">
        <v>1999</v>
      </c>
      <c r="BB341">
        <v>2000</v>
      </c>
      <c r="BD341" t="s">
        <v>238</v>
      </c>
      <c r="BE341" t="s">
        <v>1488</v>
      </c>
      <c r="BF341" t="s">
        <v>43</v>
      </c>
      <c r="BG341" s="3" t="s">
        <v>1243</v>
      </c>
      <c r="BH341" t="s">
        <v>250</v>
      </c>
      <c r="BI341" t="s">
        <v>1473</v>
      </c>
      <c r="BJ341" t="s">
        <v>29</v>
      </c>
      <c r="BK341" t="s">
        <v>29</v>
      </c>
      <c r="BL341" t="s">
        <v>56</v>
      </c>
      <c r="BM341" t="s">
        <v>1470</v>
      </c>
      <c r="BN341" t="s">
        <v>29</v>
      </c>
      <c r="BO341" t="s">
        <v>29</v>
      </c>
      <c r="BP341" t="s">
        <v>29</v>
      </c>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K341" s="9"/>
      <c r="HW341" s="58" t="s">
        <v>1465</v>
      </c>
      <c r="HX341" t="s">
        <v>1473</v>
      </c>
      <c r="HY341" s="12"/>
      <c r="HZ341" t="s">
        <v>1484</v>
      </c>
      <c r="IA341" t="s">
        <v>1483</v>
      </c>
      <c r="IG341" t="s">
        <v>1488</v>
      </c>
      <c r="IH341" t="s">
        <v>1200</v>
      </c>
      <c r="II341" t="s">
        <v>1477</v>
      </c>
      <c r="IJ341" t="s">
        <v>661</v>
      </c>
      <c r="IK341" s="88">
        <v>1999</v>
      </c>
      <c r="IL341" s="87" t="s">
        <v>29</v>
      </c>
      <c r="IM341" s="87" t="s">
        <v>29</v>
      </c>
      <c r="JI341" t="s">
        <v>1494</v>
      </c>
      <c r="JJ341" s="84" t="s">
        <v>15</v>
      </c>
      <c r="JK341" t="s">
        <v>14</v>
      </c>
      <c r="JL341" t="s">
        <v>1495</v>
      </c>
      <c r="JM341" s="4" t="s">
        <v>13</v>
      </c>
      <c r="JN341" t="s">
        <v>1496</v>
      </c>
      <c r="JO341" s="4"/>
      <c r="KH341" t="s">
        <v>1460</v>
      </c>
      <c r="KI341" t="s">
        <v>222</v>
      </c>
      <c r="KJ341" s="8" t="s">
        <v>1493</v>
      </c>
      <c r="KK341" s="4" t="s">
        <v>220</v>
      </c>
      <c r="KL341">
        <v>1</v>
      </c>
      <c r="MS341" t="s">
        <v>1535</v>
      </c>
      <c r="MT341">
        <v>46.5</v>
      </c>
      <c r="MU341" t="s">
        <v>1480</v>
      </c>
      <c r="MW341" t="s">
        <v>1479</v>
      </c>
      <c r="MX341" t="s">
        <v>1470</v>
      </c>
      <c r="NE341" t="s">
        <v>1576</v>
      </c>
      <c r="NG341" t="s">
        <v>1573</v>
      </c>
      <c r="NS341" s="88"/>
      <c r="NT341" s="2"/>
      <c r="NW341">
        <v>3</v>
      </c>
      <c r="NX341">
        <v>0.39</v>
      </c>
      <c r="NY341" s="2" t="s">
        <v>29</v>
      </c>
      <c r="NZ341">
        <v>0.82</v>
      </c>
      <c r="OA341" s="2" t="s">
        <v>29</v>
      </c>
      <c r="OH341" t="s">
        <v>1492</v>
      </c>
      <c r="OJ341">
        <v>2000</v>
      </c>
      <c r="OO341" t="s">
        <v>1178</v>
      </c>
      <c r="OP341" s="58">
        <v>46104</v>
      </c>
    </row>
    <row r="342" spans="1:406" ht="15.75" thickBot="1">
      <c r="A342" t="s">
        <v>248</v>
      </c>
      <c r="B342" t="s">
        <v>1458</v>
      </c>
      <c r="C342" t="s">
        <v>1183</v>
      </c>
      <c r="D342" s="4" t="s">
        <v>1955</v>
      </c>
      <c r="E342" s="90" t="s">
        <v>1497</v>
      </c>
      <c r="F342" s="90" t="s">
        <v>31</v>
      </c>
      <c r="G342" t="s">
        <v>2</v>
      </c>
      <c r="H342" t="s">
        <v>30</v>
      </c>
      <c r="I342">
        <v>12.133333329999999</v>
      </c>
      <c r="J342">
        <v>8.5333333329999999</v>
      </c>
      <c r="K342" t="s">
        <v>29</v>
      </c>
      <c r="AV342" t="s">
        <v>1499</v>
      </c>
      <c r="AW342">
        <v>46.5</v>
      </c>
      <c r="AX342" t="s">
        <v>29</v>
      </c>
      <c r="AY342">
        <v>1</v>
      </c>
      <c r="AZ342" t="s">
        <v>1498</v>
      </c>
      <c r="BA342">
        <v>1999</v>
      </c>
      <c r="BB342">
        <v>2000</v>
      </c>
      <c r="BD342" t="s">
        <v>238</v>
      </c>
      <c r="BE342" t="s">
        <v>1489</v>
      </c>
      <c r="BF342" t="s">
        <v>252</v>
      </c>
      <c r="BG342" s="3" t="s">
        <v>1243</v>
      </c>
      <c r="BH342" t="s">
        <v>250</v>
      </c>
      <c r="BI342" t="s">
        <v>1474</v>
      </c>
      <c r="BJ342" t="s">
        <v>29</v>
      </c>
      <c r="BK342" t="s">
        <v>29</v>
      </c>
      <c r="BL342" t="s">
        <v>56</v>
      </c>
      <c r="BM342" t="s">
        <v>1470</v>
      </c>
      <c r="BN342" t="s">
        <v>29</v>
      </c>
      <c r="BO342" t="s">
        <v>29</v>
      </c>
      <c r="BP342" t="s">
        <v>29</v>
      </c>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K342" s="9"/>
      <c r="HW342" s="58" t="s">
        <v>1466</v>
      </c>
      <c r="HX342" t="s">
        <v>1474</v>
      </c>
      <c r="HY342" s="12"/>
      <c r="HZ342" t="s">
        <v>1484</v>
      </c>
      <c r="IA342" t="s">
        <v>1483</v>
      </c>
      <c r="IG342" t="s">
        <v>1489</v>
      </c>
      <c r="IH342" t="s">
        <v>1200</v>
      </c>
      <c r="II342" t="s">
        <v>1477</v>
      </c>
      <c r="IJ342" t="s">
        <v>661</v>
      </c>
      <c r="IK342" s="88">
        <v>1999</v>
      </c>
      <c r="IL342" s="88" t="s">
        <v>29</v>
      </c>
      <c r="IM342" s="87" t="s">
        <v>29</v>
      </c>
      <c r="JI342" t="s">
        <v>1494</v>
      </c>
      <c r="JJ342" s="84" t="s">
        <v>15</v>
      </c>
      <c r="JK342" t="s">
        <v>14</v>
      </c>
      <c r="JL342" t="s">
        <v>1495</v>
      </c>
      <c r="JM342" s="4" t="s">
        <v>13</v>
      </c>
      <c r="JN342" t="s">
        <v>1496</v>
      </c>
      <c r="JO342" s="4"/>
      <c r="KH342" t="s">
        <v>1460</v>
      </c>
      <c r="KI342" t="s">
        <v>222</v>
      </c>
      <c r="KJ342" s="8" t="s">
        <v>1493</v>
      </c>
      <c r="KK342" s="4" t="s">
        <v>220</v>
      </c>
      <c r="KL342">
        <v>1</v>
      </c>
      <c r="MS342" t="s">
        <v>1535</v>
      </c>
      <c r="MT342">
        <v>46.5</v>
      </c>
      <c r="MU342" t="s">
        <v>1480</v>
      </c>
      <c r="MW342" t="s">
        <v>1479</v>
      </c>
      <c r="MX342" t="s">
        <v>1470</v>
      </c>
      <c r="NE342" t="s">
        <v>1576</v>
      </c>
      <c r="NG342" t="s">
        <v>1573</v>
      </c>
      <c r="NS342" s="88"/>
      <c r="NT342" s="2"/>
      <c r="NW342">
        <v>3</v>
      </c>
      <c r="NX342">
        <v>0.26</v>
      </c>
      <c r="NY342" s="2" t="s">
        <v>29</v>
      </c>
      <c r="NZ342">
        <v>0.82</v>
      </c>
      <c r="OA342" s="2" t="s">
        <v>29</v>
      </c>
      <c r="OH342" t="s">
        <v>1492</v>
      </c>
      <c r="OJ342">
        <v>2000</v>
      </c>
      <c r="OO342" t="s">
        <v>1178</v>
      </c>
      <c r="OP342" s="58">
        <v>46104</v>
      </c>
    </row>
    <row r="343" spans="1:406" ht="15.75" thickBot="1">
      <c r="A343" t="s">
        <v>248</v>
      </c>
      <c r="B343" t="s">
        <v>1458</v>
      </c>
      <c r="C343" t="s">
        <v>1183</v>
      </c>
      <c r="D343" s="4" t="s">
        <v>1955</v>
      </c>
      <c r="E343" s="90" t="s">
        <v>1497</v>
      </c>
      <c r="F343" s="90" t="s">
        <v>31</v>
      </c>
      <c r="G343" t="s">
        <v>2</v>
      </c>
      <c r="H343" t="s">
        <v>30</v>
      </c>
      <c r="I343">
        <v>12.133333329999999</v>
      </c>
      <c r="J343">
        <v>8.5333333329999999</v>
      </c>
      <c r="K343" t="s">
        <v>29</v>
      </c>
      <c r="AV343" t="s">
        <v>1499</v>
      </c>
      <c r="AW343">
        <v>46.5</v>
      </c>
      <c r="AX343" t="s">
        <v>29</v>
      </c>
      <c r="AY343">
        <v>1</v>
      </c>
      <c r="AZ343" t="s">
        <v>1498</v>
      </c>
      <c r="BA343">
        <v>1999</v>
      </c>
      <c r="BB343">
        <v>2000</v>
      </c>
      <c r="BD343" t="s">
        <v>238</v>
      </c>
      <c r="BE343" t="s">
        <v>1490</v>
      </c>
      <c r="BF343" t="s">
        <v>236</v>
      </c>
      <c r="BG343" s="3" t="s">
        <v>1243</v>
      </c>
      <c r="BH343" t="s">
        <v>250</v>
      </c>
      <c r="BI343" t="s">
        <v>1475</v>
      </c>
      <c r="BJ343" t="s">
        <v>29</v>
      </c>
      <c r="BK343" t="s">
        <v>29</v>
      </c>
      <c r="BL343" t="s">
        <v>56</v>
      </c>
      <c r="BM343" t="s">
        <v>1470</v>
      </c>
      <c r="BN343" t="s">
        <v>29</v>
      </c>
      <c r="BO343" t="s">
        <v>29</v>
      </c>
      <c r="BP343" t="s">
        <v>29</v>
      </c>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K343" s="9"/>
      <c r="HW343" s="58" t="s">
        <v>1468</v>
      </c>
      <c r="HX343" t="s">
        <v>1475</v>
      </c>
      <c r="HY343" s="14"/>
      <c r="HZ343" t="s">
        <v>1484</v>
      </c>
      <c r="IA343" t="s">
        <v>1483</v>
      </c>
      <c r="IG343" t="s">
        <v>1490</v>
      </c>
      <c r="IH343" t="s">
        <v>1200</v>
      </c>
      <c r="II343" t="s">
        <v>1477</v>
      </c>
      <c r="IJ343" t="s">
        <v>661</v>
      </c>
      <c r="IK343" s="2">
        <v>1999</v>
      </c>
      <c r="IL343" s="89" t="s">
        <v>29</v>
      </c>
      <c r="IM343" s="89" t="s">
        <v>29</v>
      </c>
      <c r="JI343" t="s">
        <v>1494</v>
      </c>
      <c r="JJ343" s="84" t="s">
        <v>15</v>
      </c>
      <c r="JK343" t="s">
        <v>14</v>
      </c>
      <c r="JL343" t="s">
        <v>1495</v>
      </c>
      <c r="JM343" s="4" t="s">
        <v>13</v>
      </c>
      <c r="JN343" t="s">
        <v>1496</v>
      </c>
      <c r="JO343" s="4"/>
      <c r="KH343" t="s">
        <v>1460</v>
      </c>
      <c r="KI343" t="s">
        <v>222</v>
      </c>
      <c r="KJ343" s="8" t="s">
        <v>1493</v>
      </c>
      <c r="KK343" s="4" t="s">
        <v>220</v>
      </c>
      <c r="KL343">
        <v>1</v>
      </c>
      <c r="MS343" t="s">
        <v>1535</v>
      </c>
      <c r="MT343">
        <v>46.5</v>
      </c>
      <c r="MU343" t="s">
        <v>1480</v>
      </c>
      <c r="MW343" t="s">
        <v>1479</v>
      </c>
      <c r="MX343" t="s">
        <v>1470</v>
      </c>
      <c r="NE343" t="s">
        <v>1576</v>
      </c>
      <c r="NG343" t="s">
        <v>1573</v>
      </c>
      <c r="NS343" s="2"/>
      <c r="NT343" s="2"/>
      <c r="NW343">
        <v>3</v>
      </c>
      <c r="NX343">
        <v>0.39</v>
      </c>
      <c r="NY343" s="2" t="s">
        <v>29</v>
      </c>
      <c r="NZ343">
        <v>0.83</v>
      </c>
      <c r="OA343" s="2" t="s">
        <v>29</v>
      </c>
      <c r="OH343" t="s">
        <v>1492</v>
      </c>
      <c r="OJ343">
        <v>2000</v>
      </c>
      <c r="OO343" t="s">
        <v>1178</v>
      </c>
      <c r="OP343" s="58">
        <v>46104</v>
      </c>
    </row>
    <row r="344" spans="1:406" ht="15.75" thickBot="1">
      <c r="A344" t="s">
        <v>248</v>
      </c>
      <c r="B344" t="s">
        <v>1536</v>
      </c>
      <c r="C344" t="s">
        <v>1183</v>
      </c>
      <c r="D344" s="4" t="s">
        <v>1955</v>
      </c>
      <c r="E344" s="94" t="s">
        <v>1553</v>
      </c>
      <c r="F344" s="94" t="s">
        <v>31</v>
      </c>
      <c r="G344" s="88" t="s">
        <v>2</v>
      </c>
      <c r="H344" s="88" t="s">
        <v>30</v>
      </c>
      <c r="I344">
        <v>7.7338301139999999</v>
      </c>
      <c r="J344">
        <v>8.5391521210000008</v>
      </c>
      <c r="K344" s="87" t="s">
        <v>29</v>
      </c>
      <c r="AV344" t="s">
        <v>1554</v>
      </c>
      <c r="AW344">
        <v>5.7000000000000002E-2</v>
      </c>
      <c r="AX344" s="88" t="s">
        <v>29</v>
      </c>
      <c r="AY344">
        <v>1</v>
      </c>
      <c r="AZ344" t="s">
        <v>1567</v>
      </c>
      <c r="BA344">
        <v>2004</v>
      </c>
      <c r="BC344">
        <v>2004.1</v>
      </c>
      <c r="BD344" t="s">
        <v>238</v>
      </c>
      <c r="BE344" t="s">
        <v>1555</v>
      </c>
      <c r="BF344" t="s">
        <v>64</v>
      </c>
      <c r="BG344" s="78" t="s">
        <v>1243</v>
      </c>
      <c r="BH344" t="s">
        <v>23</v>
      </c>
      <c r="BI344" t="s">
        <v>1558</v>
      </c>
      <c r="BJ344" s="88" t="s">
        <v>22</v>
      </c>
      <c r="BK344">
        <v>38000</v>
      </c>
      <c r="BL344" t="s">
        <v>56</v>
      </c>
      <c r="BM344" t="s">
        <v>271</v>
      </c>
      <c r="BN344" t="s">
        <v>1556</v>
      </c>
      <c r="BO344" s="88" t="s">
        <v>22</v>
      </c>
      <c r="BP344">
        <v>266660</v>
      </c>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K344" s="9"/>
      <c r="HU344" s="58">
        <v>38127</v>
      </c>
      <c r="HW344" s="58"/>
      <c r="IG344" t="s">
        <v>238</v>
      </c>
      <c r="IH344" s="88" t="s">
        <v>1200</v>
      </c>
      <c r="II344" t="s">
        <v>660</v>
      </c>
      <c r="IJ344" s="88" t="s">
        <v>661</v>
      </c>
      <c r="IM344" s="87" t="s">
        <v>29</v>
      </c>
      <c r="JI344" t="s">
        <v>1560</v>
      </c>
      <c r="JJ344" s="84" t="s">
        <v>15</v>
      </c>
      <c r="JK344" s="88" t="s">
        <v>14</v>
      </c>
      <c r="JO344" s="95" t="s">
        <v>13</v>
      </c>
      <c r="JP344">
        <v>100</v>
      </c>
      <c r="JS344">
        <v>81</v>
      </c>
      <c r="JT344">
        <v>65</v>
      </c>
      <c r="KD344" t="s">
        <v>1562</v>
      </c>
      <c r="KE344" s="12" t="s">
        <v>1561</v>
      </c>
      <c r="KH344" t="s">
        <v>1563</v>
      </c>
      <c r="KI344" t="s">
        <v>222</v>
      </c>
      <c r="KJ344" s="8" t="s">
        <v>1564</v>
      </c>
      <c r="KK344" s="95" t="s">
        <v>220</v>
      </c>
      <c r="KL344">
        <v>18</v>
      </c>
      <c r="MS344" t="s">
        <v>1538</v>
      </c>
      <c r="MT344">
        <v>6.3</v>
      </c>
      <c r="MU344" t="s">
        <v>1544</v>
      </c>
      <c r="MW344" t="s">
        <v>23</v>
      </c>
      <c r="MX344" t="s">
        <v>271</v>
      </c>
      <c r="NE344" t="s">
        <v>1461</v>
      </c>
      <c r="NF344" t="s">
        <v>1540</v>
      </c>
      <c r="NG344" s="4" t="s">
        <v>1531</v>
      </c>
      <c r="NH344" s="6" t="s">
        <v>1550</v>
      </c>
      <c r="NQ344" t="s">
        <v>6</v>
      </c>
      <c r="NR344">
        <v>180529.9</v>
      </c>
      <c r="NS344" s="88" t="s">
        <v>29</v>
      </c>
      <c r="NT344" s="88" t="s">
        <v>29</v>
      </c>
      <c r="NW344">
        <v>3</v>
      </c>
      <c r="OH344" t="s">
        <v>1551</v>
      </c>
      <c r="OI344" s="88"/>
      <c r="OJ344">
        <v>2004</v>
      </c>
      <c r="OM344" t="s">
        <v>1552</v>
      </c>
      <c r="OO344" s="88" t="s">
        <v>1178</v>
      </c>
      <c r="OP344" s="58">
        <v>46105</v>
      </c>
    </row>
    <row r="345" spans="1:406" ht="15.75" thickBot="1">
      <c r="A345" t="s">
        <v>248</v>
      </c>
      <c r="B345" t="s">
        <v>1536</v>
      </c>
      <c r="C345" t="s">
        <v>1183</v>
      </c>
      <c r="D345" s="4" t="s">
        <v>1955</v>
      </c>
      <c r="E345" s="94" t="s">
        <v>1553</v>
      </c>
      <c r="F345" s="94" t="s">
        <v>31</v>
      </c>
      <c r="G345" s="88" t="s">
        <v>2</v>
      </c>
      <c r="H345" s="88" t="s">
        <v>30</v>
      </c>
      <c r="I345">
        <v>7.7338301139999999</v>
      </c>
      <c r="J345">
        <v>8.5391521210000008</v>
      </c>
      <c r="K345" s="87" t="s">
        <v>29</v>
      </c>
      <c r="AV345" t="s">
        <v>1554</v>
      </c>
      <c r="AW345">
        <v>5.7000000000000002E-2</v>
      </c>
      <c r="AX345" s="88" t="s">
        <v>29</v>
      </c>
      <c r="AY345">
        <v>1</v>
      </c>
      <c r="AZ345" t="s">
        <v>1567</v>
      </c>
      <c r="BA345">
        <v>2004</v>
      </c>
      <c r="BC345">
        <v>2004.1</v>
      </c>
      <c r="BD345" t="s">
        <v>238</v>
      </c>
      <c r="BE345" t="s">
        <v>1545</v>
      </c>
      <c r="BF345" t="s">
        <v>57</v>
      </c>
      <c r="BG345" s="78" t="s">
        <v>1243</v>
      </c>
      <c r="BH345" t="s">
        <v>23</v>
      </c>
      <c r="BI345" t="s">
        <v>1558</v>
      </c>
      <c r="BJ345" s="88" t="s">
        <v>22</v>
      </c>
      <c r="BK345">
        <v>38000</v>
      </c>
      <c r="BL345" t="s">
        <v>56</v>
      </c>
      <c r="BM345" t="s">
        <v>271</v>
      </c>
      <c r="BN345" t="s">
        <v>1557</v>
      </c>
      <c r="BO345" s="88" t="s">
        <v>22</v>
      </c>
      <c r="BP345">
        <v>266660</v>
      </c>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K345" s="9"/>
      <c r="HU345" s="58">
        <v>38127</v>
      </c>
      <c r="HW345" s="58"/>
      <c r="IG345" t="s">
        <v>238</v>
      </c>
      <c r="IH345" s="88" t="s">
        <v>1200</v>
      </c>
      <c r="II345" t="s">
        <v>660</v>
      </c>
      <c r="IJ345" s="88" t="s">
        <v>661</v>
      </c>
      <c r="IM345" s="87" t="s">
        <v>29</v>
      </c>
      <c r="JI345" t="s">
        <v>1560</v>
      </c>
      <c r="JJ345" s="84" t="s">
        <v>15</v>
      </c>
      <c r="JK345" s="88" t="s">
        <v>14</v>
      </c>
      <c r="JO345" s="95" t="s">
        <v>13</v>
      </c>
      <c r="JP345">
        <v>100</v>
      </c>
      <c r="JS345">
        <v>81</v>
      </c>
      <c r="JT345">
        <v>65</v>
      </c>
      <c r="KD345" t="s">
        <v>1562</v>
      </c>
      <c r="KE345" s="12" t="s">
        <v>1561</v>
      </c>
      <c r="KH345" t="s">
        <v>1563</v>
      </c>
      <c r="KI345" t="s">
        <v>222</v>
      </c>
      <c r="KJ345" s="8" t="s">
        <v>1564</v>
      </c>
      <c r="KK345" s="95" t="s">
        <v>220</v>
      </c>
      <c r="KL345">
        <v>18</v>
      </c>
      <c r="MS345" t="s">
        <v>1538</v>
      </c>
      <c r="MT345">
        <v>6.3</v>
      </c>
      <c r="MU345" t="s">
        <v>1544</v>
      </c>
      <c r="MW345" t="s">
        <v>23</v>
      </c>
      <c r="MX345" t="s">
        <v>271</v>
      </c>
      <c r="NE345" t="s">
        <v>1461</v>
      </c>
      <c r="NF345" t="s">
        <v>1540</v>
      </c>
      <c r="NG345" s="4" t="s">
        <v>1531</v>
      </c>
      <c r="NH345" s="6" t="s">
        <v>1550</v>
      </c>
      <c r="NQ345" t="s">
        <v>6</v>
      </c>
      <c r="NR345">
        <v>273279.7</v>
      </c>
      <c r="NS345" s="88" t="s">
        <v>29</v>
      </c>
      <c r="NT345" s="88" t="s">
        <v>29</v>
      </c>
      <c r="NW345">
        <v>3</v>
      </c>
      <c r="OH345" t="s">
        <v>1551</v>
      </c>
      <c r="OI345" s="88"/>
      <c r="OJ345">
        <v>2004</v>
      </c>
      <c r="OM345" t="s">
        <v>1552</v>
      </c>
      <c r="OO345" s="88" t="s">
        <v>1178</v>
      </c>
      <c r="OP345" s="58">
        <v>46105</v>
      </c>
    </row>
    <row r="346" spans="1:406" ht="15.75" thickBot="1">
      <c r="A346" t="s">
        <v>248</v>
      </c>
      <c r="B346" t="s">
        <v>1536</v>
      </c>
      <c r="C346" t="s">
        <v>1183</v>
      </c>
      <c r="D346" s="4" t="s">
        <v>1955</v>
      </c>
      <c r="E346" s="94" t="s">
        <v>1553</v>
      </c>
      <c r="F346" s="94" t="s">
        <v>31</v>
      </c>
      <c r="G346" s="88" t="s">
        <v>2</v>
      </c>
      <c r="H346" s="88" t="s">
        <v>30</v>
      </c>
      <c r="I346">
        <v>7.7338301139999999</v>
      </c>
      <c r="J346">
        <v>8.5391521210000008</v>
      </c>
      <c r="K346" s="87" t="s">
        <v>29</v>
      </c>
      <c r="AV346" t="s">
        <v>1554</v>
      </c>
      <c r="AW346">
        <v>5.7000000000000002E-2</v>
      </c>
      <c r="AX346" s="88" t="s">
        <v>29</v>
      </c>
      <c r="AY346">
        <v>1</v>
      </c>
      <c r="AZ346" t="s">
        <v>1567</v>
      </c>
      <c r="BA346">
        <v>2004</v>
      </c>
      <c r="BC346">
        <v>2004.1</v>
      </c>
      <c r="BD346" t="s">
        <v>238</v>
      </c>
      <c r="BE346" t="s">
        <v>1546</v>
      </c>
      <c r="BF346" t="s">
        <v>48</v>
      </c>
      <c r="BG346" s="78" t="s">
        <v>1243</v>
      </c>
      <c r="BH346" t="s">
        <v>23</v>
      </c>
      <c r="BI346" t="s">
        <v>1558</v>
      </c>
      <c r="BJ346" s="88" t="s">
        <v>22</v>
      </c>
      <c r="BK346">
        <v>44440</v>
      </c>
      <c r="BL346" t="s">
        <v>56</v>
      </c>
      <c r="BM346" t="s">
        <v>271</v>
      </c>
      <c r="BN346" t="s">
        <v>1556</v>
      </c>
      <c r="BO346" s="88" t="s">
        <v>22</v>
      </c>
      <c r="BP346">
        <v>266660</v>
      </c>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K346" s="9"/>
      <c r="HU346" s="58">
        <v>38127</v>
      </c>
      <c r="HW346" s="58"/>
      <c r="IG346" t="s">
        <v>238</v>
      </c>
      <c r="IH346" s="88" t="s">
        <v>1200</v>
      </c>
      <c r="II346" t="s">
        <v>660</v>
      </c>
      <c r="IJ346" s="88" t="s">
        <v>661</v>
      </c>
      <c r="IM346" s="87" t="s">
        <v>29</v>
      </c>
      <c r="JI346" t="s">
        <v>1560</v>
      </c>
      <c r="JJ346" s="84" t="s">
        <v>15</v>
      </c>
      <c r="JK346" s="88" t="s">
        <v>14</v>
      </c>
      <c r="JO346" s="95" t="s">
        <v>13</v>
      </c>
      <c r="JP346">
        <v>100</v>
      </c>
      <c r="JS346">
        <v>81</v>
      </c>
      <c r="JT346">
        <v>65</v>
      </c>
      <c r="KD346" t="s">
        <v>1562</v>
      </c>
      <c r="KE346" s="12" t="s">
        <v>1561</v>
      </c>
      <c r="KH346" t="s">
        <v>1563</v>
      </c>
      <c r="KI346" t="s">
        <v>222</v>
      </c>
      <c r="KJ346" s="8" t="s">
        <v>1564</v>
      </c>
      <c r="KK346" s="95" t="s">
        <v>220</v>
      </c>
      <c r="KL346">
        <v>18</v>
      </c>
      <c r="MS346" t="s">
        <v>1538</v>
      </c>
      <c r="MT346">
        <v>6.3</v>
      </c>
      <c r="MU346" t="s">
        <v>1544</v>
      </c>
      <c r="MW346" t="s">
        <v>23</v>
      </c>
      <c r="MX346" t="s">
        <v>271</v>
      </c>
      <c r="NE346" t="s">
        <v>1461</v>
      </c>
      <c r="NF346" t="s">
        <v>1540</v>
      </c>
      <c r="NG346" s="4" t="s">
        <v>1531</v>
      </c>
      <c r="NH346" s="6" t="s">
        <v>1550</v>
      </c>
      <c r="NQ346" t="s">
        <v>6</v>
      </c>
      <c r="NR346">
        <v>241269.8</v>
      </c>
      <c r="NS346" s="88" t="s">
        <v>29</v>
      </c>
      <c r="NT346" s="88" t="s">
        <v>29</v>
      </c>
      <c r="NW346">
        <v>3</v>
      </c>
      <c r="OH346" t="s">
        <v>1551</v>
      </c>
      <c r="OI346" s="88"/>
      <c r="OJ346">
        <v>2004</v>
      </c>
      <c r="OM346" t="s">
        <v>1552</v>
      </c>
      <c r="OO346" s="88" t="s">
        <v>1178</v>
      </c>
      <c r="OP346" s="58">
        <v>46105</v>
      </c>
    </row>
    <row r="347" spans="1:406" ht="15.75" thickBot="1">
      <c r="A347" t="s">
        <v>248</v>
      </c>
      <c r="B347" t="s">
        <v>1536</v>
      </c>
      <c r="C347" t="s">
        <v>1183</v>
      </c>
      <c r="D347" s="4" t="s">
        <v>1955</v>
      </c>
      <c r="E347" s="94" t="s">
        <v>1553</v>
      </c>
      <c r="F347" s="94" t="s">
        <v>31</v>
      </c>
      <c r="G347" s="88" t="s">
        <v>2</v>
      </c>
      <c r="H347" s="88" t="s">
        <v>30</v>
      </c>
      <c r="I347">
        <v>7.7338301139999999</v>
      </c>
      <c r="J347">
        <v>8.5391521210000008</v>
      </c>
      <c r="K347" s="87" t="s">
        <v>29</v>
      </c>
      <c r="AV347" t="s">
        <v>1554</v>
      </c>
      <c r="AW347">
        <v>5.7000000000000002E-2</v>
      </c>
      <c r="AX347" s="88" t="s">
        <v>29</v>
      </c>
      <c r="AY347">
        <v>1</v>
      </c>
      <c r="AZ347" t="s">
        <v>1567</v>
      </c>
      <c r="BA347">
        <v>2004</v>
      </c>
      <c r="BC347">
        <v>2004.1</v>
      </c>
      <c r="BD347" t="s">
        <v>238</v>
      </c>
      <c r="BE347" t="s">
        <v>1547</v>
      </c>
      <c r="BF347" t="s">
        <v>43</v>
      </c>
      <c r="BG347" s="78" t="s">
        <v>1243</v>
      </c>
      <c r="BH347" t="s">
        <v>23</v>
      </c>
      <c r="BI347" t="s">
        <v>1558</v>
      </c>
      <c r="BJ347" s="88" t="s">
        <v>22</v>
      </c>
      <c r="BK347">
        <v>44440</v>
      </c>
      <c r="BL347" t="s">
        <v>56</v>
      </c>
      <c r="BM347" t="s">
        <v>271</v>
      </c>
      <c r="BN347" t="s">
        <v>1557</v>
      </c>
      <c r="BO347" s="88" t="s">
        <v>22</v>
      </c>
      <c r="BP347">
        <v>266660</v>
      </c>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K347" s="9"/>
      <c r="HU347" s="58">
        <v>38127</v>
      </c>
      <c r="HW347" s="58"/>
      <c r="IG347" t="s">
        <v>238</v>
      </c>
      <c r="IH347" s="88" t="s">
        <v>1200</v>
      </c>
      <c r="II347" t="s">
        <v>660</v>
      </c>
      <c r="IJ347" s="88" t="s">
        <v>661</v>
      </c>
      <c r="IM347" s="87" t="s">
        <v>29</v>
      </c>
      <c r="JI347" t="s">
        <v>1560</v>
      </c>
      <c r="JJ347" s="84" t="s">
        <v>15</v>
      </c>
      <c r="JK347" s="88" t="s">
        <v>14</v>
      </c>
      <c r="JO347" s="95" t="s">
        <v>13</v>
      </c>
      <c r="JP347">
        <v>100</v>
      </c>
      <c r="JS347">
        <v>81</v>
      </c>
      <c r="JT347">
        <v>65</v>
      </c>
      <c r="KD347" t="s">
        <v>1562</v>
      </c>
      <c r="KE347" s="12" t="s">
        <v>1561</v>
      </c>
      <c r="KH347" t="s">
        <v>1563</v>
      </c>
      <c r="KI347" t="s">
        <v>222</v>
      </c>
      <c r="KJ347" s="8" t="s">
        <v>1564</v>
      </c>
      <c r="KK347" s="95" t="s">
        <v>220</v>
      </c>
      <c r="KL347">
        <v>18</v>
      </c>
      <c r="MS347" t="s">
        <v>1538</v>
      </c>
      <c r="MT347">
        <v>6.3</v>
      </c>
      <c r="MU347" t="s">
        <v>1544</v>
      </c>
      <c r="MW347" t="s">
        <v>23</v>
      </c>
      <c r="MX347" t="s">
        <v>271</v>
      </c>
      <c r="NE347" t="s">
        <v>1461</v>
      </c>
      <c r="NF347" t="s">
        <v>1540</v>
      </c>
      <c r="NG347" s="4" t="s">
        <v>1531</v>
      </c>
      <c r="NH347" s="6" t="s">
        <v>1550</v>
      </c>
      <c r="NQ347" t="s">
        <v>6</v>
      </c>
      <c r="NR347">
        <v>231216.9</v>
      </c>
      <c r="NS347" s="88" t="s">
        <v>29</v>
      </c>
      <c r="NT347" s="88" t="s">
        <v>29</v>
      </c>
      <c r="NW347">
        <v>3</v>
      </c>
      <c r="OH347" t="s">
        <v>1551</v>
      </c>
      <c r="OI347" s="88"/>
      <c r="OJ347">
        <v>2004</v>
      </c>
      <c r="OM347" t="s">
        <v>1552</v>
      </c>
      <c r="OO347" s="88" t="s">
        <v>1178</v>
      </c>
      <c r="OP347" s="58">
        <v>46105</v>
      </c>
    </row>
    <row r="348" spans="1:406" ht="15.75" thickBot="1">
      <c r="A348" t="s">
        <v>248</v>
      </c>
      <c r="B348" t="s">
        <v>1536</v>
      </c>
      <c r="C348" t="s">
        <v>1183</v>
      </c>
      <c r="D348" s="4" t="s">
        <v>1955</v>
      </c>
      <c r="E348" s="94" t="s">
        <v>1553</v>
      </c>
      <c r="F348" s="94" t="s">
        <v>31</v>
      </c>
      <c r="G348" s="88" t="s">
        <v>2</v>
      </c>
      <c r="H348" s="88" t="s">
        <v>30</v>
      </c>
      <c r="I348">
        <v>7.7338301139999999</v>
      </c>
      <c r="J348">
        <v>8.5391521210000008</v>
      </c>
      <c r="K348" s="87" t="s">
        <v>29</v>
      </c>
      <c r="AV348" t="s">
        <v>1554</v>
      </c>
      <c r="AW348">
        <v>5.7000000000000002E-2</v>
      </c>
      <c r="AX348" s="88" t="s">
        <v>29</v>
      </c>
      <c r="AY348">
        <v>1</v>
      </c>
      <c r="AZ348" t="s">
        <v>1567</v>
      </c>
      <c r="BA348">
        <v>2004</v>
      </c>
      <c r="BC348">
        <v>2004.1</v>
      </c>
      <c r="BD348" t="s">
        <v>238</v>
      </c>
      <c r="BE348" t="s">
        <v>1548</v>
      </c>
      <c r="BF348" t="s">
        <v>252</v>
      </c>
      <c r="BG348" s="78" t="s">
        <v>1243</v>
      </c>
      <c r="BH348" t="s">
        <v>23</v>
      </c>
      <c r="BI348" t="s">
        <v>1558</v>
      </c>
      <c r="BJ348" s="88" t="s">
        <v>22</v>
      </c>
      <c r="BK348">
        <v>53330</v>
      </c>
      <c r="BL348" t="s">
        <v>56</v>
      </c>
      <c r="BM348" t="s">
        <v>271</v>
      </c>
      <c r="BN348" t="s">
        <v>1556</v>
      </c>
      <c r="BO348" s="88" t="s">
        <v>22</v>
      </c>
      <c r="BP348">
        <v>266660</v>
      </c>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K348" s="9"/>
      <c r="HU348" s="58">
        <v>38127</v>
      </c>
      <c r="HW348" s="58"/>
      <c r="IG348" t="s">
        <v>238</v>
      </c>
      <c r="IH348" s="88" t="s">
        <v>1200</v>
      </c>
      <c r="II348" t="s">
        <v>660</v>
      </c>
      <c r="IJ348" s="88" t="s">
        <v>661</v>
      </c>
      <c r="IM348" s="87" t="s">
        <v>29</v>
      </c>
      <c r="JI348" t="s">
        <v>1560</v>
      </c>
      <c r="JJ348" s="84" t="s">
        <v>15</v>
      </c>
      <c r="JK348" s="88" t="s">
        <v>14</v>
      </c>
      <c r="JO348" s="95" t="s">
        <v>13</v>
      </c>
      <c r="JP348">
        <v>100</v>
      </c>
      <c r="JS348">
        <v>81</v>
      </c>
      <c r="JT348">
        <v>65</v>
      </c>
      <c r="KD348" t="s">
        <v>1562</v>
      </c>
      <c r="KE348" s="12" t="s">
        <v>1561</v>
      </c>
      <c r="KH348" t="s">
        <v>1563</v>
      </c>
      <c r="KI348" t="s">
        <v>222</v>
      </c>
      <c r="KJ348" s="8" t="s">
        <v>1564</v>
      </c>
      <c r="KK348" s="95" t="s">
        <v>220</v>
      </c>
      <c r="KL348">
        <v>18</v>
      </c>
      <c r="MS348" t="s">
        <v>1538</v>
      </c>
      <c r="MT348">
        <v>6.3</v>
      </c>
      <c r="MU348" t="s">
        <v>1544</v>
      </c>
      <c r="MW348" t="s">
        <v>23</v>
      </c>
      <c r="MX348" t="s">
        <v>271</v>
      </c>
      <c r="NE348" t="s">
        <v>1461</v>
      </c>
      <c r="NF348" t="s">
        <v>1540</v>
      </c>
      <c r="NG348" s="4" t="s">
        <v>1531</v>
      </c>
      <c r="NH348" s="6" t="s">
        <v>1550</v>
      </c>
      <c r="NQ348" t="s">
        <v>6</v>
      </c>
      <c r="NR348">
        <v>293121.8</v>
      </c>
      <c r="NS348" s="88" t="s">
        <v>29</v>
      </c>
      <c r="NT348" s="88" t="s">
        <v>29</v>
      </c>
      <c r="NW348">
        <v>3</v>
      </c>
      <c r="OH348" t="s">
        <v>1551</v>
      </c>
      <c r="OI348" s="88"/>
      <c r="OJ348">
        <v>2004</v>
      </c>
      <c r="OM348" t="s">
        <v>1552</v>
      </c>
      <c r="OO348" s="88" t="s">
        <v>1178</v>
      </c>
      <c r="OP348" s="58">
        <v>46105</v>
      </c>
    </row>
    <row r="349" spans="1:406" ht="15.75" thickBot="1">
      <c r="A349" t="s">
        <v>248</v>
      </c>
      <c r="B349" t="s">
        <v>1536</v>
      </c>
      <c r="C349" t="s">
        <v>1183</v>
      </c>
      <c r="D349" s="4" t="s">
        <v>1955</v>
      </c>
      <c r="E349" s="94" t="s">
        <v>1553</v>
      </c>
      <c r="F349" s="94" t="s">
        <v>31</v>
      </c>
      <c r="G349" s="88" t="s">
        <v>2</v>
      </c>
      <c r="H349" s="88" t="s">
        <v>30</v>
      </c>
      <c r="I349">
        <v>7.7338301139999999</v>
      </c>
      <c r="J349">
        <v>8.5391521210000008</v>
      </c>
      <c r="K349" s="87" t="s">
        <v>29</v>
      </c>
      <c r="AV349" t="s">
        <v>1554</v>
      </c>
      <c r="AW349">
        <v>5.7000000000000002E-2</v>
      </c>
      <c r="AX349" s="88" t="s">
        <v>29</v>
      </c>
      <c r="AY349">
        <v>1</v>
      </c>
      <c r="AZ349" t="s">
        <v>1567</v>
      </c>
      <c r="BA349">
        <v>2004</v>
      </c>
      <c r="BC349">
        <v>2004.1</v>
      </c>
      <c r="BD349" t="s">
        <v>238</v>
      </c>
      <c r="BE349" t="s">
        <v>1549</v>
      </c>
      <c r="BF349" t="s">
        <v>236</v>
      </c>
      <c r="BG349" s="78" t="s">
        <v>1243</v>
      </c>
      <c r="BH349" t="s">
        <v>23</v>
      </c>
      <c r="BI349" t="s">
        <v>1558</v>
      </c>
      <c r="BJ349" s="88" t="s">
        <v>22</v>
      </c>
      <c r="BK349">
        <v>53330</v>
      </c>
      <c r="BL349" t="s">
        <v>56</v>
      </c>
      <c r="BM349" t="s">
        <v>271</v>
      </c>
      <c r="BN349" t="s">
        <v>1557</v>
      </c>
      <c r="BO349" s="88" t="s">
        <v>22</v>
      </c>
      <c r="BP349">
        <v>266660</v>
      </c>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K349" s="9"/>
      <c r="HU349" s="58">
        <v>38127</v>
      </c>
      <c r="HW349" s="58"/>
      <c r="IG349" t="s">
        <v>238</v>
      </c>
      <c r="IH349" s="88" t="s">
        <v>1200</v>
      </c>
      <c r="II349" t="s">
        <v>660</v>
      </c>
      <c r="IJ349" s="88" t="s">
        <v>661</v>
      </c>
      <c r="IM349" s="87" t="s">
        <v>29</v>
      </c>
      <c r="JI349" t="s">
        <v>1560</v>
      </c>
      <c r="JJ349" s="84" t="s">
        <v>15</v>
      </c>
      <c r="JK349" s="88" t="s">
        <v>14</v>
      </c>
      <c r="JO349" s="95" t="s">
        <v>13</v>
      </c>
      <c r="JP349">
        <v>100</v>
      </c>
      <c r="JS349">
        <v>81</v>
      </c>
      <c r="JT349">
        <v>65</v>
      </c>
      <c r="KD349" t="s">
        <v>1562</v>
      </c>
      <c r="KE349" s="12" t="s">
        <v>1561</v>
      </c>
      <c r="KH349" t="s">
        <v>1563</v>
      </c>
      <c r="KI349" t="s">
        <v>222</v>
      </c>
      <c r="KJ349" s="8" t="s">
        <v>1564</v>
      </c>
      <c r="KK349" s="95" t="s">
        <v>220</v>
      </c>
      <c r="KL349">
        <v>18</v>
      </c>
      <c r="MS349" t="s">
        <v>1538</v>
      </c>
      <c r="MT349">
        <v>6.3</v>
      </c>
      <c r="MU349" t="s">
        <v>1544</v>
      </c>
      <c r="MW349" t="s">
        <v>23</v>
      </c>
      <c r="MX349" t="s">
        <v>271</v>
      </c>
      <c r="NE349" t="s">
        <v>1461</v>
      </c>
      <c r="NF349" t="s">
        <v>1540</v>
      </c>
      <c r="NG349" s="4" t="s">
        <v>1531</v>
      </c>
      <c r="NH349" s="6" t="s">
        <v>1550</v>
      </c>
      <c r="NQ349" t="s">
        <v>6</v>
      </c>
      <c r="NR349">
        <v>267995</v>
      </c>
      <c r="NS349" s="88" t="s">
        <v>29</v>
      </c>
      <c r="NT349" s="88" t="s">
        <v>29</v>
      </c>
      <c r="NW349">
        <v>3</v>
      </c>
      <c r="OH349" t="s">
        <v>1551</v>
      </c>
      <c r="OI349" s="88"/>
      <c r="OJ349">
        <v>2004</v>
      </c>
      <c r="OM349" t="s">
        <v>1552</v>
      </c>
      <c r="OO349" s="88" t="s">
        <v>1178</v>
      </c>
      <c r="OP349" s="58">
        <v>46105</v>
      </c>
    </row>
    <row r="350" spans="1:406" ht="15.75" thickBot="1">
      <c r="A350" t="s">
        <v>248</v>
      </c>
      <c r="B350" t="s">
        <v>1536</v>
      </c>
      <c r="C350" t="s">
        <v>1183</v>
      </c>
      <c r="D350" s="4" t="s">
        <v>1955</v>
      </c>
      <c r="E350" s="94" t="s">
        <v>1553</v>
      </c>
      <c r="F350" s="94" t="s">
        <v>31</v>
      </c>
      <c r="G350" s="88" t="s">
        <v>2</v>
      </c>
      <c r="H350" s="88" t="s">
        <v>30</v>
      </c>
      <c r="I350">
        <v>7.7338301139999999</v>
      </c>
      <c r="J350">
        <v>8.5391521210000008</v>
      </c>
      <c r="K350" s="87" t="s">
        <v>29</v>
      </c>
      <c r="AV350" t="s">
        <v>1554</v>
      </c>
      <c r="AW350">
        <v>5.7000000000000002E-2</v>
      </c>
      <c r="AX350" s="88" t="s">
        <v>29</v>
      </c>
      <c r="AY350">
        <v>1</v>
      </c>
      <c r="AZ350" t="s">
        <v>1567</v>
      </c>
      <c r="BA350">
        <v>2004</v>
      </c>
      <c r="BC350">
        <v>2004.1</v>
      </c>
      <c r="BD350" t="s">
        <v>19</v>
      </c>
      <c r="BE350" t="s">
        <v>1537</v>
      </c>
      <c r="BF350" t="s">
        <v>39</v>
      </c>
      <c r="BG350" s="78" t="s">
        <v>1243</v>
      </c>
      <c r="BH350" t="s">
        <v>271</v>
      </c>
      <c r="BI350" t="s">
        <v>1556</v>
      </c>
      <c r="BJ350" s="88" t="s">
        <v>22</v>
      </c>
      <c r="BK350">
        <v>266660</v>
      </c>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K350" s="9"/>
      <c r="HU350" s="58">
        <v>38127</v>
      </c>
      <c r="HW350" s="58"/>
      <c r="IG350" t="s">
        <v>1559</v>
      </c>
      <c r="IH350" s="88" t="s">
        <v>19</v>
      </c>
      <c r="II350" t="s">
        <v>660</v>
      </c>
      <c r="IJ350" s="88" t="s">
        <v>661</v>
      </c>
      <c r="IM350" s="87" t="s">
        <v>29</v>
      </c>
      <c r="JI350" t="s">
        <v>1560</v>
      </c>
      <c r="JJ350" s="84" t="s">
        <v>15</v>
      </c>
      <c r="JK350" s="88" t="s">
        <v>14</v>
      </c>
      <c r="JO350" s="95" t="s">
        <v>13</v>
      </c>
      <c r="JP350">
        <v>10</v>
      </c>
      <c r="JS350">
        <v>36</v>
      </c>
      <c r="JT350">
        <v>20</v>
      </c>
      <c r="KD350" t="s">
        <v>1562</v>
      </c>
      <c r="KE350" s="12" t="s">
        <v>1561</v>
      </c>
      <c r="KH350" t="s">
        <v>1563</v>
      </c>
      <c r="KI350" t="s">
        <v>222</v>
      </c>
      <c r="KJ350" s="8" t="s">
        <v>1564</v>
      </c>
      <c r="KK350" s="95" t="s">
        <v>220</v>
      </c>
      <c r="KL350">
        <v>18</v>
      </c>
      <c r="MS350" t="s">
        <v>1538</v>
      </c>
      <c r="MT350">
        <v>6.3</v>
      </c>
      <c r="MU350" t="s">
        <v>1539</v>
      </c>
      <c r="MW350" t="s">
        <v>271</v>
      </c>
      <c r="NE350" t="s">
        <v>1461</v>
      </c>
      <c r="NF350" t="s">
        <v>1540</v>
      </c>
      <c r="NG350" s="4" t="s">
        <v>1531</v>
      </c>
      <c r="NH350" s="6" t="s">
        <v>1550</v>
      </c>
      <c r="NP350" t="s">
        <v>1572</v>
      </c>
      <c r="NQ350" t="s">
        <v>6</v>
      </c>
      <c r="NR350">
        <v>15924.1</v>
      </c>
      <c r="NS350" s="88" t="s">
        <v>29</v>
      </c>
      <c r="NT350" s="88" t="s">
        <v>29</v>
      </c>
      <c r="NW350">
        <v>3</v>
      </c>
      <c r="OH350" t="s">
        <v>1551</v>
      </c>
      <c r="OI350" s="88"/>
      <c r="OJ350">
        <v>2004</v>
      </c>
      <c r="OM350" t="s">
        <v>1552</v>
      </c>
      <c r="OO350" s="88" t="s">
        <v>1178</v>
      </c>
      <c r="OP350" s="58">
        <v>46105</v>
      </c>
    </row>
    <row r="351" spans="1:406" ht="15.75" thickBot="1">
      <c r="A351" t="s">
        <v>248</v>
      </c>
      <c r="B351" t="s">
        <v>1536</v>
      </c>
      <c r="C351" t="s">
        <v>1183</v>
      </c>
      <c r="D351" s="4" t="s">
        <v>1955</v>
      </c>
      <c r="E351" s="94" t="s">
        <v>1553</v>
      </c>
      <c r="F351" s="94" t="s">
        <v>31</v>
      </c>
      <c r="G351" s="88" t="s">
        <v>2</v>
      </c>
      <c r="H351" s="88" t="s">
        <v>30</v>
      </c>
      <c r="I351">
        <v>7.7338301139999999</v>
      </c>
      <c r="J351">
        <v>8.5391521210000008</v>
      </c>
      <c r="K351" s="87" t="s">
        <v>29</v>
      </c>
      <c r="AV351" t="s">
        <v>1554</v>
      </c>
      <c r="AW351">
        <v>5.7000000000000002E-2</v>
      </c>
      <c r="AX351" s="88" t="s">
        <v>29</v>
      </c>
      <c r="AY351">
        <v>1</v>
      </c>
      <c r="AZ351" t="s">
        <v>1567</v>
      </c>
      <c r="BA351">
        <v>2004</v>
      </c>
      <c r="BC351">
        <v>2004.1</v>
      </c>
      <c r="BD351" t="s">
        <v>19</v>
      </c>
      <c r="BE351" t="s">
        <v>1541</v>
      </c>
      <c r="BF351" t="s">
        <v>24</v>
      </c>
      <c r="BG351" s="78" t="s">
        <v>1243</v>
      </c>
      <c r="BH351" t="s">
        <v>271</v>
      </c>
      <c r="BI351" t="s">
        <v>1557</v>
      </c>
      <c r="BJ351" s="88" t="s">
        <v>22</v>
      </c>
      <c r="BK351">
        <v>266660</v>
      </c>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K351" s="9"/>
      <c r="HU351" s="58">
        <v>38127</v>
      </c>
      <c r="HW351" s="58"/>
      <c r="IG351" t="s">
        <v>1559</v>
      </c>
      <c r="IH351" s="88" t="s">
        <v>19</v>
      </c>
      <c r="II351" t="s">
        <v>660</v>
      </c>
      <c r="IJ351" s="88" t="s">
        <v>661</v>
      </c>
      <c r="IM351" s="87" t="s">
        <v>29</v>
      </c>
      <c r="JI351" t="s">
        <v>1560</v>
      </c>
      <c r="JJ351" s="84" t="s">
        <v>15</v>
      </c>
      <c r="JK351" s="88" t="s">
        <v>14</v>
      </c>
      <c r="JO351" s="95" t="s">
        <v>13</v>
      </c>
      <c r="JP351">
        <v>10</v>
      </c>
      <c r="JS351">
        <v>36</v>
      </c>
      <c r="JT351">
        <v>20</v>
      </c>
      <c r="KD351" t="s">
        <v>1562</v>
      </c>
      <c r="KE351" s="12" t="s">
        <v>1561</v>
      </c>
      <c r="KH351" t="s">
        <v>1563</v>
      </c>
      <c r="KI351" t="s">
        <v>222</v>
      </c>
      <c r="KJ351" s="8" t="s">
        <v>1564</v>
      </c>
      <c r="KK351" s="95" t="s">
        <v>220</v>
      </c>
      <c r="KL351">
        <v>18</v>
      </c>
      <c r="MS351" t="s">
        <v>1538</v>
      </c>
      <c r="MT351">
        <v>6.3</v>
      </c>
      <c r="MU351" t="s">
        <v>1539</v>
      </c>
      <c r="MW351" t="s">
        <v>271</v>
      </c>
      <c r="NE351" t="s">
        <v>1461</v>
      </c>
      <c r="NF351" t="s">
        <v>1540</v>
      </c>
      <c r="NG351" s="4" t="s">
        <v>1531</v>
      </c>
      <c r="NH351" s="6" t="s">
        <v>1550</v>
      </c>
      <c r="NP351" t="s">
        <v>1570</v>
      </c>
      <c r="NQ351" t="s">
        <v>6</v>
      </c>
      <c r="NR351">
        <v>133333.20000000001</v>
      </c>
      <c r="NS351" s="88" t="s">
        <v>29</v>
      </c>
      <c r="NT351" s="88" t="s">
        <v>29</v>
      </c>
      <c r="NW351">
        <v>3</v>
      </c>
      <c r="OH351" t="s">
        <v>1551</v>
      </c>
      <c r="OI351" s="88"/>
      <c r="OJ351">
        <v>2004</v>
      </c>
      <c r="OM351" t="s">
        <v>1552</v>
      </c>
      <c r="OO351" s="88" t="s">
        <v>1178</v>
      </c>
      <c r="OP351" s="58">
        <v>46105</v>
      </c>
    </row>
    <row r="352" spans="1:406" ht="15.75" thickBot="1">
      <c r="A352" t="s">
        <v>248</v>
      </c>
      <c r="B352" t="s">
        <v>1536</v>
      </c>
      <c r="C352" t="s">
        <v>1183</v>
      </c>
      <c r="D352" s="4" t="s">
        <v>1955</v>
      </c>
      <c r="E352" s="94" t="s">
        <v>1553</v>
      </c>
      <c r="F352" s="94" t="s">
        <v>31</v>
      </c>
      <c r="G352" s="88" t="s">
        <v>2</v>
      </c>
      <c r="H352" s="88" t="s">
        <v>30</v>
      </c>
      <c r="I352">
        <v>7.7338301139999999</v>
      </c>
      <c r="J352">
        <v>8.5391521210000008</v>
      </c>
      <c r="K352" s="87" t="s">
        <v>29</v>
      </c>
      <c r="AV352" t="s">
        <v>1554</v>
      </c>
      <c r="AW352">
        <v>5.7000000000000002E-2</v>
      </c>
      <c r="AX352" s="88" t="s">
        <v>29</v>
      </c>
      <c r="AY352">
        <v>1</v>
      </c>
      <c r="AZ352" t="s">
        <v>1567</v>
      </c>
      <c r="BA352">
        <v>2004</v>
      </c>
      <c r="BC352">
        <v>2004.1</v>
      </c>
      <c r="BD352" t="s">
        <v>19</v>
      </c>
      <c r="BE352" t="s">
        <v>1542</v>
      </c>
      <c r="BF352" t="s">
        <v>299</v>
      </c>
      <c r="BG352" s="78" t="s">
        <v>1243</v>
      </c>
      <c r="BH352" t="s">
        <v>23</v>
      </c>
      <c r="BI352" t="s">
        <v>1558</v>
      </c>
      <c r="BJ352" s="88" t="s">
        <v>22</v>
      </c>
      <c r="BK352">
        <v>53330</v>
      </c>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K352" s="9"/>
      <c r="HU352" s="58">
        <v>38127</v>
      </c>
      <c r="HW352" s="58"/>
      <c r="IG352" t="s">
        <v>1559</v>
      </c>
      <c r="IH352" s="88" t="s">
        <v>19</v>
      </c>
      <c r="II352" t="s">
        <v>660</v>
      </c>
      <c r="IJ352" s="88" t="s">
        <v>661</v>
      </c>
      <c r="IM352" s="87" t="s">
        <v>29</v>
      </c>
      <c r="JI352" t="s">
        <v>1560</v>
      </c>
      <c r="JJ352" s="84" t="s">
        <v>15</v>
      </c>
      <c r="JK352" s="88" t="s">
        <v>14</v>
      </c>
      <c r="JO352" s="95" t="s">
        <v>13</v>
      </c>
      <c r="JP352">
        <v>90</v>
      </c>
      <c r="JS352">
        <v>45</v>
      </c>
      <c r="JT352">
        <v>45</v>
      </c>
      <c r="KD352" t="s">
        <v>1562</v>
      </c>
      <c r="KE352" s="12" t="s">
        <v>1561</v>
      </c>
      <c r="KH352" t="s">
        <v>1563</v>
      </c>
      <c r="KI352" t="s">
        <v>222</v>
      </c>
      <c r="KJ352" s="8" t="s">
        <v>1564</v>
      </c>
      <c r="KK352" s="95" t="s">
        <v>220</v>
      </c>
      <c r="KL352">
        <v>18</v>
      </c>
      <c r="MS352" t="s">
        <v>1538</v>
      </c>
      <c r="MT352">
        <v>6.3</v>
      </c>
      <c r="MU352" t="s">
        <v>1543</v>
      </c>
      <c r="MW352" t="s">
        <v>23</v>
      </c>
      <c r="NE352" t="s">
        <v>1461</v>
      </c>
      <c r="NF352" t="s">
        <v>1540</v>
      </c>
      <c r="NG352" s="4" t="s">
        <v>1531</v>
      </c>
      <c r="NH352" s="6" t="s">
        <v>1550</v>
      </c>
      <c r="NP352" t="s">
        <v>1571</v>
      </c>
      <c r="NQ352" t="s">
        <v>6</v>
      </c>
      <c r="NR352">
        <v>204232.8</v>
      </c>
      <c r="NS352" s="88" t="s">
        <v>29</v>
      </c>
      <c r="NT352" s="88" t="s">
        <v>29</v>
      </c>
      <c r="NW352">
        <v>3</v>
      </c>
      <c r="OH352" t="s">
        <v>1551</v>
      </c>
      <c r="OI352" s="88"/>
      <c r="OJ352">
        <v>2004</v>
      </c>
      <c r="OM352" t="s">
        <v>1552</v>
      </c>
      <c r="OO352" s="88" t="s">
        <v>1178</v>
      </c>
      <c r="OP352" s="58">
        <v>46105</v>
      </c>
    </row>
    <row r="353" spans="1:406" ht="15.75" thickBot="1">
      <c r="A353" t="s">
        <v>248</v>
      </c>
      <c r="B353" t="s">
        <v>1536</v>
      </c>
      <c r="C353" t="s">
        <v>1183</v>
      </c>
      <c r="D353" s="4" t="s">
        <v>1955</v>
      </c>
      <c r="E353" s="94" t="s">
        <v>1553</v>
      </c>
      <c r="F353" s="94" t="s">
        <v>31</v>
      </c>
      <c r="G353" s="88" t="s">
        <v>2</v>
      </c>
      <c r="H353" s="88" t="s">
        <v>30</v>
      </c>
      <c r="I353">
        <v>7.7338301139999999</v>
      </c>
      <c r="J353">
        <v>8.5391521210000008</v>
      </c>
      <c r="K353" s="87" t="s">
        <v>29</v>
      </c>
      <c r="AV353" t="s">
        <v>1554</v>
      </c>
      <c r="AW353">
        <v>5.7000000000000002E-2</v>
      </c>
      <c r="AX353" s="88" t="s">
        <v>29</v>
      </c>
      <c r="AY353">
        <v>1</v>
      </c>
      <c r="AZ353" t="s">
        <v>1568</v>
      </c>
      <c r="BA353">
        <v>2004</v>
      </c>
      <c r="BC353">
        <v>2004.2</v>
      </c>
      <c r="BD353" t="s">
        <v>238</v>
      </c>
      <c r="BE353" t="s">
        <v>1555</v>
      </c>
      <c r="BF353" t="s">
        <v>64</v>
      </c>
      <c r="BG353" s="78" t="s">
        <v>1243</v>
      </c>
      <c r="BH353" t="s">
        <v>23</v>
      </c>
      <c r="BI353" t="s">
        <v>1558</v>
      </c>
      <c r="BJ353" s="88" t="s">
        <v>22</v>
      </c>
      <c r="BK353">
        <v>38000</v>
      </c>
      <c r="BL353" t="s">
        <v>56</v>
      </c>
      <c r="BM353" t="s">
        <v>271</v>
      </c>
      <c r="BN353" t="s">
        <v>1556</v>
      </c>
      <c r="BO353" s="88" t="s">
        <v>22</v>
      </c>
      <c r="BP353">
        <v>266660</v>
      </c>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K353" s="9"/>
      <c r="HU353" s="58">
        <v>45494</v>
      </c>
      <c r="HW353" s="58"/>
      <c r="IG353" t="s">
        <v>238</v>
      </c>
      <c r="IH353" s="88" t="s">
        <v>1200</v>
      </c>
      <c r="II353" t="s">
        <v>660</v>
      </c>
      <c r="IJ353" s="88" t="s">
        <v>661</v>
      </c>
      <c r="IM353" s="87" t="s">
        <v>29</v>
      </c>
      <c r="JI353" t="s">
        <v>1560</v>
      </c>
      <c r="JJ353" s="84" t="s">
        <v>15</v>
      </c>
      <c r="JK353" s="88" t="s">
        <v>14</v>
      </c>
      <c r="JO353" s="95" t="s">
        <v>13</v>
      </c>
      <c r="JP353">
        <v>100</v>
      </c>
      <c r="JS353">
        <v>81</v>
      </c>
      <c r="JT353">
        <v>65</v>
      </c>
      <c r="KD353" t="s">
        <v>1562</v>
      </c>
      <c r="KE353" s="12" t="s">
        <v>1561</v>
      </c>
      <c r="KH353" t="s">
        <v>1563</v>
      </c>
      <c r="KI353" t="s">
        <v>222</v>
      </c>
      <c r="KJ353" s="8" t="s">
        <v>1564</v>
      </c>
      <c r="KK353" s="95" t="s">
        <v>220</v>
      </c>
      <c r="KL353">
        <v>18</v>
      </c>
      <c r="MS353" t="s">
        <v>1538</v>
      </c>
      <c r="MT353">
        <v>6.3</v>
      </c>
      <c r="MU353" t="s">
        <v>1544</v>
      </c>
      <c r="MW353" t="s">
        <v>23</v>
      </c>
      <c r="MX353" t="s">
        <v>271</v>
      </c>
      <c r="NE353" t="s">
        <v>1461</v>
      </c>
      <c r="NF353" t="s">
        <v>1540</v>
      </c>
      <c r="NG353" s="4" t="s">
        <v>1531</v>
      </c>
      <c r="NH353" s="6" t="s">
        <v>1550</v>
      </c>
      <c r="NQ353" t="s">
        <v>6</v>
      </c>
      <c r="NR353">
        <v>234391.1</v>
      </c>
      <c r="NS353" s="88" t="s">
        <v>29</v>
      </c>
      <c r="NT353" s="88" t="s">
        <v>29</v>
      </c>
      <c r="NW353">
        <v>3</v>
      </c>
      <c r="OH353" t="s">
        <v>1566</v>
      </c>
      <c r="OI353" s="88"/>
      <c r="OJ353">
        <v>2004</v>
      </c>
      <c r="OM353" t="s">
        <v>1569</v>
      </c>
      <c r="OO353" s="88" t="s">
        <v>1178</v>
      </c>
      <c r="OP353" s="58">
        <v>46105</v>
      </c>
    </row>
    <row r="354" spans="1:406" ht="15.75" thickBot="1">
      <c r="A354" t="s">
        <v>248</v>
      </c>
      <c r="B354" t="s">
        <v>1536</v>
      </c>
      <c r="C354" t="s">
        <v>1183</v>
      </c>
      <c r="D354" s="4" t="s">
        <v>1955</v>
      </c>
      <c r="E354" s="94" t="s">
        <v>1553</v>
      </c>
      <c r="F354" s="94" t="s">
        <v>31</v>
      </c>
      <c r="G354" s="88" t="s">
        <v>2</v>
      </c>
      <c r="H354" s="88" t="s">
        <v>30</v>
      </c>
      <c r="I354">
        <v>7.7338301139999999</v>
      </c>
      <c r="J354">
        <v>8.5391521210000008</v>
      </c>
      <c r="K354" s="87" t="s">
        <v>29</v>
      </c>
      <c r="AV354" t="s">
        <v>1554</v>
      </c>
      <c r="AW354">
        <v>5.7000000000000002E-2</v>
      </c>
      <c r="AX354" s="88" t="s">
        <v>29</v>
      </c>
      <c r="AY354">
        <v>1</v>
      </c>
      <c r="AZ354" t="s">
        <v>1568</v>
      </c>
      <c r="BA354">
        <v>2004</v>
      </c>
      <c r="BC354">
        <v>2004.2</v>
      </c>
      <c r="BD354" t="s">
        <v>238</v>
      </c>
      <c r="BE354" t="s">
        <v>1545</v>
      </c>
      <c r="BF354" t="s">
        <v>57</v>
      </c>
      <c r="BG354" s="78" t="s">
        <v>1243</v>
      </c>
      <c r="BH354" t="s">
        <v>23</v>
      </c>
      <c r="BI354" t="s">
        <v>1558</v>
      </c>
      <c r="BJ354" s="88" t="s">
        <v>22</v>
      </c>
      <c r="BK354">
        <v>38000</v>
      </c>
      <c r="BL354" t="s">
        <v>56</v>
      </c>
      <c r="BM354" t="s">
        <v>271</v>
      </c>
      <c r="BN354" t="s">
        <v>1557</v>
      </c>
      <c r="BO354" s="88" t="s">
        <v>22</v>
      </c>
      <c r="BP354">
        <v>266660</v>
      </c>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K354" s="9"/>
      <c r="HU354" s="58">
        <v>45494</v>
      </c>
      <c r="HW354" s="58"/>
      <c r="IG354" t="s">
        <v>238</v>
      </c>
      <c r="IH354" s="88" t="s">
        <v>1200</v>
      </c>
      <c r="II354" t="s">
        <v>660</v>
      </c>
      <c r="IJ354" s="88" t="s">
        <v>661</v>
      </c>
      <c r="IM354" s="87" t="s">
        <v>29</v>
      </c>
      <c r="JI354" t="s">
        <v>1560</v>
      </c>
      <c r="JJ354" s="84" t="s">
        <v>15</v>
      </c>
      <c r="JK354" s="88" t="s">
        <v>14</v>
      </c>
      <c r="JO354" s="95" t="s">
        <v>13</v>
      </c>
      <c r="JP354">
        <v>100</v>
      </c>
      <c r="JS354">
        <v>81</v>
      </c>
      <c r="JT354">
        <v>65</v>
      </c>
      <c r="KD354" t="s">
        <v>1562</v>
      </c>
      <c r="KE354" s="12" t="s">
        <v>1561</v>
      </c>
      <c r="KH354" t="s">
        <v>1563</v>
      </c>
      <c r="KI354" t="s">
        <v>222</v>
      </c>
      <c r="KJ354" s="8" t="s">
        <v>1564</v>
      </c>
      <c r="KK354" s="95" t="s">
        <v>220</v>
      </c>
      <c r="KL354">
        <v>18</v>
      </c>
      <c r="MS354" t="s">
        <v>1538</v>
      </c>
      <c r="MT354">
        <v>6.3</v>
      </c>
      <c r="MU354" t="s">
        <v>1544</v>
      </c>
      <c r="MW354" t="s">
        <v>23</v>
      </c>
      <c r="MX354" t="s">
        <v>271</v>
      </c>
      <c r="NE354" t="s">
        <v>1461</v>
      </c>
      <c r="NF354" t="s">
        <v>1540</v>
      </c>
      <c r="NG354" s="4" t="s">
        <v>1531</v>
      </c>
      <c r="NH354" s="6" t="s">
        <v>1550</v>
      </c>
      <c r="NQ354" t="s">
        <v>6</v>
      </c>
      <c r="NR354">
        <v>179762</v>
      </c>
      <c r="NS354" s="88" t="s">
        <v>29</v>
      </c>
      <c r="NT354" s="88" t="s">
        <v>29</v>
      </c>
      <c r="NW354">
        <v>3</v>
      </c>
      <c r="OH354" t="s">
        <v>1566</v>
      </c>
      <c r="OI354" s="88"/>
      <c r="OJ354">
        <v>2004</v>
      </c>
      <c r="OM354" t="s">
        <v>1569</v>
      </c>
      <c r="OO354" s="88" t="s">
        <v>1178</v>
      </c>
      <c r="OP354" s="58">
        <v>46105</v>
      </c>
    </row>
    <row r="355" spans="1:406" ht="15.75" thickBot="1">
      <c r="A355" t="s">
        <v>248</v>
      </c>
      <c r="B355" t="s">
        <v>1536</v>
      </c>
      <c r="C355" t="s">
        <v>1183</v>
      </c>
      <c r="D355" s="4" t="s">
        <v>1955</v>
      </c>
      <c r="E355" s="94" t="s">
        <v>1553</v>
      </c>
      <c r="F355" s="94" t="s">
        <v>31</v>
      </c>
      <c r="G355" s="88" t="s">
        <v>2</v>
      </c>
      <c r="H355" s="88" t="s">
        <v>30</v>
      </c>
      <c r="I355">
        <v>7.7338301139999999</v>
      </c>
      <c r="J355">
        <v>8.5391521210000008</v>
      </c>
      <c r="K355" s="87" t="s">
        <v>29</v>
      </c>
      <c r="AV355" t="s">
        <v>1554</v>
      </c>
      <c r="AW355">
        <v>5.7000000000000002E-2</v>
      </c>
      <c r="AX355" s="88" t="s">
        <v>29</v>
      </c>
      <c r="AY355">
        <v>1</v>
      </c>
      <c r="AZ355" t="s">
        <v>1568</v>
      </c>
      <c r="BA355">
        <v>2004</v>
      </c>
      <c r="BC355">
        <v>2004.2</v>
      </c>
      <c r="BD355" t="s">
        <v>238</v>
      </c>
      <c r="BE355" t="s">
        <v>1546</v>
      </c>
      <c r="BF355" t="s">
        <v>48</v>
      </c>
      <c r="BG355" s="78" t="s">
        <v>1243</v>
      </c>
      <c r="BH355" t="s">
        <v>23</v>
      </c>
      <c r="BI355" t="s">
        <v>1558</v>
      </c>
      <c r="BJ355" s="88" t="s">
        <v>22</v>
      </c>
      <c r="BK355">
        <v>44440</v>
      </c>
      <c r="BL355" t="s">
        <v>56</v>
      </c>
      <c r="BM355" t="s">
        <v>271</v>
      </c>
      <c r="BN355" t="s">
        <v>1556</v>
      </c>
      <c r="BO355" s="88" t="s">
        <v>22</v>
      </c>
      <c r="BP355">
        <v>266660</v>
      </c>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K355" s="9"/>
      <c r="HU355" s="58">
        <v>45494</v>
      </c>
      <c r="HW355" s="58"/>
      <c r="IG355" t="s">
        <v>238</v>
      </c>
      <c r="IH355" s="88" t="s">
        <v>1200</v>
      </c>
      <c r="II355" t="s">
        <v>660</v>
      </c>
      <c r="IJ355" s="88" t="s">
        <v>661</v>
      </c>
      <c r="IM355" s="87" t="s">
        <v>29</v>
      </c>
      <c r="JI355" t="s">
        <v>1560</v>
      </c>
      <c r="JJ355" s="84" t="s">
        <v>15</v>
      </c>
      <c r="JK355" s="88" t="s">
        <v>14</v>
      </c>
      <c r="JO355" s="95" t="s">
        <v>13</v>
      </c>
      <c r="JP355">
        <v>100</v>
      </c>
      <c r="JS355">
        <v>81</v>
      </c>
      <c r="JT355">
        <v>65</v>
      </c>
      <c r="KD355" t="s">
        <v>1562</v>
      </c>
      <c r="KE355" s="12" t="s">
        <v>1561</v>
      </c>
      <c r="KH355" t="s">
        <v>1563</v>
      </c>
      <c r="KI355" t="s">
        <v>222</v>
      </c>
      <c r="KJ355" s="8" t="s">
        <v>1564</v>
      </c>
      <c r="KK355" s="95" t="s">
        <v>220</v>
      </c>
      <c r="KL355">
        <v>18</v>
      </c>
      <c r="MS355" t="s">
        <v>1538</v>
      </c>
      <c r="MT355">
        <v>6.3</v>
      </c>
      <c r="MU355" t="s">
        <v>1544</v>
      </c>
      <c r="MW355" t="s">
        <v>23</v>
      </c>
      <c r="MX355" t="s">
        <v>271</v>
      </c>
      <c r="NE355" t="s">
        <v>1461</v>
      </c>
      <c r="NF355" t="s">
        <v>1540</v>
      </c>
      <c r="NG355" s="4" t="s">
        <v>1531</v>
      </c>
      <c r="NH355" s="6" t="s">
        <v>1550</v>
      </c>
      <c r="NQ355" t="s">
        <v>6</v>
      </c>
      <c r="NR355">
        <v>253040.7</v>
      </c>
      <c r="NS355" s="88" t="s">
        <v>29</v>
      </c>
      <c r="NT355" s="88" t="s">
        <v>29</v>
      </c>
      <c r="NW355">
        <v>3</v>
      </c>
      <c r="OH355" t="s">
        <v>1566</v>
      </c>
      <c r="OI355" s="88"/>
      <c r="OJ355">
        <v>2004</v>
      </c>
      <c r="OM355" t="s">
        <v>1569</v>
      </c>
      <c r="OO355" s="88" t="s">
        <v>1178</v>
      </c>
      <c r="OP355" s="58">
        <v>46105</v>
      </c>
    </row>
    <row r="356" spans="1:406" ht="15.75" thickBot="1">
      <c r="A356" t="s">
        <v>248</v>
      </c>
      <c r="B356" t="s">
        <v>1536</v>
      </c>
      <c r="C356" t="s">
        <v>1183</v>
      </c>
      <c r="D356" s="4" t="s">
        <v>1955</v>
      </c>
      <c r="E356" s="94" t="s">
        <v>1553</v>
      </c>
      <c r="F356" s="94" t="s">
        <v>31</v>
      </c>
      <c r="G356" s="88" t="s">
        <v>2</v>
      </c>
      <c r="H356" s="88" t="s">
        <v>30</v>
      </c>
      <c r="I356">
        <v>7.7338301139999999</v>
      </c>
      <c r="J356">
        <v>8.5391521210000008</v>
      </c>
      <c r="K356" s="87" t="s">
        <v>29</v>
      </c>
      <c r="AV356" t="s">
        <v>1554</v>
      </c>
      <c r="AW356">
        <v>5.7000000000000002E-2</v>
      </c>
      <c r="AX356" s="88" t="s">
        <v>29</v>
      </c>
      <c r="AY356">
        <v>1</v>
      </c>
      <c r="AZ356" t="s">
        <v>1568</v>
      </c>
      <c r="BA356">
        <v>2004</v>
      </c>
      <c r="BC356">
        <v>2004.2</v>
      </c>
      <c r="BD356" t="s">
        <v>238</v>
      </c>
      <c r="BE356" t="s">
        <v>1547</v>
      </c>
      <c r="BF356" t="s">
        <v>43</v>
      </c>
      <c r="BG356" s="78" t="s">
        <v>1243</v>
      </c>
      <c r="BH356" t="s">
        <v>23</v>
      </c>
      <c r="BI356" t="s">
        <v>1558</v>
      </c>
      <c r="BJ356" s="88" t="s">
        <v>22</v>
      </c>
      <c r="BK356">
        <v>44440</v>
      </c>
      <c r="BL356" t="s">
        <v>56</v>
      </c>
      <c r="BM356" t="s">
        <v>271</v>
      </c>
      <c r="BN356" t="s">
        <v>1557</v>
      </c>
      <c r="BO356" s="88" t="s">
        <v>22</v>
      </c>
      <c r="BP356">
        <v>266660</v>
      </c>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K356" s="9"/>
      <c r="HU356" s="58">
        <v>45494</v>
      </c>
      <c r="HW356" s="58"/>
      <c r="IG356" t="s">
        <v>238</v>
      </c>
      <c r="IH356" s="88" t="s">
        <v>1200</v>
      </c>
      <c r="II356" t="s">
        <v>660</v>
      </c>
      <c r="IJ356" s="88" t="s">
        <v>661</v>
      </c>
      <c r="IM356" s="87" t="s">
        <v>29</v>
      </c>
      <c r="JI356" t="s">
        <v>1560</v>
      </c>
      <c r="JJ356" s="84" t="s">
        <v>15</v>
      </c>
      <c r="JK356" s="88" t="s">
        <v>14</v>
      </c>
      <c r="JO356" s="95" t="s">
        <v>13</v>
      </c>
      <c r="JP356">
        <v>100</v>
      </c>
      <c r="JS356">
        <v>81</v>
      </c>
      <c r="JT356">
        <v>65</v>
      </c>
      <c r="KD356" t="s">
        <v>1562</v>
      </c>
      <c r="KE356" s="12" t="s">
        <v>1561</v>
      </c>
      <c r="KH356" t="s">
        <v>1563</v>
      </c>
      <c r="KI356" t="s">
        <v>222</v>
      </c>
      <c r="KJ356" s="8" t="s">
        <v>1564</v>
      </c>
      <c r="KK356" s="95" t="s">
        <v>220</v>
      </c>
      <c r="KL356">
        <v>18</v>
      </c>
      <c r="MS356" t="s">
        <v>1538</v>
      </c>
      <c r="MT356">
        <v>6.3</v>
      </c>
      <c r="MU356" t="s">
        <v>1544</v>
      </c>
      <c r="MW356" t="s">
        <v>23</v>
      </c>
      <c r="MX356" t="s">
        <v>271</v>
      </c>
      <c r="NE356" t="s">
        <v>1461</v>
      </c>
      <c r="NF356" t="s">
        <v>1540</v>
      </c>
      <c r="NG356" s="4" t="s">
        <v>1531</v>
      </c>
      <c r="NH356" s="6" t="s">
        <v>1550</v>
      </c>
      <c r="NQ356" t="s">
        <v>6</v>
      </c>
      <c r="NR356">
        <v>213844.7</v>
      </c>
      <c r="NS356" s="88" t="s">
        <v>29</v>
      </c>
      <c r="NT356" s="88" t="s">
        <v>29</v>
      </c>
      <c r="NW356">
        <v>3</v>
      </c>
      <c r="OH356" t="s">
        <v>1566</v>
      </c>
      <c r="OI356" s="88"/>
      <c r="OJ356">
        <v>2004</v>
      </c>
      <c r="OM356" t="s">
        <v>1569</v>
      </c>
      <c r="OO356" s="88" t="s">
        <v>1178</v>
      </c>
      <c r="OP356" s="58">
        <v>46105</v>
      </c>
    </row>
    <row r="357" spans="1:406" ht="15.75" thickBot="1">
      <c r="A357" t="s">
        <v>248</v>
      </c>
      <c r="B357" t="s">
        <v>1536</v>
      </c>
      <c r="C357" t="s">
        <v>1183</v>
      </c>
      <c r="D357" s="4" t="s">
        <v>1955</v>
      </c>
      <c r="E357" s="94" t="s">
        <v>1553</v>
      </c>
      <c r="F357" s="94" t="s">
        <v>31</v>
      </c>
      <c r="G357" s="88" t="s">
        <v>2</v>
      </c>
      <c r="H357" s="88" t="s">
        <v>30</v>
      </c>
      <c r="I357">
        <v>7.7338301139999999</v>
      </c>
      <c r="J357">
        <v>8.5391521210000008</v>
      </c>
      <c r="K357" s="87" t="s">
        <v>29</v>
      </c>
      <c r="AV357" t="s">
        <v>1554</v>
      </c>
      <c r="AW357">
        <v>5.7000000000000002E-2</v>
      </c>
      <c r="AX357" s="88" t="s">
        <v>29</v>
      </c>
      <c r="AY357">
        <v>1</v>
      </c>
      <c r="AZ357" t="s">
        <v>1568</v>
      </c>
      <c r="BA357">
        <v>2004</v>
      </c>
      <c r="BC357">
        <v>2004.2</v>
      </c>
      <c r="BD357" t="s">
        <v>238</v>
      </c>
      <c r="BE357" t="s">
        <v>1548</v>
      </c>
      <c r="BF357" t="s">
        <v>252</v>
      </c>
      <c r="BG357" s="78" t="s">
        <v>1243</v>
      </c>
      <c r="BH357" t="s">
        <v>23</v>
      </c>
      <c r="BI357" t="s">
        <v>1558</v>
      </c>
      <c r="BJ357" s="88" t="s">
        <v>22</v>
      </c>
      <c r="BK357">
        <v>53330</v>
      </c>
      <c r="BL357" t="s">
        <v>56</v>
      </c>
      <c r="BM357" t="s">
        <v>271</v>
      </c>
      <c r="BN357" t="s">
        <v>1556</v>
      </c>
      <c r="BO357" s="88" t="s">
        <v>22</v>
      </c>
      <c r="BP357">
        <v>266660</v>
      </c>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K357" s="9"/>
      <c r="HU357" s="58">
        <v>45494</v>
      </c>
      <c r="HW357" s="58"/>
      <c r="IG357" t="s">
        <v>238</v>
      </c>
      <c r="IH357" s="88" t="s">
        <v>1200</v>
      </c>
      <c r="II357" t="s">
        <v>660</v>
      </c>
      <c r="IJ357" s="88" t="s">
        <v>661</v>
      </c>
      <c r="IM357" s="87" t="s">
        <v>29</v>
      </c>
      <c r="JI357" t="s">
        <v>1560</v>
      </c>
      <c r="JJ357" s="84" t="s">
        <v>15</v>
      </c>
      <c r="JK357" s="88" t="s">
        <v>14</v>
      </c>
      <c r="JO357" s="95" t="s">
        <v>13</v>
      </c>
      <c r="JP357">
        <v>100</v>
      </c>
      <c r="JS357">
        <v>81</v>
      </c>
      <c r="JT357">
        <v>65</v>
      </c>
      <c r="KD357" t="s">
        <v>1562</v>
      </c>
      <c r="KE357" s="12" t="s">
        <v>1561</v>
      </c>
      <c r="KH357" t="s">
        <v>1563</v>
      </c>
      <c r="KI357" t="s">
        <v>222</v>
      </c>
      <c r="KJ357" s="8" t="s">
        <v>1564</v>
      </c>
      <c r="KK357" s="95" t="s">
        <v>220</v>
      </c>
      <c r="KL357">
        <v>18</v>
      </c>
      <c r="MS357" t="s">
        <v>1538</v>
      </c>
      <c r="MT357">
        <v>6.3</v>
      </c>
      <c r="MU357" t="s">
        <v>1544</v>
      </c>
      <c r="MW357" t="s">
        <v>23</v>
      </c>
      <c r="MX357" t="s">
        <v>271</v>
      </c>
      <c r="NE357" t="s">
        <v>1461</v>
      </c>
      <c r="NF357" t="s">
        <v>1540</v>
      </c>
      <c r="NG357" s="4" t="s">
        <v>1531</v>
      </c>
      <c r="NH357" s="6" t="s">
        <v>1550</v>
      </c>
      <c r="NQ357" t="s">
        <v>6</v>
      </c>
      <c r="NR357">
        <v>283069.7</v>
      </c>
      <c r="NS357" s="88" t="s">
        <v>29</v>
      </c>
      <c r="NT357" s="88" t="s">
        <v>29</v>
      </c>
      <c r="NW357">
        <v>3</v>
      </c>
      <c r="OH357" t="s">
        <v>1566</v>
      </c>
      <c r="OI357" s="88"/>
      <c r="OJ357">
        <v>2004</v>
      </c>
      <c r="OM357" t="s">
        <v>1569</v>
      </c>
      <c r="OO357" s="88" t="s">
        <v>1178</v>
      </c>
      <c r="OP357" s="58">
        <v>46105</v>
      </c>
    </row>
    <row r="358" spans="1:406" ht="15.75" thickBot="1">
      <c r="A358" t="s">
        <v>248</v>
      </c>
      <c r="B358" t="s">
        <v>1536</v>
      </c>
      <c r="C358" t="s">
        <v>1183</v>
      </c>
      <c r="D358" s="4" t="s">
        <v>1955</v>
      </c>
      <c r="E358" s="94" t="s">
        <v>1553</v>
      </c>
      <c r="F358" s="94" t="s">
        <v>31</v>
      </c>
      <c r="G358" s="88" t="s">
        <v>2</v>
      </c>
      <c r="H358" s="88" t="s">
        <v>30</v>
      </c>
      <c r="I358">
        <v>7.7338301139999999</v>
      </c>
      <c r="J358">
        <v>8.5391521210000008</v>
      </c>
      <c r="K358" s="87" t="s">
        <v>29</v>
      </c>
      <c r="AV358" t="s">
        <v>1554</v>
      </c>
      <c r="AW358">
        <v>5.7000000000000002E-2</v>
      </c>
      <c r="AX358" s="88" t="s">
        <v>29</v>
      </c>
      <c r="AY358">
        <v>1</v>
      </c>
      <c r="AZ358" t="s">
        <v>1568</v>
      </c>
      <c r="BA358">
        <v>2004</v>
      </c>
      <c r="BC358">
        <v>2004.2</v>
      </c>
      <c r="BD358" t="s">
        <v>238</v>
      </c>
      <c r="BE358" t="s">
        <v>1549</v>
      </c>
      <c r="BF358" t="s">
        <v>236</v>
      </c>
      <c r="BG358" s="78" t="s">
        <v>1243</v>
      </c>
      <c r="BH358" t="s">
        <v>23</v>
      </c>
      <c r="BI358" t="s">
        <v>1558</v>
      </c>
      <c r="BJ358" s="88" t="s">
        <v>22</v>
      </c>
      <c r="BK358">
        <v>53330</v>
      </c>
      <c r="BL358" t="s">
        <v>56</v>
      </c>
      <c r="BM358" t="s">
        <v>271</v>
      </c>
      <c r="BN358" t="s">
        <v>1557</v>
      </c>
      <c r="BO358" s="88" t="s">
        <v>22</v>
      </c>
      <c r="BP358">
        <v>266660</v>
      </c>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K358" s="9"/>
      <c r="HU358" s="58">
        <v>45494</v>
      </c>
      <c r="HW358" s="58"/>
      <c r="IG358" t="s">
        <v>238</v>
      </c>
      <c r="IH358" s="88" t="s">
        <v>1200</v>
      </c>
      <c r="II358" t="s">
        <v>660</v>
      </c>
      <c r="IJ358" s="88" t="s">
        <v>661</v>
      </c>
      <c r="IM358" s="87" t="s">
        <v>29</v>
      </c>
      <c r="JI358" t="s">
        <v>1560</v>
      </c>
      <c r="JJ358" s="84" t="s">
        <v>15</v>
      </c>
      <c r="JK358" s="88" t="s">
        <v>14</v>
      </c>
      <c r="JO358" s="95" t="s">
        <v>13</v>
      </c>
      <c r="JP358">
        <v>100</v>
      </c>
      <c r="JS358">
        <v>81</v>
      </c>
      <c r="JT358">
        <v>65</v>
      </c>
      <c r="KD358" t="s">
        <v>1562</v>
      </c>
      <c r="KE358" s="12" t="s">
        <v>1561</v>
      </c>
      <c r="KH358" t="s">
        <v>1563</v>
      </c>
      <c r="KI358" t="s">
        <v>222</v>
      </c>
      <c r="KJ358" s="8" t="s">
        <v>1564</v>
      </c>
      <c r="KK358" s="95" t="s">
        <v>220</v>
      </c>
      <c r="KL358">
        <v>18</v>
      </c>
      <c r="MS358" t="s">
        <v>1538</v>
      </c>
      <c r="MT358">
        <v>6.3</v>
      </c>
      <c r="MU358" t="s">
        <v>1544</v>
      </c>
      <c r="MW358" t="s">
        <v>23</v>
      </c>
      <c r="MX358" t="s">
        <v>271</v>
      </c>
      <c r="NE358" t="s">
        <v>1461</v>
      </c>
      <c r="NF358" t="s">
        <v>1540</v>
      </c>
      <c r="NG358" s="4" t="s">
        <v>1531</v>
      </c>
      <c r="NH358" s="6" t="s">
        <v>1550</v>
      </c>
      <c r="NQ358" t="s">
        <v>6</v>
      </c>
      <c r="NR358">
        <v>264418.7</v>
      </c>
      <c r="NS358" s="88" t="s">
        <v>29</v>
      </c>
      <c r="NT358" s="88" t="s">
        <v>29</v>
      </c>
      <c r="NW358">
        <v>3</v>
      </c>
      <c r="OH358" t="s">
        <v>1566</v>
      </c>
      <c r="OI358" s="88"/>
      <c r="OJ358">
        <v>2004</v>
      </c>
      <c r="OM358" t="s">
        <v>1569</v>
      </c>
      <c r="OO358" s="88" t="s">
        <v>1178</v>
      </c>
      <c r="OP358" s="58">
        <v>46105</v>
      </c>
    </row>
    <row r="359" spans="1:406" ht="15.75" thickBot="1">
      <c r="A359" t="s">
        <v>248</v>
      </c>
      <c r="B359" t="s">
        <v>1536</v>
      </c>
      <c r="C359" t="s">
        <v>1183</v>
      </c>
      <c r="D359" s="4" t="s">
        <v>1955</v>
      </c>
      <c r="E359" s="94" t="s">
        <v>1553</v>
      </c>
      <c r="F359" s="94" t="s">
        <v>31</v>
      </c>
      <c r="G359" s="88" t="s">
        <v>2</v>
      </c>
      <c r="H359" s="88" t="s">
        <v>30</v>
      </c>
      <c r="I359">
        <v>7.7338301139999999</v>
      </c>
      <c r="J359">
        <v>8.5391521210000008</v>
      </c>
      <c r="K359" s="87" t="s">
        <v>29</v>
      </c>
      <c r="AV359" t="s">
        <v>1554</v>
      </c>
      <c r="AW359">
        <v>5.7000000000000002E-2</v>
      </c>
      <c r="AX359" s="88" t="s">
        <v>29</v>
      </c>
      <c r="AY359">
        <v>1</v>
      </c>
      <c r="AZ359" t="s">
        <v>1568</v>
      </c>
      <c r="BA359">
        <v>2004</v>
      </c>
      <c r="BC359">
        <v>2004.2</v>
      </c>
      <c r="BD359" t="s">
        <v>19</v>
      </c>
      <c r="BE359" t="s">
        <v>1537</v>
      </c>
      <c r="BF359" t="s">
        <v>39</v>
      </c>
      <c r="BG359" s="78" t="s">
        <v>1243</v>
      </c>
      <c r="BH359" t="s">
        <v>271</v>
      </c>
      <c r="BI359" t="s">
        <v>1556</v>
      </c>
      <c r="BJ359" s="88" t="s">
        <v>22</v>
      </c>
      <c r="BK359">
        <v>266660</v>
      </c>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K359" s="9"/>
      <c r="HU359" s="58">
        <v>45494</v>
      </c>
      <c r="HW359" s="58"/>
      <c r="IG359" t="s">
        <v>1559</v>
      </c>
      <c r="IH359" s="88" t="s">
        <v>19</v>
      </c>
      <c r="II359" t="s">
        <v>660</v>
      </c>
      <c r="IJ359" s="88" t="s">
        <v>661</v>
      </c>
      <c r="IM359" s="87" t="s">
        <v>29</v>
      </c>
      <c r="JI359" t="s">
        <v>1560</v>
      </c>
      <c r="JJ359" s="84" t="s">
        <v>15</v>
      </c>
      <c r="JK359" s="88" t="s">
        <v>14</v>
      </c>
      <c r="JO359" s="95" t="s">
        <v>13</v>
      </c>
      <c r="JP359">
        <v>10</v>
      </c>
      <c r="JS359">
        <v>36</v>
      </c>
      <c r="JT359">
        <v>20</v>
      </c>
      <c r="KD359" t="s">
        <v>1562</v>
      </c>
      <c r="KE359" s="12" t="s">
        <v>1561</v>
      </c>
      <c r="KH359" t="s">
        <v>1563</v>
      </c>
      <c r="KI359" t="s">
        <v>222</v>
      </c>
      <c r="KJ359" s="8" t="s">
        <v>1564</v>
      </c>
      <c r="KK359" s="95" t="s">
        <v>220</v>
      </c>
      <c r="KL359">
        <v>18</v>
      </c>
      <c r="MS359" t="s">
        <v>1538</v>
      </c>
      <c r="MT359">
        <v>6.3</v>
      </c>
      <c r="MU359" t="s">
        <v>1539</v>
      </c>
      <c r="MW359" t="s">
        <v>271</v>
      </c>
      <c r="NE359" t="s">
        <v>1461</v>
      </c>
      <c r="NF359" t="s">
        <v>1540</v>
      </c>
      <c r="NG359" s="4" t="s">
        <v>1531</v>
      </c>
      <c r="NH359" s="6" t="s">
        <v>1550</v>
      </c>
      <c r="NP359" t="s">
        <v>1572</v>
      </c>
      <c r="NQ359" t="s">
        <v>6</v>
      </c>
      <c r="NR359">
        <v>98016.25</v>
      </c>
      <c r="NS359" s="88" t="s">
        <v>29</v>
      </c>
      <c r="NT359" s="88" t="s">
        <v>29</v>
      </c>
      <c r="NW359">
        <v>3</v>
      </c>
      <c r="OH359" t="s">
        <v>1566</v>
      </c>
      <c r="OI359" s="88"/>
      <c r="OJ359">
        <v>2004</v>
      </c>
      <c r="OM359" t="s">
        <v>1569</v>
      </c>
      <c r="OO359" s="88" t="s">
        <v>1178</v>
      </c>
      <c r="OP359" s="58">
        <v>46105</v>
      </c>
    </row>
    <row r="360" spans="1:406" ht="15.75" thickBot="1">
      <c r="A360" t="s">
        <v>248</v>
      </c>
      <c r="B360" t="s">
        <v>1536</v>
      </c>
      <c r="C360" t="s">
        <v>1183</v>
      </c>
      <c r="D360" s="4" t="s">
        <v>1955</v>
      </c>
      <c r="E360" s="94" t="s">
        <v>1553</v>
      </c>
      <c r="F360" s="94" t="s">
        <v>31</v>
      </c>
      <c r="G360" s="88" t="s">
        <v>2</v>
      </c>
      <c r="H360" s="88" t="s">
        <v>30</v>
      </c>
      <c r="I360">
        <v>7.7338301139999999</v>
      </c>
      <c r="J360">
        <v>8.5391521210000008</v>
      </c>
      <c r="K360" s="87" t="s">
        <v>29</v>
      </c>
      <c r="AV360" t="s">
        <v>1554</v>
      </c>
      <c r="AW360">
        <v>5.7000000000000002E-2</v>
      </c>
      <c r="AX360" s="88" t="s">
        <v>29</v>
      </c>
      <c r="AY360">
        <v>1</v>
      </c>
      <c r="AZ360" t="s">
        <v>1568</v>
      </c>
      <c r="BA360">
        <v>2004</v>
      </c>
      <c r="BC360">
        <v>2004.2</v>
      </c>
      <c r="BD360" t="s">
        <v>19</v>
      </c>
      <c r="BE360" t="s">
        <v>1541</v>
      </c>
      <c r="BF360" t="s">
        <v>24</v>
      </c>
      <c r="BG360" s="78" t="s">
        <v>1243</v>
      </c>
      <c r="BH360" t="s">
        <v>271</v>
      </c>
      <c r="BI360" t="s">
        <v>1557</v>
      </c>
      <c r="BJ360" s="88" t="s">
        <v>22</v>
      </c>
      <c r="BK360">
        <v>266660</v>
      </c>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K360" s="9"/>
      <c r="HU360" s="58">
        <v>45494</v>
      </c>
      <c r="HW360" s="58"/>
      <c r="IG360" t="s">
        <v>1559</v>
      </c>
      <c r="IH360" s="88" t="s">
        <v>19</v>
      </c>
      <c r="II360" t="s">
        <v>660</v>
      </c>
      <c r="IJ360" s="88" t="s">
        <v>661</v>
      </c>
      <c r="IM360" s="87" t="s">
        <v>29</v>
      </c>
      <c r="JI360" t="s">
        <v>1560</v>
      </c>
      <c r="JJ360" s="84" t="s">
        <v>15</v>
      </c>
      <c r="JK360" s="88" t="s">
        <v>14</v>
      </c>
      <c r="JO360" s="95" t="s">
        <v>13</v>
      </c>
      <c r="JP360">
        <v>10</v>
      </c>
      <c r="JS360">
        <v>36</v>
      </c>
      <c r="JT360">
        <v>20</v>
      </c>
      <c r="KD360" t="s">
        <v>1562</v>
      </c>
      <c r="KE360" s="12" t="s">
        <v>1561</v>
      </c>
      <c r="KH360" t="s">
        <v>1563</v>
      </c>
      <c r="KI360" t="s">
        <v>222</v>
      </c>
      <c r="KJ360" s="8" t="s">
        <v>1564</v>
      </c>
      <c r="KK360" s="95" t="s">
        <v>220</v>
      </c>
      <c r="KL360">
        <v>18</v>
      </c>
      <c r="MS360" t="s">
        <v>1538</v>
      </c>
      <c r="MT360">
        <v>6.3</v>
      </c>
      <c r="MU360" t="s">
        <v>1539</v>
      </c>
      <c r="MW360" t="s">
        <v>271</v>
      </c>
      <c r="NE360" t="s">
        <v>1461</v>
      </c>
      <c r="NF360" t="s">
        <v>1540</v>
      </c>
      <c r="NG360" s="4" t="s">
        <v>1531</v>
      </c>
      <c r="NH360" s="6" t="s">
        <v>1550</v>
      </c>
      <c r="NP360" t="s">
        <v>1570</v>
      </c>
      <c r="NQ360" t="s">
        <v>6</v>
      </c>
      <c r="NR360">
        <v>92989.8</v>
      </c>
      <c r="NS360" s="88" t="s">
        <v>29</v>
      </c>
      <c r="NT360" s="88" t="s">
        <v>29</v>
      </c>
      <c r="NW360">
        <v>3</v>
      </c>
      <c r="OH360" t="s">
        <v>1566</v>
      </c>
      <c r="OI360" s="88"/>
      <c r="OJ360">
        <v>2004</v>
      </c>
      <c r="OM360" t="s">
        <v>1569</v>
      </c>
      <c r="OO360" s="88" t="s">
        <v>1178</v>
      </c>
      <c r="OP360" s="58">
        <v>46105</v>
      </c>
    </row>
    <row r="361" spans="1:406" ht="15.75" thickBot="1">
      <c r="A361" t="s">
        <v>248</v>
      </c>
      <c r="B361" t="s">
        <v>1536</v>
      </c>
      <c r="C361" t="s">
        <v>1183</v>
      </c>
      <c r="D361" s="4" t="s">
        <v>1955</v>
      </c>
      <c r="E361" s="96" t="s">
        <v>1553</v>
      </c>
      <c r="F361" s="96" t="s">
        <v>31</v>
      </c>
      <c r="G361" s="2" t="s">
        <v>2</v>
      </c>
      <c r="H361" s="2" t="s">
        <v>30</v>
      </c>
      <c r="I361">
        <v>7.7338301139999999</v>
      </c>
      <c r="J361">
        <v>8.5391521210000008</v>
      </c>
      <c r="K361" s="89" t="s">
        <v>29</v>
      </c>
      <c r="AV361" t="s">
        <v>1554</v>
      </c>
      <c r="AW361">
        <v>5.7000000000000002E-2</v>
      </c>
      <c r="AX361" s="2" t="s">
        <v>29</v>
      </c>
      <c r="AY361">
        <v>1</v>
      </c>
      <c r="AZ361" t="s">
        <v>1568</v>
      </c>
      <c r="BA361">
        <v>2004</v>
      </c>
      <c r="BC361">
        <v>2004.2</v>
      </c>
      <c r="BD361" t="s">
        <v>19</v>
      </c>
      <c r="BE361" t="s">
        <v>1542</v>
      </c>
      <c r="BF361" t="s">
        <v>299</v>
      </c>
      <c r="BG361" s="97" t="s">
        <v>1243</v>
      </c>
      <c r="BH361" t="s">
        <v>23</v>
      </c>
      <c r="BI361" t="s">
        <v>1558</v>
      </c>
      <c r="BJ361" s="2" t="s">
        <v>22</v>
      </c>
      <c r="BK361">
        <v>53330</v>
      </c>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K361" s="9"/>
      <c r="HU361" s="58">
        <v>45494</v>
      </c>
      <c r="HW361" s="58"/>
      <c r="IG361" t="s">
        <v>1559</v>
      </c>
      <c r="IH361" s="2" t="s">
        <v>19</v>
      </c>
      <c r="II361" t="s">
        <v>660</v>
      </c>
      <c r="IJ361" s="2" t="s">
        <v>661</v>
      </c>
      <c r="IM361" s="89" t="s">
        <v>29</v>
      </c>
      <c r="JI361" t="s">
        <v>1560</v>
      </c>
      <c r="JJ361" s="98" t="s">
        <v>15</v>
      </c>
      <c r="JK361" s="2" t="s">
        <v>14</v>
      </c>
      <c r="JO361" s="99" t="s">
        <v>13</v>
      </c>
      <c r="JP361">
        <v>90</v>
      </c>
      <c r="JS361">
        <v>45</v>
      </c>
      <c r="JT361">
        <v>45</v>
      </c>
      <c r="KD361" t="s">
        <v>1562</v>
      </c>
      <c r="KE361" s="14" t="s">
        <v>1561</v>
      </c>
      <c r="KH361" t="s">
        <v>1563</v>
      </c>
      <c r="KI361" t="s">
        <v>222</v>
      </c>
      <c r="KJ361" s="8" t="s">
        <v>1564</v>
      </c>
      <c r="KK361" s="99" t="s">
        <v>220</v>
      </c>
      <c r="KL361">
        <v>18</v>
      </c>
      <c r="MS361" t="s">
        <v>1538</v>
      </c>
      <c r="MT361">
        <v>6.3</v>
      </c>
      <c r="MU361" t="s">
        <v>1543</v>
      </c>
      <c r="MW361" t="s">
        <v>23</v>
      </c>
      <c r="NE361" t="s">
        <v>1461</v>
      </c>
      <c r="NF361" t="s">
        <v>1540</v>
      </c>
      <c r="NG361" s="4" t="s">
        <v>1531</v>
      </c>
      <c r="NH361" s="6" t="s">
        <v>1550</v>
      </c>
      <c r="NP361" t="s">
        <v>1571</v>
      </c>
      <c r="NQ361" t="s">
        <v>6</v>
      </c>
      <c r="NR361">
        <v>218452.5</v>
      </c>
      <c r="NS361" s="2" t="s">
        <v>29</v>
      </c>
      <c r="NT361" s="2" t="s">
        <v>29</v>
      </c>
      <c r="NW361">
        <v>3</v>
      </c>
      <c r="OH361" t="s">
        <v>1566</v>
      </c>
      <c r="OI361" s="2"/>
      <c r="OJ361">
        <v>2004</v>
      </c>
      <c r="OM361" t="s">
        <v>1569</v>
      </c>
      <c r="OO361" s="2" t="s">
        <v>1178</v>
      </c>
      <c r="OP361" s="58">
        <v>46105</v>
      </c>
    </row>
    <row r="362" spans="1:406" ht="15.75" thickBot="1">
      <c r="A362" t="s">
        <v>248</v>
      </c>
      <c r="B362" t="s">
        <v>1536</v>
      </c>
      <c r="C362" t="s">
        <v>1183</v>
      </c>
      <c r="D362" s="4" t="s">
        <v>1955</v>
      </c>
      <c r="E362" s="94" t="s">
        <v>1553</v>
      </c>
      <c r="F362" s="94" t="s">
        <v>31</v>
      </c>
      <c r="G362" s="88" t="s">
        <v>2</v>
      </c>
      <c r="H362" s="88" t="s">
        <v>30</v>
      </c>
      <c r="I362">
        <v>7.7338301139999999</v>
      </c>
      <c r="J362">
        <v>8.5391521210000008</v>
      </c>
      <c r="K362" s="87" t="s">
        <v>29</v>
      </c>
      <c r="AV362" t="s">
        <v>1554</v>
      </c>
      <c r="AW362">
        <v>5.7000000000000002E-2</v>
      </c>
      <c r="AX362" s="88" t="s">
        <v>29</v>
      </c>
      <c r="AY362">
        <v>1</v>
      </c>
      <c r="AZ362" t="s">
        <v>1567</v>
      </c>
      <c r="BA362">
        <v>2004</v>
      </c>
      <c r="BC362">
        <v>2004.1</v>
      </c>
      <c r="BD362" t="s">
        <v>238</v>
      </c>
      <c r="BE362" t="s">
        <v>1555</v>
      </c>
      <c r="BF362" t="s">
        <v>64</v>
      </c>
      <c r="BG362" s="78" t="s">
        <v>1243</v>
      </c>
      <c r="BH362" t="s">
        <v>23</v>
      </c>
      <c r="BI362" t="s">
        <v>1558</v>
      </c>
      <c r="BJ362" s="88" t="s">
        <v>22</v>
      </c>
      <c r="BK362">
        <v>38000</v>
      </c>
      <c r="BL362" t="s">
        <v>56</v>
      </c>
      <c r="BM362" t="s">
        <v>271</v>
      </c>
      <c r="BN362" t="s">
        <v>1556</v>
      </c>
      <c r="BO362" s="88" t="s">
        <v>22</v>
      </c>
      <c r="BP362">
        <v>266660</v>
      </c>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K362" s="9"/>
      <c r="HU362" s="58">
        <v>38127</v>
      </c>
      <c r="HW362" s="58"/>
      <c r="IG362" t="s">
        <v>238</v>
      </c>
      <c r="IH362" s="88" t="s">
        <v>1200</v>
      </c>
      <c r="II362" t="s">
        <v>660</v>
      </c>
      <c r="IJ362" s="88" t="s">
        <v>661</v>
      </c>
      <c r="IM362" s="87" t="s">
        <v>29</v>
      </c>
      <c r="JI362" t="s">
        <v>1560</v>
      </c>
      <c r="JJ362" s="84" t="s">
        <v>15</v>
      </c>
      <c r="JK362" s="88" t="s">
        <v>14</v>
      </c>
      <c r="JO362" s="95" t="s">
        <v>13</v>
      </c>
      <c r="JP362">
        <v>100</v>
      </c>
      <c r="JS362">
        <v>81</v>
      </c>
      <c r="JT362">
        <v>65</v>
      </c>
      <c r="KD362" t="s">
        <v>1562</v>
      </c>
      <c r="KE362" s="12" t="s">
        <v>1561</v>
      </c>
      <c r="KH362" t="s">
        <v>1563</v>
      </c>
      <c r="KI362" t="s">
        <v>222</v>
      </c>
      <c r="KJ362" s="8" t="s">
        <v>1564</v>
      </c>
      <c r="KK362" s="95" t="s">
        <v>220</v>
      </c>
      <c r="KL362">
        <v>18</v>
      </c>
      <c r="MS362" t="s">
        <v>1538</v>
      </c>
      <c r="MT362">
        <v>6.3</v>
      </c>
      <c r="MU362" t="s">
        <v>1544</v>
      </c>
      <c r="MW362" t="s">
        <v>23</v>
      </c>
      <c r="MX362" t="s">
        <v>271</v>
      </c>
      <c r="NE362" t="s">
        <v>1544</v>
      </c>
      <c r="NG362" t="s">
        <v>1573</v>
      </c>
      <c r="NH362" s="88"/>
      <c r="NS362" s="88"/>
      <c r="NT362" s="88"/>
      <c r="NW362">
        <v>3</v>
      </c>
      <c r="NX362">
        <v>0.53</v>
      </c>
      <c r="NY362" s="87" t="s">
        <v>29</v>
      </c>
      <c r="NZ362">
        <v>0.39</v>
      </c>
      <c r="OA362" s="87" t="s">
        <v>29</v>
      </c>
      <c r="OH362" t="s">
        <v>1574</v>
      </c>
      <c r="OI362" s="88"/>
      <c r="OJ362">
        <v>2004</v>
      </c>
      <c r="OM362" t="s">
        <v>1552</v>
      </c>
      <c r="OO362" s="88" t="s">
        <v>1178</v>
      </c>
      <c r="OP362" s="58">
        <v>46105</v>
      </c>
    </row>
    <row r="363" spans="1:406" ht="15.75" thickBot="1">
      <c r="A363" t="s">
        <v>248</v>
      </c>
      <c r="B363" t="s">
        <v>1536</v>
      </c>
      <c r="C363" t="s">
        <v>1183</v>
      </c>
      <c r="D363" s="4" t="s">
        <v>1955</v>
      </c>
      <c r="E363" s="94" t="s">
        <v>1553</v>
      </c>
      <c r="F363" s="94" t="s">
        <v>31</v>
      </c>
      <c r="G363" s="88" t="s">
        <v>2</v>
      </c>
      <c r="H363" s="88" t="s">
        <v>30</v>
      </c>
      <c r="I363">
        <v>7.7338301139999999</v>
      </c>
      <c r="J363">
        <v>8.5391521210000008</v>
      </c>
      <c r="K363" s="87" t="s">
        <v>29</v>
      </c>
      <c r="AV363" t="s">
        <v>1554</v>
      </c>
      <c r="AW363">
        <v>5.7000000000000002E-2</v>
      </c>
      <c r="AX363" s="88" t="s">
        <v>29</v>
      </c>
      <c r="AY363">
        <v>1</v>
      </c>
      <c r="AZ363" t="s">
        <v>1567</v>
      </c>
      <c r="BA363">
        <v>2004</v>
      </c>
      <c r="BC363">
        <v>2004.1</v>
      </c>
      <c r="BD363" t="s">
        <v>238</v>
      </c>
      <c r="BE363" t="s">
        <v>1545</v>
      </c>
      <c r="BF363" t="s">
        <v>57</v>
      </c>
      <c r="BG363" s="78" t="s">
        <v>1243</v>
      </c>
      <c r="BH363" t="s">
        <v>23</v>
      </c>
      <c r="BI363" t="s">
        <v>1558</v>
      </c>
      <c r="BJ363" s="88" t="s">
        <v>22</v>
      </c>
      <c r="BK363">
        <v>38000</v>
      </c>
      <c r="BL363" t="s">
        <v>56</v>
      </c>
      <c r="BM363" t="s">
        <v>271</v>
      </c>
      <c r="BN363" t="s">
        <v>1557</v>
      </c>
      <c r="BO363" s="88" t="s">
        <v>22</v>
      </c>
      <c r="BP363">
        <v>266660</v>
      </c>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K363" s="9"/>
      <c r="HU363" s="58">
        <v>38127</v>
      </c>
      <c r="HW363" s="58"/>
      <c r="IG363" t="s">
        <v>238</v>
      </c>
      <c r="IH363" s="88" t="s">
        <v>1200</v>
      </c>
      <c r="II363" t="s">
        <v>660</v>
      </c>
      <c r="IJ363" s="88" t="s">
        <v>661</v>
      </c>
      <c r="IM363" s="87" t="s">
        <v>29</v>
      </c>
      <c r="JI363" t="s">
        <v>1560</v>
      </c>
      <c r="JJ363" s="84" t="s">
        <v>15</v>
      </c>
      <c r="JK363" s="88" t="s">
        <v>14</v>
      </c>
      <c r="JO363" s="95" t="s">
        <v>13</v>
      </c>
      <c r="JP363">
        <v>100</v>
      </c>
      <c r="JS363">
        <v>81</v>
      </c>
      <c r="JT363">
        <v>65</v>
      </c>
      <c r="KD363" t="s">
        <v>1562</v>
      </c>
      <c r="KE363" s="12" t="s">
        <v>1561</v>
      </c>
      <c r="KH363" t="s">
        <v>1563</v>
      </c>
      <c r="KI363" t="s">
        <v>222</v>
      </c>
      <c r="KJ363" s="8" t="s">
        <v>1564</v>
      </c>
      <c r="KK363" s="95" t="s">
        <v>220</v>
      </c>
      <c r="KL363">
        <v>18</v>
      </c>
      <c r="MS363" t="s">
        <v>1538</v>
      </c>
      <c r="MT363">
        <v>6.3</v>
      </c>
      <c r="MU363" t="s">
        <v>1544</v>
      </c>
      <c r="MW363" t="s">
        <v>23</v>
      </c>
      <c r="MX363" t="s">
        <v>271</v>
      </c>
      <c r="NE363" t="s">
        <v>1575</v>
      </c>
      <c r="NG363" t="s">
        <v>1573</v>
      </c>
      <c r="NH363" s="88"/>
      <c r="NS363" s="88"/>
      <c r="NT363" s="88"/>
      <c r="NW363">
        <v>3</v>
      </c>
      <c r="NX363">
        <v>0.61</v>
      </c>
      <c r="NY363" s="87" t="s">
        <v>29</v>
      </c>
      <c r="NZ363">
        <v>1.02</v>
      </c>
      <c r="OA363" s="87" t="s">
        <v>29</v>
      </c>
      <c r="OH363" t="s">
        <v>1574</v>
      </c>
      <c r="OI363" s="88"/>
      <c r="OJ363">
        <v>2004</v>
      </c>
      <c r="OM363" t="s">
        <v>1552</v>
      </c>
      <c r="OO363" s="88" t="s">
        <v>1178</v>
      </c>
      <c r="OP363" s="58">
        <v>46105</v>
      </c>
    </row>
    <row r="364" spans="1:406" ht="15.75" thickBot="1">
      <c r="A364" t="s">
        <v>248</v>
      </c>
      <c r="B364" t="s">
        <v>1536</v>
      </c>
      <c r="C364" t="s">
        <v>1183</v>
      </c>
      <c r="D364" s="4" t="s">
        <v>1955</v>
      </c>
      <c r="E364" s="94" t="s">
        <v>1553</v>
      </c>
      <c r="F364" s="94" t="s">
        <v>31</v>
      </c>
      <c r="G364" s="88" t="s">
        <v>2</v>
      </c>
      <c r="H364" s="88" t="s">
        <v>30</v>
      </c>
      <c r="I364">
        <v>7.7338301139999999</v>
      </c>
      <c r="J364">
        <v>8.5391521210000008</v>
      </c>
      <c r="K364" s="87" t="s">
        <v>29</v>
      </c>
      <c r="AV364" t="s">
        <v>1554</v>
      </c>
      <c r="AW364">
        <v>5.7000000000000002E-2</v>
      </c>
      <c r="AX364" s="88" t="s">
        <v>29</v>
      </c>
      <c r="AY364">
        <v>1</v>
      </c>
      <c r="AZ364" t="s">
        <v>1567</v>
      </c>
      <c r="BA364">
        <v>2004</v>
      </c>
      <c r="BC364">
        <v>2004.1</v>
      </c>
      <c r="BD364" t="s">
        <v>238</v>
      </c>
      <c r="BE364" t="s">
        <v>1546</v>
      </c>
      <c r="BF364" t="s">
        <v>48</v>
      </c>
      <c r="BG364" s="78" t="s">
        <v>1243</v>
      </c>
      <c r="BH364" t="s">
        <v>23</v>
      </c>
      <c r="BI364" t="s">
        <v>1558</v>
      </c>
      <c r="BJ364" s="88" t="s">
        <v>22</v>
      </c>
      <c r="BK364">
        <v>44440</v>
      </c>
      <c r="BL364" t="s">
        <v>56</v>
      </c>
      <c r="BM364" t="s">
        <v>271</v>
      </c>
      <c r="BN364" t="s">
        <v>1556</v>
      </c>
      <c r="BO364" s="88" t="s">
        <v>22</v>
      </c>
      <c r="BP364">
        <v>266660</v>
      </c>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K364" s="9"/>
      <c r="HU364" s="58">
        <v>38127</v>
      </c>
      <c r="HW364" s="58"/>
      <c r="IG364" t="s">
        <v>238</v>
      </c>
      <c r="IH364" s="88" t="s">
        <v>1200</v>
      </c>
      <c r="II364" t="s">
        <v>660</v>
      </c>
      <c r="IJ364" s="88" t="s">
        <v>661</v>
      </c>
      <c r="IM364" s="87" t="s">
        <v>29</v>
      </c>
      <c r="JI364" t="s">
        <v>1560</v>
      </c>
      <c r="JJ364" s="84" t="s">
        <v>15</v>
      </c>
      <c r="JK364" s="88" t="s">
        <v>14</v>
      </c>
      <c r="JO364" s="95" t="s">
        <v>13</v>
      </c>
      <c r="JP364">
        <v>100</v>
      </c>
      <c r="JS364">
        <v>81</v>
      </c>
      <c r="JT364">
        <v>65</v>
      </c>
      <c r="KD364" t="s">
        <v>1562</v>
      </c>
      <c r="KE364" s="12" t="s">
        <v>1561</v>
      </c>
      <c r="KH364" t="s">
        <v>1563</v>
      </c>
      <c r="KI364" t="s">
        <v>222</v>
      </c>
      <c r="KJ364" s="8" t="s">
        <v>1564</v>
      </c>
      <c r="KK364" s="95" t="s">
        <v>220</v>
      </c>
      <c r="KL364">
        <v>18</v>
      </c>
      <c r="MS364" t="s">
        <v>1538</v>
      </c>
      <c r="MT364">
        <v>6.3</v>
      </c>
      <c r="MU364" t="s">
        <v>1544</v>
      </c>
      <c r="MW364" t="s">
        <v>23</v>
      </c>
      <c r="MX364" t="s">
        <v>271</v>
      </c>
      <c r="NE364" t="s">
        <v>1575</v>
      </c>
      <c r="NG364" t="s">
        <v>1573</v>
      </c>
      <c r="NH364" s="88"/>
      <c r="NS364" s="88"/>
      <c r="NT364" s="88"/>
      <c r="NW364">
        <v>3</v>
      </c>
      <c r="NX364">
        <v>0.78</v>
      </c>
      <c r="NY364" s="87" t="s">
        <v>29</v>
      </c>
      <c r="NZ364">
        <v>0.42</v>
      </c>
      <c r="OA364" s="87" t="s">
        <v>29</v>
      </c>
      <c r="OH364" t="s">
        <v>1574</v>
      </c>
      <c r="OI364" s="88"/>
      <c r="OJ364">
        <v>2004</v>
      </c>
      <c r="OM364" t="s">
        <v>1552</v>
      </c>
      <c r="OO364" s="88" t="s">
        <v>1178</v>
      </c>
      <c r="OP364" s="58">
        <v>46105</v>
      </c>
    </row>
    <row r="365" spans="1:406" ht="15.75" thickBot="1">
      <c r="A365" t="s">
        <v>248</v>
      </c>
      <c r="B365" t="s">
        <v>1536</v>
      </c>
      <c r="C365" t="s">
        <v>1183</v>
      </c>
      <c r="D365" s="4" t="s">
        <v>1955</v>
      </c>
      <c r="E365" s="94" t="s">
        <v>1553</v>
      </c>
      <c r="F365" s="94" t="s">
        <v>31</v>
      </c>
      <c r="G365" s="88" t="s">
        <v>2</v>
      </c>
      <c r="H365" s="88" t="s">
        <v>30</v>
      </c>
      <c r="I365">
        <v>7.7338301139999999</v>
      </c>
      <c r="J365">
        <v>8.5391521210000008</v>
      </c>
      <c r="K365" s="87" t="s">
        <v>29</v>
      </c>
      <c r="AV365" t="s">
        <v>1554</v>
      </c>
      <c r="AW365">
        <v>5.7000000000000002E-2</v>
      </c>
      <c r="AX365" s="88" t="s">
        <v>29</v>
      </c>
      <c r="AY365">
        <v>1</v>
      </c>
      <c r="AZ365" t="s">
        <v>1567</v>
      </c>
      <c r="BA365">
        <v>2004</v>
      </c>
      <c r="BC365">
        <v>2004.1</v>
      </c>
      <c r="BD365" t="s">
        <v>238</v>
      </c>
      <c r="BE365" t="s">
        <v>1547</v>
      </c>
      <c r="BF365" t="s">
        <v>43</v>
      </c>
      <c r="BG365" s="78" t="s">
        <v>1243</v>
      </c>
      <c r="BH365" t="s">
        <v>23</v>
      </c>
      <c r="BI365" t="s">
        <v>1558</v>
      </c>
      <c r="BJ365" s="88" t="s">
        <v>22</v>
      </c>
      <c r="BK365">
        <v>44440</v>
      </c>
      <c r="BL365" t="s">
        <v>56</v>
      </c>
      <c r="BM365" t="s">
        <v>271</v>
      </c>
      <c r="BN365" t="s">
        <v>1557</v>
      </c>
      <c r="BO365" s="88" t="s">
        <v>22</v>
      </c>
      <c r="BP365">
        <v>266660</v>
      </c>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K365" s="9"/>
      <c r="HU365" s="58">
        <v>38127</v>
      </c>
      <c r="HW365" s="58"/>
      <c r="IG365" t="s">
        <v>238</v>
      </c>
      <c r="IH365" s="88" t="s">
        <v>1200</v>
      </c>
      <c r="II365" t="s">
        <v>660</v>
      </c>
      <c r="IJ365" s="88" t="s">
        <v>661</v>
      </c>
      <c r="IM365" s="87" t="s">
        <v>29</v>
      </c>
      <c r="JI365" t="s">
        <v>1560</v>
      </c>
      <c r="JJ365" s="84" t="s">
        <v>15</v>
      </c>
      <c r="JK365" s="88" t="s">
        <v>14</v>
      </c>
      <c r="JO365" s="95" t="s">
        <v>13</v>
      </c>
      <c r="JP365">
        <v>100</v>
      </c>
      <c r="JS365">
        <v>81</v>
      </c>
      <c r="JT365">
        <v>65</v>
      </c>
      <c r="KD365" t="s">
        <v>1562</v>
      </c>
      <c r="KE365" s="12" t="s">
        <v>1561</v>
      </c>
      <c r="KH365" t="s">
        <v>1563</v>
      </c>
      <c r="KI365" t="s">
        <v>222</v>
      </c>
      <c r="KJ365" s="8" t="s">
        <v>1564</v>
      </c>
      <c r="KK365" s="95" t="s">
        <v>220</v>
      </c>
      <c r="KL365">
        <v>18</v>
      </c>
      <c r="MS365" t="s">
        <v>1538</v>
      </c>
      <c r="MT365">
        <v>6.3</v>
      </c>
      <c r="MU365" t="s">
        <v>1544</v>
      </c>
      <c r="MW365" t="s">
        <v>23</v>
      </c>
      <c r="MX365" t="s">
        <v>271</v>
      </c>
      <c r="NE365" t="s">
        <v>1575</v>
      </c>
      <c r="NG365" t="s">
        <v>1573</v>
      </c>
      <c r="NH365" s="88"/>
      <c r="NS365" s="88"/>
      <c r="NT365" s="88"/>
      <c r="NW365">
        <v>3</v>
      </c>
      <c r="NX365">
        <v>0.62</v>
      </c>
      <c r="NY365" s="87" t="s">
        <v>29</v>
      </c>
      <c r="NZ365">
        <v>0.68</v>
      </c>
      <c r="OA365" s="87" t="s">
        <v>29</v>
      </c>
      <c r="OH365" t="s">
        <v>1574</v>
      </c>
      <c r="OI365" s="88"/>
      <c r="OJ365">
        <v>2004</v>
      </c>
      <c r="OM365" t="s">
        <v>1552</v>
      </c>
      <c r="OO365" s="88" t="s">
        <v>1178</v>
      </c>
      <c r="OP365" s="58">
        <v>46105</v>
      </c>
    </row>
    <row r="366" spans="1:406" ht="15.75" thickBot="1">
      <c r="A366" t="s">
        <v>248</v>
      </c>
      <c r="B366" t="s">
        <v>1536</v>
      </c>
      <c r="C366" t="s">
        <v>1183</v>
      </c>
      <c r="D366" s="4" t="s">
        <v>1955</v>
      </c>
      <c r="E366" s="94" t="s">
        <v>1553</v>
      </c>
      <c r="F366" s="94" t="s">
        <v>31</v>
      </c>
      <c r="G366" s="88" t="s">
        <v>2</v>
      </c>
      <c r="H366" s="88" t="s">
        <v>30</v>
      </c>
      <c r="I366">
        <v>7.7338301139999999</v>
      </c>
      <c r="J366">
        <v>8.5391521210000008</v>
      </c>
      <c r="K366" s="87" t="s">
        <v>29</v>
      </c>
      <c r="AV366" t="s">
        <v>1554</v>
      </c>
      <c r="AW366">
        <v>5.7000000000000002E-2</v>
      </c>
      <c r="AX366" s="88" t="s">
        <v>29</v>
      </c>
      <c r="AY366">
        <v>1</v>
      </c>
      <c r="AZ366" t="s">
        <v>1567</v>
      </c>
      <c r="BA366">
        <v>2004</v>
      </c>
      <c r="BC366">
        <v>2004.1</v>
      </c>
      <c r="BD366" t="s">
        <v>238</v>
      </c>
      <c r="BE366" t="s">
        <v>1548</v>
      </c>
      <c r="BF366" t="s">
        <v>252</v>
      </c>
      <c r="BG366" s="78" t="s">
        <v>1243</v>
      </c>
      <c r="BH366" t="s">
        <v>23</v>
      </c>
      <c r="BI366" t="s">
        <v>1558</v>
      </c>
      <c r="BJ366" s="88" t="s">
        <v>22</v>
      </c>
      <c r="BK366">
        <v>53330</v>
      </c>
      <c r="BL366" t="s">
        <v>56</v>
      </c>
      <c r="BM366" t="s">
        <v>271</v>
      </c>
      <c r="BN366" t="s">
        <v>1556</v>
      </c>
      <c r="BO366" s="88" t="s">
        <v>22</v>
      </c>
      <c r="BP366">
        <v>266660</v>
      </c>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K366" s="9"/>
      <c r="HU366" s="58">
        <v>38127</v>
      </c>
      <c r="HW366" s="58"/>
      <c r="IG366" t="s">
        <v>238</v>
      </c>
      <c r="IH366" s="88" t="s">
        <v>1200</v>
      </c>
      <c r="II366" t="s">
        <v>660</v>
      </c>
      <c r="IJ366" s="88" t="s">
        <v>661</v>
      </c>
      <c r="IM366" s="87" t="s">
        <v>29</v>
      </c>
      <c r="JI366" t="s">
        <v>1560</v>
      </c>
      <c r="JJ366" s="84" t="s">
        <v>15</v>
      </c>
      <c r="JK366" s="88" t="s">
        <v>14</v>
      </c>
      <c r="JO366" s="95" t="s">
        <v>13</v>
      </c>
      <c r="JP366">
        <v>100</v>
      </c>
      <c r="JS366">
        <v>81</v>
      </c>
      <c r="JT366">
        <v>65</v>
      </c>
      <c r="KD366" t="s">
        <v>1562</v>
      </c>
      <c r="KE366" s="12" t="s">
        <v>1561</v>
      </c>
      <c r="KH366" t="s">
        <v>1563</v>
      </c>
      <c r="KI366" t="s">
        <v>222</v>
      </c>
      <c r="KJ366" s="8" t="s">
        <v>1564</v>
      </c>
      <c r="KK366" s="95" t="s">
        <v>220</v>
      </c>
      <c r="KL366">
        <v>18</v>
      </c>
      <c r="MS366" t="s">
        <v>1538</v>
      </c>
      <c r="MT366">
        <v>6.3</v>
      </c>
      <c r="MU366" t="s">
        <v>1544</v>
      </c>
      <c r="MW366" t="s">
        <v>23</v>
      </c>
      <c r="MX366" t="s">
        <v>271</v>
      </c>
      <c r="NE366" t="s">
        <v>1575</v>
      </c>
      <c r="NG366" t="s">
        <v>1573</v>
      </c>
      <c r="NH366" s="88"/>
      <c r="NS366" s="88"/>
      <c r="NT366" s="88"/>
      <c r="NW366">
        <v>3</v>
      </c>
      <c r="NX366">
        <v>1.01</v>
      </c>
      <c r="NY366" s="87" t="s">
        <v>29</v>
      </c>
      <c r="NZ366">
        <v>0.42</v>
      </c>
      <c r="OA366" s="87" t="s">
        <v>29</v>
      </c>
      <c r="OH366" t="s">
        <v>1574</v>
      </c>
      <c r="OI366" s="88"/>
      <c r="OJ366">
        <v>2004</v>
      </c>
      <c r="OM366" t="s">
        <v>1552</v>
      </c>
      <c r="OO366" s="88" t="s">
        <v>1178</v>
      </c>
      <c r="OP366" s="58">
        <v>46105</v>
      </c>
    </row>
    <row r="367" spans="1:406" ht="15.75" thickBot="1">
      <c r="A367" t="s">
        <v>248</v>
      </c>
      <c r="B367" t="s">
        <v>1536</v>
      </c>
      <c r="C367" t="s">
        <v>1183</v>
      </c>
      <c r="D367" s="4" t="s">
        <v>1955</v>
      </c>
      <c r="E367" s="94" t="s">
        <v>1553</v>
      </c>
      <c r="F367" s="94" t="s">
        <v>31</v>
      </c>
      <c r="G367" s="88" t="s">
        <v>2</v>
      </c>
      <c r="H367" s="88" t="s">
        <v>30</v>
      </c>
      <c r="I367">
        <v>7.7338301139999999</v>
      </c>
      <c r="J367">
        <v>8.5391521210000008</v>
      </c>
      <c r="K367" s="87" t="s">
        <v>29</v>
      </c>
      <c r="AV367" t="s">
        <v>1554</v>
      </c>
      <c r="AW367">
        <v>5.7000000000000002E-2</v>
      </c>
      <c r="AX367" s="88" t="s">
        <v>29</v>
      </c>
      <c r="AY367">
        <v>1</v>
      </c>
      <c r="AZ367" t="s">
        <v>1567</v>
      </c>
      <c r="BA367">
        <v>2004</v>
      </c>
      <c r="BC367">
        <v>2004.1</v>
      </c>
      <c r="BD367" t="s">
        <v>238</v>
      </c>
      <c r="BE367" t="s">
        <v>1549</v>
      </c>
      <c r="BF367" t="s">
        <v>236</v>
      </c>
      <c r="BG367" s="78" t="s">
        <v>1243</v>
      </c>
      <c r="BH367" t="s">
        <v>23</v>
      </c>
      <c r="BI367" t="s">
        <v>1558</v>
      </c>
      <c r="BJ367" s="88" t="s">
        <v>22</v>
      </c>
      <c r="BK367">
        <v>53330</v>
      </c>
      <c r="BL367" t="s">
        <v>56</v>
      </c>
      <c r="BM367" t="s">
        <v>271</v>
      </c>
      <c r="BN367" t="s">
        <v>1557</v>
      </c>
      <c r="BO367" s="88" t="s">
        <v>22</v>
      </c>
      <c r="BP367">
        <v>266660</v>
      </c>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K367" s="9"/>
      <c r="HU367" s="58">
        <v>38127</v>
      </c>
      <c r="HW367" s="58"/>
      <c r="IG367" t="s">
        <v>238</v>
      </c>
      <c r="IH367" s="88" t="s">
        <v>1200</v>
      </c>
      <c r="II367" t="s">
        <v>660</v>
      </c>
      <c r="IJ367" s="88" t="s">
        <v>661</v>
      </c>
      <c r="IM367" s="87" t="s">
        <v>29</v>
      </c>
      <c r="JI367" t="s">
        <v>1560</v>
      </c>
      <c r="JJ367" s="84" t="s">
        <v>15</v>
      </c>
      <c r="JK367" s="88" t="s">
        <v>14</v>
      </c>
      <c r="JO367" s="95" t="s">
        <v>13</v>
      </c>
      <c r="JP367">
        <v>100</v>
      </c>
      <c r="JS367">
        <v>81</v>
      </c>
      <c r="JT367">
        <v>65</v>
      </c>
      <c r="KD367" t="s">
        <v>1562</v>
      </c>
      <c r="KE367" s="12" t="s">
        <v>1561</v>
      </c>
      <c r="KH367" t="s">
        <v>1563</v>
      </c>
      <c r="KI367" t="s">
        <v>222</v>
      </c>
      <c r="KJ367" s="8" t="s">
        <v>1564</v>
      </c>
      <c r="KK367" s="95" t="s">
        <v>220</v>
      </c>
      <c r="KL367">
        <v>18</v>
      </c>
      <c r="MS367" t="s">
        <v>1538</v>
      </c>
      <c r="MT367">
        <v>6.3</v>
      </c>
      <c r="MU367" t="s">
        <v>1544</v>
      </c>
      <c r="MW367" t="s">
        <v>23</v>
      </c>
      <c r="MX367" t="s">
        <v>271</v>
      </c>
      <c r="NE367" t="s">
        <v>1575</v>
      </c>
      <c r="NG367" t="s">
        <v>1573</v>
      </c>
      <c r="NH367" s="88"/>
      <c r="NS367" s="88"/>
      <c r="NT367" s="88"/>
      <c r="NW367">
        <v>3</v>
      </c>
      <c r="NX367">
        <v>0.81</v>
      </c>
      <c r="NY367" s="87" t="s">
        <v>29</v>
      </c>
      <c r="NZ367">
        <v>0.64</v>
      </c>
      <c r="OA367" s="87" t="s">
        <v>29</v>
      </c>
      <c r="OH367" t="s">
        <v>1574</v>
      </c>
      <c r="OI367" s="88"/>
      <c r="OJ367">
        <v>2004</v>
      </c>
      <c r="OM367" t="s">
        <v>1552</v>
      </c>
      <c r="OO367" s="88" t="s">
        <v>1178</v>
      </c>
      <c r="OP367" s="58">
        <v>46105</v>
      </c>
    </row>
    <row r="368" spans="1:406" ht="15.75" thickBot="1">
      <c r="A368" t="s">
        <v>248</v>
      </c>
      <c r="B368" t="s">
        <v>1536</v>
      </c>
      <c r="C368" t="s">
        <v>1183</v>
      </c>
      <c r="D368" s="4" t="s">
        <v>1955</v>
      </c>
      <c r="E368" s="94" t="s">
        <v>1553</v>
      </c>
      <c r="F368" s="94" t="s">
        <v>31</v>
      </c>
      <c r="G368" s="88" t="s">
        <v>2</v>
      </c>
      <c r="H368" s="88" t="s">
        <v>30</v>
      </c>
      <c r="I368">
        <v>7.7338301139999999</v>
      </c>
      <c r="J368">
        <v>8.5391521210000008</v>
      </c>
      <c r="K368" s="87" t="s">
        <v>29</v>
      </c>
      <c r="AV368" t="s">
        <v>1554</v>
      </c>
      <c r="AW368">
        <v>5.7000000000000002E-2</v>
      </c>
      <c r="AX368" s="88" t="s">
        <v>29</v>
      </c>
      <c r="AY368">
        <v>1</v>
      </c>
      <c r="AZ368" t="s">
        <v>1567</v>
      </c>
      <c r="BA368">
        <v>2004</v>
      </c>
      <c r="BC368">
        <v>2004.1</v>
      </c>
      <c r="BD368" t="s">
        <v>19</v>
      </c>
      <c r="BE368" t="s">
        <v>1537</v>
      </c>
      <c r="BF368" t="s">
        <v>39</v>
      </c>
      <c r="BG368" s="78" t="s">
        <v>1243</v>
      </c>
      <c r="BH368" t="s">
        <v>271</v>
      </c>
      <c r="BI368" t="s">
        <v>1556</v>
      </c>
      <c r="BJ368" s="88" t="s">
        <v>22</v>
      </c>
      <c r="BK368">
        <v>266660</v>
      </c>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K368" s="9"/>
      <c r="HU368" s="58">
        <v>38127</v>
      </c>
      <c r="HW368" s="58"/>
      <c r="IG368" t="s">
        <v>1559</v>
      </c>
      <c r="IH368" s="88" t="s">
        <v>19</v>
      </c>
      <c r="II368" t="s">
        <v>660</v>
      </c>
      <c r="IJ368" s="88" t="s">
        <v>661</v>
      </c>
      <c r="IM368" s="87" t="s">
        <v>29</v>
      </c>
      <c r="JI368" t="s">
        <v>1560</v>
      </c>
      <c r="JJ368" s="84" t="s">
        <v>15</v>
      </c>
      <c r="JK368" s="88" t="s">
        <v>14</v>
      </c>
      <c r="JO368" s="95" t="s">
        <v>13</v>
      </c>
      <c r="JP368">
        <v>10</v>
      </c>
      <c r="JS368">
        <v>36</v>
      </c>
      <c r="JT368">
        <v>20</v>
      </c>
      <c r="KD368" t="s">
        <v>1562</v>
      </c>
      <c r="KE368" s="12" t="s">
        <v>1561</v>
      </c>
      <c r="KH368" t="s">
        <v>1563</v>
      </c>
      <c r="KI368" t="s">
        <v>222</v>
      </c>
      <c r="KJ368" s="8" t="s">
        <v>1564</v>
      </c>
      <c r="KK368" s="95" t="s">
        <v>220</v>
      </c>
      <c r="KL368">
        <v>18</v>
      </c>
      <c r="MS368" t="s">
        <v>1538</v>
      </c>
      <c r="MT368">
        <v>6.3</v>
      </c>
      <c r="MU368" t="s">
        <v>1539</v>
      </c>
      <c r="MW368" t="s">
        <v>271</v>
      </c>
      <c r="NE368" t="s">
        <v>1539</v>
      </c>
      <c r="NG368" t="s">
        <v>1573</v>
      </c>
      <c r="NH368" s="88"/>
      <c r="NP368" t="s">
        <v>1572</v>
      </c>
      <c r="NS368" s="88"/>
      <c r="NT368" s="88"/>
      <c r="NW368">
        <v>3</v>
      </c>
      <c r="OH368" t="s">
        <v>1574</v>
      </c>
      <c r="OI368" s="88"/>
      <c r="OJ368">
        <v>2004</v>
      </c>
      <c r="OM368" t="s">
        <v>1552</v>
      </c>
      <c r="OO368" s="88" t="s">
        <v>1178</v>
      </c>
      <c r="OP368" s="58">
        <v>46105</v>
      </c>
    </row>
    <row r="369" spans="1:406" ht="15.75" thickBot="1">
      <c r="A369" t="s">
        <v>248</v>
      </c>
      <c r="B369" t="s">
        <v>1536</v>
      </c>
      <c r="C369" t="s">
        <v>1183</v>
      </c>
      <c r="D369" s="4" t="s">
        <v>1955</v>
      </c>
      <c r="E369" s="94" t="s">
        <v>1553</v>
      </c>
      <c r="F369" s="94" t="s">
        <v>31</v>
      </c>
      <c r="G369" s="88" t="s">
        <v>2</v>
      </c>
      <c r="H369" s="88" t="s">
        <v>30</v>
      </c>
      <c r="I369">
        <v>7.7338301139999999</v>
      </c>
      <c r="J369">
        <v>8.5391521210000008</v>
      </c>
      <c r="K369" s="87" t="s">
        <v>29</v>
      </c>
      <c r="AV369" t="s">
        <v>1554</v>
      </c>
      <c r="AW369">
        <v>5.7000000000000002E-2</v>
      </c>
      <c r="AX369" s="88" t="s">
        <v>29</v>
      </c>
      <c r="AY369">
        <v>1</v>
      </c>
      <c r="AZ369" t="s">
        <v>1567</v>
      </c>
      <c r="BA369">
        <v>2004</v>
      </c>
      <c r="BC369">
        <v>2004.1</v>
      </c>
      <c r="BD369" t="s">
        <v>19</v>
      </c>
      <c r="BE369" t="s">
        <v>1541</v>
      </c>
      <c r="BF369" t="s">
        <v>24</v>
      </c>
      <c r="BG369" s="78" t="s">
        <v>1243</v>
      </c>
      <c r="BH369" t="s">
        <v>271</v>
      </c>
      <c r="BI369" t="s">
        <v>1557</v>
      </c>
      <c r="BJ369" s="88" t="s">
        <v>22</v>
      </c>
      <c r="BK369">
        <v>266660</v>
      </c>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K369" s="9"/>
      <c r="HU369" s="58">
        <v>38127</v>
      </c>
      <c r="HW369" s="58"/>
      <c r="IG369" t="s">
        <v>1559</v>
      </c>
      <c r="IH369" s="88" t="s">
        <v>19</v>
      </c>
      <c r="II369" t="s">
        <v>660</v>
      </c>
      <c r="IJ369" s="88" t="s">
        <v>661</v>
      </c>
      <c r="IM369" s="87" t="s">
        <v>29</v>
      </c>
      <c r="JI369" t="s">
        <v>1560</v>
      </c>
      <c r="JJ369" s="84" t="s">
        <v>15</v>
      </c>
      <c r="JK369" s="88" t="s">
        <v>14</v>
      </c>
      <c r="JO369" s="95" t="s">
        <v>13</v>
      </c>
      <c r="JP369">
        <v>10</v>
      </c>
      <c r="JS369">
        <v>36</v>
      </c>
      <c r="JT369">
        <v>20</v>
      </c>
      <c r="KD369" t="s">
        <v>1562</v>
      </c>
      <c r="KE369" s="12" t="s">
        <v>1561</v>
      </c>
      <c r="KH369" t="s">
        <v>1563</v>
      </c>
      <c r="KI369" t="s">
        <v>222</v>
      </c>
      <c r="KJ369" s="8" t="s">
        <v>1564</v>
      </c>
      <c r="KK369" s="95" t="s">
        <v>220</v>
      </c>
      <c r="KL369">
        <v>18</v>
      </c>
      <c r="MS369" t="s">
        <v>1538</v>
      </c>
      <c r="MT369">
        <v>6.3</v>
      </c>
      <c r="MU369" t="s">
        <v>1539</v>
      </c>
      <c r="MW369" t="s">
        <v>271</v>
      </c>
      <c r="NE369" t="s">
        <v>1539</v>
      </c>
      <c r="NG369" t="s">
        <v>1573</v>
      </c>
      <c r="NH369" s="88"/>
      <c r="NP369" t="s">
        <v>1570</v>
      </c>
      <c r="NS369" s="88"/>
      <c r="NT369" s="88"/>
      <c r="NW369">
        <v>3</v>
      </c>
      <c r="OH369" t="s">
        <v>1574</v>
      </c>
      <c r="OI369" s="88"/>
      <c r="OJ369">
        <v>2004</v>
      </c>
      <c r="OM369" t="s">
        <v>1552</v>
      </c>
      <c r="OO369" s="88" t="s">
        <v>1178</v>
      </c>
      <c r="OP369" s="58">
        <v>46105</v>
      </c>
    </row>
    <row r="370" spans="1:406" ht="15.75" thickBot="1">
      <c r="A370" t="s">
        <v>248</v>
      </c>
      <c r="B370" t="s">
        <v>1536</v>
      </c>
      <c r="C370" t="s">
        <v>1183</v>
      </c>
      <c r="D370" s="4" t="s">
        <v>1955</v>
      </c>
      <c r="E370" s="94" t="s">
        <v>1553</v>
      </c>
      <c r="F370" s="94" t="s">
        <v>31</v>
      </c>
      <c r="G370" s="88" t="s">
        <v>2</v>
      </c>
      <c r="H370" s="88" t="s">
        <v>30</v>
      </c>
      <c r="I370">
        <v>7.7338301139999999</v>
      </c>
      <c r="J370">
        <v>8.5391521210000008</v>
      </c>
      <c r="K370" s="87" t="s">
        <v>29</v>
      </c>
      <c r="AV370" t="s">
        <v>1554</v>
      </c>
      <c r="AW370">
        <v>5.7000000000000002E-2</v>
      </c>
      <c r="AX370" s="88" t="s">
        <v>29</v>
      </c>
      <c r="AY370">
        <v>1</v>
      </c>
      <c r="AZ370" t="s">
        <v>1567</v>
      </c>
      <c r="BA370">
        <v>2004</v>
      </c>
      <c r="BC370">
        <v>2004.1</v>
      </c>
      <c r="BD370" t="s">
        <v>19</v>
      </c>
      <c r="BE370" t="s">
        <v>1542</v>
      </c>
      <c r="BF370" t="s">
        <v>299</v>
      </c>
      <c r="BG370" s="78" t="s">
        <v>1243</v>
      </c>
      <c r="BH370" t="s">
        <v>23</v>
      </c>
      <c r="BI370" t="s">
        <v>1558</v>
      </c>
      <c r="BJ370" s="88" t="s">
        <v>22</v>
      </c>
      <c r="BK370">
        <v>53330</v>
      </c>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K370" s="9"/>
      <c r="HU370" s="58">
        <v>38127</v>
      </c>
      <c r="HW370" s="58"/>
      <c r="IG370" t="s">
        <v>1559</v>
      </c>
      <c r="IH370" s="88" t="s">
        <v>19</v>
      </c>
      <c r="II370" t="s">
        <v>660</v>
      </c>
      <c r="IJ370" s="88" t="s">
        <v>661</v>
      </c>
      <c r="IM370" s="87" t="s">
        <v>29</v>
      </c>
      <c r="JI370" t="s">
        <v>1560</v>
      </c>
      <c r="JJ370" s="84" t="s">
        <v>15</v>
      </c>
      <c r="JK370" s="88" t="s">
        <v>14</v>
      </c>
      <c r="JO370" s="95" t="s">
        <v>13</v>
      </c>
      <c r="JP370">
        <v>90</v>
      </c>
      <c r="JS370">
        <v>45</v>
      </c>
      <c r="JT370">
        <v>45</v>
      </c>
      <c r="KD370" t="s">
        <v>1562</v>
      </c>
      <c r="KE370" s="12" t="s">
        <v>1561</v>
      </c>
      <c r="KH370" t="s">
        <v>1563</v>
      </c>
      <c r="KI370" t="s">
        <v>222</v>
      </c>
      <c r="KJ370" s="8" t="s">
        <v>1564</v>
      </c>
      <c r="KK370" s="95" t="s">
        <v>220</v>
      </c>
      <c r="KL370">
        <v>18</v>
      </c>
      <c r="MS370" t="s">
        <v>1538</v>
      </c>
      <c r="MT370">
        <v>6.3</v>
      </c>
      <c r="MU370" t="s">
        <v>1543</v>
      </c>
      <c r="MW370" t="s">
        <v>23</v>
      </c>
      <c r="NE370" t="s">
        <v>1543</v>
      </c>
      <c r="NG370" t="s">
        <v>1573</v>
      </c>
      <c r="NH370" s="88"/>
      <c r="NP370" t="s">
        <v>1571</v>
      </c>
      <c r="NS370" s="88"/>
      <c r="NT370" s="88"/>
      <c r="NW370">
        <v>3</v>
      </c>
      <c r="OH370" t="s">
        <v>1574</v>
      </c>
      <c r="OI370" s="88"/>
      <c r="OJ370">
        <v>2004</v>
      </c>
      <c r="OM370" t="s">
        <v>1552</v>
      </c>
      <c r="OO370" s="88" t="s">
        <v>1178</v>
      </c>
      <c r="OP370" s="58">
        <v>46105</v>
      </c>
    </row>
    <row r="371" spans="1:406" ht="15.75" thickBot="1">
      <c r="A371" t="s">
        <v>248</v>
      </c>
      <c r="B371" t="s">
        <v>1536</v>
      </c>
      <c r="C371" t="s">
        <v>1183</v>
      </c>
      <c r="D371" s="4" t="s">
        <v>1955</v>
      </c>
      <c r="E371" s="94" t="s">
        <v>1553</v>
      </c>
      <c r="F371" s="94" t="s">
        <v>31</v>
      </c>
      <c r="G371" s="88" t="s">
        <v>2</v>
      </c>
      <c r="H371" s="88" t="s">
        <v>30</v>
      </c>
      <c r="I371">
        <v>7.7338301139999999</v>
      </c>
      <c r="J371">
        <v>8.5391521210000008</v>
      </c>
      <c r="K371" s="87" t="s">
        <v>29</v>
      </c>
      <c r="AV371" t="s">
        <v>1554</v>
      </c>
      <c r="AW371">
        <v>5.7000000000000002E-2</v>
      </c>
      <c r="AX371" s="88" t="s">
        <v>29</v>
      </c>
      <c r="AY371">
        <v>1</v>
      </c>
      <c r="AZ371" t="s">
        <v>1568</v>
      </c>
      <c r="BA371">
        <v>2004</v>
      </c>
      <c r="BC371">
        <v>2004.2</v>
      </c>
      <c r="BD371" t="s">
        <v>238</v>
      </c>
      <c r="BE371" t="s">
        <v>1555</v>
      </c>
      <c r="BF371" t="s">
        <v>64</v>
      </c>
      <c r="BG371" s="78" t="s">
        <v>1243</v>
      </c>
      <c r="BH371" t="s">
        <v>23</v>
      </c>
      <c r="BI371" t="s">
        <v>1558</v>
      </c>
      <c r="BJ371" s="88" t="s">
        <v>22</v>
      </c>
      <c r="BK371">
        <v>38000</v>
      </c>
      <c r="BL371" t="s">
        <v>56</v>
      </c>
      <c r="BM371" t="s">
        <v>271</v>
      </c>
      <c r="BN371" t="s">
        <v>1556</v>
      </c>
      <c r="BO371" s="88" t="s">
        <v>22</v>
      </c>
      <c r="BP371">
        <v>266660</v>
      </c>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K371" s="9"/>
      <c r="HU371" s="58">
        <v>45494</v>
      </c>
      <c r="HW371" s="58"/>
      <c r="IG371" t="s">
        <v>238</v>
      </c>
      <c r="IH371" s="88" t="s">
        <v>1200</v>
      </c>
      <c r="II371" t="s">
        <v>660</v>
      </c>
      <c r="IJ371" s="88" t="s">
        <v>661</v>
      </c>
      <c r="IM371" s="87" t="s">
        <v>29</v>
      </c>
      <c r="JI371" t="s">
        <v>1560</v>
      </c>
      <c r="JJ371" s="84" t="s">
        <v>15</v>
      </c>
      <c r="JK371" s="88" t="s">
        <v>14</v>
      </c>
      <c r="JO371" s="95" t="s">
        <v>13</v>
      </c>
      <c r="JP371">
        <v>100</v>
      </c>
      <c r="JS371">
        <v>81</v>
      </c>
      <c r="JT371">
        <v>65</v>
      </c>
      <c r="KD371" t="s">
        <v>1562</v>
      </c>
      <c r="KE371" s="12" t="s">
        <v>1561</v>
      </c>
      <c r="KH371" t="s">
        <v>1563</v>
      </c>
      <c r="KI371" t="s">
        <v>222</v>
      </c>
      <c r="KJ371" s="8" t="s">
        <v>1564</v>
      </c>
      <c r="KK371" s="95" t="s">
        <v>220</v>
      </c>
      <c r="KL371">
        <v>18</v>
      </c>
      <c r="MS371" t="s">
        <v>1538</v>
      </c>
      <c r="MT371">
        <v>6.3</v>
      </c>
      <c r="MU371" t="s">
        <v>1544</v>
      </c>
      <c r="MW371" t="s">
        <v>23</v>
      </c>
      <c r="MX371" t="s">
        <v>271</v>
      </c>
      <c r="NE371" t="s">
        <v>1544</v>
      </c>
      <c r="NG371" t="s">
        <v>1573</v>
      </c>
      <c r="NH371" s="88"/>
      <c r="NS371" s="88"/>
      <c r="NT371" s="88"/>
      <c r="NW371">
        <v>3</v>
      </c>
      <c r="NX371">
        <v>0.79</v>
      </c>
      <c r="NY371" s="87" t="s">
        <v>29</v>
      </c>
      <c r="NZ371">
        <v>0.44</v>
      </c>
      <c r="OA371" s="87" t="s">
        <v>29</v>
      </c>
      <c r="OH371" t="s">
        <v>1566</v>
      </c>
      <c r="OI371" s="88"/>
      <c r="OJ371">
        <v>2004</v>
      </c>
      <c r="OM371" t="s">
        <v>1569</v>
      </c>
      <c r="OO371" s="88" t="s">
        <v>1178</v>
      </c>
      <c r="OP371" s="58">
        <v>46105</v>
      </c>
    </row>
    <row r="372" spans="1:406" ht="15.75" thickBot="1">
      <c r="A372" t="s">
        <v>248</v>
      </c>
      <c r="B372" t="s">
        <v>1536</v>
      </c>
      <c r="C372" t="s">
        <v>1183</v>
      </c>
      <c r="D372" s="4" t="s">
        <v>1955</v>
      </c>
      <c r="E372" s="94" t="s">
        <v>1553</v>
      </c>
      <c r="F372" s="94" t="s">
        <v>31</v>
      </c>
      <c r="G372" s="88" t="s">
        <v>2</v>
      </c>
      <c r="H372" s="88" t="s">
        <v>30</v>
      </c>
      <c r="I372">
        <v>7.7338301139999999</v>
      </c>
      <c r="J372">
        <v>8.5391521210000008</v>
      </c>
      <c r="K372" s="87" t="s">
        <v>29</v>
      </c>
      <c r="AV372" t="s">
        <v>1554</v>
      </c>
      <c r="AW372">
        <v>5.7000000000000002E-2</v>
      </c>
      <c r="AX372" s="88" t="s">
        <v>29</v>
      </c>
      <c r="AY372">
        <v>1</v>
      </c>
      <c r="AZ372" t="s">
        <v>1568</v>
      </c>
      <c r="BA372">
        <v>2004</v>
      </c>
      <c r="BC372">
        <v>2004.2</v>
      </c>
      <c r="BD372" t="s">
        <v>238</v>
      </c>
      <c r="BE372" t="s">
        <v>1545</v>
      </c>
      <c r="BF372" t="s">
        <v>57</v>
      </c>
      <c r="BG372" s="78" t="s">
        <v>1243</v>
      </c>
      <c r="BH372" t="s">
        <v>23</v>
      </c>
      <c r="BI372" t="s">
        <v>1558</v>
      </c>
      <c r="BJ372" s="88" t="s">
        <v>22</v>
      </c>
      <c r="BK372">
        <v>38000</v>
      </c>
      <c r="BL372" t="s">
        <v>56</v>
      </c>
      <c r="BM372" t="s">
        <v>271</v>
      </c>
      <c r="BN372" t="s">
        <v>1557</v>
      </c>
      <c r="BO372" s="88" t="s">
        <v>22</v>
      </c>
      <c r="BP372">
        <v>266660</v>
      </c>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K372" s="9"/>
      <c r="HU372" s="58">
        <v>45494</v>
      </c>
      <c r="HW372" s="58"/>
      <c r="IG372" t="s">
        <v>238</v>
      </c>
      <c r="IH372" s="88" t="s">
        <v>1200</v>
      </c>
      <c r="II372" t="s">
        <v>660</v>
      </c>
      <c r="IJ372" s="88" t="s">
        <v>661</v>
      </c>
      <c r="IM372" s="87" t="s">
        <v>29</v>
      </c>
      <c r="JI372" t="s">
        <v>1560</v>
      </c>
      <c r="JJ372" s="84" t="s">
        <v>15</v>
      </c>
      <c r="JK372" s="88" t="s">
        <v>14</v>
      </c>
      <c r="JO372" s="95" t="s">
        <v>13</v>
      </c>
      <c r="JP372">
        <v>100</v>
      </c>
      <c r="JS372">
        <v>81</v>
      </c>
      <c r="JT372">
        <v>65</v>
      </c>
      <c r="KD372" t="s">
        <v>1562</v>
      </c>
      <c r="KE372" s="12" t="s">
        <v>1561</v>
      </c>
      <c r="KH372" t="s">
        <v>1563</v>
      </c>
      <c r="KI372" t="s">
        <v>222</v>
      </c>
      <c r="KJ372" s="8" t="s">
        <v>1564</v>
      </c>
      <c r="KK372" s="95" t="s">
        <v>220</v>
      </c>
      <c r="KL372">
        <v>18</v>
      </c>
      <c r="MS372" t="s">
        <v>1538</v>
      </c>
      <c r="MT372">
        <v>6.3</v>
      </c>
      <c r="MU372" t="s">
        <v>1544</v>
      </c>
      <c r="MW372" t="s">
        <v>23</v>
      </c>
      <c r="MX372" t="s">
        <v>271</v>
      </c>
      <c r="NE372" t="s">
        <v>1575</v>
      </c>
      <c r="NG372" t="s">
        <v>1573</v>
      </c>
      <c r="NH372" s="88"/>
      <c r="NS372" s="88"/>
      <c r="NT372" s="88"/>
      <c r="NW372">
        <v>3</v>
      </c>
      <c r="NX372">
        <v>0.55000000000000004</v>
      </c>
      <c r="NY372" s="87" t="s">
        <v>29</v>
      </c>
      <c r="NZ372">
        <v>0.49</v>
      </c>
      <c r="OA372" s="87" t="s">
        <v>29</v>
      </c>
      <c r="OH372" t="s">
        <v>1566</v>
      </c>
      <c r="OI372" s="88"/>
      <c r="OJ372">
        <v>2004</v>
      </c>
      <c r="OM372" t="s">
        <v>1569</v>
      </c>
      <c r="OO372" s="88" t="s">
        <v>1178</v>
      </c>
      <c r="OP372" s="58">
        <v>46105</v>
      </c>
    </row>
    <row r="373" spans="1:406" ht="15.75" thickBot="1">
      <c r="A373" t="s">
        <v>248</v>
      </c>
      <c r="B373" t="s">
        <v>1536</v>
      </c>
      <c r="C373" t="s">
        <v>1183</v>
      </c>
      <c r="D373" s="4" t="s">
        <v>1955</v>
      </c>
      <c r="E373" s="94" t="s">
        <v>1553</v>
      </c>
      <c r="F373" s="94" t="s">
        <v>31</v>
      </c>
      <c r="G373" s="88" t="s">
        <v>2</v>
      </c>
      <c r="H373" s="88" t="s">
        <v>30</v>
      </c>
      <c r="I373">
        <v>7.7338301139999999</v>
      </c>
      <c r="J373">
        <v>8.5391521210000008</v>
      </c>
      <c r="K373" s="87" t="s">
        <v>29</v>
      </c>
      <c r="AV373" t="s">
        <v>1554</v>
      </c>
      <c r="AW373">
        <v>5.7000000000000002E-2</v>
      </c>
      <c r="AX373" s="88" t="s">
        <v>29</v>
      </c>
      <c r="AY373">
        <v>1</v>
      </c>
      <c r="AZ373" t="s">
        <v>1568</v>
      </c>
      <c r="BA373">
        <v>2004</v>
      </c>
      <c r="BC373">
        <v>2004.2</v>
      </c>
      <c r="BD373" t="s">
        <v>238</v>
      </c>
      <c r="BE373" t="s">
        <v>1546</v>
      </c>
      <c r="BF373" t="s">
        <v>48</v>
      </c>
      <c r="BG373" s="78" t="s">
        <v>1243</v>
      </c>
      <c r="BH373" t="s">
        <v>23</v>
      </c>
      <c r="BI373" t="s">
        <v>1558</v>
      </c>
      <c r="BJ373" s="88" t="s">
        <v>22</v>
      </c>
      <c r="BK373">
        <v>44440</v>
      </c>
      <c r="BL373" t="s">
        <v>56</v>
      </c>
      <c r="BM373" t="s">
        <v>271</v>
      </c>
      <c r="BN373" t="s">
        <v>1556</v>
      </c>
      <c r="BO373" s="88" t="s">
        <v>22</v>
      </c>
      <c r="BP373">
        <v>266660</v>
      </c>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K373" s="9"/>
      <c r="HU373" s="58">
        <v>45494</v>
      </c>
      <c r="HW373" s="58"/>
      <c r="IG373" t="s">
        <v>238</v>
      </c>
      <c r="IH373" s="88" t="s">
        <v>1200</v>
      </c>
      <c r="II373" t="s">
        <v>660</v>
      </c>
      <c r="IJ373" s="88" t="s">
        <v>661</v>
      </c>
      <c r="IM373" s="87" t="s">
        <v>29</v>
      </c>
      <c r="JI373" t="s">
        <v>1560</v>
      </c>
      <c r="JJ373" s="84" t="s">
        <v>15</v>
      </c>
      <c r="JK373" s="88" t="s">
        <v>14</v>
      </c>
      <c r="JO373" s="95" t="s">
        <v>13</v>
      </c>
      <c r="JP373">
        <v>100</v>
      </c>
      <c r="JS373">
        <v>81</v>
      </c>
      <c r="JT373">
        <v>65</v>
      </c>
      <c r="KD373" t="s">
        <v>1562</v>
      </c>
      <c r="KE373" s="12" t="s">
        <v>1561</v>
      </c>
      <c r="KH373" t="s">
        <v>1563</v>
      </c>
      <c r="KI373" t="s">
        <v>222</v>
      </c>
      <c r="KJ373" s="8" t="s">
        <v>1564</v>
      </c>
      <c r="KK373" s="95" t="s">
        <v>220</v>
      </c>
      <c r="KL373">
        <v>18</v>
      </c>
      <c r="MS373" t="s">
        <v>1538</v>
      </c>
      <c r="MT373">
        <v>6.3</v>
      </c>
      <c r="MU373" t="s">
        <v>1544</v>
      </c>
      <c r="MW373" t="s">
        <v>23</v>
      </c>
      <c r="MX373" t="s">
        <v>271</v>
      </c>
      <c r="NE373" t="s">
        <v>1575</v>
      </c>
      <c r="NG373" t="s">
        <v>1573</v>
      </c>
      <c r="NH373" s="88"/>
      <c r="NS373" s="88"/>
      <c r="NT373" s="88"/>
      <c r="NW373">
        <v>3</v>
      </c>
      <c r="NX373">
        <v>0.8</v>
      </c>
      <c r="NY373" s="87" t="s">
        <v>29</v>
      </c>
      <c r="NZ373">
        <v>0.59</v>
      </c>
      <c r="OA373" s="87" t="s">
        <v>29</v>
      </c>
      <c r="OH373" t="s">
        <v>1566</v>
      </c>
      <c r="OI373" s="88"/>
      <c r="OJ373">
        <v>2004</v>
      </c>
      <c r="OM373" t="s">
        <v>1569</v>
      </c>
      <c r="OO373" s="88" t="s">
        <v>1178</v>
      </c>
      <c r="OP373" s="58">
        <v>46105</v>
      </c>
    </row>
    <row r="374" spans="1:406" ht="15.75" thickBot="1">
      <c r="A374" t="s">
        <v>248</v>
      </c>
      <c r="B374" t="s">
        <v>1536</v>
      </c>
      <c r="C374" t="s">
        <v>1183</v>
      </c>
      <c r="D374" s="4" t="s">
        <v>1955</v>
      </c>
      <c r="E374" s="94" t="s">
        <v>1553</v>
      </c>
      <c r="F374" s="94" t="s">
        <v>31</v>
      </c>
      <c r="G374" s="88" t="s">
        <v>2</v>
      </c>
      <c r="H374" s="88" t="s">
        <v>30</v>
      </c>
      <c r="I374">
        <v>7.7338301139999999</v>
      </c>
      <c r="J374">
        <v>8.5391521210000008</v>
      </c>
      <c r="K374" s="87" t="s">
        <v>29</v>
      </c>
      <c r="AV374" t="s">
        <v>1554</v>
      </c>
      <c r="AW374">
        <v>5.7000000000000002E-2</v>
      </c>
      <c r="AX374" s="88" t="s">
        <v>29</v>
      </c>
      <c r="AY374">
        <v>1</v>
      </c>
      <c r="AZ374" t="s">
        <v>1568</v>
      </c>
      <c r="BA374">
        <v>2004</v>
      </c>
      <c r="BC374">
        <v>2004.2</v>
      </c>
      <c r="BD374" t="s">
        <v>238</v>
      </c>
      <c r="BE374" t="s">
        <v>1547</v>
      </c>
      <c r="BF374" t="s">
        <v>43</v>
      </c>
      <c r="BG374" s="78" t="s">
        <v>1243</v>
      </c>
      <c r="BH374" t="s">
        <v>23</v>
      </c>
      <c r="BI374" t="s">
        <v>1558</v>
      </c>
      <c r="BJ374" s="88" t="s">
        <v>22</v>
      </c>
      <c r="BK374">
        <v>44440</v>
      </c>
      <c r="BL374" t="s">
        <v>56</v>
      </c>
      <c r="BM374" t="s">
        <v>271</v>
      </c>
      <c r="BN374" t="s">
        <v>1557</v>
      </c>
      <c r="BO374" s="88" t="s">
        <v>22</v>
      </c>
      <c r="BP374">
        <v>266660</v>
      </c>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K374" s="9"/>
      <c r="HU374" s="58">
        <v>45494</v>
      </c>
      <c r="HW374" s="58"/>
      <c r="IG374" t="s">
        <v>238</v>
      </c>
      <c r="IH374" s="88" t="s">
        <v>1200</v>
      </c>
      <c r="II374" t="s">
        <v>660</v>
      </c>
      <c r="IJ374" s="88" t="s">
        <v>661</v>
      </c>
      <c r="IM374" s="87" t="s">
        <v>29</v>
      </c>
      <c r="JI374" t="s">
        <v>1560</v>
      </c>
      <c r="JJ374" s="84" t="s">
        <v>15</v>
      </c>
      <c r="JK374" s="88" t="s">
        <v>14</v>
      </c>
      <c r="JO374" s="95" t="s">
        <v>13</v>
      </c>
      <c r="JP374">
        <v>100</v>
      </c>
      <c r="JS374">
        <v>81</v>
      </c>
      <c r="JT374">
        <v>65</v>
      </c>
      <c r="KD374" t="s">
        <v>1562</v>
      </c>
      <c r="KE374" s="12" t="s">
        <v>1561</v>
      </c>
      <c r="KH374" t="s">
        <v>1563</v>
      </c>
      <c r="KI374" t="s">
        <v>222</v>
      </c>
      <c r="KJ374" s="8" t="s">
        <v>1564</v>
      </c>
      <c r="KK374" s="95" t="s">
        <v>220</v>
      </c>
      <c r="KL374">
        <v>18</v>
      </c>
      <c r="MS374" t="s">
        <v>1538</v>
      </c>
      <c r="MT374">
        <v>6.3</v>
      </c>
      <c r="MU374" t="s">
        <v>1544</v>
      </c>
      <c r="MW374" t="s">
        <v>23</v>
      </c>
      <c r="MX374" t="s">
        <v>271</v>
      </c>
      <c r="NE374" t="s">
        <v>1575</v>
      </c>
      <c r="NG374" t="s">
        <v>1573</v>
      </c>
      <c r="NH374" s="88"/>
      <c r="NS374" s="88"/>
      <c r="NT374" s="88"/>
      <c r="NW374">
        <v>3</v>
      </c>
      <c r="NX374">
        <v>0.66</v>
      </c>
      <c r="NY374" s="87" t="s">
        <v>29</v>
      </c>
      <c r="NZ374">
        <v>0.57999999999999996</v>
      </c>
      <c r="OA374" s="87" t="s">
        <v>29</v>
      </c>
      <c r="OH374" t="s">
        <v>1566</v>
      </c>
      <c r="OI374" s="88"/>
      <c r="OJ374">
        <v>2004</v>
      </c>
      <c r="OM374" t="s">
        <v>1569</v>
      </c>
      <c r="OO374" s="88" t="s">
        <v>1178</v>
      </c>
      <c r="OP374" s="58">
        <v>46105</v>
      </c>
    </row>
    <row r="375" spans="1:406" ht="15.75" thickBot="1">
      <c r="A375" t="s">
        <v>248</v>
      </c>
      <c r="B375" t="s">
        <v>1536</v>
      </c>
      <c r="C375" t="s">
        <v>1183</v>
      </c>
      <c r="D375" s="4" t="s">
        <v>1955</v>
      </c>
      <c r="E375" s="94" t="s">
        <v>1553</v>
      </c>
      <c r="F375" s="94" t="s">
        <v>31</v>
      </c>
      <c r="G375" s="88" t="s">
        <v>2</v>
      </c>
      <c r="H375" s="88" t="s">
        <v>30</v>
      </c>
      <c r="I375">
        <v>7.7338301139999999</v>
      </c>
      <c r="J375">
        <v>8.5391521210000008</v>
      </c>
      <c r="K375" s="87" t="s">
        <v>29</v>
      </c>
      <c r="AV375" t="s">
        <v>1554</v>
      </c>
      <c r="AW375">
        <v>5.7000000000000002E-2</v>
      </c>
      <c r="AX375" s="88" t="s">
        <v>29</v>
      </c>
      <c r="AY375">
        <v>1</v>
      </c>
      <c r="AZ375" t="s">
        <v>1568</v>
      </c>
      <c r="BA375">
        <v>2004</v>
      </c>
      <c r="BC375">
        <v>2004.2</v>
      </c>
      <c r="BD375" t="s">
        <v>238</v>
      </c>
      <c r="BE375" t="s">
        <v>1548</v>
      </c>
      <c r="BF375" t="s">
        <v>252</v>
      </c>
      <c r="BG375" s="78" t="s">
        <v>1243</v>
      </c>
      <c r="BH375" t="s">
        <v>23</v>
      </c>
      <c r="BI375" t="s">
        <v>1558</v>
      </c>
      <c r="BJ375" s="88" t="s">
        <v>22</v>
      </c>
      <c r="BK375">
        <v>53330</v>
      </c>
      <c r="BL375" t="s">
        <v>56</v>
      </c>
      <c r="BM375" t="s">
        <v>271</v>
      </c>
      <c r="BN375" t="s">
        <v>1556</v>
      </c>
      <c r="BO375" s="88" t="s">
        <v>22</v>
      </c>
      <c r="BP375">
        <v>266660</v>
      </c>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K375" s="9"/>
      <c r="HU375" s="58">
        <v>45494</v>
      </c>
      <c r="HW375" s="58"/>
      <c r="IG375" t="s">
        <v>238</v>
      </c>
      <c r="IH375" s="88" t="s">
        <v>1200</v>
      </c>
      <c r="II375" t="s">
        <v>660</v>
      </c>
      <c r="IJ375" s="88" t="s">
        <v>661</v>
      </c>
      <c r="IM375" s="87" t="s">
        <v>29</v>
      </c>
      <c r="JI375" t="s">
        <v>1560</v>
      </c>
      <c r="JJ375" s="84" t="s">
        <v>15</v>
      </c>
      <c r="JK375" s="88" t="s">
        <v>14</v>
      </c>
      <c r="JO375" s="95" t="s">
        <v>13</v>
      </c>
      <c r="JP375">
        <v>100</v>
      </c>
      <c r="JS375">
        <v>81</v>
      </c>
      <c r="JT375">
        <v>65</v>
      </c>
      <c r="KD375" t="s">
        <v>1562</v>
      </c>
      <c r="KE375" s="12" t="s">
        <v>1561</v>
      </c>
      <c r="KH375" t="s">
        <v>1563</v>
      </c>
      <c r="KI375" t="s">
        <v>222</v>
      </c>
      <c r="KJ375" s="8" t="s">
        <v>1564</v>
      </c>
      <c r="KK375" s="95" t="s">
        <v>220</v>
      </c>
      <c r="KL375">
        <v>18</v>
      </c>
      <c r="MS375" t="s">
        <v>1538</v>
      </c>
      <c r="MT375">
        <v>6.3</v>
      </c>
      <c r="MU375" t="s">
        <v>1544</v>
      </c>
      <c r="MW375" t="s">
        <v>23</v>
      </c>
      <c r="MX375" t="s">
        <v>271</v>
      </c>
      <c r="NE375" t="s">
        <v>1575</v>
      </c>
      <c r="NG375" t="s">
        <v>1573</v>
      </c>
      <c r="NH375" s="88"/>
      <c r="NS375" s="88"/>
      <c r="NT375" s="88"/>
      <c r="NW375">
        <v>3</v>
      </c>
      <c r="NX375">
        <v>1.91</v>
      </c>
      <c r="NY375" s="87" t="s">
        <v>29</v>
      </c>
      <c r="NZ375">
        <v>0.64</v>
      </c>
      <c r="OA375" s="87" t="s">
        <v>29</v>
      </c>
      <c r="OH375" t="s">
        <v>1566</v>
      </c>
      <c r="OI375" s="88"/>
      <c r="OJ375">
        <v>2004</v>
      </c>
      <c r="OM375" t="s">
        <v>1569</v>
      </c>
      <c r="OO375" s="88" t="s">
        <v>1178</v>
      </c>
      <c r="OP375" s="58">
        <v>46105</v>
      </c>
    </row>
    <row r="376" spans="1:406" ht="15.75" thickBot="1">
      <c r="A376" t="s">
        <v>248</v>
      </c>
      <c r="B376" t="s">
        <v>1536</v>
      </c>
      <c r="C376" t="s">
        <v>1183</v>
      </c>
      <c r="D376" s="4" t="s">
        <v>1955</v>
      </c>
      <c r="E376" s="94" t="s">
        <v>1553</v>
      </c>
      <c r="F376" s="94" t="s">
        <v>31</v>
      </c>
      <c r="G376" s="88" t="s">
        <v>2</v>
      </c>
      <c r="H376" s="88" t="s">
        <v>30</v>
      </c>
      <c r="I376">
        <v>7.7338301139999999</v>
      </c>
      <c r="J376">
        <v>8.5391521210000008</v>
      </c>
      <c r="K376" s="87" t="s">
        <v>29</v>
      </c>
      <c r="AV376" t="s">
        <v>1554</v>
      </c>
      <c r="AW376">
        <v>5.7000000000000002E-2</v>
      </c>
      <c r="AX376" s="88" t="s">
        <v>29</v>
      </c>
      <c r="AY376">
        <v>1</v>
      </c>
      <c r="AZ376" t="s">
        <v>1568</v>
      </c>
      <c r="BA376">
        <v>2004</v>
      </c>
      <c r="BC376">
        <v>2004.2</v>
      </c>
      <c r="BD376" t="s">
        <v>238</v>
      </c>
      <c r="BE376" t="s">
        <v>1549</v>
      </c>
      <c r="BF376" t="s">
        <v>236</v>
      </c>
      <c r="BG376" s="78" t="s">
        <v>1243</v>
      </c>
      <c r="BH376" t="s">
        <v>23</v>
      </c>
      <c r="BI376" t="s">
        <v>1558</v>
      </c>
      <c r="BJ376" s="88" t="s">
        <v>22</v>
      </c>
      <c r="BK376">
        <v>53330</v>
      </c>
      <c r="BL376" t="s">
        <v>56</v>
      </c>
      <c r="BM376" t="s">
        <v>271</v>
      </c>
      <c r="BN376" t="s">
        <v>1557</v>
      </c>
      <c r="BO376" s="88" t="s">
        <v>22</v>
      </c>
      <c r="BP376">
        <v>266660</v>
      </c>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K376" s="9"/>
      <c r="HU376" s="58">
        <v>45494</v>
      </c>
      <c r="HW376" s="58"/>
      <c r="IG376" t="s">
        <v>238</v>
      </c>
      <c r="IH376" s="88" t="s">
        <v>1200</v>
      </c>
      <c r="II376" t="s">
        <v>660</v>
      </c>
      <c r="IJ376" s="88" t="s">
        <v>661</v>
      </c>
      <c r="IM376" s="87" t="s">
        <v>29</v>
      </c>
      <c r="JI376" t="s">
        <v>1560</v>
      </c>
      <c r="JJ376" s="84" t="s">
        <v>15</v>
      </c>
      <c r="JK376" s="88" t="s">
        <v>14</v>
      </c>
      <c r="JO376" s="95" t="s">
        <v>13</v>
      </c>
      <c r="JP376">
        <v>100</v>
      </c>
      <c r="JS376">
        <v>81</v>
      </c>
      <c r="JT376">
        <v>65</v>
      </c>
      <c r="KD376" t="s">
        <v>1562</v>
      </c>
      <c r="KE376" s="12" t="s">
        <v>1561</v>
      </c>
      <c r="KH376" t="s">
        <v>1563</v>
      </c>
      <c r="KI376" t="s">
        <v>222</v>
      </c>
      <c r="KJ376" s="8" t="s">
        <v>1564</v>
      </c>
      <c r="KK376" s="95" t="s">
        <v>220</v>
      </c>
      <c r="KL376">
        <v>18</v>
      </c>
      <c r="MS376" t="s">
        <v>1538</v>
      </c>
      <c r="MT376">
        <v>6.3</v>
      </c>
      <c r="MU376" t="s">
        <v>1544</v>
      </c>
      <c r="MW376" t="s">
        <v>23</v>
      </c>
      <c r="MX376" t="s">
        <v>271</v>
      </c>
      <c r="NE376" t="s">
        <v>1575</v>
      </c>
      <c r="NG376" t="s">
        <v>1573</v>
      </c>
      <c r="NH376" s="88"/>
      <c r="NS376" s="88"/>
      <c r="NT376" s="88"/>
      <c r="NW376">
        <v>3</v>
      </c>
      <c r="NX376">
        <v>0.89</v>
      </c>
      <c r="NY376" s="87" t="s">
        <v>29</v>
      </c>
      <c r="NZ376">
        <v>0.51</v>
      </c>
      <c r="OA376" s="87" t="s">
        <v>29</v>
      </c>
      <c r="OH376" t="s">
        <v>1566</v>
      </c>
      <c r="OI376" s="88"/>
      <c r="OJ376">
        <v>2004</v>
      </c>
      <c r="OM376" t="s">
        <v>1569</v>
      </c>
      <c r="OO376" s="88" t="s">
        <v>1178</v>
      </c>
      <c r="OP376" s="58">
        <v>46105</v>
      </c>
    </row>
    <row r="377" spans="1:406" ht="15.75" thickBot="1">
      <c r="A377" t="s">
        <v>248</v>
      </c>
      <c r="B377" t="s">
        <v>1536</v>
      </c>
      <c r="C377" t="s">
        <v>1183</v>
      </c>
      <c r="D377" s="4" t="s">
        <v>1955</v>
      </c>
      <c r="E377" s="94" t="s">
        <v>1553</v>
      </c>
      <c r="F377" s="94" t="s">
        <v>31</v>
      </c>
      <c r="G377" s="88" t="s">
        <v>2</v>
      </c>
      <c r="H377" s="88" t="s">
        <v>30</v>
      </c>
      <c r="I377">
        <v>7.7338301139999999</v>
      </c>
      <c r="J377">
        <v>8.5391521210000008</v>
      </c>
      <c r="K377" s="87" t="s">
        <v>29</v>
      </c>
      <c r="AV377" t="s">
        <v>1554</v>
      </c>
      <c r="AW377">
        <v>5.7000000000000002E-2</v>
      </c>
      <c r="AX377" s="88" t="s">
        <v>29</v>
      </c>
      <c r="AY377">
        <v>1</v>
      </c>
      <c r="AZ377" t="s">
        <v>1568</v>
      </c>
      <c r="BA377">
        <v>2004</v>
      </c>
      <c r="BC377">
        <v>2004.2</v>
      </c>
      <c r="BD377" t="s">
        <v>19</v>
      </c>
      <c r="BE377" t="s">
        <v>1537</v>
      </c>
      <c r="BF377" t="s">
        <v>39</v>
      </c>
      <c r="BG377" s="78" t="s">
        <v>1243</v>
      </c>
      <c r="BH377" t="s">
        <v>271</v>
      </c>
      <c r="BI377" t="s">
        <v>1556</v>
      </c>
      <c r="BJ377" s="88" t="s">
        <v>22</v>
      </c>
      <c r="BK377">
        <v>266660</v>
      </c>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K377" s="9"/>
      <c r="HU377" s="58">
        <v>45494</v>
      </c>
      <c r="HW377" s="58"/>
      <c r="IG377" t="s">
        <v>1559</v>
      </c>
      <c r="IH377" s="88" t="s">
        <v>19</v>
      </c>
      <c r="II377" t="s">
        <v>660</v>
      </c>
      <c r="IJ377" s="88" t="s">
        <v>661</v>
      </c>
      <c r="IM377" s="87" t="s">
        <v>29</v>
      </c>
      <c r="JI377" t="s">
        <v>1560</v>
      </c>
      <c r="JJ377" s="84" t="s">
        <v>15</v>
      </c>
      <c r="JK377" s="88" t="s">
        <v>14</v>
      </c>
      <c r="JO377" s="95" t="s">
        <v>13</v>
      </c>
      <c r="JP377">
        <v>10</v>
      </c>
      <c r="JS377">
        <v>36</v>
      </c>
      <c r="JT377">
        <v>20</v>
      </c>
      <c r="KD377" t="s">
        <v>1562</v>
      </c>
      <c r="KE377" s="12" t="s">
        <v>1561</v>
      </c>
      <c r="KH377" t="s">
        <v>1563</v>
      </c>
      <c r="KI377" t="s">
        <v>222</v>
      </c>
      <c r="KJ377" s="8" t="s">
        <v>1564</v>
      </c>
      <c r="KK377" s="95" t="s">
        <v>220</v>
      </c>
      <c r="KL377">
        <v>18</v>
      </c>
      <c r="MS377" t="s">
        <v>1538</v>
      </c>
      <c r="MT377">
        <v>6.3</v>
      </c>
      <c r="MU377" t="s">
        <v>1539</v>
      </c>
      <c r="MW377" t="s">
        <v>271</v>
      </c>
      <c r="NE377" t="s">
        <v>1539</v>
      </c>
      <c r="NG377" t="s">
        <v>1573</v>
      </c>
      <c r="NH377" s="88"/>
      <c r="NP377" t="s">
        <v>1572</v>
      </c>
      <c r="NS377" s="88"/>
      <c r="NT377" s="88"/>
      <c r="NW377">
        <v>3</v>
      </c>
      <c r="OH377" t="s">
        <v>1566</v>
      </c>
      <c r="OI377" s="88"/>
      <c r="OJ377">
        <v>2004</v>
      </c>
      <c r="OM377" t="s">
        <v>1569</v>
      </c>
      <c r="OO377" s="88" t="s">
        <v>1178</v>
      </c>
      <c r="OP377" s="58">
        <v>46105</v>
      </c>
    </row>
    <row r="378" spans="1:406" ht="15.75" thickBot="1">
      <c r="A378" t="s">
        <v>248</v>
      </c>
      <c r="B378" t="s">
        <v>1536</v>
      </c>
      <c r="C378" t="s">
        <v>1183</v>
      </c>
      <c r="D378" s="4" t="s">
        <v>1955</v>
      </c>
      <c r="E378" s="94" t="s">
        <v>1553</v>
      </c>
      <c r="F378" s="94" t="s">
        <v>31</v>
      </c>
      <c r="G378" s="88" t="s">
        <v>2</v>
      </c>
      <c r="H378" s="88" t="s">
        <v>30</v>
      </c>
      <c r="I378">
        <v>7.7338301139999999</v>
      </c>
      <c r="J378">
        <v>8.5391521210000008</v>
      </c>
      <c r="K378" s="87" t="s">
        <v>29</v>
      </c>
      <c r="AV378" t="s">
        <v>1554</v>
      </c>
      <c r="AW378">
        <v>5.7000000000000002E-2</v>
      </c>
      <c r="AX378" s="88" t="s">
        <v>29</v>
      </c>
      <c r="AY378">
        <v>1</v>
      </c>
      <c r="AZ378" t="s">
        <v>1568</v>
      </c>
      <c r="BA378">
        <v>2004</v>
      </c>
      <c r="BC378">
        <v>2004.2</v>
      </c>
      <c r="BD378" t="s">
        <v>19</v>
      </c>
      <c r="BE378" t="s">
        <v>1541</v>
      </c>
      <c r="BF378" t="s">
        <v>24</v>
      </c>
      <c r="BG378" s="78" t="s">
        <v>1243</v>
      </c>
      <c r="BH378" t="s">
        <v>271</v>
      </c>
      <c r="BI378" t="s">
        <v>1557</v>
      </c>
      <c r="BJ378" s="88" t="s">
        <v>22</v>
      </c>
      <c r="BK378">
        <v>266660</v>
      </c>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K378" s="9"/>
      <c r="HU378" s="58">
        <v>45494</v>
      </c>
      <c r="HW378" s="58"/>
      <c r="IG378" t="s">
        <v>1559</v>
      </c>
      <c r="IH378" s="88" t="s">
        <v>19</v>
      </c>
      <c r="II378" t="s">
        <v>660</v>
      </c>
      <c r="IJ378" s="88" t="s">
        <v>661</v>
      </c>
      <c r="IM378" s="87" t="s">
        <v>29</v>
      </c>
      <c r="JI378" t="s">
        <v>1560</v>
      </c>
      <c r="JJ378" s="84" t="s">
        <v>15</v>
      </c>
      <c r="JK378" s="88" t="s">
        <v>14</v>
      </c>
      <c r="JO378" s="95" t="s">
        <v>13</v>
      </c>
      <c r="JP378">
        <v>10</v>
      </c>
      <c r="JS378">
        <v>36</v>
      </c>
      <c r="JT378">
        <v>20</v>
      </c>
      <c r="KD378" t="s">
        <v>1562</v>
      </c>
      <c r="KE378" s="12" t="s">
        <v>1561</v>
      </c>
      <c r="KH378" t="s">
        <v>1563</v>
      </c>
      <c r="KI378" t="s">
        <v>222</v>
      </c>
      <c r="KJ378" s="8" t="s">
        <v>1564</v>
      </c>
      <c r="KK378" s="95" t="s">
        <v>220</v>
      </c>
      <c r="KL378">
        <v>18</v>
      </c>
      <c r="MS378" t="s">
        <v>1538</v>
      </c>
      <c r="MT378">
        <v>6.3</v>
      </c>
      <c r="MU378" t="s">
        <v>1539</v>
      </c>
      <c r="MW378" t="s">
        <v>271</v>
      </c>
      <c r="NE378" t="s">
        <v>1539</v>
      </c>
      <c r="NG378" t="s">
        <v>1573</v>
      </c>
      <c r="NH378" s="88"/>
      <c r="NP378" t="s">
        <v>1570</v>
      </c>
      <c r="NS378" s="88"/>
      <c r="NT378" s="88"/>
      <c r="NW378">
        <v>3</v>
      </c>
      <c r="OH378" t="s">
        <v>1566</v>
      </c>
      <c r="OI378" s="88"/>
      <c r="OJ378">
        <v>2004</v>
      </c>
      <c r="OM378" t="s">
        <v>1569</v>
      </c>
      <c r="OO378" s="88" t="s">
        <v>1178</v>
      </c>
      <c r="OP378" s="58">
        <v>46105</v>
      </c>
    </row>
    <row r="379" spans="1:406" ht="15.75" thickBot="1">
      <c r="A379" t="s">
        <v>248</v>
      </c>
      <c r="B379" t="s">
        <v>1536</v>
      </c>
      <c r="C379" t="s">
        <v>1183</v>
      </c>
      <c r="D379" s="4" t="s">
        <v>1955</v>
      </c>
      <c r="E379" s="96" t="s">
        <v>1553</v>
      </c>
      <c r="F379" s="96" t="s">
        <v>31</v>
      </c>
      <c r="G379" s="2" t="s">
        <v>2</v>
      </c>
      <c r="H379" s="2" t="s">
        <v>30</v>
      </c>
      <c r="I379">
        <v>7.7338301139999999</v>
      </c>
      <c r="J379">
        <v>8.5391521210000008</v>
      </c>
      <c r="K379" s="89" t="s">
        <v>29</v>
      </c>
      <c r="AV379" t="s">
        <v>1554</v>
      </c>
      <c r="AW379">
        <v>5.7000000000000002E-2</v>
      </c>
      <c r="AX379" s="2" t="s">
        <v>29</v>
      </c>
      <c r="AY379">
        <v>1</v>
      </c>
      <c r="AZ379" t="s">
        <v>1568</v>
      </c>
      <c r="BA379">
        <v>2004</v>
      </c>
      <c r="BC379">
        <v>2004.2</v>
      </c>
      <c r="BD379" t="s">
        <v>19</v>
      </c>
      <c r="BE379" t="s">
        <v>1542</v>
      </c>
      <c r="BF379" t="s">
        <v>299</v>
      </c>
      <c r="BG379" s="97" t="s">
        <v>1243</v>
      </c>
      <c r="BH379" t="s">
        <v>23</v>
      </c>
      <c r="BI379" t="s">
        <v>1558</v>
      </c>
      <c r="BJ379" s="2" t="s">
        <v>22</v>
      </c>
      <c r="BK379">
        <v>53330</v>
      </c>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K379" s="9"/>
      <c r="HU379" s="58">
        <v>45494</v>
      </c>
      <c r="HW379" s="58"/>
      <c r="IG379" t="s">
        <v>1559</v>
      </c>
      <c r="IH379" s="2" t="s">
        <v>19</v>
      </c>
      <c r="II379" t="s">
        <v>660</v>
      </c>
      <c r="IJ379" s="2" t="s">
        <v>661</v>
      </c>
      <c r="IM379" s="89" t="s">
        <v>29</v>
      </c>
      <c r="JI379" t="s">
        <v>1560</v>
      </c>
      <c r="JJ379" s="98" t="s">
        <v>15</v>
      </c>
      <c r="JK379" s="2" t="s">
        <v>14</v>
      </c>
      <c r="JO379" s="99" t="s">
        <v>13</v>
      </c>
      <c r="JP379">
        <v>90</v>
      </c>
      <c r="JS379">
        <v>45</v>
      </c>
      <c r="JT379">
        <v>45</v>
      </c>
      <c r="KD379" t="s">
        <v>1562</v>
      </c>
      <c r="KE379" s="14" t="s">
        <v>1561</v>
      </c>
      <c r="KH379" t="s">
        <v>1563</v>
      </c>
      <c r="KI379" t="s">
        <v>222</v>
      </c>
      <c r="KJ379" s="8" t="s">
        <v>1564</v>
      </c>
      <c r="KK379" s="99" t="s">
        <v>220</v>
      </c>
      <c r="KL379">
        <v>18</v>
      </c>
      <c r="MS379" t="s">
        <v>1538</v>
      </c>
      <c r="MT379">
        <v>6.3</v>
      </c>
      <c r="MU379" t="s">
        <v>1543</v>
      </c>
      <c r="MW379" t="s">
        <v>23</v>
      </c>
      <c r="NE379" t="s">
        <v>1543</v>
      </c>
      <c r="NG379" t="s">
        <v>1573</v>
      </c>
      <c r="NH379" s="2"/>
      <c r="NP379" t="s">
        <v>1571</v>
      </c>
      <c r="NS379" s="2"/>
      <c r="NT379" s="2"/>
      <c r="NW379">
        <v>3</v>
      </c>
      <c r="OH379" t="s">
        <v>1566</v>
      </c>
      <c r="OI379" s="2"/>
      <c r="OJ379">
        <v>2004</v>
      </c>
      <c r="OM379" t="s">
        <v>1569</v>
      </c>
      <c r="OO379" s="2" t="s">
        <v>1178</v>
      </c>
      <c r="OP379" s="58">
        <v>46105</v>
      </c>
    </row>
    <row r="380" spans="1:406" ht="15.75" thickBot="1">
      <c r="A380" t="s">
        <v>248</v>
      </c>
      <c r="B380" t="s">
        <v>1580</v>
      </c>
      <c r="C380" t="s">
        <v>1183</v>
      </c>
      <c r="D380" s="4" t="s">
        <v>1955</v>
      </c>
      <c r="E380" t="s">
        <v>1596</v>
      </c>
      <c r="F380" s="100" t="s">
        <v>31</v>
      </c>
      <c r="G380" s="87" t="s">
        <v>2</v>
      </c>
      <c r="H380" s="87" t="s">
        <v>30</v>
      </c>
      <c r="I380">
        <v>7.25</v>
      </c>
      <c r="J380">
        <v>3.4166666669999999</v>
      </c>
      <c r="K380" s="87" t="s">
        <v>29</v>
      </c>
      <c r="AV380" t="s">
        <v>1715</v>
      </c>
      <c r="AW380">
        <v>3240</v>
      </c>
      <c r="AX380">
        <v>1.2E-2</v>
      </c>
      <c r="AY380">
        <v>1</v>
      </c>
      <c r="BA380">
        <v>2006</v>
      </c>
      <c r="BB380">
        <v>2007</v>
      </c>
      <c r="BD380" t="s">
        <v>238</v>
      </c>
      <c r="BE380" t="s">
        <v>1590</v>
      </c>
      <c r="BF380" t="s">
        <v>64</v>
      </c>
      <c r="BG380" s="78" t="s">
        <v>1243</v>
      </c>
      <c r="BH380" t="s">
        <v>1587</v>
      </c>
      <c r="BI380" t="s">
        <v>1599</v>
      </c>
      <c r="BJ380" s="87" t="s">
        <v>22</v>
      </c>
      <c r="BK380">
        <v>1330</v>
      </c>
      <c r="BL380" t="s">
        <v>56</v>
      </c>
      <c r="BM380" t="s">
        <v>1598</v>
      </c>
      <c r="BN380" t="s">
        <v>234</v>
      </c>
      <c r="BO380" s="87" t="s">
        <v>22</v>
      </c>
      <c r="BP380">
        <v>20000</v>
      </c>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K380" s="9"/>
      <c r="HU380" s="101">
        <v>38838</v>
      </c>
      <c r="HW380" s="58"/>
      <c r="IG380" t="s">
        <v>1590</v>
      </c>
      <c r="IH380" s="87" t="s">
        <v>1200</v>
      </c>
      <c r="II380" s="19" t="s">
        <v>660</v>
      </c>
      <c r="IJ380" t="s">
        <v>661</v>
      </c>
      <c r="IK380">
        <v>2006</v>
      </c>
      <c r="IM380" s="87" t="s">
        <v>29</v>
      </c>
      <c r="JI380" t="s">
        <v>1590</v>
      </c>
      <c r="JJ380" s="84" t="s">
        <v>721</v>
      </c>
      <c r="MS380" t="s">
        <v>1582</v>
      </c>
      <c r="MT380">
        <v>120</v>
      </c>
      <c r="MU380" t="s">
        <v>1604</v>
      </c>
      <c r="MW380" t="s">
        <v>1598</v>
      </c>
      <c r="MX380" t="s">
        <v>1602</v>
      </c>
      <c r="NE380" t="s">
        <v>1601</v>
      </c>
      <c r="NG380" s="103" t="s">
        <v>1531</v>
      </c>
      <c r="NH380" s="102" t="s">
        <v>1550</v>
      </c>
      <c r="NQ380" t="s">
        <v>6</v>
      </c>
      <c r="NR380" s="104">
        <v>162132.94</v>
      </c>
      <c r="NS380" s="87" t="s">
        <v>29</v>
      </c>
      <c r="NT380" s="87" t="s">
        <v>29</v>
      </c>
      <c r="NW380">
        <v>3</v>
      </c>
      <c r="OH380" t="s">
        <v>1593</v>
      </c>
      <c r="OI380" s="87"/>
      <c r="OJ380">
        <v>2006</v>
      </c>
      <c r="OO380" t="s">
        <v>1178</v>
      </c>
      <c r="OP380" s="58">
        <v>46105</v>
      </c>
    </row>
    <row r="381" spans="1:406" ht="15.75" thickBot="1">
      <c r="A381" t="s">
        <v>248</v>
      </c>
      <c r="B381" t="s">
        <v>1580</v>
      </c>
      <c r="C381" t="s">
        <v>1183</v>
      </c>
      <c r="D381" s="4" t="s">
        <v>1955</v>
      </c>
      <c r="E381" t="s">
        <v>1596</v>
      </c>
      <c r="F381" s="100" t="s">
        <v>31</v>
      </c>
      <c r="G381" s="87" t="s">
        <v>2</v>
      </c>
      <c r="H381" s="87" t="s">
        <v>30</v>
      </c>
      <c r="I381">
        <v>7.25</v>
      </c>
      <c r="J381">
        <v>3.4166666669999999</v>
      </c>
      <c r="K381" s="87" t="s">
        <v>29</v>
      </c>
      <c r="AV381" t="s">
        <v>1715</v>
      </c>
      <c r="AW381">
        <v>3240</v>
      </c>
      <c r="AX381">
        <v>1.2E-2</v>
      </c>
      <c r="AY381">
        <v>1</v>
      </c>
      <c r="BA381">
        <v>2006</v>
      </c>
      <c r="BB381">
        <v>2007</v>
      </c>
      <c r="BD381" t="s">
        <v>19</v>
      </c>
      <c r="BE381" t="s">
        <v>1586</v>
      </c>
      <c r="BF381" t="s">
        <v>39</v>
      </c>
      <c r="BG381" s="78" t="s">
        <v>1243</v>
      </c>
      <c r="BH381" t="s">
        <v>1587</v>
      </c>
      <c r="BI381" t="s">
        <v>1599</v>
      </c>
      <c r="BJ381" s="87" t="s">
        <v>22</v>
      </c>
      <c r="BK381">
        <v>1330</v>
      </c>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K381" s="9"/>
      <c r="HU381" s="101">
        <v>38838</v>
      </c>
      <c r="HW381" s="58"/>
      <c r="IG381" t="s">
        <v>1586</v>
      </c>
      <c r="IH381" t="s">
        <v>19</v>
      </c>
      <c r="II381" s="19"/>
      <c r="IM381" s="87"/>
      <c r="JI381" t="s">
        <v>1586</v>
      </c>
      <c r="JJ381" s="84" t="s">
        <v>721</v>
      </c>
      <c r="MS381" t="s">
        <v>1582</v>
      </c>
      <c r="MT381">
        <v>120</v>
      </c>
      <c r="MU381" t="s">
        <v>1603</v>
      </c>
      <c r="MW381" t="s">
        <v>1602</v>
      </c>
      <c r="MX381" t="s">
        <v>1606</v>
      </c>
      <c r="NE381" t="s">
        <v>1601</v>
      </c>
      <c r="NG381" s="103" t="s">
        <v>1531</v>
      </c>
      <c r="NH381" s="102" t="s">
        <v>1550</v>
      </c>
      <c r="NP381" t="s">
        <v>64</v>
      </c>
      <c r="NQ381" t="s">
        <v>6</v>
      </c>
      <c r="NR381" s="104">
        <v>15277.17</v>
      </c>
      <c r="NS381" s="87" t="s">
        <v>29</v>
      </c>
      <c r="NT381" s="87" t="s">
        <v>29</v>
      </c>
      <c r="NW381">
        <v>3</v>
      </c>
      <c r="OH381" t="s">
        <v>1593</v>
      </c>
      <c r="OI381" s="87"/>
      <c r="OJ381">
        <v>2006</v>
      </c>
      <c r="OO381" t="s">
        <v>1178</v>
      </c>
      <c r="OP381" s="58">
        <v>46105</v>
      </c>
    </row>
    <row r="382" spans="1:406" ht="15.75" thickBot="1">
      <c r="A382" t="s">
        <v>248</v>
      </c>
      <c r="B382" t="s">
        <v>1580</v>
      </c>
      <c r="C382" t="s">
        <v>1183</v>
      </c>
      <c r="D382" s="4" t="s">
        <v>1955</v>
      </c>
      <c r="E382" t="s">
        <v>1596</v>
      </c>
      <c r="F382" s="100" t="s">
        <v>31</v>
      </c>
      <c r="G382" s="87" t="s">
        <v>2</v>
      </c>
      <c r="H382" s="87" t="s">
        <v>30</v>
      </c>
      <c r="I382">
        <v>7.25</v>
      </c>
      <c r="J382">
        <v>3.4166666669999999</v>
      </c>
      <c r="K382" s="87" t="s">
        <v>29</v>
      </c>
      <c r="AV382" t="s">
        <v>1715</v>
      </c>
      <c r="AW382">
        <v>3240</v>
      </c>
      <c r="AX382">
        <v>1.2E-2</v>
      </c>
      <c r="AY382">
        <v>1</v>
      </c>
      <c r="BA382">
        <v>2006</v>
      </c>
      <c r="BB382">
        <v>2007</v>
      </c>
      <c r="BD382" t="s">
        <v>19</v>
      </c>
      <c r="BE382" t="s">
        <v>1585</v>
      </c>
      <c r="BF382" t="s">
        <v>24</v>
      </c>
      <c r="BG382" s="78" t="s">
        <v>1243</v>
      </c>
      <c r="BH382" t="s">
        <v>1598</v>
      </c>
      <c r="BI382" t="s">
        <v>838</v>
      </c>
      <c r="BJ382" s="87" t="s">
        <v>22</v>
      </c>
      <c r="BK382">
        <v>20000</v>
      </c>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K382" s="9"/>
      <c r="HU382" s="101">
        <v>38838</v>
      </c>
      <c r="HW382" s="58"/>
      <c r="IG382" t="s">
        <v>1585</v>
      </c>
      <c r="IH382" t="s">
        <v>19</v>
      </c>
      <c r="II382" s="19"/>
      <c r="IM382" s="87"/>
      <c r="JI382" t="s">
        <v>1585</v>
      </c>
      <c r="JJ382" s="84" t="s">
        <v>721</v>
      </c>
      <c r="MS382" t="s">
        <v>1582</v>
      </c>
      <c r="MT382">
        <v>120</v>
      </c>
      <c r="MU382" t="s">
        <v>1583</v>
      </c>
      <c r="MW382" t="s">
        <v>1598</v>
      </c>
      <c r="NE382" t="s">
        <v>1601</v>
      </c>
      <c r="NG382" s="103" t="s">
        <v>1531</v>
      </c>
      <c r="NH382" s="102" t="s">
        <v>1550</v>
      </c>
      <c r="NP382" t="s">
        <v>64</v>
      </c>
      <c r="NQ382" t="s">
        <v>6</v>
      </c>
      <c r="NR382" s="104">
        <v>122495.1</v>
      </c>
      <c r="NS382" s="87" t="s">
        <v>29</v>
      </c>
      <c r="NT382" s="87" t="s">
        <v>29</v>
      </c>
      <c r="NW382">
        <v>3</v>
      </c>
      <c r="OH382" t="s">
        <v>1593</v>
      </c>
      <c r="OI382" s="87"/>
      <c r="OJ382">
        <v>2006</v>
      </c>
      <c r="OO382" t="s">
        <v>1178</v>
      </c>
      <c r="OP382" s="58">
        <v>46105</v>
      </c>
    </row>
    <row r="383" spans="1:406" ht="15.75" thickBot="1">
      <c r="A383" t="s">
        <v>248</v>
      </c>
      <c r="B383" t="s">
        <v>1580</v>
      </c>
      <c r="C383" t="s">
        <v>1183</v>
      </c>
      <c r="D383" s="4" t="s">
        <v>1955</v>
      </c>
      <c r="E383" t="s">
        <v>1596</v>
      </c>
      <c r="F383" s="100" t="s">
        <v>31</v>
      </c>
      <c r="G383" s="87" t="s">
        <v>2</v>
      </c>
      <c r="H383" s="87" t="s">
        <v>30</v>
      </c>
      <c r="I383">
        <v>7.25</v>
      </c>
      <c r="J383">
        <v>3.4166666669999999</v>
      </c>
      <c r="K383" s="87" t="s">
        <v>29</v>
      </c>
      <c r="AV383" t="s">
        <v>1715</v>
      </c>
      <c r="AW383">
        <v>3240</v>
      </c>
      <c r="AX383">
        <v>1.2E-2</v>
      </c>
      <c r="AY383">
        <v>1</v>
      </c>
      <c r="BA383">
        <v>2006</v>
      </c>
      <c r="BB383">
        <v>2007</v>
      </c>
      <c r="BD383" t="s">
        <v>19</v>
      </c>
      <c r="BE383" t="s">
        <v>1581</v>
      </c>
      <c r="BF383" t="s">
        <v>299</v>
      </c>
      <c r="BG383" s="78" t="s">
        <v>1243</v>
      </c>
      <c r="BH383" t="s">
        <v>1598</v>
      </c>
      <c r="BI383" t="s">
        <v>234</v>
      </c>
      <c r="BJ383" s="87" t="s">
        <v>22</v>
      </c>
      <c r="BK383">
        <v>20000</v>
      </c>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K383" s="9"/>
      <c r="HU383" s="101">
        <v>38838</v>
      </c>
      <c r="HW383" s="58"/>
      <c r="IG383" t="s">
        <v>1581</v>
      </c>
      <c r="IH383" t="s">
        <v>19</v>
      </c>
      <c r="II383" s="19"/>
      <c r="JI383" t="s">
        <v>1581</v>
      </c>
      <c r="JJ383" s="84" t="s">
        <v>227</v>
      </c>
      <c r="JU383" s="8" t="s">
        <v>227</v>
      </c>
      <c r="JV383" s="8" t="s">
        <v>1600</v>
      </c>
      <c r="JW383" t="s">
        <v>13</v>
      </c>
      <c r="JX383">
        <v>40000</v>
      </c>
      <c r="MS383" t="s">
        <v>1582</v>
      </c>
      <c r="MT383">
        <v>120</v>
      </c>
      <c r="MU383" t="s">
        <v>1583</v>
      </c>
      <c r="MW383" t="s">
        <v>1598</v>
      </c>
      <c r="NE383" t="s">
        <v>1601</v>
      </c>
      <c r="NG383" s="103" t="s">
        <v>1531</v>
      </c>
      <c r="NH383" s="102" t="s">
        <v>1550</v>
      </c>
      <c r="NP383" t="s">
        <v>57</v>
      </c>
      <c r="NQ383" t="s">
        <v>6</v>
      </c>
      <c r="NR383" s="104">
        <v>326792.48</v>
      </c>
      <c r="NS383" s="87" t="s">
        <v>29</v>
      </c>
      <c r="NT383" s="87" t="s">
        <v>29</v>
      </c>
      <c r="NW383">
        <v>3</v>
      </c>
      <c r="OH383" t="s">
        <v>1594</v>
      </c>
      <c r="OI383" s="87"/>
      <c r="OJ383">
        <v>2006</v>
      </c>
      <c r="OO383" t="s">
        <v>1178</v>
      </c>
      <c r="OP383" s="58">
        <v>46105</v>
      </c>
    </row>
    <row r="384" spans="1:406" ht="15.75" thickBot="1">
      <c r="A384" t="s">
        <v>248</v>
      </c>
      <c r="B384" t="s">
        <v>1580</v>
      </c>
      <c r="C384" t="s">
        <v>1183</v>
      </c>
      <c r="D384" s="4" t="s">
        <v>1955</v>
      </c>
      <c r="E384" t="s">
        <v>1596</v>
      </c>
      <c r="F384" s="100" t="s">
        <v>31</v>
      </c>
      <c r="G384" s="87" t="s">
        <v>2</v>
      </c>
      <c r="H384" s="87" t="s">
        <v>30</v>
      </c>
      <c r="I384">
        <v>7.25</v>
      </c>
      <c r="J384">
        <v>3.4166666669999999</v>
      </c>
      <c r="K384" s="87" t="s">
        <v>29</v>
      </c>
      <c r="AV384" t="s">
        <v>1715</v>
      </c>
      <c r="AW384">
        <v>3240</v>
      </c>
      <c r="AX384">
        <v>1.2E-2</v>
      </c>
      <c r="AY384">
        <v>1</v>
      </c>
      <c r="BA384">
        <v>2006</v>
      </c>
      <c r="BB384">
        <v>2007</v>
      </c>
      <c r="BD384" t="s">
        <v>19</v>
      </c>
      <c r="BE384" t="s">
        <v>1584</v>
      </c>
      <c r="BF384" t="s">
        <v>256</v>
      </c>
      <c r="BG384" s="78" t="s">
        <v>1243</v>
      </c>
      <c r="BH384" t="s">
        <v>1598</v>
      </c>
      <c r="BI384" t="s">
        <v>234</v>
      </c>
      <c r="BJ384" s="87" t="s">
        <v>22</v>
      </c>
      <c r="BK384">
        <v>20000</v>
      </c>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K384" s="9"/>
      <c r="HU384" s="101">
        <v>38838</v>
      </c>
      <c r="HW384" s="58"/>
      <c r="IG384" t="s">
        <v>1584</v>
      </c>
      <c r="IH384" t="s">
        <v>19</v>
      </c>
      <c r="II384" s="19"/>
      <c r="JI384" t="s">
        <v>1584</v>
      </c>
      <c r="JJ384" s="84" t="s">
        <v>227</v>
      </c>
      <c r="JU384" s="8" t="s">
        <v>227</v>
      </c>
      <c r="JV384" s="8" t="s">
        <v>1600</v>
      </c>
      <c r="JW384" t="s">
        <v>13</v>
      </c>
      <c r="JX384">
        <v>80000</v>
      </c>
      <c r="MS384" t="s">
        <v>1582</v>
      </c>
      <c r="MT384">
        <v>120</v>
      </c>
      <c r="MU384" t="s">
        <v>1583</v>
      </c>
      <c r="MW384" t="s">
        <v>1598</v>
      </c>
      <c r="NE384" t="s">
        <v>1601</v>
      </c>
      <c r="NG384" s="103" t="s">
        <v>1531</v>
      </c>
      <c r="NH384" s="102" t="s">
        <v>1550</v>
      </c>
      <c r="NP384" t="s">
        <v>48</v>
      </c>
      <c r="NQ384" t="s">
        <v>6</v>
      </c>
      <c r="NR384" s="104">
        <v>240740.37</v>
      </c>
      <c r="NS384" s="87" t="s">
        <v>29</v>
      </c>
      <c r="NT384" s="87" t="s">
        <v>29</v>
      </c>
      <c r="NW384">
        <v>3</v>
      </c>
      <c r="OH384" t="s">
        <v>1594</v>
      </c>
      <c r="OI384" s="87"/>
      <c r="OJ384">
        <v>2006</v>
      </c>
      <c r="OO384" t="s">
        <v>1178</v>
      </c>
      <c r="OP384" s="58">
        <v>46105</v>
      </c>
    </row>
    <row r="385" spans="1:406" ht="15.75" thickBot="1">
      <c r="A385" t="s">
        <v>248</v>
      </c>
      <c r="B385" t="s">
        <v>1580</v>
      </c>
      <c r="C385" t="s">
        <v>1183</v>
      </c>
      <c r="D385" s="4" t="s">
        <v>1955</v>
      </c>
      <c r="E385" t="s">
        <v>1596</v>
      </c>
      <c r="F385" s="100" t="s">
        <v>31</v>
      </c>
      <c r="G385" s="87" t="s">
        <v>2</v>
      </c>
      <c r="H385" s="87" t="s">
        <v>30</v>
      </c>
      <c r="I385">
        <v>7.25</v>
      </c>
      <c r="J385">
        <v>3.4166666669999999</v>
      </c>
      <c r="K385" s="87" t="s">
        <v>29</v>
      </c>
      <c r="AV385" t="s">
        <v>1715</v>
      </c>
      <c r="AW385">
        <v>3240</v>
      </c>
      <c r="AX385">
        <v>1.2E-2</v>
      </c>
      <c r="AY385">
        <v>1</v>
      </c>
      <c r="BA385">
        <v>2006</v>
      </c>
      <c r="BB385">
        <v>2007</v>
      </c>
      <c r="BD385" t="s">
        <v>19</v>
      </c>
      <c r="BE385" t="s">
        <v>1588</v>
      </c>
      <c r="BF385" t="s">
        <v>1467</v>
      </c>
      <c r="BG385" s="78" t="s">
        <v>1243</v>
      </c>
      <c r="BH385" t="s">
        <v>1587</v>
      </c>
      <c r="BI385" t="s">
        <v>1599</v>
      </c>
      <c r="BJ385" s="87" t="s">
        <v>22</v>
      </c>
      <c r="BK385">
        <v>1330</v>
      </c>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K385" s="9"/>
      <c r="HU385" s="101">
        <v>38838</v>
      </c>
      <c r="HW385" s="58"/>
      <c r="IG385" t="s">
        <v>1588</v>
      </c>
      <c r="IH385" t="s">
        <v>19</v>
      </c>
      <c r="II385" s="19"/>
      <c r="JI385" t="s">
        <v>1588</v>
      </c>
      <c r="JJ385" s="84" t="s">
        <v>227</v>
      </c>
      <c r="JU385" s="8" t="s">
        <v>227</v>
      </c>
      <c r="JV385" s="8" t="s">
        <v>1600</v>
      </c>
      <c r="JW385" t="s">
        <v>13</v>
      </c>
      <c r="JX385">
        <v>40000</v>
      </c>
      <c r="MS385" t="s">
        <v>1582</v>
      </c>
      <c r="MT385">
        <v>120</v>
      </c>
      <c r="MU385" t="s">
        <v>1603</v>
      </c>
      <c r="MW385" t="s">
        <v>1602</v>
      </c>
      <c r="MX385" t="s">
        <v>1606</v>
      </c>
      <c r="NE385" t="s">
        <v>1601</v>
      </c>
      <c r="NG385" s="103" t="s">
        <v>1531</v>
      </c>
      <c r="NH385" s="102" t="s">
        <v>1550</v>
      </c>
      <c r="NP385" t="s">
        <v>57</v>
      </c>
      <c r="NQ385" t="s">
        <v>6</v>
      </c>
      <c r="NR385" s="104">
        <v>833330</v>
      </c>
      <c r="NS385" s="87" t="s">
        <v>29</v>
      </c>
      <c r="NT385" s="87" t="s">
        <v>29</v>
      </c>
      <c r="NW385">
        <v>3</v>
      </c>
      <c r="OH385" t="s">
        <v>1595</v>
      </c>
      <c r="OI385" s="87"/>
      <c r="OJ385">
        <v>2006</v>
      </c>
      <c r="OO385" t="s">
        <v>1178</v>
      </c>
      <c r="OP385" s="58">
        <v>46105</v>
      </c>
    </row>
    <row r="386" spans="1:406" ht="15.75" thickBot="1">
      <c r="A386" t="s">
        <v>248</v>
      </c>
      <c r="B386" t="s">
        <v>1580</v>
      </c>
      <c r="C386" t="s">
        <v>1183</v>
      </c>
      <c r="D386" s="4" t="s">
        <v>1955</v>
      </c>
      <c r="E386" t="s">
        <v>1596</v>
      </c>
      <c r="F386" s="100" t="s">
        <v>31</v>
      </c>
      <c r="G386" s="87" t="s">
        <v>2</v>
      </c>
      <c r="H386" s="87" t="s">
        <v>30</v>
      </c>
      <c r="I386">
        <v>7.25</v>
      </c>
      <c r="J386">
        <v>3.4166666669999999</v>
      </c>
      <c r="K386" s="87" t="s">
        <v>29</v>
      </c>
      <c r="AV386" t="s">
        <v>1715</v>
      </c>
      <c r="AW386">
        <v>3240</v>
      </c>
      <c r="AX386">
        <v>1.2E-2</v>
      </c>
      <c r="AY386">
        <v>1</v>
      </c>
      <c r="BA386">
        <v>2006</v>
      </c>
      <c r="BB386">
        <v>2007</v>
      </c>
      <c r="BD386" t="s">
        <v>19</v>
      </c>
      <c r="BE386" t="s">
        <v>1589</v>
      </c>
      <c r="BF386" t="s">
        <v>1469</v>
      </c>
      <c r="BG386" s="78" t="s">
        <v>1243</v>
      </c>
      <c r="BH386" t="s">
        <v>1587</v>
      </c>
      <c r="BI386" t="s">
        <v>1599</v>
      </c>
      <c r="BJ386" s="87" t="s">
        <v>22</v>
      </c>
      <c r="BK386">
        <v>1330</v>
      </c>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K386" s="9"/>
      <c r="HU386" s="101">
        <v>38838</v>
      </c>
      <c r="HW386" s="58"/>
      <c r="IG386" t="s">
        <v>1589</v>
      </c>
      <c r="IH386" t="s">
        <v>19</v>
      </c>
      <c r="II386" s="19"/>
      <c r="JI386" t="s">
        <v>1589</v>
      </c>
      <c r="JJ386" s="84" t="s">
        <v>227</v>
      </c>
      <c r="JU386" s="8" t="s">
        <v>227</v>
      </c>
      <c r="JV386" s="8" t="s">
        <v>1600</v>
      </c>
      <c r="JW386" t="s">
        <v>13</v>
      </c>
      <c r="JX386">
        <v>80000</v>
      </c>
      <c r="MS386" t="s">
        <v>1582</v>
      </c>
      <c r="MT386">
        <v>120</v>
      </c>
      <c r="MU386" t="s">
        <v>1603</v>
      </c>
      <c r="MW386" t="s">
        <v>1602</v>
      </c>
      <c r="MX386" t="s">
        <v>1606</v>
      </c>
      <c r="NE386" t="s">
        <v>1601</v>
      </c>
      <c r="NG386" s="103" t="s">
        <v>1531</v>
      </c>
      <c r="NH386" s="102" t="s">
        <v>1550</v>
      </c>
      <c r="NP386" t="s">
        <v>48</v>
      </c>
      <c r="NQ386" t="s">
        <v>6</v>
      </c>
      <c r="NR386" s="104">
        <v>45831.5</v>
      </c>
      <c r="NS386" s="87" t="s">
        <v>29</v>
      </c>
      <c r="NT386" s="87" t="s">
        <v>29</v>
      </c>
      <c r="NW386">
        <v>3</v>
      </c>
      <c r="OH386" t="s">
        <v>1595</v>
      </c>
      <c r="OI386" s="87"/>
      <c r="OJ386">
        <v>2006</v>
      </c>
      <c r="OO386" t="s">
        <v>1178</v>
      </c>
      <c r="OP386" s="58">
        <v>46105</v>
      </c>
    </row>
    <row r="387" spans="1:406" ht="15.75" thickBot="1">
      <c r="A387" t="s">
        <v>248</v>
      </c>
      <c r="B387" t="s">
        <v>1580</v>
      </c>
      <c r="C387" t="s">
        <v>1183</v>
      </c>
      <c r="D387" s="4" t="s">
        <v>1955</v>
      </c>
      <c r="E387" t="s">
        <v>1596</v>
      </c>
      <c r="F387" s="100" t="s">
        <v>31</v>
      </c>
      <c r="G387" s="87" t="s">
        <v>2</v>
      </c>
      <c r="H387" s="87" t="s">
        <v>30</v>
      </c>
      <c r="I387">
        <v>7.25</v>
      </c>
      <c r="J387">
        <v>3.4166666669999999</v>
      </c>
      <c r="K387" s="87" t="s">
        <v>29</v>
      </c>
      <c r="AV387" t="s">
        <v>1715</v>
      </c>
      <c r="AW387">
        <v>3240</v>
      </c>
      <c r="AX387">
        <v>1.2E-2</v>
      </c>
      <c r="AY387">
        <v>1</v>
      </c>
      <c r="BA387">
        <v>2006</v>
      </c>
      <c r="BB387">
        <v>2007</v>
      </c>
      <c r="BD387" t="s">
        <v>238</v>
      </c>
      <c r="BE387" t="s">
        <v>1591</v>
      </c>
      <c r="BF387" t="s">
        <v>57</v>
      </c>
      <c r="BG387" s="78" t="s">
        <v>1243</v>
      </c>
      <c r="BH387" t="s">
        <v>1587</v>
      </c>
      <c r="BI387" t="s">
        <v>1599</v>
      </c>
      <c r="BJ387" s="87" t="s">
        <v>22</v>
      </c>
      <c r="BK387">
        <v>1330</v>
      </c>
      <c r="BL387" t="s">
        <v>56</v>
      </c>
      <c r="BM387" t="s">
        <v>1598</v>
      </c>
      <c r="BN387" t="s">
        <v>234</v>
      </c>
      <c r="BO387" s="87" t="s">
        <v>22</v>
      </c>
      <c r="BP387">
        <v>20000</v>
      </c>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K387" s="9"/>
      <c r="HU387" s="101">
        <v>38838</v>
      </c>
      <c r="HW387" s="58"/>
      <c r="IG387" t="s">
        <v>1591</v>
      </c>
      <c r="IH387" s="87" t="s">
        <v>1200</v>
      </c>
      <c r="II387" s="19" t="s">
        <v>660</v>
      </c>
      <c r="IJ387" t="s">
        <v>661</v>
      </c>
      <c r="IK387">
        <v>2006</v>
      </c>
      <c r="IM387" s="87" t="s">
        <v>29</v>
      </c>
      <c r="JI387" t="s">
        <v>1591</v>
      </c>
      <c r="JJ387" s="84" t="s">
        <v>227</v>
      </c>
      <c r="JU387" s="8" t="s">
        <v>227</v>
      </c>
      <c r="JV387" s="8" t="s">
        <v>1600</v>
      </c>
      <c r="JW387" t="s">
        <v>13</v>
      </c>
      <c r="JX387">
        <v>40000</v>
      </c>
      <c r="MS387" t="s">
        <v>1582</v>
      </c>
      <c r="MT387">
        <v>120</v>
      </c>
      <c r="MU387" t="s">
        <v>1604</v>
      </c>
      <c r="MW387" t="s">
        <v>1598</v>
      </c>
      <c r="MX387" t="s">
        <v>1602</v>
      </c>
      <c r="MY387" t="s">
        <v>1606</v>
      </c>
      <c r="NE387" t="s">
        <v>1601</v>
      </c>
      <c r="NG387" s="103" t="s">
        <v>1531</v>
      </c>
      <c r="NH387" s="102" t="s">
        <v>1550</v>
      </c>
      <c r="NQ387" t="s">
        <v>6</v>
      </c>
      <c r="NR387" s="104">
        <v>209331.32</v>
      </c>
      <c r="NS387" s="87" t="s">
        <v>29</v>
      </c>
      <c r="NT387" s="87" t="s">
        <v>29</v>
      </c>
      <c r="NW387">
        <v>3</v>
      </c>
      <c r="OH387" t="s">
        <v>1605</v>
      </c>
      <c r="OI387" s="87"/>
      <c r="OJ387">
        <v>2006</v>
      </c>
      <c r="OO387" t="s">
        <v>1178</v>
      </c>
      <c r="OP387" s="58">
        <v>46105</v>
      </c>
    </row>
    <row r="388" spans="1:406" ht="15.75" thickBot="1">
      <c r="A388" t="s">
        <v>248</v>
      </c>
      <c r="B388" t="s">
        <v>1580</v>
      </c>
      <c r="C388" t="s">
        <v>1183</v>
      </c>
      <c r="D388" s="4" t="s">
        <v>1955</v>
      </c>
      <c r="E388" t="s">
        <v>1596</v>
      </c>
      <c r="F388" s="100" t="s">
        <v>31</v>
      </c>
      <c r="G388" s="87" t="s">
        <v>2</v>
      </c>
      <c r="H388" s="87" t="s">
        <v>30</v>
      </c>
      <c r="I388">
        <v>7.25</v>
      </c>
      <c r="J388">
        <v>3.4166666669999999</v>
      </c>
      <c r="K388" s="87" t="s">
        <v>29</v>
      </c>
      <c r="AV388" t="s">
        <v>1715</v>
      </c>
      <c r="AW388">
        <v>3240</v>
      </c>
      <c r="AX388">
        <v>1.2E-2</v>
      </c>
      <c r="AY388">
        <v>1</v>
      </c>
      <c r="BA388">
        <v>2006</v>
      </c>
      <c r="BB388">
        <v>2007</v>
      </c>
      <c r="BD388" t="s">
        <v>238</v>
      </c>
      <c r="BE388" t="s">
        <v>1592</v>
      </c>
      <c r="BF388" t="s">
        <v>48</v>
      </c>
      <c r="BG388" s="78" t="s">
        <v>1243</v>
      </c>
      <c r="BH388" t="s">
        <v>1587</v>
      </c>
      <c r="BI388" t="s">
        <v>1599</v>
      </c>
      <c r="BJ388" s="87" t="s">
        <v>22</v>
      </c>
      <c r="BK388">
        <v>1330</v>
      </c>
      <c r="BL388" t="s">
        <v>56</v>
      </c>
      <c r="BM388" t="s">
        <v>1598</v>
      </c>
      <c r="BN388" t="s">
        <v>234</v>
      </c>
      <c r="BO388" s="87" t="s">
        <v>22</v>
      </c>
      <c r="BP388">
        <v>20000</v>
      </c>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K388" s="9"/>
      <c r="HU388" s="101">
        <v>38838</v>
      </c>
      <c r="HW388" s="58"/>
      <c r="IG388" t="s">
        <v>1592</v>
      </c>
      <c r="IH388" s="87" t="s">
        <v>1200</v>
      </c>
      <c r="II388" s="19" t="s">
        <v>660</v>
      </c>
      <c r="IJ388" t="s">
        <v>661</v>
      </c>
      <c r="IK388">
        <v>2006</v>
      </c>
      <c r="IM388" s="87" t="s">
        <v>29</v>
      </c>
      <c r="JI388" t="s">
        <v>1592</v>
      </c>
      <c r="JJ388" s="84" t="s">
        <v>227</v>
      </c>
      <c r="JU388" s="8" t="s">
        <v>227</v>
      </c>
      <c r="JV388" s="8" t="s">
        <v>1600</v>
      </c>
      <c r="JW388" t="s">
        <v>13</v>
      </c>
      <c r="JX388">
        <v>80000</v>
      </c>
      <c r="MS388" t="s">
        <v>1582</v>
      </c>
      <c r="MT388">
        <v>120</v>
      </c>
      <c r="MU388" t="s">
        <v>1604</v>
      </c>
      <c r="MW388" t="s">
        <v>1598</v>
      </c>
      <c r="MX388" t="s">
        <v>1602</v>
      </c>
      <c r="MY388" t="s">
        <v>1606</v>
      </c>
      <c r="NE388" t="s">
        <v>1601</v>
      </c>
      <c r="NG388" s="103" t="s">
        <v>1531</v>
      </c>
      <c r="NH388" s="102" t="s">
        <v>1550</v>
      </c>
      <c r="NQ388" t="s">
        <v>6</v>
      </c>
      <c r="NR388" s="104">
        <v>297469.28999999998</v>
      </c>
      <c r="NS388" s="87" t="s">
        <v>29</v>
      </c>
      <c r="NT388" s="87" t="s">
        <v>29</v>
      </c>
      <c r="NW388">
        <v>3</v>
      </c>
      <c r="OH388" t="s">
        <v>1605</v>
      </c>
      <c r="OI388" s="87"/>
      <c r="OJ388">
        <v>2006</v>
      </c>
      <c r="OO388" t="s">
        <v>1178</v>
      </c>
      <c r="OP388" s="58">
        <v>46105</v>
      </c>
    </row>
    <row r="389" spans="1:406" ht="15.75" thickBot="1">
      <c r="A389" t="s">
        <v>248</v>
      </c>
      <c r="B389" t="s">
        <v>1580</v>
      </c>
      <c r="C389" t="s">
        <v>1183</v>
      </c>
      <c r="D389" s="4" t="s">
        <v>1955</v>
      </c>
      <c r="E389" t="s">
        <v>1596</v>
      </c>
      <c r="F389" s="100" t="s">
        <v>31</v>
      </c>
      <c r="G389" s="87" t="s">
        <v>2</v>
      </c>
      <c r="H389" s="87" t="s">
        <v>30</v>
      </c>
      <c r="I389">
        <v>7.25</v>
      </c>
      <c r="J389">
        <v>3.4166666669999999</v>
      </c>
      <c r="K389" s="87" t="s">
        <v>29</v>
      </c>
      <c r="AV389" t="s">
        <v>1715</v>
      </c>
      <c r="AW389">
        <v>3240</v>
      </c>
      <c r="AX389">
        <v>1.2E-2</v>
      </c>
      <c r="AY389">
        <v>1</v>
      </c>
      <c r="BA389">
        <v>2006</v>
      </c>
      <c r="BB389">
        <v>2007</v>
      </c>
      <c r="BD389" t="s">
        <v>238</v>
      </c>
      <c r="BE389" t="s">
        <v>1590</v>
      </c>
      <c r="BF389" t="s">
        <v>64</v>
      </c>
      <c r="BG389" s="78" t="s">
        <v>1243</v>
      </c>
      <c r="BH389" t="s">
        <v>1587</v>
      </c>
      <c r="BI389" t="s">
        <v>1599</v>
      </c>
      <c r="BJ389" s="87" t="s">
        <v>22</v>
      </c>
      <c r="BK389">
        <v>1330</v>
      </c>
      <c r="BL389" t="s">
        <v>56</v>
      </c>
      <c r="BM389" t="s">
        <v>1598</v>
      </c>
      <c r="BN389" t="s">
        <v>234</v>
      </c>
      <c r="BO389" s="87" t="s">
        <v>22</v>
      </c>
      <c r="BP389">
        <v>20000</v>
      </c>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K389" s="9"/>
      <c r="HU389" s="101">
        <v>38838</v>
      </c>
      <c r="HW389" s="58"/>
      <c r="IG389" t="s">
        <v>1590</v>
      </c>
      <c r="IH389" s="87" t="s">
        <v>1200</v>
      </c>
      <c r="II389" s="19" t="s">
        <v>660</v>
      </c>
      <c r="IJ389" t="s">
        <v>661</v>
      </c>
      <c r="IK389">
        <v>2006</v>
      </c>
      <c r="IM389" s="87" t="s">
        <v>29</v>
      </c>
      <c r="JI389" t="s">
        <v>1590</v>
      </c>
      <c r="JJ389" s="84" t="s">
        <v>721</v>
      </c>
      <c r="MS389" t="s">
        <v>1582</v>
      </c>
      <c r="MT389">
        <v>120</v>
      </c>
      <c r="MU389" t="s">
        <v>1604</v>
      </c>
      <c r="MW389" t="s">
        <v>1598</v>
      </c>
      <c r="MX389" t="s">
        <v>1602</v>
      </c>
      <c r="MY389" t="s">
        <v>1606</v>
      </c>
      <c r="NE389" t="s">
        <v>1601</v>
      </c>
      <c r="NG389" s="103" t="s">
        <v>1531</v>
      </c>
      <c r="NH389" s="102" t="s">
        <v>1550</v>
      </c>
      <c r="NQ389" t="s">
        <v>6</v>
      </c>
      <c r="NR389" s="104">
        <v>559767.05000000005</v>
      </c>
      <c r="NS389" s="87" t="s">
        <v>29</v>
      </c>
      <c r="NT389" s="87" t="s">
        <v>29</v>
      </c>
      <c r="NW389">
        <v>3</v>
      </c>
      <c r="OH389" t="s">
        <v>1593</v>
      </c>
      <c r="OI389" s="87"/>
      <c r="OJ389">
        <v>2007</v>
      </c>
      <c r="OO389" t="s">
        <v>1178</v>
      </c>
      <c r="OP389" s="58">
        <v>46105</v>
      </c>
    </row>
    <row r="390" spans="1:406" ht="15.75" thickBot="1">
      <c r="A390" t="s">
        <v>248</v>
      </c>
      <c r="B390" t="s">
        <v>1580</v>
      </c>
      <c r="C390" t="s">
        <v>1183</v>
      </c>
      <c r="D390" s="4" t="s">
        <v>1955</v>
      </c>
      <c r="E390" t="s">
        <v>1596</v>
      </c>
      <c r="F390" s="100" t="s">
        <v>31</v>
      </c>
      <c r="G390" s="87" t="s">
        <v>2</v>
      </c>
      <c r="H390" s="87" t="s">
        <v>30</v>
      </c>
      <c r="I390">
        <v>7.25</v>
      </c>
      <c r="J390">
        <v>3.4166666669999999</v>
      </c>
      <c r="K390" s="87" t="s">
        <v>29</v>
      </c>
      <c r="AV390" t="s">
        <v>1715</v>
      </c>
      <c r="AW390">
        <v>3240</v>
      </c>
      <c r="AX390">
        <v>1.2E-2</v>
      </c>
      <c r="AY390">
        <v>1</v>
      </c>
      <c r="BA390">
        <v>2006</v>
      </c>
      <c r="BB390">
        <v>2007</v>
      </c>
      <c r="BD390" t="s">
        <v>19</v>
      </c>
      <c r="BE390" t="s">
        <v>1586</v>
      </c>
      <c r="BF390" t="s">
        <v>39</v>
      </c>
      <c r="BG390" s="78" t="s">
        <v>1243</v>
      </c>
      <c r="BH390" t="s">
        <v>1587</v>
      </c>
      <c r="BI390" t="s">
        <v>1599</v>
      </c>
      <c r="BJ390" s="87" t="s">
        <v>22</v>
      </c>
      <c r="BK390">
        <v>1330</v>
      </c>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K390" s="9"/>
      <c r="HU390" s="101">
        <v>38838</v>
      </c>
      <c r="HW390" s="58"/>
      <c r="IG390" t="s">
        <v>1586</v>
      </c>
      <c r="IH390" t="s">
        <v>19</v>
      </c>
      <c r="II390" s="19"/>
      <c r="IM390" s="87"/>
      <c r="JI390" t="s">
        <v>1586</v>
      </c>
      <c r="JJ390" s="84" t="s">
        <v>721</v>
      </c>
      <c r="MS390" t="s">
        <v>1582</v>
      </c>
      <c r="MT390">
        <v>120</v>
      </c>
      <c r="MU390" t="s">
        <v>1603</v>
      </c>
      <c r="MW390" t="s">
        <v>1602</v>
      </c>
      <c r="MX390" t="s">
        <v>1606</v>
      </c>
      <c r="NE390" t="s">
        <v>1601</v>
      </c>
      <c r="NG390" s="103" t="s">
        <v>1531</v>
      </c>
      <c r="NH390" s="102" t="s">
        <v>1550</v>
      </c>
      <c r="NP390" t="s">
        <v>64</v>
      </c>
      <c r="NQ390" t="s">
        <v>6</v>
      </c>
      <c r="NR390" s="104">
        <v>454509.6</v>
      </c>
      <c r="NS390" s="87" t="s">
        <v>29</v>
      </c>
      <c r="NT390" s="87" t="s">
        <v>29</v>
      </c>
      <c r="NW390">
        <v>3</v>
      </c>
      <c r="OH390" t="s">
        <v>1593</v>
      </c>
      <c r="OI390" s="87"/>
      <c r="OJ390">
        <v>2007</v>
      </c>
      <c r="OO390" t="s">
        <v>1178</v>
      </c>
      <c r="OP390" s="58">
        <v>46105</v>
      </c>
    </row>
    <row r="391" spans="1:406" ht="15.75" thickBot="1">
      <c r="A391" t="s">
        <v>248</v>
      </c>
      <c r="B391" t="s">
        <v>1580</v>
      </c>
      <c r="C391" t="s">
        <v>1183</v>
      </c>
      <c r="D391" s="4" t="s">
        <v>1955</v>
      </c>
      <c r="E391" t="s">
        <v>1596</v>
      </c>
      <c r="F391" s="100" t="s">
        <v>31</v>
      </c>
      <c r="G391" s="87" t="s">
        <v>2</v>
      </c>
      <c r="H391" s="87" t="s">
        <v>30</v>
      </c>
      <c r="I391">
        <v>7.25</v>
      </c>
      <c r="J391">
        <v>3.4166666669999999</v>
      </c>
      <c r="K391" s="87" t="s">
        <v>29</v>
      </c>
      <c r="AV391" t="s">
        <v>1715</v>
      </c>
      <c r="AW391">
        <v>3240</v>
      </c>
      <c r="AX391">
        <v>1.2E-2</v>
      </c>
      <c r="AY391">
        <v>1</v>
      </c>
      <c r="BA391">
        <v>2006</v>
      </c>
      <c r="BB391">
        <v>2007</v>
      </c>
      <c r="BD391" t="s">
        <v>19</v>
      </c>
      <c r="BE391" t="s">
        <v>1585</v>
      </c>
      <c r="BF391" t="s">
        <v>24</v>
      </c>
      <c r="BG391" s="78" t="s">
        <v>1243</v>
      </c>
      <c r="BH391" t="s">
        <v>1598</v>
      </c>
      <c r="BI391" t="s">
        <v>838</v>
      </c>
      <c r="BJ391" s="87" t="s">
        <v>22</v>
      </c>
      <c r="BK391">
        <v>20000</v>
      </c>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K391" s="9"/>
      <c r="HU391" s="101">
        <v>38838</v>
      </c>
      <c r="HW391" s="58"/>
      <c r="IG391" t="s">
        <v>1585</v>
      </c>
      <c r="IH391" t="s">
        <v>19</v>
      </c>
      <c r="II391" s="19"/>
      <c r="IM391" s="87"/>
      <c r="JI391" t="s">
        <v>1585</v>
      </c>
      <c r="JJ391" s="84" t="s">
        <v>721</v>
      </c>
      <c r="MS391" t="s">
        <v>1582</v>
      </c>
      <c r="MT391">
        <v>120</v>
      </c>
      <c r="MU391" t="s">
        <v>1583</v>
      </c>
      <c r="MW391" t="s">
        <v>1598</v>
      </c>
      <c r="NE391" t="s">
        <v>1601</v>
      </c>
      <c r="NG391" s="103" t="s">
        <v>1531</v>
      </c>
      <c r="NH391" s="102" t="s">
        <v>1550</v>
      </c>
      <c r="NP391" t="s">
        <v>64</v>
      </c>
      <c r="NQ391" t="s">
        <v>6</v>
      </c>
      <c r="NR391" s="104">
        <v>132744.68</v>
      </c>
      <c r="NS391" s="87" t="s">
        <v>29</v>
      </c>
      <c r="NT391" s="87" t="s">
        <v>29</v>
      </c>
      <c r="NW391">
        <v>3</v>
      </c>
      <c r="OH391" t="s">
        <v>1593</v>
      </c>
      <c r="OI391" s="87"/>
      <c r="OJ391">
        <v>2007</v>
      </c>
      <c r="OO391" t="s">
        <v>1178</v>
      </c>
      <c r="OP391" s="58">
        <v>46105</v>
      </c>
    </row>
    <row r="392" spans="1:406" ht="15.75" thickBot="1">
      <c r="A392" t="s">
        <v>248</v>
      </c>
      <c r="B392" t="s">
        <v>1580</v>
      </c>
      <c r="C392" t="s">
        <v>1183</v>
      </c>
      <c r="D392" s="4" t="s">
        <v>1955</v>
      </c>
      <c r="E392" t="s">
        <v>1596</v>
      </c>
      <c r="F392" s="100" t="s">
        <v>31</v>
      </c>
      <c r="G392" s="87" t="s">
        <v>2</v>
      </c>
      <c r="H392" s="87" t="s">
        <v>30</v>
      </c>
      <c r="I392">
        <v>7.25</v>
      </c>
      <c r="J392">
        <v>3.4166666669999999</v>
      </c>
      <c r="K392" s="87" t="s">
        <v>29</v>
      </c>
      <c r="AV392" t="s">
        <v>1715</v>
      </c>
      <c r="AW392">
        <v>3240</v>
      </c>
      <c r="AX392">
        <v>1.2E-2</v>
      </c>
      <c r="AY392">
        <v>1</v>
      </c>
      <c r="BA392">
        <v>2006</v>
      </c>
      <c r="BB392">
        <v>2007</v>
      </c>
      <c r="BD392" t="s">
        <v>19</v>
      </c>
      <c r="BE392" t="s">
        <v>1581</v>
      </c>
      <c r="BF392" t="s">
        <v>299</v>
      </c>
      <c r="BG392" s="78" t="s">
        <v>1243</v>
      </c>
      <c r="BH392" t="s">
        <v>1598</v>
      </c>
      <c r="BI392" t="s">
        <v>234</v>
      </c>
      <c r="BJ392" s="87" t="s">
        <v>22</v>
      </c>
      <c r="BK392">
        <v>20000</v>
      </c>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K392" s="9"/>
      <c r="HU392" s="101">
        <v>38838</v>
      </c>
      <c r="HW392" s="58"/>
      <c r="IG392" t="s">
        <v>1581</v>
      </c>
      <c r="IH392" t="s">
        <v>19</v>
      </c>
      <c r="II392" s="19"/>
      <c r="JI392" t="s">
        <v>1581</v>
      </c>
      <c r="JJ392" s="84" t="s">
        <v>227</v>
      </c>
      <c r="JU392" s="8" t="s">
        <v>227</v>
      </c>
      <c r="JV392" s="8" t="s">
        <v>1600</v>
      </c>
      <c r="JW392" t="s">
        <v>13</v>
      </c>
      <c r="JX392">
        <v>40000</v>
      </c>
      <c r="MS392" t="s">
        <v>1582</v>
      </c>
      <c r="MT392">
        <v>120</v>
      </c>
      <c r="MU392" t="s">
        <v>1583</v>
      </c>
      <c r="MW392" t="s">
        <v>1598</v>
      </c>
      <c r="NE392" t="s">
        <v>1601</v>
      </c>
      <c r="NG392" s="103" t="s">
        <v>1531</v>
      </c>
      <c r="NH392" s="102" t="s">
        <v>1550</v>
      </c>
      <c r="NP392" t="s">
        <v>57</v>
      </c>
      <c r="NQ392" t="s">
        <v>6</v>
      </c>
      <c r="NR392" s="104">
        <v>182006.61</v>
      </c>
      <c r="NS392" s="87" t="s">
        <v>29</v>
      </c>
      <c r="NT392" s="87" t="s">
        <v>29</v>
      </c>
      <c r="NW392">
        <v>3</v>
      </c>
      <c r="OH392" t="s">
        <v>1594</v>
      </c>
      <c r="OI392" s="87"/>
      <c r="OJ392">
        <v>2007</v>
      </c>
      <c r="OO392" t="s">
        <v>1178</v>
      </c>
      <c r="OP392" s="58">
        <v>46105</v>
      </c>
    </row>
    <row r="393" spans="1:406" ht="15.75" thickBot="1">
      <c r="A393" t="s">
        <v>248</v>
      </c>
      <c r="B393" t="s">
        <v>1580</v>
      </c>
      <c r="C393" t="s">
        <v>1183</v>
      </c>
      <c r="D393" s="4" t="s">
        <v>1955</v>
      </c>
      <c r="E393" t="s">
        <v>1596</v>
      </c>
      <c r="F393" s="100" t="s">
        <v>31</v>
      </c>
      <c r="G393" s="87" t="s">
        <v>2</v>
      </c>
      <c r="H393" s="87" t="s">
        <v>30</v>
      </c>
      <c r="I393">
        <v>7.25</v>
      </c>
      <c r="J393">
        <v>3.4166666669999999</v>
      </c>
      <c r="K393" s="87" t="s">
        <v>29</v>
      </c>
      <c r="AV393" t="s">
        <v>1715</v>
      </c>
      <c r="AW393">
        <v>3240</v>
      </c>
      <c r="AX393">
        <v>1.2E-2</v>
      </c>
      <c r="AY393">
        <v>1</v>
      </c>
      <c r="BA393">
        <v>2006</v>
      </c>
      <c r="BB393">
        <v>2007</v>
      </c>
      <c r="BD393" t="s">
        <v>19</v>
      </c>
      <c r="BE393" t="s">
        <v>1584</v>
      </c>
      <c r="BF393" t="s">
        <v>256</v>
      </c>
      <c r="BG393" s="78" t="s">
        <v>1243</v>
      </c>
      <c r="BH393" t="s">
        <v>1598</v>
      </c>
      <c r="BI393" t="s">
        <v>234</v>
      </c>
      <c r="BJ393" s="87" t="s">
        <v>22</v>
      </c>
      <c r="BK393">
        <v>20000</v>
      </c>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K393" s="9"/>
      <c r="HU393" s="101">
        <v>38838</v>
      </c>
      <c r="HW393" s="58"/>
      <c r="IG393" t="s">
        <v>1584</v>
      </c>
      <c r="IH393" t="s">
        <v>19</v>
      </c>
      <c r="II393" s="19"/>
      <c r="JI393" t="s">
        <v>1584</v>
      </c>
      <c r="JJ393" s="84" t="s">
        <v>227</v>
      </c>
      <c r="JU393" s="8" t="s">
        <v>227</v>
      </c>
      <c r="JV393" s="8" t="s">
        <v>1600</v>
      </c>
      <c r="JW393" t="s">
        <v>13</v>
      </c>
      <c r="JX393">
        <v>80000</v>
      </c>
      <c r="MS393" t="s">
        <v>1582</v>
      </c>
      <c r="MT393">
        <v>120</v>
      </c>
      <c r="MU393" t="s">
        <v>1583</v>
      </c>
      <c r="MW393" t="s">
        <v>1598</v>
      </c>
      <c r="NE393" t="s">
        <v>1601</v>
      </c>
      <c r="NG393" s="103" t="s">
        <v>1531</v>
      </c>
      <c r="NH393" s="102" t="s">
        <v>1550</v>
      </c>
      <c r="NP393" t="s">
        <v>48</v>
      </c>
      <c r="NQ393" t="s">
        <v>6</v>
      </c>
      <c r="NR393" s="104">
        <v>212394.28</v>
      </c>
      <c r="NS393" s="87" t="s">
        <v>29</v>
      </c>
      <c r="NT393" s="87" t="s">
        <v>29</v>
      </c>
      <c r="NW393">
        <v>3</v>
      </c>
      <c r="OH393" t="s">
        <v>1594</v>
      </c>
      <c r="OI393" s="87"/>
      <c r="OJ393">
        <v>2007</v>
      </c>
      <c r="OO393" t="s">
        <v>1178</v>
      </c>
      <c r="OP393" s="58">
        <v>46105</v>
      </c>
    </row>
    <row r="394" spans="1:406" ht="15.75" thickBot="1">
      <c r="A394" t="s">
        <v>248</v>
      </c>
      <c r="B394" t="s">
        <v>1580</v>
      </c>
      <c r="C394" t="s">
        <v>1183</v>
      </c>
      <c r="D394" s="4" t="s">
        <v>1955</v>
      </c>
      <c r="E394" t="s">
        <v>1596</v>
      </c>
      <c r="F394" s="100" t="s">
        <v>31</v>
      </c>
      <c r="G394" s="87" t="s">
        <v>2</v>
      </c>
      <c r="H394" s="87" t="s">
        <v>30</v>
      </c>
      <c r="I394">
        <v>7.25</v>
      </c>
      <c r="J394">
        <v>3.4166666669999999</v>
      </c>
      <c r="K394" s="87" t="s">
        <v>29</v>
      </c>
      <c r="AV394" t="s">
        <v>1715</v>
      </c>
      <c r="AW394">
        <v>3240</v>
      </c>
      <c r="AX394">
        <v>1.2E-2</v>
      </c>
      <c r="AY394">
        <v>1</v>
      </c>
      <c r="BA394">
        <v>2006</v>
      </c>
      <c r="BB394">
        <v>2007</v>
      </c>
      <c r="BD394" t="s">
        <v>19</v>
      </c>
      <c r="BE394" t="s">
        <v>1588</v>
      </c>
      <c r="BF394" t="s">
        <v>1467</v>
      </c>
      <c r="BG394" s="78" t="s">
        <v>1243</v>
      </c>
      <c r="BH394" t="s">
        <v>1587</v>
      </c>
      <c r="BI394" t="s">
        <v>1599</v>
      </c>
      <c r="BJ394" s="87" t="s">
        <v>22</v>
      </c>
      <c r="BK394">
        <v>1330</v>
      </c>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K394" s="9"/>
      <c r="HU394" s="101">
        <v>38838</v>
      </c>
      <c r="HW394" s="58"/>
      <c r="IG394" t="s">
        <v>1588</v>
      </c>
      <c r="IH394" t="s">
        <v>19</v>
      </c>
      <c r="II394" s="19"/>
      <c r="JI394" t="s">
        <v>1588</v>
      </c>
      <c r="JJ394" s="84" t="s">
        <v>227</v>
      </c>
      <c r="JU394" s="8" t="s">
        <v>227</v>
      </c>
      <c r="JV394" s="8" t="s">
        <v>1600</v>
      </c>
      <c r="JW394" t="s">
        <v>13</v>
      </c>
      <c r="JX394">
        <v>40000</v>
      </c>
      <c r="MS394" t="s">
        <v>1582</v>
      </c>
      <c r="MT394">
        <v>120</v>
      </c>
      <c r="MU394" t="s">
        <v>1603</v>
      </c>
      <c r="MW394" t="s">
        <v>1602</v>
      </c>
      <c r="MX394" t="s">
        <v>1606</v>
      </c>
      <c r="NE394" t="s">
        <v>1601</v>
      </c>
      <c r="NG394" s="103" t="s">
        <v>1531</v>
      </c>
      <c r="NH394" s="102" t="s">
        <v>1550</v>
      </c>
      <c r="NP394" t="s">
        <v>57</v>
      </c>
      <c r="NQ394" t="s">
        <v>6</v>
      </c>
      <c r="NR394" s="104">
        <v>651918.37</v>
      </c>
      <c r="NS394" s="87" t="s">
        <v>29</v>
      </c>
      <c r="NT394" s="87" t="s">
        <v>29</v>
      </c>
      <c r="NW394">
        <v>3</v>
      </c>
      <c r="OH394" t="s">
        <v>1595</v>
      </c>
      <c r="OI394" s="87"/>
      <c r="OJ394">
        <v>2007</v>
      </c>
      <c r="OO394" t="s">
        <v>1178</v>
      </c>
      <c r="OP394" s="58">
        <v>46105</v>
      </c>
    </row>
    <row r="395" spans="1:406" ht="15.75" thickBot="1">
      <c r="A395" t="s">
        <v>248</v>
      </c>
      <c r="B395" t="s">
        <v>1580</v>
      </c>
      <c r="C395" t="s">
        <v>1183</v>
      </c>
      <c r="D395" s="4" t="s">
        <v>1955</v>
      </c>
      <c r="E395" t="s">
        <v>1596</v>
      </c>
      <c r="F395" s="100" t="s">
        <v>31</v>
      </c>
      <c r="G395" s="87" t="s">
        <v>2</v>
      </c>
      <c r="H395" s="87" t="s">
        <v>30</v>
      </c>
      <c r="I395">
        <v>7.25</v>
      </c>
      <c r="J395">
        <v>3.4166666669999999</v>
      </c>
      <c r="K395" s="87" t="s">
        <v>29</v>
      </c>
      <c r="AV395" t="s">
        <v>1715</v>
      </c>
      <c r="AW395">
        <v>3240</v>
      </c>
      <c r="AX395">
        <v>1.2E-2</v>
      </c>
      <c r="AY395">
        <v>1</v>
      </c>
      <c r="BA395">
        <v>2006</v>
      </c>
      <c r="BB395">
        <v>2007</v>
      </c>
      <c r="BD395" t="s">
        <v>19</v>
      </c>
      <c r="BE395" t="s">
        <v>1589</v>
      </c>
      <c r="BF395" t="s">
        <v>1469</v>
      </c>
      <c r="BG395" s="78" t="s">
        <v>1243</v>
      </c>
      <c r="BH395" t="s">
        <v>1587</v>
      </c>
      <c r="BI395" t="s">
        <v>1599</v>
      </c>
      <c r="BJ395" s="87" t="s">
        <v>22</v>
      </c>
      <c r="BK395">
        <v>1330</v>
      </c>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K395" s="9"/>
      <c r="HU395" s="101">
        <v>38838</v>
      </c>
      <c r="HW395" s="58"/>
      <c r="IG395" t="s">
        <v>1589</v>
      </c>
      <c r="IH395" t="s">
        <v>19</v>
      </c>
      <c r="II395" s="19"/>
      <c r="JI395" t="s">
        <v>1589</v>
      </c>
      <c r="JJ395" s="84" t="s">
        <v>227</v>
      </c>
      <c r="JU395" s="8" t="s">
        <v>227</v>
      </c>
      <c r="JV395" s="8" t="s">
        <v>1600</v>
      </c>
      <c r="JW395" t="s">
        <v>13</v>
      </c>
      <c r="JX395">
        <v>80000</v>
      </c>
      <c r="MS395" t="s">
        <v>1582</v>
      </c>
      <c r="MT395">
        <v>120</v>
      </c>
      <c r="MU395" t="s">
        <v>1603</v>
      </c>
      <c r="MW395" t="s">
        <v>1602</v>
      </c>
      <c r="MX395" t="s">
        <v>1606</v>
      </c>
      <c r="NE395" t="s">
        <v>1601</v>
      </c>
      <c r="NG395" s="103" t="s">
        <v>1531</v>
      </c>
      <c r="NH395" s="102" t="s">
        <v>1550</v>
      </c>
      <c r="NP395" t="s">
        <v>48</v>
      </c>
      <c r="NQ395" t="s">
        <v>6</v>
      </c>
      <c r="NR395" s="104">
        <v>886075.67</v>
      </c>
      <c r="NS395" s="87" t="s">
        <v>29</v>
      </c>
      <c r="NT395" s="87" t="s">
        <v>29</v>
      </c>
      <c r="NW395">
        <v>3</v>
      </c>
      <c r="OH395" t="s">
        <v>1595</v>
      </c>
      <c r="OI395" s="87"/>
      <c r="OJ395">
        <v>2007</v>
      </c>
      <c r="OO395" t="s">
        <v>1178</v>
      </c>
      <c r="OP395" s="58">
        <v>46105</v>
      </c>
    </row>
    <row r="396" spans="1:406" ht="15.75" thickBot="1">
      <c r="A396" t="s">
        <v>248</v>
      </c>
      <c r="B396" t="s">
        <v>1580</v>
      </c>
      <c r="C396" t="s">
        <v>1183</v>
      </c>
      <c r="D396" s="4" t="s">
        <v>1955</v>
      </c>
      <c r="E396" t="s">
        <v>1596</v>
      </c>
      <c r="F396" s="100" t="s">
        <v>31</v>
      </c>
      <c r="G396" s="87" t="s">
        <v>2</v>
      </c>
      <c r="H396" s="87" t="s">
        <v>30</v>
      </c>
      <c r="I396">
        <v>7.25</v>
      </c>
      <c r="J396">
        <v>3.4166666669999999</v>
      </c>
      <c r="K396" s="87" t="s">
        <v>29</v>
      </c>
      <c r="AV396" t="s">
        <v>1715</v>
      </c>
      <c r="AW396">
        <v>3240</v>
      </c>
      <c r="AX396">
        <v>1.2E-2</v>
      </c>
      <c r="AY396">
        <v>1</v>
      </c>
      <c r="BA396">
        <v>2006</v>
      </c>
      <c r="BB396">
        <v>2007</v>
      </c>
      <c r="BD396" t="s">
        <v>238</v>
      </c>
      <c r="BE396" t="s">
        <v>1591</v>
      </c>
      <c r="BF396" t="s">
        <v>57</v>
      </c>
      <c r="BG396" s="78" t="s">
        <v>1243</v>
      </c>
      <c r="BH396" t="s">
        <v>1587</v>
      </c>
      <c r="BI396" t="s">
        <v>1599</v>
      </c>
      <c r="BJ396" s="87" t="s">
        <v>22</v>
      </c>
      <c r="BK396">
        <v>1330</v>
      </c>
      <c r="BL396" t="s">
        <v>56</v>
      </c>
      <c r="BM396" t="s">
        <v>1598</v>
      </c>
      <c r="BN396" t="s">
        <v>234</v>
      </c>
      <c r="BO396" s="87" t="s">
        <v>22</v>
      </c>
      <c r="BP396">
        <v>20000</v>
      </c>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K396" s="9"/>
      <c r="HU396" s="101">
        <v>38838</v>
      </c>
      <c r="HW396" s="58"/>
      <c r="IG396" t="s">
        <v>1591</v>
      </c>
      <c r="IH396" s="87" t="s">
        <v>1200</v>
      </c>
      <c r="II396" s="19" t="s">
        <v>660</v>
      </c>
      <c r="IJ396" t="s">
        <v>661</v>
      </c>
      <c r="IK396">
        <v>2006</v>
      </c>
      <c r="IM396" s="87" t="s">
        <v>29</v>
      </c>
      <c r="JI396" t="s">
        <v>1591</v>
      </c>
      <c r="JJ396" s="84" t="s">
        <v>227</v>
      </c>
      <c r="JU396" s="8" t="s">
        <v>227</v>
      </c>
      <c r="JV396" s="8" t="s">
        <v>1600</v>
      </c>
      <c r="JW396" t="s">
        <v>13</v>
      </c>
      <c r="JX396">
        <v>40000</v>
      </c>
      <c r="MS396" t="s">
        <v>1582</v>
      </c>
      <c r="MT396">
        <v>120</v>
      </c>
      <c r="MU396" t="s">
        <v>1604</v>
      </c>
      <c r="MW396" t="s">
        <v>1598</v>
      </c>
      <c r="MX396" t="s">
        <v>1602</v>
      </c>
      <c r="MY396" t="s">
        <v>1606</v>
      </c>
      <c r="NE396" t="s">
        <v>1601</v>
      </c>
      <c r="NG396" s="103" t="s">
        <v>1531</v>
      </c>
      <c r="NH396" s="102" t="s">
        <v>1550</v>
      </c>
      <c r="NQ396" t="s">
        <v>6</v>
      </c>
      <c r="NR396" s="104">
        <v>730831.88</v>
      </c>
      <c r="NS396" s="87" t="s">
        <v>29</v>
      </c>
      <c r="NT396" s="87" t="s">
        <v>29</v>
      </c>
      <c r="NW396">
        <v>3</v>
      </c>
      <c r="OH396" t="s">
        <v>1605</v>
      </c>
      <c r="OI396" s="87"/>
      <c r="OJ396">
        <v>2007</v>
      </c>
      <c r="OO396" t="s">
        <v>1178</v>
      </c>
      <c r="OP396" s="58">
        <v>46105</v>
      </c>
    </row>
    <row r="397" spans="1:406" ht="15.75" thickBot="1">
      <c r="A397" t="s">
        <v>248</v>
      </c>
      <c r="B397" t="s">
        <v>1580</v>
      </c>
      <c r="C397" t="s">
        <v>1183</v>
      </c>
      <c r="D397" s="4" t="s">
        <v>1955</v>
      </c>
      <c r="E397" t="s">
        <v>1596</v>
      </c>
      <c r="F397" s="100" t="s">
        <v>31</v>
      </c>
      <c r="G397" s="87" t="s">
        <v>2</v>
      </c>
      <c r="H397" s="87" t="s">
        <v>30</v>
      </c>
      <c r="I397">
        <v>7.25</v>
      </c>
      <c r="J397">
        <v>3.4166666669999999</v>
      </c>
      <c r="K397" s="87" t="s">
        <v>29</v>
      </c>
      <c r="AV397" t="s">
        <v>1715</v>
      </c>
      <c r="AW397">
        <v>3240</v>
      </c>
      <c r="AX397">
        <v>1.2E-2</v>
      </c>
      <c r="AY397">
        <v>1</v>
      </c>
      <c r="BA397">
        <v>2006</v>
      </c>
      <c r="BB397">
        <v>2007</v>
      </c>
      <c r="BD397" t="s">
        <v>238</v>
      </c>
      <c r="BE397" t="s">
        <v>1592</v>
      </c>
      <c r="BF397" t="s">
        <v>48</v>
      </c>
      <c r="BG397" s="78" t="s">
        <v>1243</v>
      </c>
      <c r="BH397" t="s">
        <v>1587</v>
      </c>
      <c r="BI397" t="s">
        <v>1599</v>
      </c>
      <c r="BJ397" s="87" t="s">
        <v>22</v>
      </c>
      <c r="BK397">
        <v>1330</v>
      </c>
      <c r="BL397" t="s">
        <v>56</v>
      </c>
      <c r="BM397" t="s">
        <v>1598</v>
      </c>
      <c r="BN397" t="s">
        <v>234</v>
      </c>
      <c r="BO397" s="87" t="s">
        <v>22</v>
      </c>
      <c r="BP397">
        <v>20000</v>
      </c>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K397" s="9"/>
      <c r="HU397" s="101">
        <v>38838</v>
      </c>
      <c r="HW397" s="58"/>
      <c r="IG397" t="s">
        <v>1592</v>
      </c>
      <c r="IH397" s="87" t="s">
        <v>1200</v>
      </c>
      <c r="II397" s="19" t="s">
        <v>660</v>
      </c>
      <c r="IJ397" t="s">
        <v>661</v>
      </c>
      <c r="IK397">
        <v>2006</v>
      </c>
      <c r="IM397" s="87" t="s">
        <v>29</v>
      </c>
      <c r="JI397" t="s">
        <v>1592</v>
      </c>
      <c r="JJ397" s="84" t="s">
        <v>227</v>
      </c>
      <c r="JU397" s="8" t="s">
        <v>227</v>
      </c>
      <c r="JV397" s="8" t="s">
        <v>1600</v>
      </c>
      <c r="JW397" t="s">
        <v>13</v>
      </c>
      <c r="JX397">
        <v>80000</v>
      </c>
      <c r="MS397" t="s">
        <v>1582</v>
      </c>
      <c r="MT397">
        <v>120</v>
      </c>
      <c r="MU397" t="s">
        <v>1604</v>
      </c>
      <c r="MW397" t="s">
        <v>1598</v>
      </c>
      <c r="MX397" t="s">
        <v>1602</v>
      </c>
      <c r="MY397" t="s">
        <v>1606</v>
      </c>
      <c r="NE397" t="s">
        <v>1601</v>
      </c>
      <c r="NG397" s="103" t="s">
        <v>1531</v>
      </c>
      <c r="NH397" s="102" t="s">
        <v>1550</v>
      </c>
      <c r="NQ397" t="s">
        <v>6</v>
      </c>
      <c r="NR397" s="104">
        <v>714438.09</v>
      </c>
      <c r="NS397" s="87" t="s">
        <v>29</v>
      </c>
      <c r="NT397" s="87" t="s">
        <v>29</v>
      </c>
      <c r="NW397">
        <v>3</v>
      </c>
      <c r="OH397" t="s">
        <v>1605</v>
      </c>
      <c r="OI397" s="87"/>
      <c r="OJ397">
        <v>2007</v>
      </c>
      <c r="OO397" t="s">
        <v>1178</v>
      </c>
      <c r="OP397" s="58">
        <v>46105</v>
      </c>
    </row>
    <row r="398" spans="1:406" ht="15.75" thickBot="1">
      <c r="A398" t="s">
        <v>248</v>
      </c>
      <c r="B398" t="s">
        <v>1580</v>
      </c>
      <c r="C398" t="s">
        <v>1183</v>
      </c>
      <c r="D398" s="4" t="s">
        <v>1955</v>
      </c>
      <c r="E398" t="s">
        <v>1596</v>
      </c>
      <c r="F398" s="100" t="s">
        <v>31</v>
      </c>
      <c r="G398" s="87" t="s">
        <v>2</v>
      </c>
      <c r="H398" s="87" t="s">
        <v>30</v>
      </c>
      <c r="I398">
        <v>7.25</v>
      </c>
      <c r="J398">
        <v>3.4166666669999999</v>
      </c>
      <c r="K398" s="87" t="s">
        <v>29</v>
      </c>
      <c r="AV398" t="s">
        <v>1715</v>
      </c>
      <c r="AW398">
        <v>3240</v>
      </c>
      <c r="AX398">
        <v>1.2E-2</v>
      </c>
      <c r="AY398">
        <v>1</v>
      </c>
      <c r="BA398">
        <v>2006</v>
      </c>
      <c r="BB398">
        <v>2007</v>
      </c>
      <c r="BD398" t="s">
        <v>238</v>
      </c>
      <c r="BE398" t="s">
        <v>1590</v>
      </c>
      <c r="BF398" t="s">
        <v>64</v>
      </c>
      <c r="BG398" s="78" t="s">
        <v>1243</v>
      </c>
      <c r="BH398" t="s">
        <v>1587</v>
      </c>
      <c r="BI398" t="s">
        <v>1599</v>
      </c>
      <c r="BJ398" s="87" t="s">
        <v>22</v>
      </c>
      <c r="BK398">
        <v>1330</v>
      </c>
      <c r="BL398" t="s">
        <v>56</v>
      </c>
      <c r="BM398" t="s">
        <v>1598</v>
      </c>
      <c r="BN398" t="s">
        <v>234</v>
      </c>
      <c r="BO398" s="87" t="s">
        <v>22</v>
      </c>
      <c r="BP398">
        <v>20000</v>
      </c>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K398" s="9"/>
      <c r="HU398" s="101">
        <v>38838</v>
      </c>
      <c r="HW398" s="58"/>
      <c r="IG398" t="s">
        <v>1590</v>
      </c>
      <c r="IH398" s="87" t="s">
        <v>1200</v>
      </c>
      <c r="II398" s="19" t="s">
        <v>660</v>
      </c>
      <c r="IJ398" t="s">
        <v>661</v>
      </c>
      <c r="IK398">
        <v>2006</v>
      </c>
      <c r="IM398" s="87" t="s">
        <v>29</v>
      </c>
      <c r="JI398" t="s">
        <v>1590</v>
      </c>
      <c r="JJ398" s="84" t="s">
        <v>721</v>
      </c>
      <c r="MS398" t="s">
        <v>1607</v>
      </c>
      <c r="MT398">
        <v>120</v>
      </c>
      <c r="ND398" s="87" t="s">
        <v>1610</v>
      </c>
      <c r="NE398" t="s">
        <v>1608</v>
      </c>
      <c r="NG398" s="103" t="s">
        <v>671</v>
      </c>
      <c r="NH398" s="102" t="s">
        <v>1550</v>
      </c>
      <c r="NQ398" t="s">
        <v>6</v>
      </c>
      <c r="NR398" s="104">
        <v>68826.67</v>
      </c>
      <c r="NS398" s="87" t="s">
        <v>29</v>
      </c>
      <c r="NT398" s="87" t="s">
        <v>29</v>
      </c>
      <c r="NW398">
        <v>3</v>
      </c>
      <c r="OH398" t="s">
        <v>1593</v>
      </c>
      <c r="OI398" s="87"/>
      <c r="OJ398">
        <v>2006</v>
      </c>
      <c r="OO398" t="s">
        <v>1178</v>
      </c>
      <c r="OP398" s="58">
        <v>46105</v>
      </c>
    </row>
    <row r="399" spans="1:406" ht="15.75" thickBot="1">
      <c r="A399" t="s">
        <v>248</v>
      </c>
      <c r="B399" t="s">
        <v>1580</v>
      </c>
      <c r="C399" t="s">
        <v>1183</v>
      </c>
      <c r="D399" s="4" t="s">
        <v>1955</v>
      </c>
      <c r="E399" t="s">
        <v>1596</v>
      </c>
      <c r="F399" s="100" t="s">
        <v>31</v>
      </c>
      <c r="G399" s="87" t="s">
        <v>2</v>
      </c>
      <c r="H399" s="87" t="s">
        <v>30</v>
      </c>
      <c r="I399">
        <v>7.25</v>
      </c>
      <c r="J399">
        <v>3.4166666669999999</v>
      </c>
      <c r="K399" s="87" t="s">
        <v>29</v>
      </c>
      <c r="AV399" t="s">
        <v>1715</v>
      </c>
      <c r="AW399">
        <v>3240</v>
      </c>
      <c r="AX399">
        <v>1.2E-2</v>
      </c>
      <c r="AY399">
        <v>1</v>
      </c>
      <c r="BA399">
        <v>2006</v>
      </c>
      <c r="BB399">
        <v>2007</v>
      </c>
      <c r="BD399" t="s">
        <v>19</v>
      </c>
      <c r="BE399" t="s">
        <v>1586</v>
      </c>
      <c r="BF399" t="s">
        <v>39</v>
      </c>
      <c r="BG399" s="78" t="s">
        <v>1243</v>
      </c>
      <c r="BH399" t="s">
        <v>1587</v>
      </c>
      <c r="BI399" t="s">
        <v>1599</v>
      </c>
      <c r="BJ399" s="87" t="s">
        <v>22</v>
      </c>
      <c r="BK399">
        <v>1330</v>
      </c>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K399" s="9"/>
      <c r="HU399" s="101">
        <v>38838</v>
      </c>
      <c r="HW399" s="58"/>
      <c r="IG399" t="s">
        <v>1586</v>
      </c>
      <c r="IH399" t="s">
        <v>19</v>
      </c>
      <c r="II399" s="19"/>
      <c r="IM399" s="87"/>
      <c r="JI399" t="s">
        <v>1586</v>
      </c>
      <c r="JJ399" s="84" t="s">
        <v>721</v>
      </c>
      <c r="MS399" t="s">
        <v>1607</v>
      </c>
      <c r="MT399">
        <v>120</v>
      </c>
      <c r="ND399" s="87" t="s">
        <v>1610</v>
      </c>
      <c r="NE399" t="s">
        <v>1608</v>
      </c>
      <c r="NG399" s="103" t="s">
        <v>671</v>
      </c>
      <c r="NH399" s="102" t="s">
        <v>1550</v>
      </c>
      <c r="NP399" t="s">
        <v>64</v>
      </c>
      <c r="NQ399" t="s">
        <v>6</v>
      </c>
      <c r="NR399" s="104">
        <v>43306.67</v>
      </c>
      <c r="NS399" s="87" t="s">
        <v>29</v>
      </c>
      <c r="NT399" s="87" t="s">
        <v>29</v>
      </c>
      <c r="NW399">
        <v>3</v>
      </c>
      <c r="OH399" t="s">
        <v>1593</v>
      </c>
      <c r="OI399" s="87"/>
      <c r="OJ399">
        <v>2006</v>
      </c>
      <c r="OO399" t="s">
        <v>1178</v>
      </c>
      <c r="OP399" s="58">
        <v>46105</v>
      </c>
    </row>
    <row r="400" spans="1:406" ht="15.75" thickBot="1">
      <c r="A400" t="s">
        <v>248</v>
      </c>
      <c r="B400" t="s">
        <v>1580</v>
      </c>
      <c r="C400" t="s">
        <v>1183</v>
      </c>
      <c r="D400" s="4" t="s">
        <v>1955</v>
      </c>
      <c r="E400" t="s">
        <v>1596</v>
      </c>
      <c r="F400" s="100" t="s">
        <v>31</v>
      </c>
      <c r="G400" s="87" t="s">
        <v>2</v>
      </c>
      <c r="H400" s="87" t="s">
        <v>30</v>
      </c>
      <c r="I400">
        <v>7.25</v>
      </c>
      <c r="J400">
        <v>3.4166666669999999</v>
      </c>
      <c r="K400" s="87" t="s">
        <v>29</v>
      </c>
      <c r="AV400" t="s">
        <v>1715</v>
      </c>
      <c r="AW400">
        <v>3240</v>
      </c>
      <c r="AX400">
        <v>1.2E-2</v>
      </c>
      <c r="AY400">
        <v>1</v>
      </c>
      <c r="BA400">
        <v>2006</v>
      </c>
      <c r="BB400">
        <v>2007</v>
      </c>
      <c r="BD400" t="s">
        <v>19</v>
      </c>
      <c r="BE400" t="s">
        <v>1585</v>
      </c>
      <c r="BF400" t="s">
        <v>24</v>
      </c>
      <c r="BG400" s="78" t="s">
        <v>1243</v>
      </c>
      <c r="BH400" t="s">
        <v>1598</v>
      </c>
      <c r="BI400" t="s">
        <v>838</v>
      </c>
      <c r="BJ400" s="87" t="s">
        <v>22</v>
      </c>
      <c r="BK400">
        <v>20000</v>
      </c>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K400" s="9"/>
      <c r="HU400" s="101">
        <v>38838</v>
      </c>
      <c r="HW400" s="58"/>
      <c r="IG400" t="s">
        <v>1585</v>
      </c>
      <c r="IH400" t="s">
        <v>19</v>
      </c>
      <c r="II400" s="19"/>
      <c r="IM400" s="87"/>
      <c r="JI400" t="s">
        <v>1585</v>
      </c>
      <c r="JJ400" s="84" t="s">
        <v>721</v>
      </c>
      <c r="MS400" t="s">
        <v>1607</v>
      </c>
      <c r="MT400">
        <v>120</v>
      </c>
      <c r="ND400" s="87" t="s">
        <v>1610</v>
      </c>
      <c r="NE400" t="s">
        <v>1608</v>
      </c>
      <c r="NG400" s="103" t="s">
        <v>671</v>
      </c>
      <c r="NH400" s="102" t="s">
        <v>1550</v>
      </c>
      <c r="NP400" t="s">
        <v>64</v>
      </c>
      <c r="NQ400" t="s">
        <v>6</v>
      </c>
      <c r="NR400" s="104">
        <v>67805.56</v>
      </c>
      <c r="NS400" s="87" t="s">
        <v>29</v>
      </c>
      <c r="NT400" s="87" t="s">
        <v>29</v>
      </c>
      <c r="NW400">
        <v>3</v>
      </c>
      <c r="OH400" t="s">
        <v>1593</v>
      </c>
      <c r="OI400" s="87"/>
      <c r="OJ400">
        <v>2006</v>
      </c>
      <c r="OO400" t="s">
        <v>1178</v>
      </c>
      <c r="OP400" s="58">
        <v>46105</v>
      </c>
    </row>
    <row r="401" spans="1:406" ht="15.75" thickBot="1">
      <c r="A401" t="s">
        <v>248</v>
      </c>
      <c r="B401" t="s">
        <v>1580</v>
      </c>
      <c r="C401" t="s">
        <v>1183</v>
      </c>
      <c r="D401" s="4" t="s">
        <v>1955</v>
      </c>
      <c r="E401" t="s">
        <v>1596</v>
      </c>
      <c r="F401" s="100" t="s">
        <v>31</v>
      </c>
      <c r="G401" s="87" t="s">
        <v>2</v>
      </c>
      <c r="H401" s="87" t="s">
        <v>30</v>
      </c>
      <c r="I401">
        <v>7.25</v>
      </c>
      <c r="J401">
        <v>3.4166666669999999</v>
      </c>
      <c r="K401" s="87" t="s">
        <v>29</v>
      </c>
      <c r="AV401" t="s">
        <v>1715</v>
      </c>
      <c r="AW401">
        <v>3240</v>
      </c>
      <c r="AX401">
        <v>1.2E-2</v>
      </c>
      <c r="AY401">
        <v>1</v>
      </c>
      <c r="BA401">
        <v>2006</v>
      </c>
      <c r="BB401">
        <v>2007</v>
      </c>
      <c r="BD401" t="s">
        <v>19</v>
      </c>
      <c r="BE401" t="s">
        <v>1581</v>
      </c>
      <c r="BF401" t="s">
        <v>299</v>
      </c>
      <c r="BG401" s="78" t="s">
        <v>1243</v>
      </c>
      <c r="BH401" t="s">
        <v>1598</v>
      </c>
      <c r="BI401" t="s">
        <v>234</v>
      </c>
      <c r="BJ401" s="87" t="s">
        <v>22</v>
      </c>
      <c r="BK401">
        <v>20000</v>
      </c>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K401" s="9"/>
      <c r="HU401" s="101">
        <v>38838</v>
      </c>
      <c r="HW401" s="58"/>
      <c r="IG401" t="s">
        <v>1581</v>
      </c>
      <c r="IH401" t="s">
        <v>19</v>
      </c>
      <c r="II401" s="19"/>
      <c r="JI401" t="s">
        <v>1581</v>
      </c>
      <c r="JJ401" s="84" t="s">
        <v>227</v>
      </c>
      <c r="JU401" s="8" t="s">
        <v>227</v>
      </c>
      <c r="JV401" s="8" t="s">
        <v>1600</v>
      </c>
      <c r="JW401" t="s">
        <v>13</v>
      </c>
      <c r="JX401">
        <v>40000</v>
      </c>
      <c r="MS401" t="s">
        <v>1607</v>
      </c>
      <c r="MT401">
        <v>120</v>
      </c>
      <c r="ND401" s="87" t="s">
        <v>1610</v>
      </c>
      <c r="NE401" t="s">
        <v>1608</v>
      </c>
      <c r="NG401" s="103" t="s">
        <v>671</v>
      </c>
      <c r="NH401" s="102" t="s">
        <v>1550</v>
      </c>
      <c r="NP401" t="s">
        <v>57</v>
      </c>
      <c r="NQ401" t="s">
        <v>6</v>
      </c>
      <c r="NR401" s="104">
        <v>77833.33</v>
      </c>
      <c r="NS401" s="87" t="s">
        <v>29</v>
      </c>
      <c r="NT401" s="87" t="s">
        <v>29</v>
      </c>
      <c r="NW401">
        <v>3</v>
      </c>
      <c r="OH401" t="s">
        <v>1594</v>
      </c>
      <c r="OI401" s="87"/>
      <c r="OJ401">
        <v>2006</v>
      </c>
      <c r="OO401" t="s">
        <v>1178</v>
      </c>
      <c r="OP401" s="58">
        <v>46105</v>
      </c>
    </row>
    <row r="402" spans="1:406" ht="15.75" thickBot="1">
      <c r="A402" t="s">
        <v>248</v>
      </c>
      <c r="B402" t="s">
        <v>1580</v>
      </c>
      <c r="C402" t="s">
        <v>1183</v>
      </c>
      <c r="D402" s="4" t="s">
        <v>1955</v>
      </c>
      <c r="E402" t="s">
        <v>1596</v>
      </c>
      <c r="F402" s="100" t="s">
        <v>31</v>
      </c>
      <c r="G402" s="87" t="s">
        <v>2</v>
      </c>
      <c r="H402" s="87" t="s">
        <v>30</v>
      </c>
      <c r="I402">
        <v>7.25</v>
      </c>
      <c r="J402">
        <v>3.4166666669999999</v>
      </c>
      <c r="K402" s="87" t="s">
        <v>29</v>
      </c>
      <c r="AV402" t="s">
        <v>1715</v>
      </c>
      <c r="AW402">
        <v>3240</v>
      </c>
      <c r="AX402">
        <v>1.2E-2</v>
      </c>
      <c r="AY402">
        <v>1</v>
      </c>
      <c r="BA402">
        <v>2006</v>
      </c>
      <c r="BB402">
        <v>2007</v>
      </c>
      <c r="BD402" t="s">
        <v>19</v>
      </c>
      <c r="BE402" t="s">
        <v>1584</v>
      </c>
      <c r="BF402" t="s">
        <v>256</v>
      </c>
      <c r="BG402" s="78" t="s">
        <v>1243</v>
      </c>
      <c r="BH402" t="s">
        <v>1598</v>
      </c>
      <c r="BI402" t="s">
        <v>234</v>
      </c>
      <c r="BJ402" s="87" t="s">
        <v>22</v>
      </c>
      <c r="BK402">
        <v>20000</v>
      </c>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K402" s="9"/>
      <c r="HU402" s="101">
        <v>38838</v>
      </c>
      <c r="HW402" s="58"/>
      <c r="IG402" t="s">
        <v>1584</v>
      </c>
      <c r="IH402" t="s">
        <v>19</v>
      </c>
      <c r="II402" s="19"/>
      <c r="JI402" t="s">
        <v>1584</v>
      </c>
      <c r="JJ402" s="84" t="s">
        <v>227</v>
      </c>
      <c r="JU402" s="8" t="s">
        <v>227</v>
      </c>
      <c r="JV402" s="8" t="s">
        <v>1600</v>
      </c>
      <c r="JW402" t="s">
        <v>13</v>
      </c>
      <c r="JX402">
        <v>80000</v>
      </c>
      <c r="MS402" t="s">
        <v>1607</v>
      </c>
      <c r="MT402">
        <v>120</v>
      </c>
      <c r="ND402" s="87" t="s">
        <v>1610</v>
      </c>
      <c r="NE402" t="s">
        <v>1608</v>
      </c>
      <c r="NG402" s="103" t="s">
        <v>671</v>
      </c>
      <c r="NH402" s="102" t="s">
        <v>1550</v>
      </c>
      <c r="NP402" t="s">
        <v>48</v>
      </c>
      <c r="NQ402" t="s">
        <v>6</v>
      </c>
      <c r="NR402" s="104">
        <v>88333.33</v>
      </c>
      <c r="NS402" s="87" t="s">
        <v>29</v>
      </c>
      <c r="NT402" s="87" t="s">
        <v>29</v>
      </c>
      <c r="NW402">
        <v>3</v>
      </c>
      <c r="OH402" t="s">
        <v>1594</v>
      </c>
      <c r="OI402" s="87"/>
      <c r="OJ402">
        <v>2006</v>
      </c>
      <c r="OO402" t="s">
        <v>1178</v>
      </c>
      <c r="OP402" s="58">
        <v>46105</v>
      </c>
    </row>
    <row r="403" spans="1:406" ht="15.75" thickBot="1">
      <c r="A403" t="s">
        <v>248</v>
      </c>
      <c r="B403" t="s">
        <v>1580</v>
      </c>
      <c r="C403" t="s">
        <v>1183</v>
      </c>
      <c r="D403" s="4" t="s">
        <v>1955</v>
      </c>
      <c r="E403" t="s">
        <v>1596</v>
      </c>
      <c r="F403" s="100" t="s">
        <v>31</v>
      </c>
      <c r="G403" s="87" t="s">
        <v>2</v>
      </c>
      <c r="H403" s="87" t="s">
        <v>30</v>
      </c>
      <c r="I403">
        <v>7.25</v>
      </c>
      <c r="J403">
        <v>3.4166666669999999</v>
      </c>
      <c r="K403" s="87" t="s">
        <v>29</v>
      </c>
      <c r="AV403" t="s">
        <v>1715</v>
      </c>
      <c r="AW403">
        <v>3240</v>
      </c>
      <c r="AX403">
        <v>1.2E-2</v>
      </c>
      <c r="AY403">
        <v>1</v>
      </c>
      <c r="BA403">
        <v>2006</v>
      </c>
      <c r="BB403">
        <v>2007</v>
      </c>
      <c r="BD403" t="s">
        <v>19</v>
      </c>
      <c r="BE403" t="s">
        <v>1588</v>
      </c>
      <c r="BF403" t="s">
        <v>1467</v>
      </c>
      <c r="BG403" s="78" t="s">
        <v>1243</v>
      </c>
      <c r="BH403" t="s">
        <v>1587</v>
      </c>
      <c r="BI403" t="s">
        <v>1599</v>
      </c>
      <c r="BJ403" s="87" t="s">
        <v>22</v>
      </c>
      <c r="BK403">
        <v>1330</v>
      </c>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K403" s="9"/>
      <c r="HU403" s="101">
        <v>38838</v>
      </c>
      <c r="HW403" s="58"/>
      <c r="IG403" t="s">
        <v>1588</v>
      </c>
      <c r="IH403" t="s">
        <v>19</v>
      </c>
      <c r="II403" s="19"/>
      <c r="JI403" t="s">
        <v>1588</v>
      </c>
      <c r="JJ403" s="84" t="s">
        <v>227</v>
      </c>
      <c r="JU403" s="8" t="s">
        <v>227</v>
      </c>
      <c r="JV403" s="8" t="s">
        <v>1600</v>
      </c>
      <c r="JW403" t="s">
        <v>13</v>
      </c>
      <c r="JX403">
        <v>40000</v>
      </c>
      <c r="MS403" t="s">
        <v>1607</v>
      </c>
      <c r="MT403">
        <v>120</v>
      </c>
      <c r="ND403" s="87" t="s">
        <v>1610</v>
      </c>
      <c r="NE403" t="s">
        <v>1608</v>
      </c>
      <c r="NG403" s="103" t="s">
        <v>671</v>
      </c>
      <c r="NH403" s="102" t="s">
        <v>1550</v>
      </c>
      <c r="NP403" t="s">
        <v>57</v>
      </c>
      <c r="NQ403" t="s">
        <v>6</v>
      </c>
      <c r="NR403" s="104">
        <v>83330</v>
      </c>
      <c r="NS403" s="87" t="s">
        <v>29</v>
      </c>
      <c r="NT403" s="87" t="s">
        <v>29</v>
      </c>
      <c r="NW403">
        <v>3</v>
      </c>
      <c r="OH403" t="s">
        <v>1595</v>
      </c>
      <c r="OI403" s="87"/>
      <c r="OJ403">
        <v>2006</v>
      </c>
      <c r="OO403" t="s">
        <v>1178</v>
      </c>
      <c r="OP403" s="58">
        <v>46105</v>
      </c>
    </row>
    <row r="404" spans="1:406" ht="15.75" thickBot="1">
      <c r="A404" t="s">
        <v>248</v>
      </c>
      <c r="B404" t="s">
        <v>1580</v>
      </c>
      <c r="C404" t="s">
        <v>1183</v>
      </c>
      <c r="D404" s="4" t="s">
        <v>1955</v>
      </c>
      <c r="E404" t="s">
        <v>1596</v>
      </c>
      <c r="F404" s="100" t="s">
        <v>31</v>
      </c>
      <c r="G404" s="87" t="s">
        <v>2</v>
      </c>
      <c r="H404" s="87" t="s">
        <v>30</v>
      </c>
      <c r="I404">
        <v>7.25</v>
      </c>
      <c r="J404">
        <v>3.4166666669999999</v>
      </c>
      <c r="K404" s="87" t="s">
        <v>29</v>
      </c>
      <c r="AV404" t="s">
        <v>1715</v>
      </c>
      <c r="AW404">
        <v>3240</v>
      </c>
      <c r="AX404">
        <v>1.2E-2</v>
      </c>
      <c r="AY404">
        <v>1</v>
      </c>
      <c r="BA404">
        <v>2006</v>
      </c>
      <c r="BB404">
        <v>2007</v>
      </c>
      <c r="BD404" t="s">
        <v>19</v>
      </c>
      <c r="BE404" t="s">
        <v>1589</v>
      </c>
      <c r="BF404" t="s">
        <v>1469</v>
      </c>
      <c r="BG404" s="78" t="s">
        <v>1243</v>
      </c>
      <c r="BH404" t="s">
        <v>1587</v>
      </c>
      <c r="BI404" t="s">
        <v>1599</v>
      </c>
      <c r="BJ404" s="87" t="s">
        <v>22</v>
      </c>
      <c r="BK404">
        <v>1330</v>
      </c>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K404" s="9"/>
      <c r="HU404" s="101">
        <v>38838</v>
      </c>
      <c r="HW404" s="58"/>
      <c r="IG404" t="s">
        <v>1589</v>
      </c>
      <c r="IH404" t="s">
        <v>19</v>
      </c>
      <c r="II404" s="19"/>
      <c r="JI404" t="s">
        <v>1589</v>
      </c>
      <c r="JJ404" s="84" t="s">
        <v>227</v>
      </c>
      <c r="JU404" s="8" t="s">
        <v>227</v>
      </c>
      <c r="JV404" s="8" t="s">
        <v>1600</v>
      </c>
      <c r="JW404" t="s">
        <v>13</v>
      </c>
      <c r="JX404">
        <v>80000</v>
      </c>
      <c r="MS404" t="s">
        <v>1607</v>
      </c>
      <c r="MT404">
        <v>120</v>
      </c>
      <c r="ND404" s="87" t="s">
        <v>1610</v>
      </c>
      <c r="NE404" t="s">
        <v>1608</v>
      </c>
      <c r="NG404" s="103" t="s">
        <v>671</v>
      </c>
      <c r="NH404" s="102" t="s">
        <v>1550</v>
      </c>
      <c r="NP404" t="s">
        <v>48</v>
      </c>
      <c r="NQ404" t="s">
        <v>6</v>
      </c>
      <c r="NR404" s="104">
        <v>45831.5</v>
      </c>
      <c r="NS404" s="87" t="s">
        <v>29</v>
      </c>
      <c r="NT404" s="87" t="s">
        <v>29</v>
      </c>
      <c r="NW404">
        <v>3</v>
      </c>
      <c r="OH404" t="s">
        <v>1595</v>
      </c>
      <c r="OI404" s="87"/>
      <c r="OJ404">
        <v>2006</v>
      </c>
      <c r="OO404" t="s">
        <v>1178</v>
      </c>
      <c r="OP404" s="58">
        <v>46105</v>
      </c>
    </row>
    <row r="405" spans="1:406" ht="15.75" thickBot="1">
      <c r="A405" t="s">
        <v>248</v>
      </c>
      <c r="B405" t="s">
        <v>1580</v>
      </c>
      <c r="C405" t="s">
        <v>1183</v>
      </c>
      <c r="D405" s="4" t="s">
        <v>1955</v>
      </c>
      <c r="E405" t="s">
        <v>1596</v>
      </c>
      <c r="F405" s="100" t="s">
        <v>31</v>
      </c>
      <c r="G405" s="87" t="s">
        <v>2</v>
      </c>
      <c r="H405" s="87" t="s">
        <v>30</v>
      </c>
      <c r="I405">
        <v>7.25</v>
      </c>
      <c r="J405">
        <v>3.4166666669999999</v>
      </c>
      <c r="K405" s="87" t="s">
        <v>29</v>
      </c>
      <c r="AV405" t="s">
        <v>1715</v>
      </c>
      <c r="AW405">
        <v>3240</v>
      </c>
      <c r="AX405">
        <v>1.2E-2</v>
      </c>
      <c r="AY405">
        <v>1</v>
      </c>
      <c r="BA405">
        <v>2006</v>
      </c>
      <c r="BB405">
        <v>2007</v>
      </c>
      <c r="BD405" t="s">
        <v>238</v>
      </c>
      <c r="BE405" t="s">
        <v>1591</v>
      </c>
      <c r="BF405" t="s">
        <v>57</v>
      </c>
      <c r="BG405" s="78" t="s">
        <v>1243</v>
      </c>
      <c r="BH405" t="s">
        <v>1587</v>
      </c>
      <c r="BI405" t="s">
        <v>1599</v>
      </c>
      <c r="BJ405" s="87" t="s">
        <v>22</v>
      </c>
      <c r="BK405">
        <v>1330</v>
      </c>
      <c r="BL405" t="s">
        <v>56</v>
      </c>
      <c r="BM405" t="s">
        <v>1598</v>
      </c>
      <c r="BN405" t="s">
        <v>234</v>
      </c>
      <c r="BO405" s="87" t="s">
        <v>22</v>
      </c>
      <c r="BP405">
        <v>20000</v>
      </c>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K405" s="9"/>
      <c r="HU405" s="101">
        <v>38838</v>
      </c>
      <c r="HW405" s="58"/>
      <c r="IG405" t="s">
        <v>1591</v>
      </c>
      <c r="IH405" s="87" t="s">
        <v>1200</v>
      </c>
      <c r="II405" t="s">
        <v>660</v>
      </c>
      <c r="IJ405" t="s">
        <v>661</v>
      </c>
      <c r="IK405">
        <v>2006</v>
      </c>
      <c r="IM405" s="87" t="s">
        <v>29</v>
      </c>
      <c r="JI405" t="s">
        <v>1591</v>
      </c>
      <c r="JJ405" s="84" t="s">
        <v>227</v>
      </c>
      <c r="JU405" s="8" t="s">
        <v>227</v>
      </c>
      <c r="JV405" s="8" t="s">
        <v>1600</v>
      </c>
      <c r="JW405" t="s">
        <v>13</v>
      </c>
      <c r="JX405">
        <v>40000</v>
      </c>
      <c r="MS405" t="s">
        <v>1607</v>
      </c>
      <c r="MT405">
        <v>120</v>
      </c>
      <c r="ND405" s="87" t="s">
        <v>1610</v>
      </c>
      <c r="NE405" t="s">
        <v>1608</v>
      </c>
      <c r="NG405" s="103" t="s">
        <v>671</v>
      </c>
      <c r="NH405" s="102" t="s">
        <v>1550</v>
      </c>
      <c r="NQ405" t="s">
        <v>6</v>
      </c>
      <c r="NR405" s="104">
        <v>78986.67</v>
      </c>
      <c r="NS405" s="87" t="s">
        <v>29</v>
      </c>
      <c r="NT405" s="87" t="s">
        <v>29</v>
      </c>
      <c r="NW405">
        <v>3</v>
      </c>
      <c r="OH405" t="s">
        <v>1605</v>
      </c>
      <c r="OI405" s="87"/>
      <c r="OJ405">
        <v>2006</v>
      </c>
      <c r="OO405" t="s">
        <v>1178</v>
      </c>
      <c r="OP405" s="58">
        <v>46105</v>
      </c>
    </row>
    <row r="406" spans="1:406" ht="15.75" thickBot="1">
      <c r="A406" t="s">
        <v>248</v>
      </c>
      <c r="B406" t="s">
        <v>1580</v>
      </c>
      <c r="C406" t="s">
        <v>1183</v>
      </c>
      <c r="D406" s="4" t="s">
        <v>1955</v>
      </c>
      <c r="E406" t="s">
        <v>1596</v>
      </c>
      <c r="F406" s="100" t="s">
        <v>31</v>
      </c>
      <c r="G406" s="87" t="s">
        <v>2</v>
      </c>
      <c r="H406" s="87" t="s">
        <v>30</v>
      </c>
      <c r="I406">
        <v>7.25</v>
      </c>
      <c r="J406">
        <v>3.4166666669999999</v>
      </c>
      <c r="K406" s="87" t="s">
        <v>29</v>
      </c>
      <c r="AV406" t="s">
        <v>1715</v>
      </c>
      <c r="AW406">
        <v>3240</v>
      </c>
      <c r="AX406">
        <v>1.2E-2</v>
      </c>
      <c r="AY406">
        <v>1</v>
      </c>
      <c r="BA406">
        <v>2006</v>
      </c>
      <c r="BB406">
        <v>2007</v>
      </c>
      <c r="BD406" t="s">
        <v>238</v>
      </c>
      <c r="BE406" t="s">
        <v>1592</v>
      </c>
      <c r="BF406" t="s">
        <v>48</v>
      </c>
      <c r="BG406" s="78" t="s">
        <v>1243</v>
      </c>
      <c r="BH406" t="s">
        <v>1587</v>
      </c>
      <c r="BI406" t="s">
        <v>1599</v>
      </c>
      <c r="BJ406" s="87" t="s">
        <v>22</v>
      </c>
      <c r="BK406">
        <v>1330</v>
      </c>
      <c r="BL406" t="s">
        <v>56</v>
      </c>
      <c r="BM406" t="s">
        <v>1598</v>
      </c>
      <c r="BN406" t="s">
        <v>234</v>
      </c>
      <c r="BO406" s="87" t="s">
        <v>22</v>
      </c>
      <c r="BP406">
        <v>20000</v>
      </c>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K406" s="9"/>
      <c r="HU406" s="101">
        <v>38838</v>
      </c>
      <c r="HW406" s="58"/>
      <c r="IG406" t="s">
        <v>1592</v>
      </c>
      <c r="IH406" s="87" t="s">
        <v>1200</v>
      </c>
      <c r="II406" t="s">
        <v>660</v>
      </c>
      <c r="IJ406" t="s">
        <v>661</v>
      </c>
      <c r="IK406">
        <v>2006</v>
      </c>
      <c r="IM406" s="87" t="s">
        <v>29</v>
      </c>
      <c r="JI406" t="s">
        <v>1592</v>
      </c>
      <c r="JJ406" s="84" t="s">
        <v>227</v>
      </c>
      <c r="JU406" s="8" t="s">
        <v>227</v>
      </c>
      <c r="JV406" s="8" t="s">
        <v>1600</v>
      </c>
      <c r="JW406" t="s">
        <v>13</v>
      </c>
      <c r="JX406">
        <v>80000</v>
      </c>
      <c r="MS406" t="s">
        <v>1607</v>
      </c>
      <c r="MT406">
        <v>120</v>
      </c>
      <c r="ND406" s="87" t="s">
        <v>1610</v>
      </c>
      <c r="NE406" t="s">
        <v>1608</v>
      </c>
      <c r="NG406" s="103" t="s">
        <v>671</v>
      </c>
      <c r="NH406" s="102" t="s">
        <v>1550</v>
      </c>
      <c r="NQ406" t="s">
        <v>6</v>
      </c>
      <c r="NR406" s="104">
        <v>86400</v>
      </c>
      <c r="NS406" s="87" t="s">
        <v>29</v>
      </c>
      <c r="NT406" s="87" t="s">
        <v>29</v>
      </c>
      <c r="NW406">
        <v>3</v>
      </c>
      <c r="OH406" t="s">
        <v>1605</v>
      </c>
      <c r="OI406" s="87"/>
      <c r="OJ406">
        <v>2006</v>
      </c>
      <c r="OO406" t="s">
        <v>1178</v>
      </c>
      <c r="OP406" s="58">
        <v>46105</v>
      </c>
    </row>
    <row r="407" spans="1:406" ht="15.75" thickBot="1">
      <c r="A407" t="s">
        <v>248</v>
      </c>
      <c r="B407" t="s">
        <v>1580</v>
      </c>
      <c r="C407" t="s">
        <v>1183</v>
      </c>
      <c r="D407" s="4" t="s">
        <v>1955</v>
      </c>
      <c r="E407" t="s">
        <v>1596</v>
      </c>
      <c r="F407" s="100" t="s">
        <v>31</v>
      </c>
      <c r="G407" s="87" t="s">
        <v>2</v>
      </c>
      <c r="H407" s="87" t="s">
        <v>30</v>
      </c>
      <c r="I407">
        <v>7.25</v>
      </c>
      <c r="J407">
        <v>3.4166666669999999</v>
      </c>
      <c r="K407" s="87" t="s">
        <v>29</v>
      </c>
      <c r="AV407" t="s">
        <v>1715</v>
      </c>
      <c r="AW407">
        <v>3240</v>
      </c>
      <c r="AX407">
        <v>1.2E-2</v>
      </c>
      <c r="AY407">
        <v>1</v>
      </c>
      <c r="BA407">
        <v>2006</v>
      </c>
      <c r="BB407">
        <v>2007</v>
      </c>
      <c r="BD407" t="s">
        <v>238</v>
      </c>
      <c r="BE407" t="s">
        <v>1590</v>
      </c>
      <c r="BF407" t="s">
        <v>64</v>
      </c>
      <c r="BG407" s="78" t="s">
        <v>1243</v>
      </c>
      <c r="BH407" t="s">
        <v>1587</v>
      </c>
      <c r="BI407" t="s">
        <v>1599</v>
      </c>
      <c r="BJ407" s="87" t="s">
        <v>22</v>
      </c>
      <c r="BK407">
        <v>1330</v>
      </c>
      <c r="BL407" t="s">
        <v>56</v>
      </c>
      <c r="BM407" t="s">
        <v>1598</v>
      </c>
      <c r="BN407" t="s">
        <v>234</v>
      </c>
      <c r="BO407" s="87" t="s">
        <v>22</v>
      </c>
      <c r="BP407">
        <v>20000</v>
      </c>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K407" s="9"/>
      <c r="HU407" s="101">
        <v>38838</v>
      </c>
      <c r="HW407" s="58"/>
      <c r="IG407" t="s">
        <v>1590</v>
      </c>
      <c r="IH407" s="87" t="s">
        <v>1200</v>
      </c>
      <c r="II407" t="s">
        <v>660</v>
      </c>
      <c r="IJ407" t="s">
        <v>661</v>
      </c>
      <c r="IK407">
        <v>2006</v>
      </c>
      <c r="IM407" s="87" t="s">
        <v>29</v>
      </c>
      <c r="JI407" t="s">
        <v>1590</v>
      </c>
      <c r="JJ407" s="84" t="s">
        <v>721</v>
      </c>
      <c r="MS407" t="s">
        <v>1607</v>
      </c>
      <c r="MT407">
        <v>120</v>
      </c>
      <c r="ND407" s="87" t="s">
        <v>1610</v>
      </c>
      <c r="NE407" t="s">
        <v>1608</v>
      </c>
      <c r="NG407" s="103" t="s">
        <v>671</v>
      </c>
      <c r="NH407" s="102" t="s">
        <v>1550</v>
      </c>
      <c r="NQ407" t="s">
        <v>6</v>
      </c>
      <c r="NR407" s="104">
        <v>46664.800000000003</v>
      </c>
      <c r="NS407" s="87" t="s">
        <v>29</v>
      </c>
      <c r="NT407" s="87" t="s">
        <v>29</v>
      </c>
      <c r="NW407">
        <v>3</v>
      </c>
      <c r="OH407" t="s">
        <v>1593</v>
      </c>
      <c r="OI407" s="87"/>
      <c r="OJ407">
        <v>2007</v>
      </c>
      <c r="OO407" t="s">
        <v>1178</v>
      </c>
      <c r="OP407" s="58">
        <v>46105</v>
      </c>
    </row>
    <row r="408" spans="1:406" ht="15.75" thickBot="1">
      <c r="A408" t="s">
        <v>248</v>
      </c>
      <c r="B408" t="s">
        <v>1580</v>
      </c>
      <c r="C408" t="s">
        <v>1183</v>
      </c>
      <c r="D408" s="4" t="s">
        <v>1955</v>
      </c>
      <c r="E408" t="s">
        <v>1596</v>
      </c>
      <c r="F408" s="100" t="s">
        <v>31</v>
      </c>
      <c r="G408" s="87" t="s">
        <v>2</v>
      </c>
      <c r="H408" s="87" t="s">
        <v>30</v>
      </c>
      <c r="I408">
        <v>7.25</v>
      </c>
      <c r="J408">
        <v>3.4166666669999999</v>
      </c>
      <c r="K408" s="87" t="s">
        <v>29</v>
      </c>
      <c r="AV408" t="s">
        <v>1715</v>
      </c>
      <c r="AW408">
        <v>3240</v>
      </c>
      <c r="AX408">
        <v>1.2E-2</v>
      </c>
      <c r="AY408">
        <v>1</v>
      </c>
      <c r="BA408">
        <v>2006</v>
      </c>
      <c r="BB408">
        <v>2007</v>
      </c>
      <c r="BD408" t="s">
        <v>19</v>
      </c>
      <c r="BE408" t="s">
        <v>1586</v>
      </c>
      <c r="BF408" t="s">
        <v>39</v>
      </c>
      <c r="BG408" s="78" t="s">
        <v>1243</v>
      </c>
      <c r="BH408" t="s">
        <v>1587</v>
      </c>
      <c r="BI408" t="s">
        <v>1599</v>
      </c>
      <c r="BJ408" s="87" t="s">
        <v>22</v>
      </c>
      <c r="BK408">
        <v>1330</v>
      </c>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K408" s="9"/>
      <c r="HU408" s="101">
        <v>38838</v>
      </c>
      <c r="HW408" s="58"/>
      <c r="IG408" t="s">
        <v>1586</v>
      </c>
      <c r="IH408" t="s">
        <v>19</v>
      </c>
      <c r="IM408" s="87"/>
      <c r="JI408" t="s">
        <v>1586</v>
      </c>
      <c r="JJ408" s="84" t="s">
        <v>721</v>
      </c>
      <c r="MS408" t="s">
        <v>1607</v>
      </c>
      <c r="MT408">
        <v>120</v>
      </c>
      <c r="ND408" s="87" t="s">
        <v>1610</v>
      </c>
      <c r="NE408" t="s">
        <v>1608</v>
      </c>
      <c r="NG408" s="103" t="s">
        <v>671</v>
      </c>
      <c r="NH408" s="102" t="s">
        <v>1550</v>
      </c>
      <c r="NP408" t="s">
        <v>64</v>
      </c>
      <c r="NQ408" t="s">
        <v>6</v>
      </c>
      <c r="NR408" s="104">
        <v>16721.55</v>
      </c>
      <c r="NS408" s="87" t="s">
        <v>29</v>
      </c>
      <c r="NT408" s="87" t="s">
        <v>29</v>
      </c>
      <c r="NW408">
        <v>3</v>
      </c>
      <c r="OH408" t="s">
        <v>1593</v>
      </c>
      <c r="OI408" s="87"/>
      <c r="OJ408">
        <v>2007</v>
      </c>
      <c r="OO408" t="s">
        <v>1178</v>
      </c>
      <c r="OP408" s="58">
        <v>46105</v>
      </c>
    </row>
    <row r="409" spans="1:406" ht="15.75" thickBot="1">
      <c r="A409" t="s">
        <v>248</v>
      </c>
      <c r="B409" t="s">
        <v>1580</v>
      </c>
      <c r="C409" t="s">
        <v>1183</v>
      </c>
      <c r="D409" s="4" t="s">
        <v>1955</v>
      </c>
      <c r="E409" t="s">
        <v>1596</v>
      </c>
      <c r="F409" s="100" t="s">
        <v>31</v>
      </c>
      <c r="G409" s="87" t="s">
        <v>2</v>
      </c>
      <c r="H409" s="87" t="s">
        <v>30</v>
      </c>
      <c r="I409">
        <v>7.25</v>
      </c>
      <c r="J409">
        <v>3.4166666669999999</v>
      </c>
      <c r="K409" s="87" t="s">
        <v>29</v>
      </c>
      <c r="AV409" t="s">
        <v>1715</v>
      </c>
      <c r="AW409">
        <v>3240</v>
      </c>
      <c r="AX409">
        <v>1.2E-2</v>
      </c>
      <c r="AY409">
        <v>1</v>
      </c>
      <c r="BA409">
        <v>2006</v>
      </c>
      <c r="BB409">
        <v>2007</v>
      </c>
      <c r="BD409" t="s">
        <v>19</v>
      </c>
      <c r="BE409" t="s">
        <v>1585</v>
      </c>
      <c r="BF409" t="s">
        <v>24</v>
      </c>
      <c r="BG409" s="78" t="s">
        <v>1243</v>
      </c>
      <c r="BH409" t="s">
        <v>1598</v>
      </c>
      <c r="BI409" t="s">
        <v>838</v>
      </c>
      <c r="BJ409" s="87" t="s">
        <v>22</v>
      </c>
      <c r="BK409">
        <v>20000</v>
      </c>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K409" s="9"/>
      <c r="HU409" s="101">
        <v>38838</v>
      </c>
      <c r="HW409" s="58"/>
      <c r="IG409" t="s">
        <v>1585</v>
      </c>
      <c r="IH409" t="s">
        <v>19</v>
      </c>
      <c r="IM409" s="87"/>
      <c r="JI409" t="s">
        <v>1585</v>
      </c>
      <c r="JJ409" s="84" t="s">
        <v>721</v>
      </c>
      <c r="MS409" t="s">
        <v>1607</v>
      </c>
      <c r="MT409">
        <v>120</v>
      </c>
      <c r="ND409" s="87" t="s">
        <v>1610</v>
      </c>
      <c r="NE409" t="s">
        <v>1608</v>
      </c>
      <c r="NG409" s="103" t="s">
        <v>671</v>
      </c>
      <c r="NH409" s="102" t="s">
        <v>1550</v>
      </c>
      <c r="NP409" t="s">
        <v>64</v>
      </c>
      <c r="NQ409" t="s">
        <v>6</v>
      </c>
      <c r="NR409" s="104">
        <v>44442.67</v>
      </c>
      <c r="NS409" s="87" t="s">
        <v>29</v>
      </c>
      <c r="NT409" s="87" t="s">
        <v>29</v>
      </c>
      <c r="NW409">
        <v>3</v>
      </c>
      <c r="OH409" t="s">
        <v>1593</v>
      </c>
      <c r="OI409" s="87"/>
      <c r="OJ409">
        <v>2007</v>
      </c>
      <c r="OO409" t="s">
        <v>1178</v>
      </c>
      <c r="OP409" s="58">
        <v>46105</v>
      </c>
    </row>
    <row r="410" spans="1:406" ht="15.75" thickBot="1">
      <c r="A410" t="s">
        <v>248</v>
      </c>
      <c r="B410" t="s">
        <v>1580</v>
      </c>
      <c r="C410" t="s">
        <v>1183</v>
      </c>
      <c r="D410" s="4" t="s">
        <v>1955</v>
      </c>
      <c r="E410" t="s">
        <v>1596</v>
      </c>
      <c r="F410" s="100" t="s">
        <v>31</v>
      </c>
      <c r="G410" s="87" t="s">
        <v>2</v>
      </c>
      <c r="H410" s="87" t="s">
        <v>30</v>
      </c>
      <c r="I410">
        <v>7.25</v>
      </c>
      <c r="J410">
        <v>3.4166666669999999</v>
      </c>
      <c r="K410" s="87" t="s">
        <v>29</v>
      </c>
      <c r="AV410" t="s">
        <v>1715</v>
      </c>
      <c r="AW410">
        <v>3240</v>
      </c>
      <c r="AX410">
        <v>1.2E-2</v>
      </c>
      <c r="AY410">
        <v>1</v>
      </c>
      <c r="BA410">
        <v>2006</v>
      </c>
      <c r="BB410">
        <v>2007</v>
      </c>
      <c r="BD410" t="s">
        <v>19</v>
      </c>
      <c r="BE410" t="s">
        <v>1581</v>
      </c>
      <c r="BF410" t="s">
        <v>299</v>
      </c>
      <c r="BG410" s="78" t="s">
        <v>1243</v>
      </c>
      <c r="BH410" t="s">
        <v>1598</v>
      </c>
      <c r="BI410" t="s">
        <v>234</v>
      </c>
      <c r="BJ410" s="87" t="s">
        <v>22</v>
      </c>
      <c r="BK410">
        <v>20000</v>
      </c>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K410" s="9"/>
      <c r="HU410" s="101">
        <v>38838</v>
      </c>
      <c r="HW410" s="58"/>
      <c r="IG410" t="s">
        <v>1581</v>
      </c>
      <c r="IH410" t="s">
        <v>19</v>
      </c>
      <c r="JI410" t="s">
        <v>1581</v>
      </c>
      <c r="JJ410" s="84" t="s">
        <v>227</v>
      </c>
      <c r="JU410" s="8" t="s">
        <v>227</v>
      </c>
      <c r="JV410" s="8" t="s">
        <v>1600</v>
      </c>
      <c r="JW410" t="s">
        <v>13</v>
      </c>
      <c r="JX410">
        <v>40000</v>
      </c>
      <c r="MS410" t="s">
        <v>1607</v>
      </c>
      <c r="MT410">
        <v>120</v>
      </c>
      <c r="ND410" s="87" t="s">
        <v>1610</v>
      </c>
      <c r="NE410" t="s">
        <v>1608</v>
      </c>
      <c r="NG410" s="103" t="s">
        <v>671</v>
      </c>
      <c r="NH410" s="102" t="s">
        <v>1550</v>
      </c>
      <c r="NP410" t="s">
        <v>57</v>
      </c>
      <c r="NQ410" t="s">
        <v>6</v>
      </c>
      <c r="NR410" s="104">
        <v>56192.2</v>
      </c>
      <c r="NS410" s="87" t="s">
        <v>29</v>
      </c>
      <c r="NT410" s="87" t="s">
        <v>29</v>
      </c>
      <c r="NW410">
        <v>3</v>
      </c>
      <c r="OH410" t="s">
        <v>1594</v>
      </c>
      <c r="OI410" s="87"/>
      <c r="OJ410">
        <v>2007</v>
      </c>
      <c r="OO410" t="s">
        <v>1178</v>
      </c>
      <c r="OP410" s="58">
        <v>46105</v>
      </c>
    </row>
    <row r="411" spans="1:406" ht="15.75" thickBot="1">
      <c r="A411" t="s">
        <v>248</v>
      </c>
      <c r="B411" t="s">
        <v>1580</v>
      </c>
      <c r="C411" t="s">
        <v>1183</v>
      </c>
      <c r="D411" s="4" t="s">
        <v>1955</v>
      </c>
      <c r="E411" t="s">
        <v>1596</v>
      </c>
      <c r="F411" s="100" t="s">
        <v>31</v>
      </c>
      <c r="G411" s="87" t="s">
        <v>2</v>
      </c>
      <c r="H411" s="87" t="s">
        <v>30</v>
      </c>
      <c r="I411">
        <v>7.25</v>
      </c>
      <c r="J411">
        <v>3.4166666669999999</v>
      </c>
      <c r="K411" s="87" t="s">
        <v>29</v>
      </c>
      <c r="AV411" t="s">
        <v>1715</v>
      </c>
      <c r="AW411">
        <v>3240</v>
      </c>
      <c r="AX411">
        <v>1.2E-2</v>
      </c>
      <c r="AY411">
        <v>1</v>
      </c>
      <c r="BA411">
        <v>2006</v>
      </c>
      <c r="BB411">
        <v>2007</v>
      </c>
      <c r="BD411" t="s">
        <v>19</v>
      </c>
      <c r="BE411" t="s">
        <v>1584</v>
      </c>
      <c r="BF411" t="s">
        <v>256</v>
      </c>
      <c r="BG411" s="78" t="s">
        <v>1243</v>
      </c>
      <c r="BH411" t="s">
        <v>1598</v>
      </c>
      <c r="BI411" t="s">
        <v>234</v>
      </c>
      <c r="BJ411" s="87" t="s">
        <v>22</v>
      </c>
      <c r="BK411">
        <v>20000</v>
      </c>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K411" s="9"/>
      <c r="HU411" s="101">
        <v>38838</v>
      </c>
      <c r="HW411" s="58"/>
      <c r="IG411" t="s">
        <v>1584</v>
      </c>
      <c r="IH411" t="s">
        <v>19</v>
      </c>
      <c r="JI411" t="s">
        <v>1584</v>
      </c>
      <c r="JJ411" s="84" t="s">
        <v>227</v>
      </c>
      <c r="JU411" s="8" t="s">
        <v>227</v>
      </c>
      <c r="JV411" s="8" t="s">
        <v>1600</v>
      </c>
      <c r="JW411" t="s">
        <v>13</v>
      </c>
      <c r="JX411">
        <v>80000</v>
      </c>
      <c r="MS411" t="s">
        <v>1607</v>
      </c>
      <c r="MT411">
        <v>120</v>
      </c>
      <c r="ND411" s="87" t="s">
        <v>1610</v>
      </c>
      <c r="NE411" t="s">
        <v>1608</v>
      </c>
      <c r="NG411" s="103" t="s">
        <v>671</v>
      </c>
      <c r="NH411" s="102" t="s">
        <v>1550</v>
      </c>
      <c r="NP411" t="s">
        <v>48</v>
      </c>
      <c r="NQ411" t="s">
        <v>6</v>
      </c>
      <c r="NR411" s="104">
        <v>46664.800000000003</v>
      </c>
      <c r="NS411" s="87" t="s">
        <v>29</v>
      </c>
      <c r="NT411" s="87" t="s">
        <v>29</v>
      </c>
      <c r="NW411">
        <v>3</v>
      </c>
      <c r="OH411" t="s">
        <v>1594</v>
      </c>
      <c r="OI411" s="87"/>
      <c r="OJ411">
        <v>2007</v>
      </c>
      <c r="OO411" t="s">
        <v>1178</v>
      </c>
      <c r="OP411" s="58">
        <v>46105</v>
      </c>
    </row>
    <row r="412" spans="1:406" ht="15.75" thickBot="1">
      <c r="A412" t="s">
        <v>248</v>
      </c>
      <c r="B412" t="s">
        <v>1580</v>
      </c>
      <c r="C412" t="s">
        <v>1183</v>
      </c>
      <c r="D412" s="4" t="s">
        <v>1955</v>
      </c>
      <c r="E412" t="s">
        <v>1596</v>
      </c>
      <c r="F412" s="100" t="s">
        <v>31</v>
      </c>
      <c r="G412" s="87" t="s">
        <v>2</v>
      </c>
      <c r="H412" s="87" t="s">
        <v>30</v>
      </c>
      <c r="I412">
        <v>7.25</v>
      </c>
      <c r="J412">
        <v>3.4166666669999999</v>
      </c>
      <c r="K412" s="87" t="s">
        <v>29</v>
      </c>
      <c r="AV412" t="s">
        <v>1715</v>
      </c>
      <c r="AW412">
        <v>3240</v>
      </c>
      <c r="AX412">
        <v>1.2E-2</v>
      </c>
      <c r="AY412">
        <v>1</v>
      </c>
      <c r="BA412">
        <v>2006</v>
      </c>
      <c r="BB412">
        <v>2007</v>
      </c>
      <c r="BD412" t="s">
        <v>19</v>
      </c>
      <c r="BE412" t="s">
        <v>1588</v>
      </c>
      <c r="BF412" t="s">
        <v>1467</v>
      </c>
      <c r="BG412" s="78" t="s">
        <v>1243</v>
      </c>
      <c r="BH412" t="s">
        <v>1587</v>
      </c>
      <c r="BI412" t="s">
        <v>1599</v>
      </c>
      <c r="BJ412" s="87" t="s">
        <v>22</v>
      </c>
      <c r="BK412">
        <v>1330</v>
      </c>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K412" s="9"/>
      <c r="HU412" s="101">
        <v>38838</v>
      </c>
      <c r="HW412" s="58"/>
      <c r="IG412" t="s">
        <v>1588</v>
      </c>
      <c r="IH412" t="s">
        <v>19</v>
      </c>
      <c r="JI412" t="s">
        <v>1588</v>
      </c>
      <c r="JJ412" s="84" t="s">
        <v>227</v>
      </c>
      <c r="JU412" s="8" t="s">
        <v>227</v>
      </c>
      <c r="JV412" s="8" t="s">
        <v>1600</v>
      </c>
      <c r="JW412" t="s">
        <v>13</v>
      </c>
      <c r="JX412">
        <v>40000</v>
      </c>
      <c r="MS412" t="s">
        <v>1607</v>
      </c>
      <c r="MT412">
        <v>120</v>
      </c>
      <c r="ND412" s="87" t="s">
        <v>1610</v>
      </c>
      <c r="NE412" t="s">
        <v>1608</v>
      </c>
      <c r="NG412" s="103" t="s">
        <v>671</v>
      </c>
      <c r="NH412" s="102" t="s">
        <v>1550</v>
      </c>
      <c r="NP412" t="s">
        <v>57</v>
      </c>
      <c r="NQ412" t="s">
        <v>6</v>
      </c>
      <c r="NR412" s="104">
        <v>17165.98</v>
      </c>
      <c r="NS412" s="87" t="s">
        <v>29</v>
      </c>
      <c r="NT412" s="87" t="s">
        <v>29</v>
      </c>
      <c r="NW412">
        <v>3</v>
      </c>
      <c r="OH412" t="s">
        <v>1595</v>
      </c>
      <c r="OI412" s="87"/>
      <c r="OJ412">
        <v>2007</v>
      </c>
      <c r="OO412" t="s">
        <v>1178</v>
      </c>
      <c r="OP412" s="58">
        <v>46105</v>
      </c>
    </row>
    <row r="413" spans="1:406" ht="15.75" thickBot="1">
      <c r="A413" t="s">
        <v>248</v>
      </c>
      <c r="B413" t="s">
        <v>1580</v>
      </c>
      <c r="C413" t="s">
        <v>1183</v>
      </c>
      <c r="D413" s="4" t="s">
        <v>1955</v>
      </c>
      <c r="E413" t="s">
        <v>1596</v>
      </c>
      <c r="F413" s="100" t="s">
        <v>31</v>
      </c>
      <c r="G413" s="87" t="s">
        <v>2</v>
      </c>
      <c r="H413" s="87" t="s">
        <v>30</v>
      </c>
      <c r="I413">
        <v>7.25</v>
      </c>
      <c r="J413">
        <v>3.4166666669999999</v>
      </c>
      <c r="K413" s="87" t="s">
        <v>29</v>
      </c>
      <c r="AV413" t="s">
        <v>1715</v>
      </c>
      <c r="AW413">
        <v>3240</v>
      </c>
      <c r="AX413">
        <v>1.2E-2</v>
      </c>
      <c r="AY413">
        <v>1</v>
      </c>
      <c r="BA413">
        <v>2006</v>
      </c>
      <c r="BB413">
        <v>2007</v>
      </c>
      <c r="BD413" t="s">
        <v>19</v>
      </c>
      <c r="BE413" t="s">
        <v>1589</v>
      </c>
      <c r="BF413" t="s">
        <v>1469</v>
      </c>
      <c r="BG413" s="78" t="s">
        <v>1243</v>
      </c>
      <c r="BH413" t="s">
        <v>1587</v>
      </c>
      <c r="BI413" t="s">
        <v>1599</v>
      </c>
      <c r="BJ413" s="87" t="s">
        <v>22</v>
      </c>
      <c r="BK413">
        <v>1330</v>
      </c>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K413" s="9"/>
      <c r="HU413" s="101">
        <v>38838</v>
      </c>
      <c r="HW413" s="58"/>
      <c r="IG413" t="s">
        <v>1589</v>
      </c>
      <c r="IH413" t="s">
        <v>19</v>
      </c>
      <c r="JI413" t="s">
        <v>1589</v>
      </c>
      <c r="JJ413" s="84" t="s">
        <v>227</v>
      </c>
      <c r="JU413" s="8" t="s">
        <v>227</v>
      </c>
      <c r="JV413" s="8" t="s">
        <v>1600</v>
      </c>
      <c r="JW413" t="s">
        <v>13</v>
      </c>
      <c r="JX413">
        <v>80000</v>
      </c>
      <c r="MS413" t="s">
        <v>1607</v>
      </c>
      <c r="MT413">
        <v>120</v>
      </c>
      <c r="ND413" s="87" t="s">
        <v>1610</v>
      </c>
      <c r="NE413" t="s">
        <v>1608</v>
      </c>
      <c r="NG413" s="103" t="s">
        <v>671</v>
      </c>
      <c r="NH413" s="102" t="s">
        <v>1550</v>
      </c>
      <c r="NP413" t="s">
        <v>48</v>
      </c>
      <c r="NQ413" t="s">
        <v>6</v>
      </c>
      <c r="NR413" s="104">
        <v>17165.98</v>
      </c>
      <c r="NS413" s="87" t="s">
        <v>29</v>
      </c>
      <c r="NT413" s="87" t="s">
        <v>29</v>
      </c>
      <c r="NW413">
        <v>3</v>
      </c>
      <c r="OH413" t="s">
        <v>1595</v>
      </c>
      <c r="OI413" s="87"/>
      <c r="OJ413">
        <v>2007</v>
      </c>
      <c r="OO413" t="s">
        <v>1178</v>
      </c>
      <c r="OP413" s="58">
        <v>46105</v>
      </c>
    </row>
    <row r="414" spans="1:406" ht="15.75" thickBot="1">
      <c r="A414" t="s">
        <v>248</v>
      </c>
      <c r="B414" t="s">
        <v>1580</v>
      </c>
      <c r="C414" t="s">
        <v>1183</v>
      </c>
      <c r="D414" s="4" t="s">
        <v>1955</v>
      </c>
      <c r="E414" t="s">
        <v>1596</v>
      </c>
      <c r="F414" s="100" t="s">
        <v>31</v>
      </c>
      <c r="G414" s="87" t="s">
        <v>2</v>
      </c>
      <c r="H414" s="87" t="s">
        <v>30</v>
      </c>
      <c r="I414">
        <v>7.25</v>
      </c>
      <c r="J414">
        <v>3.4166666669999999</v>
      </c>
      <c r="K414" s="87" t="s">
        <v>29</v>
      </c>
      <c r="AV414" t="s">
        <v>1715</v>
      </c>
      <c r="AW414">
        <v>3240</v>
      </c>
      <c r="AX414">
        <v>1.2E-2</v>
      </c>
      <c r="AY414">
        <v>1</v>
      </c>
      <c r="BA414">
        <v>2006</v>
      </c>
      <c r="BB414">
        <v>2007</v>
      </c>
      <c r="BD414" t="s">
        <v>238</v>
      </c>
      <c r="BE414" t="s">
        <v>1591</v>
      </c>
      <c r="BF414" t="s">
        <v>57</v>
      </c>
      <c r="BG414" s="78" t="s">
        <v>1243</v>
      </c>
      <c r="BH414" t="s">
        <v>1587</v>
      </c>
      <c r="BI414" t="s">
        <v>1599</v>
      </c>
      <c r="BJ414" s="87" t="s">
        <v>22</v>
      </c>
      <c r="BK414">
        <v>1330</v>
      </c>
      <c r="BL414" t="s">
        <v>56</v>
      </c>
      <c r="BM414" t="s">
        <v>1598</v>
      </c>
      <c r="BN414" t="s">
        <v>234</v>
      </c>
      <c r="BO414" s="87" t="s">
        <v>22</v>
      </c>
      <c r="BP414">
        <v>20000</v>
      </c>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K414" s="9"/>
      <c r="HU414" s="101">
        <v>38838</v>
      </c>
      <c r="HW414" s="58"/>
      <c r="IG414" t="s">
        <v>1591</v>
      </c>
      <c r="IH414" s="87" t="s">
        <v>1200</v>
      </c>
      <c r="II414" t="s">
        <v>660</v>
      </c>
      <c r="IJ414" t="s">
        <v>661</v>
      </c>
      <c r="IK414">
        <v>2006</v>
      </c>
      <c r="IM414" s="87" t="s">
        <v>29</v>
      </c>
      <c r="JI414" t="s">
        <v>1591</v>
      </c>
      <c r="JJ414" s="84" t="s">
        <v>227</v>
      </c>
      <c r="JU414" s="8" t="s">
        <v>227</v>
      </c>
      <c r="JV414" s="8" t="s">
        <v>1600</v>
      </c>
      <c r="JW414" t="s">
        <v>13</v>
      </c>
      <c r="JX414">
        <v>40000</v>
      </c>
      <c r="MS414" t="s">
        <v>1607</v>
      </c>
      <c r="MT414">
        <v>120</v>
      </c>
      <c r="ND414" s="87" t="s">
        <v>1610</v>
      </c>
      <c r="NE414" t="s">
        <v>1608</v>
      </c>
      <c r="NG414" s="103" t="s">
        <v>671</v>
      </c>
      <c r="NH414" s="102" t="s">
        <v>1550</v>
      </c>
      <c r="NQ414" t="s">
        <v>6</v>
      </c>
      <c r="NR414" s="104">
        <v>58608.77</v>
      </c>
      <c r="NS414" s="87" t="s">
        <v>29</v>
      </c>
      <c r="NT414" s="87" t="s">
        <v>29</v>
      </c>
      <c r="NW414">
        <v>3</v>
      </c>
      <c r="OH414" t="s">
        <v>1605</v>
      </c>
      <c r="OI414" s="87"/>
      <c r="OJ414">
        <v>2007</v>
      </c>
      <c r="OO414" t="s">
        <v>1178</v>
      </c>
      <c r="OP414" s="58">
        <v>46105</v>
      </c>
    </row>
    <row r="415" spans="1:406" ht="15.75" thickBot="1">
      <c r="A415" t="s">
        <v>248</v>
      </c>
      <c r="B415" t="s">
        <v>1580</v>
      </c>
      <c r="C415" t="s">
        <v>1183</v>
      </c>
      <c r="D415" s="4" t="s">
        <v>1955</v>
      </c>
      <c r="E415" t="s">
        <v>1596</v>
      </c>
      <c r="F415" s="100" t="s">
        <v>31</v>
      </c>
      <c r="G415" s="87" t="s">
        <v>2</v>
      </c>
      <c r="H415" s="87" t="s">
        <v>30</v>
      </c>
      <c r="I415">
        <v>7.25</v>
      </c>
      <c r="J415">
        <v>3.4166666669999999</v>
      </c>
      <c r="K415" s="87" t="s">
        <v>29</v>
      </c>
      <c r="AV415" t="s">
        <v>1715</v>
      </c>
      <c r="AW415">
        <v>3240</v>
      </c>
      <c r="AX415">
        <v>1.2E-2</v>
      </c>
      <c r="AY415">
        <v>1</v>
      </c>
      <c r="BA415">
        <v>2006</v>
      </c>
      <c r="BB415">
        <v>2007</v>
      </c>
      <c r="BD415" t="s">
        <v>238</v>
      </c>
      <c r="BE415" t="s">
        <v>1592</v>
      </c>
      <c r="BF415" t="s">
        <v>48</v>
      </c>
      <c r="BG415" s="78" t="s">
        <v>1243</v>
      </c>
      <c r="BH415" t="s">
        <v>1587</v>
      </c>
      <c r="BI415" t="s">
        <v>1599</v>
      </c>
      <c r="BJ415" s="87" t="s">
        <v>22</v>
      </c>
      <c r="BK415">
        <v>1330</v>
      </c>
      <c r="BL415" t="s">
        <v>56</v>
      </c>
      <c r="BM415" t="s">
        <v>1598</v>
      </c>
      <c r="BN415" t="s">
        <v>234</v>
      </c>
      <c r="BO415" s="87" t="s">
        <v>22</v>
      </c>
      <c r="BP415">
        <v>20000</v>
      </c>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K415" s="9"/>
      <c r="HU415" s="101">
        <v>38838</v>
      </c>
      <c r="HW415" s="58"/>
      <c r="IG415" t="s">
        <v>1592</v>
      </c>
      <c r="IH415" s="87" t="s">
        <v>1200</v>
      </c>
      <c r="II415" t="s">
        <v>660</v>
      </c>
      <c r="IJ415" t="s">
        <v>661</v>
      </c>
      <c r="IK415">
        <v>2006</v>
      </c>
      <c r="IM415" s="87" t="s">
        <v>29</v>
      </c>
      <c r="JI415" t="s">
        <v>1592</v>
      </c>
      <c r="JJ415" s="84" t="s">
        <v>227</v>
      </c>
      <c r="JU415" s="8" t="s">
        <v>227</v>
      </c>
      <c r="JV415" s="8" t="s">
        <v>1600</v>
      </c>
      <c r="JW415" t="s">
        <v>13</v>
      </c>
      <c r="JX415">
        <v>80000</v>
      </c>
      <c r="MS415" t="s">
        <v>1607</v>
      </c>
      <c r="MT415">
        <v>120</v>
      </c>
      <c r="ND415" s="87" t="s">
        <v>1610</v>
      </c>
      <c r="NE415" t="s">
        <v>1608</v>
      </c>
      <c r="NG415" s="103" t="s">
        <v>671</v>
      </c>
      <c r="NH415" s="102" t="s">
        <v>1550</v>
      </c>
      <c r="NQ415" t="s">
        <v>6</v>
      </c>
      <c r="NR415" s="104">
        <v>49220.25</v>
      </c>
      <c r="NS415" s="87" t="s">
        <v>29</v>
      </c>
      <c r="NT415" s="87" t="s">
        <v>29</v>
      </c>
      <c r="NW415">
        <v>3</v>
      </c>
      <c r="OH415" t="s">
        <v>1605</v>
      </c>
      <c r="OI415" s="87"/>
      <c r="OJ415">
        <v>2007</v>
      </c>
      <c r="OO415" t="s">
        <v>1178</v>
      </c>
      <c r="OP415" s="58">
        <v>46105</v>
      </c>
    </row>
    <row r="416" spans="1:406" ht="15.75" thickBot="1">
      <c r="A416" t="s">
        <v>248</v>
      </c>
      <c r="B416" t="s">
        <v>1580</v>
      </c>
      <c r="C416" t="s">
        <v>1183</v>
      </c>
      <c r="D416" s="4" t="s">
        <v>1955</v>
      </c>
      <c r="E416" t="s">
        <v>1596</v>
      </c>
      <c r="F416" s="100" t="s">
        <v>31</v>
      </c>
      <c r="G416" s="87" t="s">
        <v>2</v>
      </c>
      <c r="H416" s="87" t="s">
        <v>30</v>
      </c>
      <c r="I416">
        <v>7.25</v>
      </c>
      <c r="J416">
        <v>3.4166666669999999</v>
      </c>
      <c r="K416" s="87" t="s">
        <v>29</v>
      </c>
      <c r="AV416" t="s">
        <v>1715</v>
      </c>
      <c r="AW416">
        <v>3240</v>
      </c>
      <c r="AX416">
        <v>1.2E-2</v>
      </c>
      <c r="AY416">
        <v>1</v>
      </c>
      <c r="BA416">
        <v>2006</v>
      </c>
      <c r="BB416">
        <v>2007</v>
      </c>
      <c r="BD416" t="s">
        <v>238</v>
      </c>
      <c r="BE416" t="s">
        <v>1590</v>
      </c>
      <c r="BF416" t="s">
        <v>64</v>
      </c>
      <c r="BG416" s="78" t="s">
        <v>1243</v>
      </c>
      <c r="BH416" t="s">
        <v>1587</v>
      </c>
      <c r="BI416" t="s">
        <v>1599</v>
      </c>
      <c r="BJ416" s="87" t="s">
        <v>22</v>
      </c>
      <c r="BK416">
        <v>1330</v>
      </c>
      <c r="BL416" t="s">
        <v>56</v>
      </c>
      <c r="BM416" t="s">
        <v>1598</v>
      </c>
      <c r="BN416" t="s">
        <v>234</v>
      </c>
      <c r="BO416" s="87" t="s">
        <v>22</v>
      </c>
      <c r="BP416">
        <v>20000</v>
      </c>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K416" s="9"/>
      <c r="HU416" s="101">
        <v>38838</v>
      </c>
      <c r="HW416" s="58"/>
      <c r="IG416" t="s">
        <v>1590</v>
      </c>
      <c r="IH416" s="87" t="s">
        <v>1200</v>
      </c>
      <c r="II416" t="s">
        <v>660</v>
      </c>
      <c r="IJ416" t="s">
        <v>661</v>
      </c>
      <c r="IK416">
        <v>2006</v>
      </c>
      <c r="IM416" s="87" t="s">
        <v>29</v>
      </c>
      <c r="JI416" t="s">
        <v>1590</v>
      </c>
      <c r="JJ416" s="84" t="s">
        <v>721</v>
      </c>
      <c r="MS416" t="s">
        <v>1607</v>
      </c>
      <c r="MT416">
        <v>120</v>
      </c>
      <c r="ND416" t="s">
        <v>1611</v>
      </c>
      <c r="NE416" s="87" t="s">
        <v>1609</v>
      </c>
      <c r="NG416" s="103" t="s">
        <v>1426</v>
      </c>
      <c r="NH416" s="102" t="s">
        <v>1550</v>
      </c>
      <c r="NQ416" t="s">
        <v>6</v>
      </c>
      <c r="NR416" s="104">
        <v>150660.26999999999</v>
      </c>
      <c r="NS416" s="87" t="s">
        <v>29</v>
      </c>
      <c r="NT416" s="87" t="s">
        <v>29</v>
      </c>
      <c r="NW416">
        <v>3</v>
      </c>
      <c r="OH416" t="s">
        <v>1593</v>
      </c>
      <c r="OI416" s="87"/>
      <c r="OJ416">
        <v>2006</v>
      </c>
      <c r="OO416" t="s">
        <v>1178</v>
      </c>
      <c r="OP416" s="58">
        <v>46105</v>
      </c>
    </row>
    <row r="417" spans="1:406" ht="15.75" thickBot="1">
      <c r="A417" t="s">
        <v>248</v>
      </c>
      <c r="B417" t="s">
        <v>1580</v>
      </c>
      <c r="C417" t="s">
        <v>1183</v>
      </c>
      <c r="D417" s="4" t="s">
        <v>1955</v>
      </c>
      <c r="E417" t="s">
        <v>1596</v>
      </c>
      <c r="F417" s="100" t="s">
        <v>31</v>
      </c>
      <c r="G417" s="87" t="s">
        <v>2</v>
      </c>
      <c r="H417" s="87" t="s">
        <v>30</v>
      </c>
      <c r="I417">
        <v>7.25</v>
      </c>
      <c r="J417">
        <v>3.4166666669999999</v>
      </c>
      <c r="K417" s="87" t="s">
        <v>29</v>
      </c>
      <c r="AV417" t="s">
        <v>1715</v>
      </c>
      <c r="AW417">
        <v>3240</v>
      </c>
      <c r="AX417">
        <v>1.2E-2</v>
      </c>
      <c r="AY417">
        <v>1</v>
      </c>
      <c r="BA417">
        <v>2006</v>
      </c>
      <c r="BB417">
        <v>2007</v>
      </c>
      <c r="BD417" t="s">
        <v>19</v>
      </c>
      <c r="BE417" t="s">
        <v>1586</v>
      </c>
      <c r="BF417" t="s">
        <v>39</v>
      </c>
      <c r="BG417" s="78" t="s">
        <v>1243</v>
      </c>
      <c r="BH417" t="s">
        <v>1587</v>
      </c>
      <c r="BI417" t="s">
        <v>1599</v>
      </c>
      <c r="BJ417" s="87" t="s">
        <v>22</v>
      </c>
      <c r="BK417">
        <v>1330</v>
      </c>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K417" s="9"/>
      <c r="HU417" s="101">
        <v>38838</v>
      </c>
      <c r="HW417" s="58"/>
      <c r="IG417" t="s">
        <v>1586</v>
      </c>
      <c r="IH417" t="s">
        <v>19</v>
      </c>
      <c r="IM417" s="87"/>
      <c r="JI417" t="s">
        <v>1586</v>
      </c>
      <c r="JJ417" s="84" t="s">
        <v>721</v>
      </c>
      <c r="MS417" t="s">
        <v>1607</v>
      </c>
      <c r="MT417">
        <v>120</v>
      </c>
      <c r="ND417" t="s">
        <v>1611</v>
      </c>
      <c r="NE417" s="87" t="s">
        <v>1609</v>
      </c>
      <c r="NG417" s="103" t="s">
        <v>1426</v>
      </c>
      <c r="NH417" s="102" t="s">
        <v>1550</v>
      </c>
      <c r="NP417" t="s">
        <v>64</v>
      </c>
      <c r="NQ417" t="s">
        <v>6</v>
      </c>
      <c r="NR417" s="104">
        <v>109806.67</v>
      </c>
      <c r="NS417" s="87" t="s">
        <v>29</v>
      </c>
      <c r="NT417" s="87" t="s">
        <v>29</v>
      </c>
      <c r="NW417">
        <v>3</v>
      </c>
      <c r="OH417" t="s">
        <v>1593</v>
      </c>
      <c r="OI417" s="87"/>
      <c r="OJ417">
        <v>2006</v>
      </c>
      <c r="OO417" t="s">
        <v>1178</v>
      </c>
      <c r="OP417" s="58">
        <v>46105</v>
      </c>
    </row>
    <row r="418" spans="1:406" ht="15.75" thickBot="1">
      <c r="A418" t="s">
        <v>248</v>
      </c>
      <c r="B418" t="s">
        <v>1580</v>
      </c>
      <c r="C418" t="s">
        <v>1183</v>
      </c>
      <c r="D418" s="4" t="s">
        <v>1955</v>
      </c>
      <c r="E418" t="s">
        <v>1596</v>
      </c>
      <c r="F418" s="100" t="s">
        <v>31</v>
      </c>
      <c r="G418" s="87" t="s">
        <v>2</v>
      </c>
      <c r="H418" s="87" t="s">
        <v>30</v>
      </c>
      <c r="I418">
        <v>7.25</v>
      </c>
      <c r="J418">
        <v>3.4166666669999999</v>
      </c>
      <c r="K418" s="87" t="s">
        <v>29</v>
      </c>
      <c r="AV418" t="s">
        <v>1715</v>
      </c>
      <c r="AW418">
        <v>3240</v>
      </c>
      <c r="AX418">
        <v>1.2E-2</v>
      </c>
      <c r="AY418">
        <v>1</v>
      </c>
      <c r="BA418">
        <v>2006</v>
      </c>
      <c r="BB418">
        <v>2007</v>
      </c>
      <c r="BD418" t="s">
        <v>19</v>
      </c>
      <c r="BE418" t="s">
        <v>1585</v>
      </c>
      <c r="BF418" t="s">
        <v>24</v>
      </c>
      <c r="BG418" s="78" t="s">
        <v>1243</v>
      </c>
      <c r="BH418" t="s">
        <v>1598</v>
      </c>
      <c r="BI418" t="s">
        <v>838</v>
      </c>
      <c r="BJ418" s="87" t="s">
        <v>22</v>
      </c>
      <c r="BK418">
        <v>20000</v>
      </c>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K418" s="9"/>
      <c r="HU418" s="101">
        <v>38838</v>
      </c>
      <c r="HW418" s="58"/>
      <c r="IG418" t="s">
        <v>1585</v>
      </c>
      <c r="IH418" t="s">
        <v>19</v>
      </c>
      <c r="IM418" s="87"/>
      <c r="JI418" t="s">
        <v>1585</v>
      </c>
      <c r="JJ418" s="84" t="s">
        <v>721</v>
      </c>
      <c r="MS418" t="s">
        <v>1607</v>
      </c>
      <c r="MT418">
        <v>120</v>
      </c>
      <c r="ND418" t="s">
        <v>1611</v>
      </c>
      <c r="NE418" s="87" t="s">
        <v>1609</v>
      </c>
      <c r="NG418" s="103" t="s">
        <v>1426</v>
      </c>
      <c r="NH418" s="102" t="s">
        <v>1550</v>
      </c>
      <c r="NP418" t="s">
        <v>64</v>
      </c>
      <c r="NQ418" t="s">
        <v>6</v>
      </c>
      <c r="NR418" s="104">
        <v>83139.16</v>
      </c>
      <c r="NS418" s="87" t="s">
        <v>29</v>
      </c>
      <c r="NT418" s="87" t="s">
        <v>29</v>
      </c>
      <c r="NW418">
        <v>3</v>
      </c>
      <c r="OH418" t="s">
        <v>1593</v>
      </c>
      <c r="OI418" s="87"/>
      <c r="OJ418">
        <v>2006</v>
      </c>
      <c r="OO418" t="s">
        <v>1178</v>
      </c>
      <c r="OP418" s="58">
        <v>46105</v>
      </c>
    </row>
    <row r="419" spans="1:406" ht="15.75" thickBot="1">
      <c r="A419" t="s">
        <v>248</v>
      </c>
      <c r="B419" t="s">
        <v>1580</v>
      </c>
      <c r="C419" t="s">
        <v>1183</v>
      </c>
      <c r="D419" s="4" t="s">
        <v>1955</v>
      </c>
      <c r="E419" t="s">
        <v>1596</v>
      </c>
      <c r="F419" s="100" t="s">
        <v>31</v>
      </c>
      <c r="G419" s="87" t="s">
        <v>2</v>
      </c>
      <c r="H419" s="87" t="s">
        <v>30</v>
      </c>
      <c r="I419">
        <v>7.25</v>
      </c>
      <c r="J419">
        <v>3.4166666669999999</v>
      </c>
      <c r="K419" s="87" t="s">
        <v>29</v>
      </c>
      <c r="AV419" t="s">
        <v>1715</v>
      </c>
      <c r="AW419">
        <v>3240</v>
      </c>
      <c r="AX419">
        <v>1.2E-2</v>
      </c>
      <c r="AY419">
        <v>1</v>
      </c>
      <c r="BA419">
        <v>2006</v>
      </c>
      <c r="BB419">
        <v>2007</v>
      </c>
      <c r="BD419" t="s">
        <v>19</v>
      </c>
      <c r="BE419" t="s">
        <v>1581</v>
      </c>
      <c r="BF419" t="s">
        <v>299</v>
      </c>
      <c r="BG419" s="78" t="s">
        <v>1243</v>
      </c>
      <c r="BH419" t="s">
        <v>1598</v>
      </c>
      <c r="BI419" t="s">
        <v>234</v>
      </c>
      <c r="BJ419" s="87" t="s">
        <v>22</v>
      </c>
      <c r="BK419">
        <v>20000</v>
      </c>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K419" s="9"/>
      <c r="HU419" s="101">
        <v>38838</v>
      </c>
      <c r="HW419" s="58"/>
      <c r="IG419" t="s">
        <v>1581</v>
      </c>
      <c r="IH419" t="s">
        <v>19</v>
      </c>
      <c r="JI419" t="s">
        <v>1581</v>
      </c>
      <c r="JJ419" s="84" t="s">
        <v>227</v>
      </c>
      <c r="JU419" s="8" t="s">
        <v>227</v>
      </c>
      <c r="JV419" s="8" t="s">
        <v>1600</v>
      </c>
      <c r="JW419" t="s">
        <v>13</v>
      </c>
      <c r="JX419">
        <v>40000</v>
      </c>
      <c r="MS419" t="s">
        <v>1607</v>
      </c>
      <c r="MT419">
        <v>120</v>
      </c>
      <c r="ND419" t="s">
        <v>1612</v>
      </c>
      <c r="NE419" s="87" t="s">
        <v>1609</v>
      </c>
      <c r="NG419" s="103" t="s">
        <v>1426</v>
      </c>
      <c r="NH419" s="102" t="s">
        <v>1550</v>
      </c>
      <c r="NP419" t="s">
        <v>57</v>
      </c>
      <c r="NQ419" t="s">
        <v>6</v>
      </c>
      <c r="NR419" s="104">
        <v>110046.93</v>
      </c>
      <c r="NS419" s="87" t="s">
        <v>29</v>
      </c>
      <c r="NT419" s="87" t="s">
        <v>29</v>
      </c>
      <c r="NW419">
        <v>3</v>
      </c>
      <c r="OH419" t="s">
        <v>1594</v>
      </c>
      <c r="OI419" s="87"/>
      <c r="OJ419">
        <v>2006</v>
      </c>
      <c r="OO419" t="s">
        <v>1178</v>
      </c>
      <c r="OP419" s="58">
        <v>46105</v>
      </c>
    </row>
    <row r="420" spans="1:406" ht="15.75" thickBot="1">
      <c r="A420" t="s">
        <v>248</v>
      </c>
      <c r="B420" t="s">
        <v>1580</v>
      </c>
      <c r="C420" t="s">
        <v>1183</v>
      </c>
      <c r="D420" s="4" t="s">
        <v>1955</v>
      </c>
      <c r="E420" t="s">
        <v>1596</v>
      </c>
      <c r="F420" s="100" t="s">
        <v>31</v>
      </c>
      <c r="G420" s="87" t="s">
        <v>2</v>
      </c>
      <c r="H420" s="87" t="s">
        <v>30</v>
      </c>
      <c r="I420">
        <v>7.25</v>
      </c>
      <c r="J420">
        <v>3.4166666669999999</v>
      </c>
      <c r="K420" s="87" t="s">
        <v>29</v>
      </c>
      <c r="AV420" t="s">
        <v>1715</v>
      </c>
      <c r="AW420">
        <v>3240</v>
      </c>
      <c r="AX420">
        <v>1.2E-2</v>
      </c>
      <c r="AY420">
        <v>1</v>
      </c>
      <c r="BA420">
        <v>2006</v>
      </c>
      <c r="BB420">
        <v>2007</v>
      </c>
      <c r="BD420" t="s">
        <v>19</v>
      </c>
      <c r="BE420" t="s">
        <v>1584</v>
      </c>
      <c r="BF420" t="s">
        <v>256</v>
      </c>
      <c r="BG420" s="78" t="s">
        <v>1243</v>
      </c>
      <c r="BH420" t="s">
        <v>1598</v>
      </c>
      <c r="BI420" t="s">
        <v>234</v>
      </c>
      <c r="BJ420" s="87" t="s">
        <v>22</v>
      </c>
      <c r="BK420">
        <v>20000</v>
      </c>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K420" s="9"/>
      <c r="HU420" s="101">
        <v>38838</v>
      </c>
      <c r="HW420" s="58"/>
      <c r="IG420" t="s">
        <v>1584</v>
      </c>
      <c r="IH420" t="s">
        <v>19</v>
      </c>
      <c r="JI420" t="s">
        <v>1584</v>
      </c>
      <c r="JJ420" s="84" t="s">
        <v>227</v>
      </c>
      <c r="JU420" s="8" t="s">
        <v>227</v>
      </c>
      <c r="JV420" s="8" t="s">
        <v>1600</v>
      </c>
      <c r="JW420" t="s">
        <v>13</v>
      </c>
      <c r="JX420">
        <v>80000</v>
      </c>
      <c r="MS420" t="s">
        <v>1607</v>
      </c>
      <c r="MT420">
        <v>120</v>
      </c>
      <c r="ND420" t="s">
        <v>1612</v>
      </c>
      <c r="NE420" s="87" t="s">
        <v>1609</v>
      </c>
      <c r="NG420" s="103" t="s">
        <v>1426</v>
      </c>
      <c r="NH420" s="102" t="s">
        <v>1550</v>
      </c>
      <c r="NP420" t="s">
        <v>48</v>
      </c>
      <c r="NQ420" t="s">
        <v>6</v>
      </c>
      <c r="NR420" s="104">
        <v>137426.93</v>
      </c>
      <c r="NS420" s="87" t="s">
        <v>29</v>
      </c>
      <c r="NT420" s="87" t="s">
        <v>29</v>
      </c>
      <c r="NW420">
        <v>3</v>
      </c>
      <c r="OH420" t="s">
        <v>1594</v>
      </c>
      <c r="OI420" s="87"/>
      <c r="OJ420">
        <v>2006</v>
      </c>
      <c r="OO420" t="s">
        <v>1178</v>
      </c>
      <c r="OP420" s="58">
        <v>46105</v>
      </c>
    </row>
    <row r="421" spans="1:406" ht="15.75" thickBot="1">
      <c r="A421" t="s">
        <v>248</v>
      </c>
      <c r="B421" t="s">
        <v>1580</v>
      </c>
      <c r="C421" t="s">
        <v>1183</v>
      </c>
      <c r="D421" s="4" t="s">
        <v>1955</v>
      </c>
      <c r="E421" t="s">
        <v>1596</v>
      </c>
      <c r="F421" s="100" t="s">
        <v>31</v>
      </c>
      <c r="G421" s="87" t="s">
        <v>2</v>
      </c>
      <c r="H421" s="87" t="s">
        <v>30</v>
      </c>
      <c r="I421">
        <v>7.25</v>
      </c>
      <c r="J421">
        <v>3.4166666669999999</v>
      </c>
      <c r="K421" s="87" t="s">
        <v>29</v>
      </c>
      <c r="AV421" t="s">
        <v>1715</v>
      </c>
      <c r="AW421">
        <v>3240</v>
      </c>
      <c r="AX421">
        <v>1.2E-2</v>
      </c>
      <c r="AY421">
        <v>1</v>
      </c>
      <c r="BA421">
        <v>2006</v>
      </c>
      <c r="BB421">
        <v>2007</v>
      </c>
      <c r="BD421" t="s">
        <v>19</v>
      </c>
      <c r="BE421" t="s">
        <v>1588</v>
      </c>
      <c r="BF421" t="s">
        <v>1467</v>
      </c>
      <c r="BG421" s="78" t="s">
        <v>1243</v>
      </c>
      <c r="BH421" t="s">
        <v>1587</v>
      </c>
      <c r="BI421" t="s">
        <v>1599</v>
      </c>
      <c r="BJ421" s="87" t="s">
        <v>22</v>
      </c>
      <c r="BK421">
        <v>1330</v>
      </c>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K421" s="9"/>
      <c r="HU421" s="101">
        <v>38838</v>
      </c>
      <c r="HW421" s="58"/>
      <c r="IG421" t="s">
        <v>1588</v>
      </c>
      <c r="IH421" t="s">
        <v>19</v>
      </c>
      <c r="JI421" t="s">
        <v>1588</v>
      </c>
      <c r="JJ421" s="84" t="s">
        <v>227</v>
      </c>
      <c r="JU421" s="8" t="s">
        <v>227</v>
      </c>
      <c r="JV421" s="8" t="s">
        <v>1600</v>
      </c>
      <c r="JW421" t="s">
        <v>13</v>
      </c>
      <c r="JX421">
        <v>40000</v>
      </c>
      <c r="MS421" t="s">
        <v>1607</v>
      </c>
      <c r="MT421">
        <v>120</v>
      </c>
      <c r="ND421" t="s">
        <v>1612</v>
      </c>
      <c r="NE421" s="87" t="s">
        <v>1609</v>
      </c>
      <c r="NG421" s="103" t="s">
        <v>1426</v>
      </c>
      <c r="NH421" s="102" t="s">
        <v>1550</v>
      </c>
      <c r="NP421" t="s">
        <v>57</v>
      </c>
      <c r="NQ421" t="s">
        <v>6</v>
      </c>
      <c r="NR421" s="104">
        <v>142980</v>
      </c>
      <c r="NS421" s="87" t="s">
        <v>29</v>
      </c>
      <c r="NT421" s="87" t="s">
        <v>29</v>
      </c>
      <c r="NW421">
        <v>3</v>
      </c>
      <c r="OH421" t="s">
        <v>1595</v>
      </c>
      <c r="OI421" s="87"/>
      <c r="OJ421">
        <v>2006</v>
      </c>
      <c r="OO421" t="s">
        <v>1178</v>
      </c>
      <c r="OP421" s="58">
        <v>46105</v>
      </c>
    </row>
    <row r="422" spans="1:406" ht="15.75" thickBot="1">
      <c r="A422" t="s">
        <v>248</v>
      </c>
      <c r="B422" t="s">
        <v>1580</v>
      </c>
      <c r="C422" t="s">
        <v>1183</v>
      </c>
      <c r="D422" s="4" t="s">
        <v>1955</v>
      </c>
      <c r="E422" t="s">
        <v>1596</v>
      </c>
      <c r="F422" s="100" t="s">
        <v>31</v>
      </c>
      <c r="G422" s="87" t="s">
        <v>2</v>
      </c>
      <c r="H422" s="87" t="s">
        <v>30</v>
      </c>
      <c r="I422">
        <v>7.25</v>
      </c>
      <c r="J422">
        <v>3.4166666669999999</v>
      </c>
      <c r="K422" s="87" t="s">
        <v>29</v>
      </c>
      <c r="AV422" t="s">
        <v>1715</v>
      </c>
      <c r="AW422">
        <v>3240</v>
      </c>
      <c r="AX422">
        <v>1.2E-2</v>
      </c>
      <c r="AY422">
        <v>1</v>
      </c>
      <c r="BA422">
        <v>2006</v>
      </c>
      <c r="BB422">
        <v>2007</v>
      </c>
      <c r="BD422" t="s">
        <v>19</v>
      </c>
      <c r="BE422" t="s">
        <v>1589</v>
      </c>
      <c r="BF422" t="s">
        <v>1469</v>
      </c>
      <c r="BG422" s="78" t="s">
        <v>1243</v>
      </c>
      <c r="BH422" t="s">
        <v>1587</v>
      </c>
      <c r="BI422" t="s">
        <v>1599</v>
      </c>
      <c r="BJ422" s="87" t="s">
        <v>22</v>
      </c>
      <c r="BK422">
        <v>1330</v>
      </c>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K422" s="9"/>
      <c r="HU422" s="101">
        <v>38838</v>
      </c>
      <c r="HW422" s="58"/>
      <c r="IG422" t="s">
        <v>1589</v>
      </c>
      <c r="IH422" t="s">
        <v>19</v>
      </c>
      <c r="JI422" t="s">
        <v>1589</v>
      </c>
      <c r="JJ422" s="84" t="s">
        <v>227</v>
      </c>
      <c r="JU422" s="8" t="s">
        <v>227</v>
      </c>
      <c r="JV422" s="8" t="s">
        <v>1600</v>
      </c>
      <c r="JW422" t="s">
        <v>13</v>
      </c>
      <c r="JX422">
        <v>80000</v>
      </c>
      <c r="MS422" t="s">
        <v>1607</v>
      </c>
      <c r="MT422">
        <v>120</v>
      </c>
      <c r="ND422" t="s">
        <v>1612</v>
      </c>
      <c r="NE422" s="87" t="s">
        <v>1609</v>
      </c>
      <c r="NG422" s="103" t="s">
        <v>1426</v>
      </c>
      <c r="NH422" s="102" t="s">
        <v>1550</v>
      </c>
      <c r="NP422" t="s">
        <v>48</v>
      </c>
      <c r="NQ422" t="s">
        <v>6</v>
      </c>
      <c r="NR422" s="104">
        <v>169700</v>
      </c>
      <c r="NS422" s="87" t="s">
        <v>29</v>
      </c>
      <c r="NT422" s="87" t="s">
        <v>29</v>
      </c>
      <c r="NW422">
        <v>3</v>
      </c>
      <c r="OH422" t="s">
        <v>1595</v>
      </c>
      <c r="OI422" s="87"/>
      <c r="OJ422">
        <v>2006</v>
      </c>
      <c r="OO422" t="s">
        <v>1178</v>
      </c>
      <c r="OP422" s="58">
        <v>46105</v>
      </c>
    </row>
    <row r="423" spans="1:406" ht="15.75" thickBot="1">
      <c r="A423" t="s">
        <v>248</v>
      </c>
      <c r="B423" t="s">
        <v>1580</v>
      </c>
      <c r="C423" t="s">
        <v>1183</v>
      </c>
      <c r="D423" s="4" t="s">
        <v>1955</v>
      </c>
      <c r="E423" t="s">
        <v>1596</v>
      </c>
      <c r="F423" s="100" t="s">
        <v>31</v>
      </c>
      <c r="G423" s="87" t="s">
        <v>2</v>
      </c>
      <c r="H423" s="87" t="s">
        <v>30</v>
      </c>
      <c r="I423">
        <v>7.25</v>
      </c>
      <c r="J423">
        <v>3.4166666669999999</v>
      </c>
      <c r="K423" s="87" t="s">
        <v>29</v>
      </c>
      <c r="AV423" t="s">
        <v>1715</v>
      </c>
      <c r="AW423">
        <v>3240</v>
      </c>
      <c r="AX423">
        <v>1.2E-2</v>
      </c>
      <c r="AY423">
        <v>1</v>
      </c>
      <c r="BA423">
        <v>2006</v>
      </c>
      <c r="BB423">
        <v>2007</v>
      </c>
      <c r="BD423" t="s">
        <v>238</v>
      </c>
      <c r="BE423" t="s">
        <v>1591</v>
      </c>
      <c r="BF423" t="s">
        <v>57</v>
      </c>
      <c r="BG423" s="78" t="s">
        <v>1243</v>
      </c>
      <c r="BH423" t="s">
        <v>1587</v>
      </c>
      <c r="BI423" t="s">
        <v>1599</v>
      </c>
      <c r="BJ423" s="87" t="s">
        <v>22</v>
      </c>
      <c r="BK423">
        <v>1330</v>
      </c>
      <c r="BL423" t="s">
        <v>56</v>
      </c>
      <c r="BM423" t="s">
        <v>1598</v>
      </c>
      <c r="BN423" t="s">
        <v>234</v>
      </c>
      <c r="BO423" s="87" t="s">
        <v>22</v>
      </c>
      <c r="BP423">
        <v>20000</v>
      </c>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K423" s="9"/>
      <c r="HU423" s="101">
        <v>38838</v>
      </c>
      <c r="HW423" s="58"/>
      <c r="IG423" t="s">
        <v>1591</v>
      </c>
      <c r="IH423" s="87" t="s">
        <v>1200</v>
      </c>
      <c r="II423" t="s">
        <v>660</v>
      </c>
      <c r="IJ423" t="s">
        <v>661</v>
      </c>
      <c r="IK423">
        <v>2006</v>
      </c>
      <c r="IM423" s="87" t="s">
        <v>29</v>
      </c>
      <c r="JI423" t="s">
        <v>1591</v>
      </c>
      <c r="JJ423" s="84" t="s">
        <v>227</v>
      </c>
      <c r="JU423" s="8" t="s">
        <v>227</v>
      </c>
      <c r="JV423" s="8" t="s">
        <v>1600</v>
      </c>
      <c r="JW423" t="s">
        <v>13</v>
      </c>
      <c r="JX423">
        <v>40000</v>
      </c>
      <c r="MS423" t="s">
        <v>1607</v>
      </c>
      <c r="MT423">
        <v>120</v>
      </c>
      <c r="ND423" t="s">
        <v>1612</v>
      </c>
      <c r="NE423" s="87" t="s">
        <v>1609</v>
      </c>
      <c r="NG423" s="103" t="s">
        <v>1426</v>
      </c>
      <c r="NH423" s="102" t="s">
        <v>1550</v>
      </c>
      <c r="NQ423" t="s">
        <v>6</v>
      </c>
      <c r="NR423" s="104">
        <v>177700.27</v>
      </c>
      <c r="NS423" s="87" t="s">
        <v>29</v>
      </c>
      <c r="NT423" s="87" t="s">
        <v>29</v>
      </c>
      <c r="NW423">
        <v>3</v>
      </c>
      <c r="OH423" t="s">
        <v>1605</v>
      </c>
      <c r="OI423" s="87"/>
      <c r="OJ423">
        <v>2006</v>
      </c>
      <c r="OO423" t="s">
        <v>1178</v>
      </c>
      <c r="OP423" s="58">
        <v>46105</v>
      </c>
    </row>
    <row r="424" spans="1:406" ht="15.75" thickBot="1">
      <c r="A424" t="s">
        <v>248</v>
      </c>
      <c r="B424" t="s">
        <v>1580</v>
      </c>
      <c r="C424" t="s">
        <v>1183</v>
      </c>
      <c r="D424" s="4" t="s">
        <v>1955</v>
      </c>
      <c r="E424" t="s">
        <v>1596</v>
      </c>
      <c r="F424" s="100" t="s">
        <v>31</v>
      </c>
      <c r="G424" s="87" t="s">
        <v>2</v>
      </c>
      <c r="H424" s="87" t="s">
        <v>30</v>
      </c>
      <c r="I424">
        <v>7.25</v>
      </c>
      <c r="J424">
        <v>3.4166666669999999</v>
      </c>
      <c r="K424" s="87" t="s">
        <v>29</v>
      </c>
      <c r="AV424" t="s">
        <v>1715</v>
      </c>
      <c r="AW424">
        <v>3240</v>
      </c>
      <c r="AX424">
        <v>1.2E-2</v>
      </c>
      <c r="AY424">
        <v>1</v>
      </c>
      <c r="BA424">
        <v>2006</v>
      </c>
      <c r="BB424">
        <v>2007</v>
      </c>
      <c r="BD424" t="s">
        <v>238</v>
      </c>
      <c r="BE424" t="s">
        <v>1592</v>
      </c>
      <c r="BF424" t="s">
        <v>48</v>
      </c>
      <c r="BG424" s="78" t="s">
        <v>1243</v>
      </c>
      <c r="BH424" t="s">
        <v>1587</v>
      </c>
      <c r="BI424" t="s">
        <v>1599</v>
      </c>
      <c r="BJ424" s="87" t="s">
        <v>22</v>
      </c>
      <c r="BK424">
        <v>1330</v>
      </c>
      <c r="BL424" t="s">
        <v>56</v>
      </c>
      <c r="BM424" t="s">
        <v>1598</v>
      </c>
      <c r="BN424" t="s">
        <v>234</v>
      </c>
      <c r="BO424" s="87" t="s">
        <v>22</v>
      </c>
      <c r="BP424">
        <v>20000</v>
      </c>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K424" s="9"/>
      <c r="HU424" s="101">
        <v>38838</v>
      </c>
      <c r="HW424" s="58"/>
      <c r="IG424" t="s">
        <v>1592</v>
      </c>
      <c r="IH424" s="87" t="s">
        <v>1200</v>
      </c>
      <c r="II424" t="s">
        <v>660</v>
      </c>
      <c r="IJ424" t="s">
        <v>661</v>
      </c>
      <c r="IK424">
        <v>2006</v>
      </c>
      <c r="IM424" s="87" t="s">
        <v>29</v>
      </c>
      <c r="JI424" t="s">
        <v>1592</v>
      </c>
      <c r="JJ424" s="84" t="s">
        <v>227</v>
      </c>
      <c r="JU424" s="8" t="s">
        <v>227</v>
      </c>
      <c r="JV424" s="8" t="s">
        <v>1600</v>
      </c>
      <c r="JW424" t="s">
        <v>13</v>
      </c>
      <c r="JX424">
        <v>80000</v>
      </c>
      <c r="MS424" t="s">
        <v>1607</v>
      </c>
      <c r="MT424">
        <v>120</v>
      </c>
      <c r="ND424" t="s">
        <v>1612</v>
      </c>
      <c r="NE424" s="87" t="s">
        <v>1609</v>
      </c>
      <c r="NG424" s="103" t="s">
        <v>1426</v>
      </c>
      <c r="NH424" s="102" t="s">
        <v>1550</v>
      </c>
      <c r="NQ424" t="s">
        <v>6</v>
      </c>
      <c r="NR424" s="104">
        <v>201993.60000000001</v>
      </c>
      <c r="NS424" s="87" t="s">
        <v>29</v>
      </c>
      <c r="NT424" s="87" t="s">
        <v>29</v>
      </c>
      <c r="NW424">
        <v>3</v>
      </c>
      <c r="OH424" t="s">
        <v>1605</v>
      </c>
      <c r="OI424" s="87"/>
      <c r="OJ424">
        <v>2006</v>
      </c>
      <c r="OO424" t="s">
        <v>1178</v>
      </c>
      <c r="OP424" s="58">
        <v>46105</v>
      </c>
    </row>
    <row r="425" spans="1:406" ht="15.75" thickBot="1">
      <c r="A425" t="s">
        <v>248</v>
      </c>
      <c r="B425" t="s">
        <v>1580</v>
      </c>
      <c r="C425" t="s">
        <v>1183</v>
      </c>
      <c r="D425" s="4" t="s">
        <v>1955</v>
      </c>
      <c r="E425" t="s">
        <v>1596</v>
      </c>
      <c r="F425" s="100" t="s">
        <v>31</v>
      </c>
      <c r="G425" s="87" t="s">
        <v>2</v>
      </c>
      <c r="H425" s="87" t="s">
        <v>30</v>
      </c>
      <c r="I425">
        <v>7.25</v>
      </c>
      <c r="J425">
        <v>3.4166666669999999</v>
      </c>
      <c r="K425" s="87" t="s">
        <v>29</v>
      </c>
      <c r="AV425" t="s">
        <v>1715</v>
      </c>
      <c r="AW425">
        <v>3240</v>
      </c>
      <c r="AX425">
        <v>1.2E-2</v>
      </c>
      <c r="AY425">
        <v>1</v>
      </c>
      <c r="BA425">
        <v>2006</v>
      </c>
      <c r="BB425">
        <v>2007</v>
      </c>
      <c r="BD425" t="s">
        <v>238</v>
      </c>
      <c r="BE425" t="s">
        <v>1590</v>
      </c>
      <c r="BF425" t="s">
        <v>64</v>
      </c>
      <c r="BG425" s="78" t="s">
        <v>1243</v>
      </c>
      <c r="BH425" t="s">
        <v>1587</v>
      </c>
      <c r="BI425" t="s">
        <v>1599</v>
      </c>
      <c r="BJ425" s="87" t="s">
        <v>22</v>
      </c>
      <c r="BK425">
        <v>1330</v>
      </c>
      <c r="BL425" t="s">
        <v>56</v>
      </c>
      <c r="BM425" t="s">
        <v>1598</v>
      </c>
      <c r="BN425" t="s">
        <v>234</v>
      </c>
      <c r="BO425" s="87" t="s">
        <v>22</v>
      </c>
      <c r="BP425">
        <v>20000</v>
      </c>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K425" s="9"/>
      <c r="HU425" s="101">
        <v>38838</v>
      </c>
      <c r="HW425" s="58"/>
      <c r="IG425" t="s">
        <v>1590</v>
      </c>
      <c r="IH425" s="87" t="s">
        <v>1200</v>
      </c>
      <c r="II425" t="s">
        <v>660</v>
      </c>
      <c r="IJ425" t="s">
        <v>661</v>
      </c>
      <c r="IK425">
        <v>2006</v>
      </c>
      <c r="IM425" s="87" t="s">
        <v>29</v>
      </c>
      <c r="JI425" t="s">
        <v>1590</v>
      </c>
      <c r="JJ425" s="84" t="s">
        <v>721</v>
      </c>
      <c r="MS425" t="s">
        <v>1607</v>
      </c>
      <c r="MT425">
        <v>120</v>
      </c>
      <c r="ND425" t="s">
        <v>1611</v>
      </c>
      <c r="NE425" s="87" t="s">
        <v>1609</v>
      </c>
      <c r="NG425" s="103" t="s">
        <v>1426</v>
      </c>
      <c r="NH425" s="102" t="s">
        <v>1550</v>
      </c>
      <c r="NQ425" t="s">
        <v>6</v>
      </c>
      <c r="NR425" s="104">
        <v>61998.400000000001</v>
      </c>
      <c r="NS425" s="87" t="s">
        <v>29</v>
      </c>
      <c r="NT425" s="87" t="s">
        <v>29</v>
      </c>
      <c r="NW425">
        <v>3</v>
      </c>
      <c r="OH425" t="s">
        <v>1593</v>
      </c>
      <c r="OI425" s="87"/>
      <c r="OJ425">
        <v>2007</v>
      </c>
      <c r="OO425" t="s">
        <v>1178</v>
      </c>
      <c r="OP425" s="58">
        <v>46105</v>
      </c>
    </row>
    <row r="426" spans="1:406" ht="15.75" thickBot="1">
      <c r="A426" t="s">
        <v>248</v>
      </c>
      <c r="B426" t="s">
        <v>1580</v>
      </c>
      <c r="C426" t="s">
        <v>1183</v>
      </c>
      <c r="D426" s="4" t="s">
        <v>1955</v>
      </c>
      <c r="E426" t="s">
        <v>1596</v>
      </c>
      <c r="F426" s="100" t="s">
        <v>31</v>
      </c>
      <c r="G426" s="87" t="s">
        <v>2</v>
      </c>
      <c r="H426" s="87" t="s">
        <v>30</v>
      </c>
      <c r="I426">
        <v>7.25</v>
      </c>
      <c r="J426">
        <v>3.4166666669999999</v>
      </c>
      <c r="K426" s="87" t="s">
        <v>29</v>
      </c>
      <c r="AV426" t="s">
        <v>1715</v>
      </c>
      <c r="AW426">
        <v>3240</v>
      </c>
      <c r="AX426">
        <v>1.2E-2</v>
      </c>
      <c r="AY426">
        <v>1</v>
      </c>
      <c r="BA426">
        <v>2006</v>
      </c>
      <c r="BB426">
        <v>2007</v>
      </c>
      <c r="BD426" t="s">
        <v>19</v>
      </c>
      <c r="BE426" t="s">
        <v>1586</v>
      </c>
      <c r="BF426" t="s">
        <v>39</v>
      </c>
      <c r="BG426" s="78" t="s">
        <v>1243</v>
      </c>
      <c r="BH426" t="s">
        <v>1587</v>
      </c>
      <c r="BI426" t="s">
        <v>1599</v>
      </c>
      <c r="BJ426" s="87" t="s">
        <v>22</v>
      </c>
      <c r="BK426">
        <v>1330</v>
      </c>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K426" s="9"/>
      <c r="HU426" s="101">
        <v>38838</v>
      </c>
      <c r="HW426" s="58"/>
      <c r="IG426" t="s">
        <v>1586</v>
      </c>
      <c r="IH426" t="s">
        <v>19</v>
      </c>
      <c r="IM426" s="87"/>
      <c r="JI426" t="s">
        <v>1586</v>
      </c>
      <c r="JJ426" s="84" t="s">
        <v>721</v>
      </c>
      <c r="MS426" t="s">
        <v>1607</v>
      </c>
      <c r="MT426">
        <v>120</v>
      </c>
      <c r="ND426" t="s">
        <v>1611</v>
      </c>
      <c r="NE426" s="87" t="s">
        <v>1609</v>
      </c>
      <c r="NG426" s="103" t="s">
        <v>1426</v>
      </c>
      <c r="NH426" s="102" t="s">
        <v>1550</v>
      </c>
      <c r="NP426" t="s">
        <v>64</v>
      </c>
      <c r="NQ426" t="s">
        <v>6</v>
      </c>
      <c r="NR426" s="104">
        <v>16721.55</v>
      </c>
      <c r="NS426" s="87" t="s">
        <v>29</v>
      </c>
      <c r="NT426" s="87" t="s">
        <v>29</v>
      </c>
      <c r="NW426">
        <v>3</v>
      </c>
      <c r="OH426" t="s">
        <v>1593</v>
      </c>
      <c r="OI426" s="87"/>
      <c r="OJ426">
        <v>2007</v>
      </c>
      <c r="OO426" t="s">
        <v>1178</v>
      </c>
      <c r="OP426" s="58">
        <v>46105</v>
      </c>
    </row>
    <row r="427" spans="1:406" ht="15.75" thickBot="1">
      <c r="A427" t="s">
        <v>248</v>
      </c>
      <c r="B427" t="s">
        <v>1580</v>
      </c>
      <c r="C427" t="s">
        <v>1183</v>
      </c>
      <c r="D427" s="4" t="s">
        <v>1955</v>
      </c>
      <c r="E427" t="s">
        <v>1596</v>
      </c>
      <c r="F427" s="100" t="s">
        <v>31</v>
      </c>
      <c r="G427" s="87" t="s">
        <v>2</v>
      </c>
      <c r="H427" s="87" t="s">
        <v>30</v>
      </c>
      <c r="I427">
        <v>7.25</v>
      </c>
      <c r="J427">
        <v>3.4166666669999999</v>
      </c>
      <c r="K427" s="87" t="s">
        <v>29</v>
      </c>
      <c r="AV427" t="s">
        <v>1715</v>
      </c>
      <c r="AW427">
        <v>3240</v>
      </c>
      <c r="AX427">
        <v>1.2E-2</v>
      </c>
      <c r="AY427">
        <v>1</v>
      </c>
      <c r="BA427">
        <v>2006</v>
      </c>
      <c r="BB427">
        <v>2007</v>
      </c>
      <c r="BD427" t="s">
        <v>19</v>
      </c>
      <c r="BE427" t="s">
        <v>1585</v>
      </c>
      <c r="BF427" t="s">
        <v>24</v>
      </c>
      <c r="BG427" s="78" t="s">
        <v>1243</v>
      </c>
      <c r="BH427" t="s">
        <v>1598</v>
      </c>
      <c r="BI427" t="s">
        <v>838</v>
      </c>
      <c r="BJ427" s="87" t="s">
        <v>22</v>
      </c>
      <c r="BK427">
        <v>20000</v>
      </c>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K427" s="9"/>
      <c r="HU427" s="101">
        <v>38838</v>
      </c>
      <c r="HW427" s="58"/>
      <c r="IG427" t="s">
        <v>1585</v>
      </c>
      <c r="IH427" t="s">
        <v>19</v>
      </c>
      <c r="IM427" s="87"/>
      <c r="JI427" t="s">
        <v>1585</v>
      </c>
      <c r="JJ427" s="84" t="s">
        <v>721</v>
      </c>
      <c r="MS427" t="s">
        <v>1607</v>
      </c>
      <c r="MT427">
        <v>120</v>
      </c>
      <c r="ND427" t="s">
        <v>1611</v>
      </c>
      <c r="NE427" s="87" t="s">
        <v>1609</v>
      </c>
      <c r="NG427" s="103" t="s">
        <v>1426</v>
      </c>
      <c r="NH427" s="102" t="s">
        <v>1550</v>
      </c>
      <c r="NP427" t="s">
        <v>64</v>
      </c>
      <c r="NQ427" t="s">
        <v>6</v>
      </c>
      <c r="NR427" s="104">
        <v>59776.27</v>
      </c>
      <c r="NS427" s="87" t="s">
        <v>29</v>
      </c>
      <c r="NT427" s="87" t="s">
        <v>29</v>
      </c>
      <c r="NW427">
        <v>3</v>
      </c>
      <c r="OH427" t="s">
        <v>1593</v>
      </c>
      <c r="OI427" s="87"/>
      <c r="OJ427">
        <v>2007</v>
      </c>
      <c r="OO427" t="s">
        <v>1178</v>
      </c>
      <c r="OP427" s="58">
        <v>46105</v>
      </c>
    </row>
    <row r="428" spans="1:406" ht="15.75" thickBot="1">
      <c r="A428" t="s">
        <v>248</v>
      </c>
      <c r="B428" t="s">
        <v>1580</v>
      </c>
      <c r="C428" t="s">
        <v>1183</v>
      </c>
      <c r="D428" s="4" t="s">
        <v>1955</v>
      </c>
      <c r="E428" t="s">
        <v>1596</v>
      </c>
      <c r="F428" s="100" t="s">
        <v>31</v>
      </c>
      <c r="G428" s="87" t="s">
        <v>2</v>
      </c>
      <c r="H428" s="87" t="s">
        <v>30</v>
      </c>
      <c r="I428">
        <v>7.25</v>
      </c>
      <c r="J428">
        <v>3.4166666669999999</v>
      </c>
      <c r="K428" s="87" t="s">
        <v>29</v>
      </c>
      <c r="AV428" t="s">
        <v>1715</v>
      </c>
      <c r="AW428">
        <v>3240</v>
      </c>
      <c r="AX428">
        <v>1.2E-2</v>
      </c>
      <c r="AY428">
        <v>1</v>
      </c>
      <c r="BA428">
        <v>2006</v>
      </c>
      <c r="BB428">
        <v>2007</v>
      </c>
      <c r="BD428" t="s">
        <v>19</v>
      </c>
      <c r="BE428" t="s">
        <v>1581</v>
      </c>
      <c r="BF428" t="s">
        <v>299</v>
      </c>
      <c r="BG428" s="78" t="s">
        <v>1243</v>
      </c>
      <c r="BH428" t="s">
        <v>1598</v>
      </c>
      <c r="BI428" t="s">
        <v>234</v>
      </c>
      <c r="BJ428" s="87" t="s">
        <v>22</v>
      </c>
      <c r="BK428">
        <v>20000</v>
      </c>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K428" s="9"/>
      <c r="HU428" s="101">
        <v>38838</v>
      </c>
      <c r="HW428" s="58"/>
      <c r="IG428" t="s">
        <v>1581</v>
      </c>
      <c r="IH428" t="s">
        <v>19</v>
      </c>
      <c r="JI428" t="s">
        <v>1581</v>
      </c>
      <c r="JJ428" s="84" t="s">
        <v>227</v>
      </c>
      <c r="JU428" s="8" t="s">
        <v>227</v>
      </c>
      <c r="JV428" s="8" t="s">
        <v>1600</v>
      </c>
      <c r="JW428" t="s">
        <v>13</v>
      </c>
      <c r="JX428">
        <v>40000</v>
      </c>
      <c r="MS428" t="s">
        <v>1607</v>
      </c>
      <c r="MT428">
        <v>120</v>
      </c>
      <c r="ND428" t="s">
        <v>1612</v>
      </c>
      <c r="NE428" s="87" t="s">
        <v>1609</v>
      </c>
      <c r="NG428" s="103" t="s">
        <v>1426</v>
      </c>
      <c r="NH428" s="102" t="s">
        <v>1550</v>
      </c>
      <c r="NP428" t="s">
        <v>57</v>
      </c>
      <c r="NQ428" t="s">
        <v>6</v>
      </c>
      <c r="NR428" s="104">
        <v>71525.8</v>
      </c>
      <c r="NS428" s="87" t="s">
        <v>29</v>
      </c>
      <c r="NT428" s="87" t="s">
        <v>29</v>
      </c>
      <c r="NW428">
        <v>3</v>
      </c>
      <c r="OH428" t="s">
        <v>1594</v>
      </c>
      <c r="OI428" s="87"/>
      <c r="OJ428">
        <v>2007</v>
      </c>
      <c r="OO428" t="s">
        <v>1178</v>
      </c>
      <c r="OP428" s="58">
        <v>46105</v>
      </c>
    </row>
    <row r="429" spans="1:406" ht="15.75" thickBot="1">
      <c r="A429" t="s">
        <v>248</v>
      </c>
      <c r="B429" t="s">
        <v>1580</v>
      </c>
      <c r="C429" t="s">
        <v>1183</v>
      </c>
      <c r="D429" s="4" t="s">
        <v>1955</v>
      </c>
      <c r="E429" t="s">
        <v>1596</v>
      </c>
      <c r="F429" s="100" t="s">
        <v>31</v>
      </c>
      <c r="G429" s="87" t="s">
        <v>2</v>
      </c>
      <c r="H429" s="87" t="s">
        <v>30</v>
      </c>
      <c r="I429">
        <v>7.25</v>
      </c>
      <c r="J429">
        <v>3.4166666669999999</v>
      </c>
      <c r="K429" s="87" t="s">
        <v>29</v>
      </c>
      <c r="AV429" t="s">
        <v>1715</v>
      </c>
      <c r="AW429">
        <v>3240</v>
      </c>
      <c r="AX429">
        <v>1.2E-2</v>
      </c>
      <c r="AY429">
        <v>1</v>
      </c>
      <c r="BA429">
        <v>2006</v>
      </c>
      <c r="BB429">
        <v>2007</v>
      </c>
      <c r="BD429" t="s">
        <v>19</v>
      </c>
      <c r="BE429" t="s">
        <v>1584</v>
      </c>
      <c r="BF429" t="s">
        <v>256</v>
      </c>
      <c r="BG429" s="78" t="s">
        <v>1243</v>
      </c>
      <c r="BH429" t="s">
        <v>1598</v>
      </c>
      <c r="BI429" t="s">
        <v>234</v>
      </c>
      <c r="BJ429" s="87" t="s">
        <v>22</v>
      </c>
      <c r="BK429">
        <v>20000</v>
      </c>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K429" s="9"/>
      <c r="HU429" s="101">
        <v>38838</v>
      </c>
      <c r="HW429" s="58"/>
      <c r="IG429" t="s">
        <v>1584</v>
      </c>
      <c r="IH429" t="s">
        <v>19</v>
      </c>
      <c r="JI429" t="s">
        <v>1584</v>
      </c>
      <c r="JJ429" s="84" t="s">
        <v>227</v>
      </c>
      <c r="JU429" s="8" t="s">
        <v>227</v>
      </c>
      <c r="JV429" s="8" t="s">
        <v>1600</v>
      </c>
      <c r="JW429" t="s">
        <v>13</v>
      </c>
      <c r="JX429">
        <v>80000</v>
      </c>
      <c r="MS429" t="s">
        <v>1607</v>
      </c>
      <c r="MT429">
        <v>120</v>
      </c>
      <c r="ND429" t="s">
        <v>1612</v>
      </c>
      <c r="NE429" s="87" t="s">
        <v>1609</v>
      </c>
      <c r="NG429" s="103" t="s">
        <v>1426</v>
      </c>
      <c r="NH429" s="102" t="s">
        <v>1550</v>
      </c>
      <c r="NP429" t="s">
        <v>48</v>
      </c>
      <c r="NQ429" t="s">
        <v>6</v>
      </c>
      <c r="NR429" s="104">
        <v>61998.400000000001</v>
      </c>
      <c r="NS429" s="87" t="s">
        <v>29</v>
      </c>
      <c r="NT429" s="87" t="s">
        <v>29</v>
      </c>
      <c r="NW429">
        <v>3</v>
      </c>
      <c r="OH429" t="s">
        <v>1594</v>
      </c>
      <c r="OI429" s="87"/>
      <c r="OJ429">
        <v>2007</v>
      </c>
      <c r="OO429" t="s">
        <v>1178</v>
      </c>
      <c r="OP429" s="58">
        <v>46105</v>
      </c>
    </row>
    <row r="430" spans="1:406" ht="15.75" thickBot="1">
      <c r="A430" t="s">
        <v>248</v>
      </c>
      <c r="B430" t="s">
        <v>1580</v>
      </c>
      <c r="C430" t="s">
        <v>1183</v>
      </c>
      <c r="D430" s="4" t="s">
        <v>1955</v>
      </c>
      <c r="E430" t="s">
        <v>1596</v>
      </c>
      <c r="F430" s="100" t="s">
        <v>31</v>
      </c>
      <c r="G430" s="87" t="s">
        <v>2</v>
      </c>
      <c r="H430" s="87" t="s">
        <v>30</v>
      </c>
      <c r="I430">
        <v>7.25</v>
      </c>
      <c r="J430">
        <v>3.4166666669999999</v>
      </c>
      <c r="K430" s="87" t="s">
        <v>29</v>
      </c>
      <c r="AV430" t="s">
        <v>1715</v>
      </c>
      <c r="AW430">
        <v>3240</v>
      </c>
      <c r="AX430">
        <v>1.2E-2</v>
      </c>
      <c r="AY430">
        <v>1</v>
      </c>
      <c r="BA430">
        <v>2006</v>
      </c>
      <c r="BB430">
        <v>2007</v>
      </c>
      <c r="BD430" t="s">
        <v>19</v>
      </c>
      <c r="BE430" t="s">
        <v>1588</v>
      </c>
      <c r="BF430" t="s">
        <v>1467</v>
      </c>
      <c r="BG430" s="78" t="s">
        <v>1243</v>
      </c>
      <c r="BH430" t="s">
        <v>1587</v>
      </c>
      <c r="BI430" t="s">
        <v>1599</v>
      </c>
      <c r="BJ430" s="87" t="s">
        <v>22</v>
      </c>
      <c r="BK430">
        <v>1330</v>
      </c>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K430" s="9"/>
      <c r="HU430" s="101">
        <v>38838</v>
      </c>
      <c r="HW430" s="58"/>
      <c r="IG430" t="s">
        <v>1588</v>
      </c>
      <c r="IH430" t="s">
        <v>19</v>
      </c>
      <c r="JI430" t="s">
        <v>1588</v>
      </c>
      <c r="JJ430" s="84" t="s">
        <v>227</v>
      </c>
      <c r="JU430" s="8" t="s">
        <v>227</v>
      </c>
      <c r="JV430" s="8" t="s">
        <v>1600</v>
      </c>
      <c r="JW430" t="s">
        <v>13</v>
      </c>
      <c r="JX430">
        <v>40000</v>
      </c>
      <c r="MS430" t="s">
        <v>1607</v>
      </c>
      <c r="MT430">
        <v>120</v>
      </c>
      <c r="ND430" t="s">
        <v>1612</v>
      </c>
      <c r="NE430" s="87" t="s">
        <v>1609</v>
      </c>
      <c r="NG430" s="103" t="s">
        <v>1426</v>
      </c>
      <c r="NH430" s="102" t="s">
        <v>1550</v>
      </c>
      <c r="NP430" t="s">
        <v>57</v>
      </c>
      <c r="NQ430" t="s">
        <v>6</v>
      </c>
      <c r="NR430" s="104">
        <v>17165.98</v>
      </c>
      <c r="NS430" s="87" t="s">
        <v>29</v>
      </c>
      <c r="NT430" s="87" t="s">
        <v>29</v>
      </c>
      <c r="NW430">
        <v>3</v>
      </c>
      <c r="OH430" t="s">
        <v>1595</v>
      </c>
      <c r="OI430" s="87"/>
      <c r="OJ430">
        <v>2007</v>
      </c>
      <c r="OO430" t="s">
        <v>1178</v>
      </c>
      <c r="OP430" s="58">
        <v>46105</v>
      </c>
    </row>
    <row r="431" spans="1:406" ht="15.75" thickBot="1">
      <c r="A431" t="s">
        <v>248</v>
      </c>
      <c r="B431" t="s">
        <v>1580</v>
      </c>
      <c r="C431" t="s">
        <v>1183</v>
      </c>
      <c r="D431" s="4" t="s">
        <v>1955</v>
      </c>
      <c r="E431" t="s">
        <v>1596</v>
      </c>
      <c r="F431" s="100" t="s">
        <v>31</v>
      </c>
      <c r="G431" s="87" t="s">
        <v>2</v>
      </c>
      <c r="H431" s="87" t="s">
        <v>30</v>
      </c>
      <c r="I431">
        <v>7.25</v>
      </c>
      <c r="J431">
        <v>3.4166666669999999</v>
      </c>
      <c r="K431" s="87" t="s">
        <v>29</v>
      </c>
      <c r="AV431" t="s">
        <v>1715</v>
      </c>
      <c r="AW431">
        <v>3240</v>
      </c>
      <c r="AX431">
        <v>1.2E-2</v>
      </c>
      <c r="AY431">
        <v>1</v>
      </c>
      <c r="BA431">
        <v>2006</v>
      </c>
      <c r="BB431">
        <v>2007</v>
      </c>
      <c r="BD431" t="s">
        <v>19</v>
      </c>
      <c r="BE431" t="s">
        <v>1589</v>
      </c>
      <c r="BF431" t="s">
        <v>1469</v>
      </c>
      <c r="BG431" s="78" t="s">
        <v>1243</v>
      </c>
      <c r="BH431" t="s">
        <v>1587</v>
      </c>
      <c r="BI431" t="s">
        <v>1599</v>
      </c>
      <c r="BJ431" s="87" t="s">
        <v>22</v>
      </c>
      <c r="BK431">
        <v>1330</v>
      </c>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K431" s="9"/>
      <c r="HU431" s="101">
        <v>38838</v>
      </c>
      <c r="HW431" s="58"/>
      <c r="IG431" t="s">
        <v>1589</v>
      </c>
      <c r="IH431" t="s">
        <v>19</v>
      </c>
      <c r="JI431" t="s">
        <v>1589</v>
      </c>
      <c r="JJ431" s="84" t="s">
        <v>227</v>
      </c>
      <c r="JU431" s="8" t="s">
        <v>227</v>
      </c>
      <c r="JV431" s="8" t="s">
        <v>1600</v>
      </c>
      <c r="JW431" t="s">
        <v>13</v>
      </c>
      <c r="JX431">
        <v>80000</v>
      </c>
      <c r="MS431" t="s">
        <v>1607</v>
      </c>
      <c r="MT431">
        <v>120</v>
      </c>
      <c r="ND431" t="s">
        <v>1612</v>
      </c>
      <c r="NE431" s="87" t="s">
        <v>1609</v>
      </c>
      <c r="NG431" s="103" t="s">
        <v>1426</v>
      </c>
      <c r="NH431" s="102" t="s">
        <v>1550</v>
      </c>
      <c r="NP431" t="s">
        <v>48</v>
      </c>
      <c r="NQ431" t="s">
        <v>6</v>
      </c>
      <c r="NR431" s="104">
        <v>17165.98</v>
      </c>
      <c r="NS431" s="87" t="s">
        <v>29</v>
      </c>
      <c r="NT431" s="87" t="s">
        <v>29</v>
      </c>
      <c r="NW431">
        <v>3</v>
      </c>
      <c r="OH431" t="s">
        <v>1595</v>
      </c>
      <c r="OI431" s="87"/>
      <c r="OJ431">
        <v>2007</v>
      </c>
      <c r="OO431" t="s">
        <v>1178</v>
      </c>
      <c r="OP431" s="58">
        <v>46105</v>
      </c>
    </row>
    <row r="432" spans="1:406" ht="15.75" thickBot="1">
      <c r="A432" t="s">
        <v>248</v>
      </c>
      <c r="B432" t="s">
        <v>1580</v>
      </c>
      <c r="C432" t="s">
        <v>1183</v>
      </c>
      <c r="D432" s="4" t="s">
        <v>1955</v>
      </c>
      <c r="E432" t="s">
        <v>1596</v>
      </c>
      <c r="F432" s="100" t="s">
        <v>31</v>
      </c>
      <c r="G432" s="87" t="s">
        <v>2</v>
      </c>
      <c r="H432" s="87" t="s">
        <v>30</v>
      </c>
      <c r="I432">
        <v>7.25</v>
      </c>
      <c r="J432">
        <v>3.4166666669999999</v>
      </c>
      <c r="K432" s="87" t="s">
        <v>29</v>
      </c>
      <c r="AV432" t="s">
        <v>1715</v>
      </c>
      <c r="AW432">
        <v>3240</v>
      </c>
      <c r="AX432">
        <v>1.2E-2</v>
      </c>
      <c r="AY432">
        <v>1</v>
      </c>
      <c r="BA432">
        <v>2006</v>
      </c>
      <c r="BB432">
        <v>2007</v>
      </c>
      <c r="BD432" t="s">
        <v>238</v>
      </c>
      <c r="BE432" t="s">
        <v>1591</v>
      </c>
      <c r="BF432" t="s">
        <v>57</v>
      </c>
      <c r="BG432" s="78" t="s">
        <v>1243</v>
      </c>
      <c r="BH432" t="s">
        <v>1587</v>
      </c>
      <c r="BI432" t="s">
        <v>1599</v>
      </c>
      <c r="BJ432" s="87" t="s">
        <v>22</v>
      </c>
      <c r="BK432">
        <v>1330</v>
      </c>
      <c r="BL432" t="s">
        <v>56</v>
      </c>
      <c r="BM432" t="s">
        <v>1598</v>
      </c>
      <c r="BN432" t="s">
        <v>234</v>
      </c>
      <c r="BO432" s="87" t="s">
        <v>22</v>
      </c>
      <c r="BP432">
        <v>20000</v>
      </c>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K432" s="9"/>
      <c r="HU432" s="101">
        <v>38838</v>
      </c>
      <c r="HW432" s="58"/>
      <c r="IG432" t="s">
        <v>1591</v>
      </c>
      <c r="IH432" s="87" t="s">
        <v>1200</v>
      </c>
      <c r="II432" t="s">
        <v>660</v>
      </c>
      <c r="IJ432" t="s">
        <v>661</v>
      </c>
      <c r="IK432">
        <v>2006</v>
      </c>
      <c r="IM432" s="87" t="s">
        <v>29</v>
      </c>
      <c r="JI432" t="s">
        <v>1591</v>
      </c>
      <c r="JJ432" s="84" t="s">
        <v>227</v>
      </c>
      <c r="JU432" s="8" t="s">
        <v>227</v>
      </c>
      <c r="JV432" s="8" t="s">
        <v>1600</v>
      </c>
      <c r="JW432" t="s">
        <v>13</v>
      </c>
      <c r="JX432">
        <v>40000</v>
      </c>
      <c r="MS432" t="s">
        <v>1607</v>
      </c>
      <c r="MT432">
        <v>120</v>
      </c>
      <c r="ND432" t="s">
        <v>1612</v>
      </c>
      <c r="NE432" s="87" t="s">
        <v>1609</v>
      </c>
      <c r="NG432" s="103" t="s">
        <v>1426</v>
      </c>
      <c r="NH432" s="102" t="s">
        <v>1550</v>
      </c>
      <c r="NQ432" t="s">
        <v>6</v>
      </c>
      <c r="NR432" s="104">
        <v>73942.37</v>
      </c>
      <c r="NS432" s="87" t="s">
        <v>29</v>
      </c>
      <c r="NT432" s="87" t="s">
        <v>29</v>
      </c>
      <c r="NW432">
        <v>3</v>
      </c>
      <c r="OH432" t="s">
        <v>1605</v>
      </c>
      <c r="OI432" s="87"/>
      <c r="OJ432">
        <v>2007</v>
      </c>
      <c r="OO432" t="s">
        <v>1178</v>
      </c>
      <c r="OP432" s="58">
        <v>46105</v>
      </c>
    </row>
    <row r="433" spans="1:406" ht="15.75" thickBot="1">
      <c r="A433" t="s">
        <v>248</v>
      </c>
      <c r="B433" t="s">
        <v>1580</v>
      </c>
      <c r="C433" t="s">
        <v>1183</v>
      </c>
      <c r="D433" s="4" t="s">
        <v>1955</v>
      </c>
      <c r="E433" t="s">
        <v>1596</v>
      </c>
      <c r="F433" s="100" t="s">
        <v>31</v>
      </c>
      <c r="G433" s="87" t="s">
        <v>2</v>
      </c>
      <c r="H433" s="87" t="s">
        <v>30</v>
      </c>
      <c r="I433">
        <v>7.25</v>
      </c>
      <c r="J433">
        <v>3.4166666669999999</v>
      </c>
      <c r="K433" s="87" t="s">
        <v>29</v>
      </c>
      <c r="AV433" t="s">
        <v>1715</v>
      </c>
      <c r="AW433">
        <v>3240</v>
      </c>
      <c r="AX433">
        <v>1.2E-2</v>
      </c>
      <c r="AY433">
        <v>1</v>
      </c>
      <c r="BA433">
        <v>2006</v>
      </c>
      <c r="BB433">
        <v>2007</v>
      </c>
      <c r="BD433" t="s">
        <v>238</v>
      </c>
      <c r="BE433" t="s">
        <v>1592</v>
      </c>
      <c r="BF433" t="s">
        <v>48</v>
      </c>
      <c r="BG433" s="78" t="s">
        <v>1243</v>
      </c>
      <c r="BH433" t="s">
        <v>1587</v>
      </c>
      <c r="BI433" t="s">
        <v>1599</v>
      </c>
      <c r="BJ433" s="87" t="s">
        <v>22</v>
      </c>
      <c r="BK433">
        <v>1330</v>
      </c>
      <c r="BL433" t="s">
        <v>56</v>
      </c>
      <c r="BM433" t="s">
        <v>1598</v>
      </c>
      <c r="BN433" t="s">
        <v>234</v>
      </c>
      <c r="BO433" s="87" t="s">
        <v>22</v>
      </c>
      <c r="BP433">
        <v>20000</v>
      </c>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K433" s="9"/>
      <c r="HU433" s="101">
        <v>38838</v>
      </c>
      <c r="HW433" s="58"/>
      <c r="IG433" t="s">
        <v>1592</v>
      </c>
      <c r="IH433" s="87" t="s">
        <v>1200</v>
      </c>
      <c r="II433" t="s">
        <v>660</v>
      </c>
      <c r="IJ433" t="s">
        <v>661</v>
      </c>
      <c r="IK433">
        <v>2006</v>
      </c>
      <c r="IM433" s="87" t="s">
        <v>29</v>
      </c>
      <c r="JI433" t="s">
        <v>1592</v>
      </c>
      <c r="JJ433" s="84" t="s">
        <v>227</v>
      </c>
      <c r="JU433" s="8" t="s">
        <v>227</v>
      </c>
      <c r="JV433" s="8" t="s">
        <v>1600</v>
      </c>
      <c r="JW433" t="s">
        <v>13</v>
      </c>
      <c r="JX433">
        <v>80000</v>
      </c>
      <c r="MS433" t="s">
        <v>1607</v>
      </c>
      <c r="MT433">
        <v>120</v>
      </c>
      <c r="ND433" t="s">
        <v>1612</v>
      </c>
      <c r="NE433" s="87" t="s">
        <v>1609</v>
      </c>
      <c r="NG433" s="103" t="s">
        <v>1426</v>
      </c>
      <c r="NH433" s="102" t="s">
        <v>1550</v>
      </c>
      <c r="NQ433" t="s">
        <v>6</v>
      </c>
      <c r="NR433" s="104">
        <v>6455.85</v>
      </c>
      <c r="NS433" s="87" t="s">
        <v>29</v>
      </c>
      <c r="NT433" s="87" t="s">
        <v>29</v>
      </c>
      <c r="NW433">
        <v>3</v>
      </c>
      <c r="OH433" t="s">
        <v>1605</v>
      </c>
      <c r="OI433" s="87"/>
      <c r="OJ433">
        <v>2007</v>
      </c>
      <c r="OO433" t="s">
        <v>1178</v>
      </c>
      <c r="OP433" s="58">
        <v>46105</v>
      </c>
    </row>
    <row r="434" spans="1:406" ht="15.75" thickBot="1">
      <c r="A434" t="s">
        <v>248</v>
      </c>
      <c r="B434" t="s">
        <v>1580</v>
      </c>
      <c r="C434" t="s">
        <v>1183</v>
      </c>
      <c r="D434" s="4" t="s">
        <v>1955</v>
      </c>
      <c r="E434" t="s">
        <v>1596</v>
      </c>
      <c r="F434" s="100" t="s">
        <v>31</v>
      </c>
      <c r="G434" s="87" t="s">
        <v>2</v>
      </c>
      <c r="H434" s="87" t="s">
        <v>30</v>
      </c>
      <c r="I434">
        <v>7.25</v>
      </c>
      <c r="J434">
        <v>3.4166666669999999</v>
      </c>
      <c r="K434" s="87" t="s">
        <v>29</v>
      </c>
      <c r="AV434" t="s">
        <v>1715</v>
      </c>
      <c r="AW434">
        <v>3240</v>
      </c>
      <c r="AX434">
        <v>1.2E-2</v>
      </c>
      <c r="AY434">
        <v>1</v>
      </c>
      <c r="BA434">
        <v>2006</v>
      </c>
      <c r="BB434">
        <v>2007</v>
      </c>
      <c r="BD434" t="s">
        <v>238</v>
      </c>
      <c r="BE434" t="s">
        <v>1590</v>
      </c>
      <c r="BF434" t="s">
        <v>64</v>
      </c>
      <c r="BG434" s="78" t="s">
        <v>1243</v>
      </c>
      <c r="BH434" t="s">
        <v>1587</v>
      </c>
      <c r="BI434" t="s">
        <v>1599</v>
      </c>
      <c r="BJ434" s="87" t="s">
        <v>22</v>
      </c>
      <c r="BK434">
        <v>1330</v>
      </c>
      <c r="BL434" t="s">
        <v>56</v>
      </c>
      <c r="BM434" t="s">
        <v>1598</v>
      </c>
      <c r="BN434" t="s">
        <v>234</v>
      </c>
      <c r="BO434" s="87" t="s">
        <v>22</v>
      </c>
      <c r="BP434">
        <v>20000</v>
      </c>
      <c r="EH434" s="9"/>
      <c r="EI434" s="9"/>
      <c r="EJ434" s="9"/>
      <c r="EK434" s="9"/>
      <c r="EL434" s="9"/>
      <c r="EM434" s="9"/>
      <c r="EN434" s="9"/>
      <c r="EO434" s="9"/>
      <c r="EP434" s="9"/>
      <c r="EQ434" s="9"/>
      <c r="ER434" s="9"/>
      <c r="ES434" s="9"/>
      <c r="ET434" s="9"/>
      <c r="EU434" s="9"/>
      <c r="EV434" s="9"/>
      <c r="EW434" s="9"/>
      <c r="EX434" s="9"/>
      <c r="EY434" s="9"/>
      <c r="EZ434" s="9"/>
      <c r="FA434" s="9"/>
      <c r="FB434" s="9"/>
      <c r="FC434" s="9"/>
      <c r="FD434" s="9"/>
      <c r="FE434" s="9"/>
      <c r="FF434" s="9"/>
      <c r="FG434" s="9"/>
      <c r="FH434" s="9"/>
      <c r="FI434" s="9"/>
      <c r="FJ434" s="9"/>
      <c r="FK434" s="9"/>
      <c r="FL434" s="9"/>
      <c r="FM434" s="9"/>
      <c r="FN434" s="9"/>
      <c r="FO434" s="9"/>
      <c r="FP434" s="9"/>
      <c r="FQ434" s="9"/>
      <c r="FR434" s="9"/>
      <c r="FS434" s="9"/>
      <c r="FT434" s="9"/>
      <c r="FU434" s="9"/>
      <c r="FV434" s="9"/>
      <c r="FW434" s="9"/>
      <c r="FX434" s="9"/>
      <c r="FY434" s="9"/>
      <c r="FZ434" s="9"/>
      <c r="GA434" s="9"/>
      <c r="GB434" s="9"/>
      <c r="GC434" s="9"/>
      <c r="GD434" s="9"/>
      <c r="GE434" s="9"/>
      <c r="GF434" s="9"/>
      <c r="GG434" s="9"/>
      <c r="GH434" s="9"/>
      <c r="GI434" s="9"/>
      <c r="GJ434" s="9"/>
      <c r="GK434" s="9"/>
      <c r="GL434" s="9"/>
      <c r="GM434" s="9"/>
      <c r="GN434" s="9"/>
      <c r="GO434" s="9"/>
      <c r="GP434" s="9"/>
      <c r="GQ434" s="9"/>
      <c r="GR434" s="9"/>
      <c r="GS434" s="9"/>
      <c r="GT434" s="9"/>
      <c r="GU434" s="9"/>
      <c r="GV434" s="9"/>
      <c r="GW434" s="9"/>
      <c r="GX434" s="9"/>
      <c r="GY434" s="9"/>
      <c r="GZ434" s="9"/>
      <c r="HA434" s="9"/>
      <c r="HB434" s="9"/>
      <c r="HC434" s="9"/>
      <c r="HD434" s="9"/>
      <c r="HE434" s="9"/>
      <c r="HF434" s="9"/>
      <c r="HG434" s="9"/>
      <c r="HH434" s="9"/>
      <c r="HI434" s="9"/>
      <c r="HJ434" s="9"/>
      <c r="HK434" s="9"/>
      <c r="HU434" s="101">
        <v>38838</v>
      </c>
      <c r="HW434" s="58"/>
      <c r="IG434" t="s">
        <v>1590</v>
      </c>
      <c r="IH434" s="87" t="s">
        <v>1200</v>
      </c>
      <c r="II434" t="s">
        <v>660</v>
      </c>
      <c r="IJ434" t="s">
        <v>661</v>
      </c>
      <c r="IK434">
        <v>2006</v>
      </c>
      <c r="IM434" s="87" t="s">
        <v>29</v>
      </c>
      <c r="JI434" t="s">
        <v>1590</v>
      </c>
      <c r="JJ434" s="84" t="s">
        <v>721</v>
      </c>
      <c r="MS434" t="s">
        <v>1607</v>
      </c>
      <c r="MT434">
        <v>120</v>
      </c>
      <c r="MU434" t="s">
        <v>1604</v>
      </c>
      <c r="MW434" t="s">
        <v>1598</v>
      </c>
      <c r="MX434" t="s">
        <v>1602</v>
      </c>
      <c r="ND434" t="s">
        <v>1611</v>
      </c>
      <c r="NE434" s="87" t="s">
        <v>1613</v>
      </c>
      <c r="NG434" s="103" t="s">
        <v>266</v>
      </c>
      <c r="NH434" s="102" t="s">
        <v>1550</v>
      </c>
      <c r="NQ434" t="s">
        <v>6</v>
      </c>
      <c r="NR434" s="104">
        <v>11472.67</v>
      </c>
      <c r="NS434" s="87" t="s">
        <v>29</v>
      </c>
      <c r="NT434" s="87" t="s">
        <v>29</v>
      </c>
      <c r="NW434">
        <v>3</v>
      </c>
      <c r="OH434" t="s">
        <v>1593</v>
      </c>
      <c r="OI434" s="87"/>
      <c r="OJ434">
        <v>2006</v>
      </c>
      <c r="OO434" t="s">
        <v>1178</v>
      </c>
      <c r="OP434" s="58">
        <v>46105</v>
      </c>
    </row>
    <row r="435" spans="1:406" ht="15.75" thickBot="1">
      <c r="A435" t="s">
        <v>248</v>
      </c>
      <c r="B435" t="s">
        <v>1580</v>
      </c>
      <c r="C435" t="s">
        <v>1183</v>
      </c>
      <c r="D435" s="4" t="s">
        <v>1955</v>
      </c>
      <c r="E435" t="s">
        <v>1596</v>
      </c>
      <c r="F435" s="100" t="s">
        <v>31</v>
      </c>
      <c r="G435" s="87" t="s">
        <v>2</v>
      </c>
      <c r="H435" s="87" t="s">
        <v>30</v>
      </c>
      <c r="I435">
        <v>7.25</v>
      </c>
      <c r="J435">
        <v>3.4166666669999999</v>
      </c>
      <c r="K435" s="87" t="s">
        <v>29</v>
      </c>
      <c r="AV435" t="s">
        <v>1715</v>
      </c>
      <c r="AW435">
        <v>3240</v>
      </c>
      <c r="AX435">
        <v>1.2E-2</v>
      </c>
      <c r="AY435">
        <v>1</v>
      </c>
      <c r="BA435">
        <v>2006</v>
      </c>
      <c r="BB435">
        <v>2007</v>
      </c>
      <c r="BD435" t="s">
        <v>19</v>
      </c>
      <c r="BE435" t="s">
        <v>1586</v>
      </c>
      <c r="BF435" t="s">
        <v>39</v>
      </c>
      <c r="BG435" s="78" t="s">
        <v>1243</v>
      </c>
      <c r="BH435" t="s">
        <v>1587</v>
      </c>
      <c r="BI435" t="s">
        <v>1599</v>
      </c>
      <c r="BJ435" s="87" t="s">
        <v>22</v>
      </c>
      <c r="BK435">
        <v>1330</v>
      </c>
      <c r="EH435" s="9"/>
      <c r="EI435" s="9"/>
      <c r="EJ435" s="9"/>
      <c r="EK435" s="9"/>
      <c r="EL435" s="9"/>
      <c r="EM435" s="9"/>
      <c r="EN435" s="9"/>
      <c r="EO435" s="9"/>
      <c r="EP435" s="9"/>
      <c r="EQ435" s="9"/>
      <c r="ER435" s="9"/>
      <c r="ES435" s="9"/>
      <c r="ET435" s="9"/>
      <c r="EU435" s="9"/>
      <c r="EV435" s="9"/>
      <c r="EW435" s="9"/>
      <c r="EX435" s="9"/>
      <c r="EY435" s="9"/>
      <c r="EZ435" s="9"/>
      <c r="FA435" s="9"/>
      <c r="FB435" s="9"/>
      <c r="FC435" s="9"/>
      <c r="FD435" s="9"/>
      <c r="FE435" s="9"/>
      <c r="FF435" s="9"/>
      <c r="FG435" s="9"/>
      <c r="FH435" s="9"/>
      <c r="FI435" s="9"/>
      <c r="FJ435" s="9"/>
      <c r="FK435" s="9"/>
      <c r="FL435" s="9"/>
      <c r="FM435" s="9"/>
      <c r="FN435" s="9"/>
      <c r="FO435" s="9"/>
      <c r="FP435" s="9"/>
      <c r="FQ435" s="9"/>
      <c r="FR435" s="9"/>
      <c r="FS435" s="9"/>
      <c r="FT435" s="9"/>
      <c r="FU435" s="9"/>
      <c r="FV435" s="9"/>
      <c r="FW435" s="9"/>
      <c r="FX435" s="9"/>
      <c r="FY435" s="9"/>
      <c r="FZ435" s="9"/>
      <c r="GA435" s="9"/>
      <c r="GB435" s="9"/>
      <c r="GC435" s="9"/>
      <c r="GD435" s="9"/>
      <c r="GE435" s="9"/>
      <c r="GF435" s="9"/>
      <c r="GG435" s="9"/>
      <c r="GH435" s="9"/>
      <c r="GI435" s="9"/>
      <c r="GJ435" s="9"/>
      <c r="GK435" s="9"/>
      <c r="GL435" s="9"/>
      <c r="GM435" s="9"/>
      <c r="GN435" s="9"/>
      <c r="GO435" s="9"/>
      <c r="GP435" s="9"/>
      <c r="GQ435" s="9"/>
      <c r="GR435" s="9"/>
      <c r="GS435" s="9"/>
      <c r="GT435" s="9"/>
      <c r="GU435" s="9"/>
      <c r="GV435" s="9"/>
      <c r="GW435" s="9"/>
      <c r="GX435" s="9"/>
      <c r="GY435" s="9"/>
      <c r="GZ435" s="9"/>
      <c r="HA435" s="9"/>
      <c r="HB435" s="9"/>
      <c r="HC435" s="9"/>
      <c r="HD435" s="9"/>
      <c r="HE435" s="9"/>
      <c r="HF435" s="9"/>
      <c r="HG435" s="9"/>
      <c r="HH435" s="9"/>
      <c r="HI435" s="9"/>
      <c r="HJ435" s="9"/>
      <c r="HK435" s="9"/>
      <c r="HU435" s="101">
        <v>38838</v>
      </c>
      <c r="HW435" s="58"/>
      <c r="IG435" t="s">
        <v>1586</v>
      </c>
      <c r="IH435" t="s">
        <v>19</v>
      </c>
      <c r="IM435" s="87"/>
      <c r="JI435" t="s">
        <v>1586</v>
      </c>
      <c r="JJ435" s="84" t="s">
        <v>721</v>
      </c>
      <c r="MS435" t="s">
        <v>1607</v>
      </c>
      <c r="MT435">
        <v>120</v>
      </c>
      <c r="MU435" t="s">
        <v>1603</v>
      </c>
      <c r="MW435" t="s">
        <v>1602</v>
      </c>
      <c r="MX435" t="s">
        <v>1606</v>
      </c>
      <c r="ND435" t="s">
        <v>1611</v>
      </c>
      <c r="NE435" s="87" t="s">
        <v>1613</v>
      </c>
      <c r="NG435" s="103" t="s">
        <v>266</v>
      </c>
      <c r="NH435" s="102" t="s">
        <v>1550</v>
      </c>
      <c r="NP435" t="s">
        <v>64</v>
      </c>
      <c r="NQ435" t="s">
        <v>6</v>
      </c>
      <c r="NR435" s="104">
        <v>-94529.5</v>
      </c>
      <c r="NS435" s="87" t="s">
        <v>29</v>
      </c>
      <c r="NT435" s="87" t="s">
        <v>29</v>
      </c>
      <c r="NW435">
        <v>3</v>
      </c>
      <c r="OH435" t="s">
        <v>1593</v>
      </c>
      <c r="OI435" s="87"/>
      <c r="OJ435">
        <v>2006</v>
      </c>
      <c r="OO435" t="s">
        <v>1178</v>
      </c>
      <c r="OP435" s="58">
        <v>46105</v>
      </c>
    </row>
    <row r="436" spans="1:406" ht="15.75" thickBot="1">
      <c r="A436" t="s">
        <v>248</v>
      </c>
      <c r="B436" t="s">
        <v>1580</v>
      </c>
      <c r="C436" t="s">
        <v>1183</v>
      </c>
      <c r="D436" s="4" t="s">
        <v>1955</v>
      </c>
      <c r="E436" t="s">
        <v>1596</v>
      </c>
      <c r="F436" s="100" t="s">
        <v>31</v>
      </c>
      <c r="G436" s="87" t="s">
        <v>2</v>
      </c>
      <c r="H436" s="87" t="s">
        <v>30</v>
      </c>
      <c r="I436">
        <v>7.25</v>
      </c>
      <c r="J436">
        <v>3.4166666669999999</v>
      </c>
      <c r="K436" s="87" t="s">
        <v>29</v>
      </c>
      <c r="AV436" t="s">
        <v>1715</v>
      </c>
      <c r="AW436">
        <v>3240</v>
      </c>
      <c r="AX436">
        <v>1.2E-2</v>
      </c>
      <c r="AY436">
        <v>1</v>
      </c>
      <c r="BA436">
        <v>2006</v>
      </c>
      <c r="BB436">
        <v>2007</v>
      </c>
      <c r="BD436" t="s">
        <v>19</v>
      </c>
      <c r="BE436" t="s">
        <v>1585</v>
      </c>
      <c r="BF436" t="s">
        <v>24</v>
      </c>
      <c r="BG436" s="78" t="s">
        <v>1243</v>
      </c>
      <c r="BH436" t="s">
        <v>1598</v>
      </c>
      <c r="BI436" t="s">
        <v>838</v>
      </c>
      <c r="BJ436" s="87" t="s">
        <v>22</v>
      </c>
      <c r="BK436">
        <v>20000</v>
      </c>
      <c r="EH436" s="9"/>
      <c r="EI436" s="9"/>
      <c r="EJ436" s="9"/>
      <c r="EK436" s="9"/>
      <c r="EL436" s="9"/>
      <c r="EM436" s="9"/>
      <c r="EN436" s="9"/>
      <c r="EO436" s="9"/>
      <c r="EP436" s="9"/>
      <c r="EQ436" s="9"/>
      <c r="ER436" s="9"/>
      <c r="ES436" s="9"/>
      <c r="ET436" s="9"/>
      <c r="EU436" s="9"/>
      <c r="EV436" s="9"/>
      <c r="EW436" s="9"/>
      <c r="EX436" s="9"/>
      <c r="EY436" s="9"/>
      <c r="EZ436" s="9"/>
      <c r="FA436" s="9"/>
      <c r="FB436" s="9"/>
      <c r="FC436" s="9"/>
      <c r="FD436" s="9"/>
      <c r="FE436" s="9"/>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c r="GM436" s="9"/>
      <c r="GN436" s="9"/>
      <c r="GO436" s="9"/>
      <c r="GP436" s="9"/>
      <c r="GQ436" s="9"/>
      <c r="GR436" s="9"/>
      <c r="GS436" s="9"/>
      <c r="GT436" s="9"/>
      <c r="GU436" s="9"/>
      <c r="GV436" s="9"/>
      <c r="GW436" s="9"/>
      <c r="GX436" s="9"/>
      <c r="GY436" s="9"/>
      <c r="GZ436" s="9"/>
      <c r="HA436" s="9"/>
      <c r="HB436" s="9"/>
      <c r="HC436" s="9"/>
      <c r="HD436" s="9"/>
      <c r="HE436" s="9"/>
      <c r="HF436" s="9"/>
      <c r="HG436" s="9"/>
      <c r="HH436" s="9"/>
      <c r="HI436" s="9"/>
      <c r="HJ436" s="9"/>
      <c r="HK436" s="9"/>
      <c r="HU436" s="101">
        <v>38838</v>
      </c>
      <c r="HW436" s="58"/>
      <c r="IG436" t="s">
        <v>1585</v>
      </c>
      <c r="IH436" t="s">
        <v>19</v>
      </c>
      <c r="IM436" s="87"/>
      <c r="JI436" t="s">
        <v>1585</v>
      </c>
      <c r="JJ436" s="84" t="s">
        <v>721</v>
      </c>
      <c r="MS436" t="s">
        <v>1607</v>
      </c>
      <c r="MT436">
        <v>120</v>
      </c>
      <c r="MU436" t="s">
        <v>1583</v>
      </c>
      <c r="MW436" t="s">
        <v>1598</v>
      </c>
      <c r="ND436" t="s">
        <v>1611</v>
      </c>
      <c r="NE436" s="87" t="s">
        <v>1613</v>
      </c>
      <c r="NG436" s="103" t="s">
        <v>266</v>
      </c>
      <c r="NH436" s="102" t="s">
        <v>1550</v>
      </c>
      <c r="NP436" t="s">
        <v>64</v>
      </c>
      <c r="NQ436" t="s">
        <v>6</v>
      </c>
      <c r="NR436" s="104">
        <v>39355.94</v>
      </c>
      <c r="NS436" s="87" t="s">
        <v>29</v>
      </c>
      <c r="NT436" s="87" t="s">
        <v>29</v>
      </c>
      <c r="NW436">
        <v>3</v>
      </c>
      <c r="OH436" t="s">
        <v>1593</v>
      </c>
      <c r="OI436" s="87"/>
      <c r="OJ436">
        <v>2006</v>
      </c>
      <c r="OO436" t="s">
        <v>1178</v>
      </c>
      <c r="OP436" s="58">
        <v>46105</v>
      </c>
    </row>
    <row r="437" spans="1:406" ht="15.75" thickBot="1">
      <c r="A437" t="s">
        <v>248</v>
      </c>
      <c r="B437" t="s">
        <v>1580</v>
      </c>
      <c r="C437" t="s">
        <v>1183</v>
      </c>
      <c r="D437" s="4" t="s">
        <v>1955</v>
      </c>
      <c r="E437" t="s">
        <v>1596</v>
      </c>
      <c r="F437" s="100" t="s">
        <v>31</v>
      </c>
      <c r="G437" s="87" t="s">
        <v>2</v>
      </c>
      <c r="H437" s="87" t="s">
        <v>30</v>
      </c>
      <c r="I437">
        <v>7.25</v>
      </c>
      <c r="J437">
        <v>3.4166666669999999</v>
      </c>
      <c r="K437" s="87" t="s">
        <v>29</v>
      </c>
      <c r="AV437" t="s">
        <v>1715</v>
      </c>
      <c r="AW437">
        <v>3240</v>
      </c>
      <c r="AX437">
        <v>1.2E-2</v>
      </c>
      <c r="AY437">
        <v>1</v>
      </c>
      <c r="BA437">
        <v>2006</v>
      </c>
      <c r="BB437">
        <v>2007</v>
      </c>
      <c r="BD437" t="s">
        <v>19</v>
      </c>
      <c r="BE437" t="s">
        <v>1581</v>
      </c>
      <c r="BF437" t="s">
        <v>299</v>
      </c>
      <c r="BG437" s="78" t="s">
        <v>1243</v>
      </c>
      <c r="BH437" t="s">
        <v>1598</v>
      </c>
      <c r="BI437" t="s">
        <v>234</v>
      </c>
      <c r="BJ437" s="87" t="s">
        <v>22</v>
      </c>
      <c r="BK437">
        <v>20000</v>
      </c>
      <c r="EH437" s="9"/>
      <c r="EI437" s="9"/>
      <c r="EJ437" s="9"/>
      <c r="EK437" s="9"/>
      <c r="EL437" s="9"/>
      <c r="EM437" s="9"/>
      <c r="EN437" s="9"/>
      <c r="EO437" s="9"/>
      <c r="EP437" s="9"/>
      <c r="EQ437" s="9"/>
      <c r="ER437" s="9"/>
      <c r="ES437" s="9"/>
      <c r="ET437" s="9"/>
      <c r="EU437" s="9"/>
      <c r="EV437" s="9"/>
      <c r="EW437" s="9"/>
      <c r="EX437" s="9"/>
      <c r="EY437" s="9"/>
      <c r="EZ437" s="9"/>
      <c r="FA437" s="9"/>
      <c r="FB437" s="9"/>
      <c r="FC437" s="9"/>
      <c r="FD437" s="9"/>
      <c r="FE437" s="9"/>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c r="GM437" s="9"/>
      <c r="GN437" s="9"/>
      <c r="GO437" s="9"/>
      <c r="GP437" s="9"/>
      <c r="GQ437" s="9"/>
      <c r="GR437" s="9"/>
      <c r="GS437" s="9"/>
      <c r="GT437" s="9"/>
      <c r="GU437" s="9"/>
      <c r="GV437" s="9"/>
      <c r="GW437" s="9"/>
      <c r="GX437" s="9"/>
      <c r="GY437" s="9"/>
      <c r="GZ437" s="9"/>
      <c r="HA437" s="9"/>
      <c r="HB437" s="9"/>
      <c r="HC437" s="9"/>
      <c r="HD437" s="9"/>
      <c r="HE437" s="9"/>
      <c r="HF437" s="9"/>
      <c r="HG437" s="9"/>
      <c r="HH437" s="9"/>
      <c r="HI437" s="9"/>
      <c r="HJ437" s="9"/>
      <c r="HK437" s="9"/>
      <c r="HU437" s="101">
        <v>38838</v>
      </c>
      <c r="HW437" s="58"/>
      <c r="IG437" t="s">
        <v>1581</v>
      </c>
      <c r="IH437" t="s">
        <v>19</v>
      </c>
      <c r="JI437" t="s">
        <v>1581</v>
      </c>
      <c r="JJ437" s="84" t="s">
        <v>227</v>
      </c>
      <c r="JU437" s="8" t="s">
        <v>227</v>
      </c>
      <c r="JV437" s="8" t="s">
        <v>1600</v>
      </c>
      <c r="JW437" t="s">
        <v>13</v>
      </c>
      <c r="JX437">
        <v>40000</v>
      </c>
      <c r="MS437" t="s">
        <v>1607</v>
      </c>
      <c r="MT437">
        <v>120</v>
      </c>
      <c r="MU437" t="s">
        <v>1583</v>
      </c>
      <c r="MW437" t="s">
        <v>1598</v>
      </c>
      <c r="ND437" t="s">
        <v>1612</v>
      </c>
      <c r="NE437" s="87" t="s">
        <v>1613</v>
      </c>
      <c r="NG437" s="103" t="s">
        <v>266</v>
      </c>
      <c r="NH437" s="102" t="s">
        <v>1550</v>
      </c>
      <c r="NP437" t="s">
        <v>57</v>
      </c>
      <c r="NQ437" t="s">
        <v>6</v>
      </c>
      <c r="NR437" s="104">
        <v>216745.55</v>
      </c>
      <c r="NS437" s="87" t="s">
        <v>29</v>
      </c>
      <c r="NT437" s="87" t="s">
        <v>29</v>
      </c>
      <c r="NW437">
        <v>3</v>
      </c>
      <c r="OH437" t="s">
        <v>1594</v>
      </c>
      <c r="OI437" s="87"/>
      <c r="OJ437">
        <v>2006</v>
      </c>
      <c r="OO437" t="s">
        <v>1178</v>
      </c>
      <c r="OP437" s="58">
        <v>46105</v>
      </c>
    </row>
    <row r="438" spans="1:406" ht="15.75" thickBot="1">
      <c r="A438" t="s">
        <v>248</v>
      </c>
      <c r="B438" t="s">
        <v>1580</v>
      </c>
      <c r="C438" t="s">
        <v>1183</v>
      </c>
      <c r="D438" s="4" t="s">
        <v>1955</v>
      </c>
      <c r="E438" t="s">
        <v>1596</v>
      </c>
      <c r="F438" s="100" t="s">
        <v>31</v>
      </c>
      <c r="G438" s="87" t="s">
        <v>2</v>
      </c>
      <c r="H438" s="87" t="s">
        <v>30</v>
      </c>
      <c r="I438">
        <v>7.25</v>
      </c>
      <c r="J438">
        <v>3.4166666669999999</v>
      </c>
      <c r="K438" s="87" t="s">
        <v>29</v>
      </c>
      <c r="AV438" t="s">
        <v>1715</v>
      </c>
      <c r="AW438">
        <v>3240</v>
      </c>
      <c r="AX438">
        <v>1.2E-2</v>
      </c>
      <c r="AY438">
        <v>1</v>
      </c>
      <c r="BA438">
        <v>2006</v>
      </c>
      <c r="BB438">
        <v>2007</v>
      </c>
      <c r="BD438" t="s">
        <v>19</v>
      </c>
      <c r="BE438" t="s">
        <v>1584</v>
      </c>
      <c r="BF438" t="s">
        <v>256</v>
      </c>
      <c r="BG438" s="78" t="s">
        <v>1243</v>
      </c>
      <c r="BH438" t="s">
        <v>1598</v>
      </c>
      <c r="BI438" t="s">
        <v>234</v>
      </c>
      <c r="BJ438" s="87" t="s">
        <v>22</v>
      </c>
      <c r="BK438">
        <v>20000</v>
      </c>
      <c r="EH438" s="9"/>
      <c r="EI438" s="9"/>
      <c r="EJ438" s="9"/>
      <c r="EK438" s="9"/>
      <c r="EL438" s="9"/>
      <c r="EM438" s="9"/>
      <c r="EN438" s="9"/>
      <c r="EO438" s="9"/>
      <c r="EP438" s="9"/>
      <c r="EQ438" s="9"/>
      <c r="ER438" s="9"/>
      <c r="ES438" s="9"/>
      <c r="ET438" s="9"/>
      <c r="EU438" s="9"/>
      <c r="EV438" s="9"/>
      <c r="EW438" s="9"/>
      <c r="EX438" s="9"/>
      <c r="EY438" s="9"/>
      <c r="EZ438" s="9"/>
      <c r="FA438" s="9"/>
      <c r="FB438" s="9"/>
      <c r="FC438" s="9"/>
      <c r="FD438" s="9"/>
      <c r="FE438" s="9"/>
      <c r="FF438" s="9"/>
      <c r="FG438" s="9"/>
      <c r="FH438" s="9"/>
      <c r="FI438" s="9"/>
      <c r="FJ438" s="9"/>
      <c r="FK438" s="9"/>
      <c r="FL438" s="9"/>
      <c r="FM438" s="9"/>
      <c r="FN438" s="9"/>
      <c r="FO438" s="9"/>
      <c r="FP438" s="9"/>
      <c r="FQ438" s="9"/>
      <c r="FR438" s="9"/>
      <c r="FS438" s="9"/>
      <c r="FT438" s="9"/>
      <c r="FU438" s="9"/>
      <c r="FV438" s="9"/>
      <c r="FW438" s="9"/>
      <c r="FX438" s="9"/>
      <c r="FY438" s="9"/>
      <c r="FZ438" s="9"/>
      <c r="GA438" s="9"/>
      <c r="GB438" s="9"/>
      <c r="GC438" s="9"/>
      <c r="GD438" s="9"/>
      <c r="GE438" s="9"/>
      <c r="GF438" s="9"/>
      <c r="GG438" s="9"/>
      <c r="GH438" s="9"/>
      <c r="GI438" s="9"/>
      <c r="GJ438" s="9"/>
      <c r="GK438" s="9"/>
      <c r="GL438" s="9"/>
      <c r="GM438" s="9"/>
      <c r="GN438" s="9"/>
      <c r="GO438" s="9"/>
      <c r="GP438" s="9"/>
      <c r="GQ438" s="9"/>
      <c r="GR438" s="9"/>
      <c r="GS438" s="9"/>
      <c r="GT438" s="9"/>
      <c r="GU438" s="9"/>
      <c r="GV438" s="9"/>
      <c r="GW438" s="9"/>
      <c r="GX438" s="9"/>
      <c r="GY438" s="9"/>
      <c r="GZ438" s="9"/>
      <c r="HA438" s="9"/>
      <c r="HB438" s="9"/>
      <c r="HC438" s="9"/>
      <c r="HD438" s="9"/>
      <c r="HE438" s="9"/>
      <c r="HF438" s="9"/>
      <c r="HG438" s="9"/>
      <c r="HH438" s="9"/>
      <c r="HI438" s="9"/>
      <c r="HJ438" s="9"/>
      <c r="HK438" s="9"/>
      <c r="HU438" s="101">
        <v>38838</v>
      </c>
      <c r="HW438" s="58"/>
      <c r="IG438" t="s">
        <v>1584</v>
      </c>
      <c r="IH438" t="s">
        <v>19</v>
      </c>
      <c r="JI438" t="s">
        <v>1584</v>
      </c>
      <c r="JJ438" s="84" t="s">
        <v>227</v>
      </c>
      <c r="JU438" s="8" t="s">
        <v>227</v>
      </c>
      <c r="JV438" s="8" t="s">
        <v>1600</v>
      </c>
      <c r="JW438" t="s">
        <v>13</v>
      </c>
      <c r="JX438">
        <v>80000</v>
      </c>
      <c r="MS438" t="s">
        <v>1607</v>
      </c>
      <c r="MT438">
        <v>120</v>
      </c>
      <c r="MU438" t="s">
        <v>1583</v>
      </c>
      <c r="MW438" t="s">
        <v>1598</v>
      </c>
      <c r="ND438" t="s">
        <v>1612</v>
      </c>
      <c r="NE438" s="87" t="s">
        <v>1613</v>
      </c>
      <c r="NG438" s="103" t="s">
        <v>266</v>
      </c>
      <c r="NH438" s="102" t="s">
        <v>1550</v>
      </c>
      <c r="NP438" t="s">
        <v>48</v>
      </c>
      <c r="NQ438" t="s">
        <v>6</v>
      </c>
      <c r="NR438" s="104">
        <v>103313.44</v>
      </c>
      <c r="NS438" s="87" t="s">
        <v>29</v>
      </c>
      <c r="NT438" s="87" t="s">
        <v>29</v>
      </c>
      <c r="NW438">
        <v>3</v>
      </c>
      <c r="OH438" t="s">
        <v>1594</v>
      </c>
      <c r="OI438" s="87"/>
      <c r="OJ438">
        <v>2006</v>
      </c>
      <c r="OO438" t="s">
        <v>1178</v>
      </c>
      <c r="OP438" s="58">
        <v>46105</v>
      </c>
    </row>
    <row r="439" spans="1:406" ht="15.75" thickBot="1">
      <c r="A439" t="s">
        <v>248</v>
      </c>
      <c r="B439" t="s">
        <v>1580</v>
      </c>
      <c r="C439" t="s">
        <v>1183</v>
      </c>
      <c r="D439" s="4" t="s">
        <v>1955</v>
      </c>
      <c r="E439" t="s">
        <v>1596</v>
      </c>
      <c r="F439" s="100" t="s">
        <v>31</v>
      </c>
      <c r="G439" s="87" t="s">
        <v>2</v>
      </c>
      <c r="H439" s="87" t="s">
        <v>30</v>
      </c>
      <c r="I439">
        <v>7.25</v>
      </c>
      <c r="J439">
        <v>3.4166666669999999</v>
      </c>
      <c r="K439" s="87" t="s">
        <v>29</v>
      </c>
      <c r="AV439" t="s">
        <v>1715</v>
      </c>
      <c r="AW439">
        <v>3240</v>
      </c>
      <c r="AX439">
        <v>1.2E-2</v>
      </c>
      <c r="AY439">
        <v>1</v>
      </c>
      <c r="BA439">
        <v>2006</v>
      </c>
      <c r="BB439">
        <v>2007</v>
      </c>
      <c r="BD439" t="s">
        <v>19</v>
      </c>
      <c r="BE439" t="s">
        <v>1588</v>
      </c>
      <c r="BF439" t="s">
        <v>1467</v>
      </c>
      <c r="BG439" s="78" t="s">
        <v>1243</v>
      </c>
      <c r="BH439" t="s">
        <v>1587</v>
      </c>
      <c r="BI439" t="s">
        <v>1599</v>
      </c>
      <c r="BJ439" s="87" t="s">
        <v>22</v>
      </c>
      <c r="BK439">
        <v>1330</v>
      </c>
      <c r="EH439" s="9"/>
      <c r="EI439" s="9"/>
      <c r="EJ439" s="9"/>
      <c r="EK439" s="9"/>
      <c r="EL439" s="9"/>
      <c r="EM439" s="9"/>
      <c r="EN439" s="9"/>
      <c r="EO439" s="9"/>
      <c r="EP439" s="9"/>
      <c r="EQ439" s="9"/>
      <c r="ER439" s="9"/>
      <c r="ES439" s="9"/>
      <c r="ET439" s="9"/>
      <c r="EU439" s="9"/>
      <c r="EV439" s="9"/>
      <c r="EW439" s="9"/>
      <c r="EX439" s="9"/>
      <c r="EY439" s="9"/>
      <c r="EZ439" s="9"/>
      <c r="FA439" s="9"/>
      <c r="FB439" s="9"/>
      <c r="FC439" s="9"/>
      <c r="FD439" s="9"/>
      <c r="FE439" s="9"/>
      <c r="FF439" s="9"/>
      <c r="FG439" s="9"/>
      <c r="FH439" s="9"/>
      <c r="FI439" s="9"/>
      <c r="FJ439" s="9"/>
      <c r="FK439" s="9"/>
      <c r="FL439" s="9"/>
      <c r="FM439" s="9"/>
      <c r="FN439" s="9"/>
      <c r="FO439" s="9"/>
      <c r="FP439" s="9"/>
      <c r="FQ439" s="9"/>
      <c r="FR439" s="9"/>
      <c r="FS439" s="9"/>
      <c r="FT439" s="9"/>
      <c r="FU439" s="9"/>
      <c r="FV439" s="9"/>
      <c r="FW439" s="9"/>
      <c r="FX439" s="9"/>
      <c r="FY439" s="9"/>
      <c r="FZ439" s="9"/>
      <c r="GA439" s="9"/>
      <c r="GB439" s="9"/>
      <c r="GC439" s="9"/>
      <c r="GD439" s="9"/>
      <c r="GE439" s="9"/>
      <c r="GF439" s="9"/>
      <c r="GG439" s="9"/>
      <c r="GH439" s="9"/>
      <c r="GI439" s="9"/>
      <c r="GJ439" s="9"/>
      <c r="GK439" s="9"/>
      <c r="GL439" s="9"/>
      <c r="GM439" s="9"/>
      <c r="GN439" s="9"/>
      <c r="GO439" s="9"/>
      <c r="GP439" s="9"/>
      <c r="GQ439" s="9"/>
      <c r="GR439" s="9"/>
      <c r="GS439" s="9"/>
      <c r="GT439" s="9"/>
      <c r="GU439" s="9"/>
      <c r="GV439" s="9"/>
      <c r="GW439" s="9"/>
      <c r="GX439" s="9"/>
      <c r="GY439" s="9"/>
      <c r="GZ439" s="9"/>
      <c r="HA439" s="9"/>
      <c r="HB439" s="9"/>
      <c r="HC439" s="9"/>
      <c r="HD439" s="9"/>
      <c r="HE439" s="9"/>
      <c r="HF439" s="9"/>
      <c r="HG439" s="9"/>
      <c r="HH439" s="9"/>
      <c r="HI439" s="9"/>
      <c r="HJ439" s="9"/>
      <c r="HK439" s="9"/>
      <c r="HU439" s="101">
        <v>38838</v>
      </c>
      <c r="HW439" s="58"/>
      <c r="IG439" t="s">
        <v>1588</v>
      </c>
      <c r="IH439" t="s">
        <v>19</v>
      </c>
      <c r="JI439" t="s">
        <v>1588</v>
      </c>
      <c r="JJ439" s="84" t="s">
        <v>227</v>
      </c>
      <c r="JU439" s="8" t="s">
        <v>227</v>
      </c>
      <c r="JV439" s="8" t="s">
        <v>1600</v>
      </c>
      <c r="JW439" t="s">
        <v>13</v>
      </c>
      <c r="JX439">
        <v>40000</v>
      </c>
      <c r="MS439" t="s">
        <v>1607</v>
      </c>
      <c r="MT439">
        <v>120</v>
      </c>
      <c r="MU439" t="s">
        <v>1603</v>
      </c>
      <c r="MW439" t="s">
        <v>1602</v>
      </c>
      <c r="MX439" t="s">
        <v>1606</v>
      </c>
      <c r="ND439" t="s">
        <v>1612</v>
      </c>
      <c r="NE439" s="87" t="s">
        <v>1613</v>
      </c>
      <c r="NG439" s="103" t="s">
        <v>266</v>
      </c>
      <c r="NH439" s="102" t="s">
        <v>1550</v>
      </c>
      <c r="NP439" t="s">
        <v>57</v>
      </c>
      <c r="NQ439" t="s">
        <v>6</v>
      </c>
      <c r="NR439" s="104">
        <v>-59650</v>
      </c>
      <c r="NS439" s="87" t="s">
        <v>29</v>
      </c>
      <c r="NT439" s="87" t="s">
        <v>29</v>
      </c>
      <c r="NW439">
        <v>3</v>
      </c>
      <c r="OH439" t="s">
        <v>1595</v>
      </c>
      <c r="OI439" s="87"/>
      <c r="OJ439">
        <v>2006</v>
      </c>
      <c r="OO439" t="s">
        <v>1178</v>
      </c>
      <c r="OP439" s="58">
        <v>46105</v>
      </c>
    </row>
    <row r="440" spans="1:406" ht="15.75" thickBot="1">
      <c r="A440" t="s">
        <v>248</v>
      </c>
      <c r="B440" t="s">
        <v>1580</v>
      </c>
      <c r="C440" t="s">
        <v>1183</v>
      </c>
      <c r="D440" s="4" t="s">
        <v>1955</v>
      </c>
      <c r="E440" t="s">
        <v>1596</v>
      </c>
      <c r="F440" s="100" t="s">
        <v>31</v>
      </c>
      <c r="G440" s="87" t="s">
        <v>2</v>
      </c>
      <c r="H440" s="87" t="s">
        <v>30</v>
      </c>
      <c r="I440">
        <v>7.25</v>
      </c>
      <c r="J440">
        <v>3.4166666669999999</v>
      </c>
      <c r="K440" s="87" t="s">
        <v>29</v>
      </c>
      <c r="AV440" t="s">
        <v>1715</v>
      </c>
      <c r="AW440">
        <v>3240</v>
      </c>
      <c r="AX440">
        <v>1.2E-2</v>
      </c>
      <c r="AY440">
        <v>1</v>
      </c>
      <c r="BA440">
        <v>2006</v>
      </c>
      <c r="BB440">
        <v>2007</v>
      </c>
      <c r="BD440" t="s">
        <v>19</v>
      </c>
      <c r="BE440" t="s">
        <v>1589</v>
      </c>
      <c r="BF440" t="s">
        <v>1469</v>
      </c>
      <c r="BG440" s="78" t="s">
        <v>1243</v>
      </c>
      <c r="BH440" t="s">
        <v>1587</v>
      </c>
      <c r="BI440" t="s">
        <v>1599</v>
      </c>
      <c r="BJ440" s="87" t="s">
        <v>22</v>
      </c>
      <c r="BK440">
        <v>1330</v>
      </c>
      <c r="EH440" s="9"/>
      <c r="EI440" s="9"/>
      <c r="EJ440" s="9"/>
      <c r="EK440" s="9"/>
      <c r="EL440" s="9"/>
      <c r="EM440" s="9"/>
      <c r="EN440" s="9"/>
      <c r="EO440" s="9"/>
      <c r="EP440" s="9"/>
      <c r="EQ440" s="9"/>
      <c r="ER440" s="9"/>
      <c r="ES440" s="9"/>
      <c r="ET440" s="9"/>
      <c r="EU440" s="9"/>
      <c r="EV440" s="9"/>
      <c r="EW440" s="9"/>
      <c r="EX440" s="9"/>
      <c r="EY440" s="9"/>
      <c r="EZ440" s="9"/>
      <c r="FA440" s="9"/>
      <c r="FB440" s="9"/>
      <c r="FC440" s="9"/>
      <c r="FD440" s="9"/>
      <c r="FE440" s="9"/>
      <c r="FF440" s="9"/>
      <c r="FG440" s="9"/>
      <c r="FH440" s="9"/>
      <c r="FI440" s="9"/>
      <c r="FJ440" s="9"/>
      <c r="FK440" s="9"/>
      <c r="FL440" s="9"/>
      <c r="FM440" s="9"/>
      <c r="FN440" s="9"/>
      <c r="FO440" s="9"/>
      <c r="FP440" s="9"/>
      <c r="FQ440" s="9"/>
      <c r="FR440" s="9"/>
      <c r="FS440" s="9"/>
      <c r="FT440" s="9"/>
      <c r="FU440" s="9"/>
      <c r="FV440" s="9"/>
      <c r="FW440" s="9"/>
      <c r="FX440" s="9"/>
      <c r="FY440" s="9"/>
      <c r="FZ440" s="9"/>
      <c r="GA440" s="9"/>
      <c r="GB440" s="9"/>
      <c r="GC440" s="9"/>
      <c r="GD440" s="9"/>
      <c r="GE440" s="9"/>
      <c r="GF440" s="9"/>
      <c r="GG440" s="9"/>
      <c r="GH440" s="9"/>
      <c r="GI440" s="9"/>
      <c r="GJ440" s="9"/>
      <c r="GK440" s="9"/>
      <c r="GL440" s="9"/>
      <c r="GM440" s="9"/>
      <c r="GN440" s="9"/>
      <c r="GO440" s="9"/>
      <c r="GP440" s="9"/>
      <c r="GQ440" s="9"/>
      <c r="GR440" s="9"/>
      <c r="GS440" s="9"/>
      <c r="GT440" s="9"/>
      <c r="GU440" s="9"/>
      <c r="GV440" s="9"/>
      <c r="GW440" s="9"/>
      <c r="GX440" s="9"/>
      <c r="GY440" s="9"/>
      <c r="GZ440" s="9"/>
      <c r="HA440" s="9"/>
      <c r="HB440" s="9"/>
      <c r="HC440" s="9"/>
      <c r="HD440" s="9"/>
      <c r="HE440" s="9"/>
      <c r="HF440" s="9"/>
      <c r="HG440" s="9"/>
      <c r="HH440" s="9"/>
      <c r="HI440" s="9"/>
      <c r="HJ440" s="9"/>
      <c r="HK440" s="9"/>
      <c r="HU440" s="101">
        <v>38838</v>
      </c>
      <c r="HW440" s="58"/>
      <c r="IG440" t="s">
        <v>1589</v>
      </c>
      <c r="IH440" t="s">
        <v>19</v>
      </c>
      <c r="JI440" t="s">
        <v>1589</v>
      </c>
      <c r="JJ440" s="84" t="s">
        <v>227</v>
      </c>
      <c r="JU440" s="8" t="s">
        <v>227</v>
      </c>
      <c r="JV440" s="8" t="s">
        <v>1600</v>
      </c>
      <c r="JW440" t="s">
        <v>13</v>
      </c>
      <c r="JX440">
        <v>80000</v>
      </c>
      <c r="MS440" t="s">
        <v>1607</v>
      </c>
      <c r="MT440">
        <v>120</v>
      </c>
      <c r="MU440" t="s">
        <v>1603</v>
      </c>
      <c r="MW440" t="s">
        <v>1602</v>
      </c>
      <c r="MX440" t="s">
        <v>1606</v>
      </c>
      <c r="ND440" t="s">
        <v>1612</v>
      </c>
      <c r="NE440" s="87" t="s">
        <v>1613</v>
      </c>
      <c r="NG440" s="103" t="s">
        <v>266</v>
      </c>
      <c r="NH440" s="102" t="s">
        <v>1550</v>
      </c>
      <c r="NP440" t="s">
        <v>48</v>
      </c>
      <c r="NQ440" t="s">
        <v>6</v>
      </c>
      <c r="NR440" s="104">
        <v>-123868.5</v>
      </c>
      <c r="NS440" s="87" t="s">
        <v>29</v>
      </c>
      <c r="NT440" s="87" t="s">
        <v>29</v>
      </c>
      <c r="NW440">
        <v>3</v>
      </c>
      <c r="OH440" t="s">
        <v>1595</v>
      </c>
      <c r="OI440" s="87"/>
      <c r="OJ440">
        <v>2006</v>
      </c>
      <c r="OO440" t="s">
        <v>1178</v>
      </c>
      <c r="OP440" s="58">
        <v>46105</v>
      </c>
    </row>
    <row r="441" spans="1:406" ht="15.75" thickBot="1">
      <c r="A441" t="s">
        <v>248</v>
      </c>
      <c r="B441" t="s">
        <v>1580</v>
      </c>
      <c r="C441" t="s">
        <v>1183</v>
      </c>
      <c r="D441" s="4" t="s">
        <v>1955</v>
      </c>
      <c r="E441" t="s">
        <v>1596</v>
      </c>
      <c r="F441" s="100" t="s">
        <v>31</v>
      </c>
      <c r="G441" s="87" t="s">
        <v>2</v>
      </c>
      <c r="H441" s="87" t="s">
        <v>30</v>
      </c>
      <c r="I441">
        <v>7.25</v>
      </c>
      <c r="J441">
        <v>3.4166666669999999</v>
      </c>
      <c r="K441" s="87" t="s">
        <v>29</v>
      </c>
      <c r="AV441" t="s">
        <v>1715</v>
      </c>
      <c r="AW441">
        <v>3240</v>
      </c>
      <c r="AX441">
        <v>1.2E-2</v>
      </c>
      <c r="AY441">
        <v>1</v>
      </c>
      <c r="BA441">
        <v>2006</v>
      </c>
      <c r="BB441">
        <v>2007</v>
      </c>
      <c r="BD441" t="s">
        <v>238</v>
      </c>
      <c r="BE441" t="s">
        <v>1591</v>
      </c>
      <c r="BF441" t="s">
        <v>57</v>
      </c>
      <c r="BG441" s="78" t="s">
        <v>1243</v>
      </c>
      <c r="BH441" t="s">
        <v>1587</v>
      </c>
      <c r="BI441" t="s">
        <v>1599</v>
      </c>
      <c r="BJ441" s="87" t="s">
        <v>22</v>
      </c>
      <c r="BK441">
        <v>1330</v>
      </c>
      <c r="BL441" t="s">
        <v>56</v>
      </c>
      <c r="BM441" t="s">
        <v>1598</v>
      </c>
      <c r="BN441" t="s">
        <v>234</v>
      </c>
      <c r="BO441" s="87" t="s">
        <v>22</v>
      </c>
      <c r="BP441">
        <v>20000</v>
      </c>
      <c r="EH441" s="9"/>
      <c r="EI441" s="9"/>
      <c r="EJ441" s="9"/>
      <c r="EK441" s="9"/>
      <c r="EL441" s="9"/>
      <c r="EM441" s="9"/>
      <c r="EN441" s="9"/>
      <c r="EO441" s="9"/>
      <c r="EP441" s="9"/>
      <c r="EQ441" s="9"/>
      <c r="ER441" s="9"/>
      <c r="ES441" s="9"/>
      <c r="ET441" s="9"/>
      <c r="EU441" s="9"/>
      <c r="EV441" s="9"/>
      <c r="EW441" s="9"/>
      <c r="EX441" s="9"/>
      <c r="EY441" s="9"/>
      <c r="EZ441" s="9"/>
      <c r="FA441" s="9"/>
      <c r="FB441" s="9"/>
      <c r="FC441" s="9"/>
      <c r="FD441" s="9"/>
      <c r="FE441" s="9"/>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c r="GM441" s="9"/>
      <c r="GN441" s="9"/>
      <c r="GO441" s="9"/>
      <c r="GP441" s="9"/>
      <c r="GQ441" s="9"/>
      <c r="GR441" s="9"/>
      <c r="GS441" s="9"/>
      <c r="GT441" s="9"/>
      <c r="GU441" s="9"/>
      <c r="GV441" s="9"/>
      <c r="GW441" s="9"/>
      <c r="GX441" s="9"/>
      <c r="GY441" s="9"/>
      <c r="GZ441" s="9"/>
      <c r="HA441" s="9"/>
      <c r="HB441" s="9"/>
      <c r="HC441" s="9"/>
      <c r="HD441" s="9"/>
      <c r="HE441" s="9"/>
      <c r="HF441" s="9"/>
      <c r="HG441" s="9"/>
      <c r="HH441" s="9"/>
      <c r="HI441" s="9"/>
      <c r="HJ441" s="9"/>
      <c r="HK441" s="9"/>
      <c r="HU441" s="101">
        <v>38838</v>
      </c>
      <c r="HW441" s="58"/>
      <c r="IG441" t="s">
        <v>1591</v>
      </c>
      <c r="IH441" s="87" t="s">
        <v>1200</v>
      </c>
      <c r="II441" t="s">
        <v>660</v>
      </c>
      <c r="IJ441" t="s">
        <v>661</v>
      </c>
      <c r="IK441">
        <v>2006</v>
      </c>
      <c r="IM441" s="87" t="s">
        <v>29</v>
      </c>
      <c r="JI441" t="s">
        <v>1591</v>
      </c>
      <c r="JJ441" s="84" t="s">
        <v>227</v>
      </c>
      <c r="JU441" s="8" t="s">
        <v>227</v>
      </c>
      <c r="JV441" s="8" t="s">
        <v>1600</v>
      </c>
      <c r="JW441" t="s">
        <v>13</v>
      </c>
      <c r="JX441">
        <v>40000</v>
      </c>
      <c r="MS441" t="s">
        <v>1607</v>
      </c>
      <c r="MT441">
        <v>120</v>
      </c>
      <c r="MU441" t="s">
        <v>1604</v>
      </c>
      <c r="MW441" t="s">
        <v>1598</v>
      </c>
      <c r="MX441" t="s">
        <v>1602</v>
      </c>
      <c r="MY441" t="s">
        <v>1606</v>
      </c>
      <c r="ND441" t="s">
        <v>1612</v>
      </c>
      <c r="NE441" s="87" t="s">
        <v>1613</v>
      </c>
      <c r="NG441" s="103" t="s">
        <v>266</v>
      </c>
      <c r="NH441" s="102" t="s">
        <v>1550</v>
      </c>
      <c r="NQ441" t="s">
        <v>6</v>
      </c>
      <c r="NR441" s="104">
        <v>31631.05</v>
      </c>
      <c r="NS441" s="87" t="s">
        <v>29</v>
      </c>
      <c r="NT441" s="87" t="s">
        <v>29</v>
      </c>
      <c r="NW441">
        <v>3</v>
      </c>
      <c r="OH441" t="s">
        <v>1605</v>
      </c>
      <c r="OI441" s="87"/>
      <c r="OJ441">
        <v>2006</v>
      </c>
      <c r="OO441" t="s">
        <v>1178</v>
      </c>
      <c r="OP441" s="58">
        <v>46105</v>
      </c>
    </row>
    <row r="442" spans="1:406" ht="15.75" thickBot="1">
      <c r="A442" t="s">
        <v>248</v>
      </c>
      <c r="B442" t="s">
        <v>1580</v>
      </c>
      <c r="C442" t="s">
        <v>1183</v>
      </c>
      <c r="D442" s="4" t="s">
        <v>1955</v>
      </c>
      <c r="E442" t="s">
        <v>1596</v>
      </c>
      <c r="F442" s="100" t="s">
        <v>31</v>
      </c>
      <c r="G442" s="87" t="s">
        <v>2</v>
      </c>
      <c r="H442" s="87" t="s">
        <v>30</v>
      </c>
      <c r="I442">
        <v>7.25</v>
      </c>
      <c r="J442">
        <v>3.4166666669999999</v>
      </c>
      <c r="K442" s="87" t="s">
        <v>29</v>
      </c>
      <c r="AV442" t="s">
        <v>1715</v>
      </c>
      <c r="AW442">
        <v>3240</v>
      </c>
      <c r="AX442">
        <v>1.2E-2</v>
      </c>
      <c r="AY442">
        <v>1</v>
      </c>
      <c r="BA442">
        <v>2006</v>
      </c>
      <c r="BB442">
        <v>2007</v>
      </c>
      <c r="BD442" t="s">
        <v>238</v>
      </c>
      <c r="BE442" t="s">
        <v>1592</v>
      </c>
      <c r="BF442" t="s">
        <v>48</v>
      </c>
      <c r="BG442" s="78" t="s">
        <v>1243</v>
      </c>
      <c r="BH442" t="s">
        <v>1587</v>
      </c>
      <c r="BI442" t="s">
        <v>1599</v>
      </c>
      <c r="BJ442" s="87" t="s">
        <v>22</v>
      </c>
      <c r="BK442">
        <v>1330</v>
      </c>
      <c r="BL442" t="s">
        <v>56</v>
      </c>
      <c r="BM442" t="s">
        <v>1598</v>
      </c>
      <c r="BN442" t="s">
        <v>234</v>
      </c>
      <c r="BO442" s="87" t="s">
        <v>22</v>
      </c>
      <c r="BP442">
        <v>20000</v>
      </c>
      <c r="EH442" s="9"/>
      <c r="EI442" s="9"/>
      <c r="EJ442" s="9"/>
      <c r="EK442" s="9"/>
      <c r="EL442" s="9"/>
      <c r="EM442" s="9"/>
      <c r="EN442" s="9"/>
      <c r="EO442" s="9"/>
      <c r="EP442" s="9"/>
      <c r="EQ442" s="9"/>
      <c r="ER442" s="9"/>
      <c r="ES442" s="9"/>
      <c r="ET442" s="9"/>
      <c r="EU442" s="9"/>
      <c r="EV442" s="9"/>
      <c r="EW442" s="9"/>
      <c r="EX442" s="9"/>
      <c r="EY442" s="9"/>
      <c r="EZ442" s="9"/>
      <c r="FA442" s="9"/>
      <c r="FB442" s="9"/>
      <c r="FC442" s="9"/>
      <c r="FD442" s="9"/>
      <c r="FE442" s="9"/>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c r="GM442" s="9"/>
      <c r="GN442" s="9"/>
      <c r="GO442" s="9"/>
      <c r="GP442" s="9"/>
      <c r="GQ442" s="9"/>
      <c r="GR442" s="9"/>
      <c r="GS442" s="9"/>
      <c r="GT442" s="9"/>
      <c r="GU442" s="9"/>
      <c r="GV442" s="9"/>
      <c r="GW442" s="9"/>
      <c r="GX442" s="9"/>
      <c r="GY442" s="9"/>
      <c r="GZ442" s="9"/>
      <c r="HA442" s="9"/>
      <c r="HB442" s="9"/>
      <c r="HC442" s="9"/>
      <c r="HD442" s="9"/>
      <c r="HE442" s="9"/>
      <c r="HF442" s="9"/>
      <c r="HG442" s="9"/>
      <c r="HH442" s="9"/>
      <c r="HI442" s="9"/>
      <c r="HJ442" s="9"/>
      <c r="HK442" s="9"/>
      <c r="HU442" s="101">
        <v>38838</v>
      </c>
      <c r="HW442" s="58"/>
      <c r="IG442" t="s">
        <v>1592</v>
      </c>
      <c r="IH442" s="87" t="s">
        <v>1200</v>
      </c>
      <c r="II442" t="s">
        <v>660</v>
      </c>
      <c r="IJ442" t="s">
        <v>661</v>
      </c>
      <c r="IK442">
        <v>2006</v>
      </c>
      <c r="IM442" s="87" t="s">
        <v>29</v>
      </c>
      <c r="JI442" t="s">
        <v>1592</v>
      </c>
      <c r="JJ442" s="84" t="s">
        <v>227</v>
      </c>
      <c r="JU442" s="8" t="s">
        <v>227</v>
      </c>
      <c r="JV442" s="8" t="s">
        <v>1600</v>
      </c>
      <c r="JW442" t="s">
        <v>13</v>
      </c>
      <c r="JX442">
        <v>80000</v>
      </c>
      <c r="MS442" t="s">
        <v>1607</v>
      </c>
      <c r="MT442">
        <v>120</v>
      </c>
      <c r="MU442" t="s">
        <v>1604</v>
      </c>
      <c r="MW442" t="s">
        <v>1598</v>
      </c>
      <c r="MX442" t="s">
        <v>1602</v>
      </c>
      <c r="MY442" t="s">
        <v>1606</v>
      </c>
      <c r="ND442" t="s">
        <v>1612</v>
      </c>
      <c r="NE442" s="87" t="s">
        <v>1613</v>
      </c>
      <c r="NG442" s="103" t="s">
        <v>266</v>
      </c>
      <c r="NH442" s="102" t="s">
        <v>1550</v>
      </c>
      <c r="NQ442" t="s">
        <v>6</v>
      </c>
      <c r="NR442" s="104">
        <v>95475.69</v>
      </c>
      <c r="NS442" s="87" t="s">
        <v>29</v>
      </c>
      <c r="NT442" s="87" t="s">
        <v>29</v>
      </c>
      <c r="NW442">
        <v>3</v>
      </c>
      <c r="OH442" t="s">
        <v>1605</v>
      </c>
      <c r="OI442" s="87"/>
      <c r="OJ442">
        <v>2006</v>
      </c>
      <c r="OO442" t="s">
        <v>1178</v>
      </c>
      <c r="OP442" s="58">
        <v>46105</v>
      </c>
    </row>
    <row r="443" spans="1:406" ht="15.75" thickBot="1">
      <c r="A443" t="s">
        <v>248</v>
      </c>
      <c r="B443" t="s">
        <v>1580</v>
      </c>
      <c r="C443" t="s">
        <v>1183</v>
      </c>
      <c r="D443" s="4" t="s">
        <v>1955</v>
      </c>
      <c r="E443" t="s">
        <v>1596</v>
      </c>
      <c r="F443" s="100" t="s">
        <v>31</v>
      </c>
      <c r="G443" s="87" t="s">
        <v>2</v>
      </c>
      <c r="H443" s="87" t="s">
        <v>30</v>
      </c>
      <c r="I443">
        <v>7.25</v>
      </c>
      <c r="J443">
        <v>3.4166666669999999</v>
      </c>
      <c r="K443" s="87" t="s">
        <v>29</v>
      </c>
      <c r="AV443" t="s">
        <v>1715</v>
      </c>
      <c r="AW443">
        <v>3240</v>
      </c>
      <c r="AX443">
        <v>1.2E-2</v>
      </c>
      <c r="AY443">
        <v>1</v>
      </c>
      <c r="BA443">
        <v>2006</v>
      </c>
      <c r="BB443">
        <v>2007</v>
      </c>
      <c r="BD443" t="s">
        <v>238</v>
      </c>
      <c r="BE443" t="s">
        <v>1590</v>
      </c>
      <c r="BF443" t="s">
        <v>64</v>
      </c>
      <c r="BG443" s="78" t="s">
        <v>1243</v>
      </c>
      <c r="BH443" t="s">
        <v>1587</v>
      </c>
      <c r="BI443" t="s">
        <v>1599</v>
      </c>
      <c r="BJ443" s="87" t="s">
        <v>22</v>
      </c>
      <c r="BK443">
        <v>1330</v>
      </c>
      <c r="BL443" t="s">
        <v>56</v>
      </c>
      <c r="BM443" t="s">
        <v>1598</v>
      </c>
      <c r="BN443" t="s">
        <v>234</v>
      </c>
      <c r="BO443" s="87" t="s">
        <v>22</v>
      </c>
      <c r="BP443">
        <v>20000</v>
      </c>
      <c r="EH443" s="9"/>
      <c r="EI443" s="9"/>
      <c r="EJ443" s="9"/>
      <c r="EK443" s="9"/>
      <c r="EL443" s="9"/>
      <c r="EM443" s="9"/>
      <c r="EN443" s="9"/>
      <c r="EO443" s="9"/>
      <c r="EP443" s="9"/>
      <c r="EQ443" s="9"/>
      <c r="ER443" s="9"/>
      <c r="ES443" s="9"/>
      <c r="ET443" s="9"/>
      <c r="EU443" s="9"/>
      <c r="EV443" s="9"/>
      <c r="EW443" s="9"/>
      <c r="EX443" s="9"/>
      <c r="EY443" s="9"/>
      <c r="EZ443" s="9"/>
      <c r="FA443" s="9"/>
      <c r="FB443" s="9"/>
      <c r="FC443" s="9"/>
      <c r="FD443" s="9"/>
      <c r="FE443" s="9"/>
      <c r="FF443" s="9"/>
      <c r="FG443" s="9"/>
      <c r="FH443" s="9"/>
      <c r="FI443" s="9"/>
      <c r="FJ443" s="9"/>
      <c r="FK443" s="9"/>
      <c r="FL443" s="9"/>
      <c r="FM443" s="9"/>
      <c r="FN443" s="9"/>
      <c r="FO443" s="9"/>
      <c r="FP443" s="9"/>
      <c r="FQ443" s="9"/>
      <c r="FR443" s="9"/>
      <c r="FS443" s="9"/>
      <c r="FT443" s="9"/>
      <c r="FU443" s="9"/>
      <c r="FV443" s="9"/>
      <c r="FW443" s="9"/>
      <c r="FX443" s="9"/>
      <c r="FY443" s="9"/>
      <c r="FZ443" s="9"/>
      <c r="GA443" s="9"/>
      <c r="GB443" s="9"/>
      <c r="GC443" s="9"/>
      <c r="GD443" s="9"/>
      <c r="GE443" s="9"/>
      <c r="GF443" s="9"/>
      <c r="GG443" s="9"/>
      <c r="GH443" s="9"/>
      <c r="GI443" s="9"/>
      <c r="GJ443" s="9"/>
      <c r="GK443" s="9"/>
      <c r="GL443" s="9"/>
      <c r="GM443" s="9"/>
      <c r="GN443" s="9"/>
      <c r="GO443" s="9"/>
      <c r="GP443" s="9"/>
      <c r="GQ443" s="9"/>
      <c r="GR443" s="9"/>
      <c r="GS443" s="9"/>
      <c r="GT443" s="9"/>
      <c r="GU443" s="9"/>
      <c r="GV443" s="9"/>
      <c r="GW443" s="9"/>
      <c r="GX443" s="9"/>
      <c r="GY443" s="9"/>
      <c r="GZ443" s="9"/>
      <c r="HA443" s="9"/>
      <c r="HB443" s="9"/>
      <c r="HC443" s="9"/>
      <c r="HD443" s="9"/>
      <c r="HE443" s="9"/>
      <c r="HF443" s="9"/>
      <c r="HG443" s="9"/>
      <c r="HH443" s="9"/>
      <c r="HI443" s="9"/>
      <c r="HJ443" s="9"/>
      <c r="HK443" s="9"/>
      <c r="HU443" s="101">
        <v>38838</v>
      </c>
      <c r="HW443" s="58"/>
      <c r="IG443" t="s">
        <v>1590</v>
      </c>
      <c r="IH443" s="87" t="s">
        <v>1200</v>
      </c>
      <c r="II443" t="s">
        <v>660</v>
      </c>
      <c r="IJ443" t="s">
        <v>661</v>
      </c>
      <c r="IK443">
        <v>2006</v>
      </c>
      <c r="IM443" s="87" t="s">
        <v>29</v>
      </c>
      <c r="JI443" t="s">
        <v>1590</v>
      </c>
      <c r="JJ443" s="84" t="s">
        <v>721</v>
      </c>
      <c r="MS443" t="s">
        <v>1607</v>
      </c>
      <c r="MT443">
        <v>120</v>
      </c>
      <c r="MU443" t="s">
        <v>1604</v>
      </c>
      <c r="MW443" t="s">
        <v>1598</v>
      </c>
      <c r="MX443" t="s">
        <v>1602</v>
      </c>
      <c r="MY443" t="s">
        <v>1606</v>
      </c>
      <c r="ND443" t="s">
        <v>1611</v>
      </c>
      <c r="NE443" s="87" t="s">
        <v>1613</v>
      </c>
      <c r="NG443" s="103" t="s">
        <v>266</v>
      </c>
      <c r="NH443" s="102" t="s">
        <v>1550</v>
      </c>
      <c r="NQ443" t="s">
        <v>6</v>
      </c>
      <c r="NR443" s="104">
        <v>497768.65</v>
      </c>
      <c r="NS443" s="87" t="s">
        <v>29</v>
      </c>
      <c r="NT443" s="87" t="s">
        <v>29</v>
      </c>
      <c r="NW443">
        <v>3</v>
      </c>
      <c r="OH443" t="s">
        <v>1593</v>
      </c>
      <c r="OI443" s="87"/>
      <c r="OJ443">
        <v>2007</v>
      </c>
      <c r="OO443" t="s">
        <v>1178</v>
      </c>
      <c r="OP443" s="58">
        <v>46105</v>
      </c>
    </row>
    <row r="444" spans="1:406" ht="15.75" thickBot="1">
      <c r="A444" t="s">
        <v>248</v>
      </c>
      <c r="B444" t="s">
        <v>1580</v>
      </c>
      <c r="C444" t="s">
        <v>1183</v>
      </c>
      <c r="D444" s="4" t="s">
        <v>1955</v>
      </c>
      <c r="E444" t="s">
        <v>1596</v>
      </c>
      <c r="F444" s="100" t="s">
        <v>31</v>
      </c>
      <c r="G444" s="87" t="s">
        <v>2</v>
      </c>
      <c r="H444" s="87" t="s">
        <v>30</v>
      </c>
      <c r="I444">
        <v>7.25</v>
      </c>
      <c r="J444">
        <v>3.4166666669999999</v>
      </c>
      <c r="K444" s="87" t="s">
        <v>29</v>
      </c>
      <c r="AV444" t="s">
        <v>1715</v>
      </c>
      <c r="AW444">
        <v>3240</v>
      </c>
      <c r="AX444">
        <v>1.2E-2</v>
      </c>
      <c r="AY444">
        <v>1</v>
      </c>
      <c r="BA444">
        <v>2006</v>
      </c>
      <c r="BB444">
        <v>2007</v>
      </c>
      <c r="BD444" t="s">
        <v>19</v>
      </c>
      <c r="BE444" t="s">
        <v>1586</v>
      </c>
      <c r="BF444" t="s">
        <v>39</v>
      </c>
      <c r="BG444" s="78" t="s">
        <v>1243</v>
      </c>
      <c r="BH444" t="s">
        <v>1587</v>
      </c>
      <c r="BI444" t="s">
        <v>1599</v>
      </c>
      <c r="BJ444" s="87" t="s">
        <v>22</v>
      </c>
      <c r="BK444">
        <v>1330</v>
      </c>
      <c r="EH444" s="9"/>
      <c r="EI444" s="9"/>
      <c r="EJ444" s="9"/>
      <c r="EK444" s="9"/>
      <c r="EL444" s="9"/>
      <c r="EM444" s="9"/>
      <c r="EN444" s="9"/>
      <c r="EO444" s="9"/>
      <c r="EP444" s="9"/>
      <c r="EQ444" s="9"/>
      <c r="ER444" s="9"/>
      <c r="ES444" s="9"/>
      <c r="ET444" s="9"/>
      <c r="EU444" s="9"/>
      <c r="EV444" s="9"/>
      <c r="EW444" s="9"/>
      <c r="EX444" s="9"/>
      <c r="EY444" s="9"/>
      <c r="EZ444" s="9"/>
      <c r="FA444" s="9"/>
      <c r="FB444" s="9"/>
      <c r="FC444" s="9"/>
      <c r="FD444" s="9"/>
      <c r="FE444" s="9"/>
      <c r="FF444" s="9"/>
      <c r="FG444" s="9"/>
      <c r="FH444" s="9"/>
      <c r="FI444" s="9"/>
      <c r="FJ444" s="9"/>
      <c r="FK444" s="9"/>
      <c r="FL444" s="9"/>
      <c r="FM444" s="9"/>
      <c r="FN444" s="9"/>
      <c r="FO444" s="9"/>
      <c r="FP444" s="9"/>
      <c r="FQ444" s="9"/>
      <c r="FR444" s="9"/>
      <c r="FS444" s="9"/>
      <c r="FT444" s="9"/>
      <c r="FU444" s="9"/>
      <c r="FV444" s="9"/>
      <c r="FW444" s="9"/>
      <c r="FX444" s="9"/>
      <c r="FY444" s="9"/>
      <c r="FZ444" s="9"/>
      <c r="GA444" s="9"/>
      <c r="GB444" s="9"/>
      <c r="GC444" s="9"/>
      <c r="GD444" s="9"/>
      <c r="GE444" s="9"/>
      <c r="GF444" s="9"/>
      <c r="GG444" s="9"/>
      <c r="GH444" s="9"/>
      <c r="GI444" s="9"/>
      <c r="GJ444" s="9"/>
      <c r="GK444" s="9"/>
      <c r="GL444" s="9"/>
      <c r="GM444" s="9"/>
      <c r="GN444" s="9"/>
      <c r="GO444" s="9"/>
      <c r="GP444" s="9"/>
      <c r="GQ444" s="9"/>
      <c r="GR444" s="9"/>
      <c r="GS444" s="9"/>
      <c r="GT444" s="9"/>
      <c r="GU444" s="9"/>
      <c r="GV444" s="9"/>
      <c r="GW444" s="9"/>
      <c r="GX444" s="9"/>
      <c r="GY444" s="9"/>
      <c r="GZ444" s="9"/>
      <c r="HA444" s="9"/>
      <c r="HB444" s="9"/>
      <c r="HC444" s="9"/>
      <c r="HD444" s="9"/>
      <c r="HE444" s="9"/>
      <c r="HF444" s="9"/>
      <c r="HG444" s="9"/>
      <c r="HH444" s="9"/>
      <c r="HI444" s="9"/>
      <c r="HJ444" s="9"/>
      <c r="HK444" s="9"/>
      <c r="HU444" s="101">
        <v>38838</v>
      </c>
      <c r="HW444" s="58"/>
      <c r="IG444" t="s">
        <v>1586</v>
      </c>
      <c r="IH444" t="s">
        <v>19</v>
      </c>
      <c r="IM444" s="87"/>
      <c r="JI444" t="s">
        <v>1586</v>
      </c>
      <c r="JJ444" s="84" t="s">
        <v>721</v>
      </c>
      <c r="MS444" t="s">
        <v>1607</v>
      </c>
      <c r="MT444">
        <v>120</v>
      </c>
      <c r="MU444" t="s">
        <v>1603</v>
      </c>
      <c r="MW444" t="s">
        <v>1602</v>
      </c>
      <c r="MX444" t="s">
        <v>1606</v>
      </c>
      <c r="ND444" t="s">
        <v>1611</v>
      </c>
      <c r="NE444" s="87" t="s">
        <v>1613</v>
      </c>
      <c r="NG444" s="103" t="s">
        <v>266</v>
      </c>
      <c r="NH444" s="102" t="s">
        <v>1550</v>
      </c>
      <c r="NP444" t="s">
        <v>64</v>
      </c>
      <c r="NQ444" t="s">
        <v>6</v>
      </c>
      <c r="NR444" s="104">
        <v>437788.04</v>
      </c>
      <c r="NS444" s="87" t="s">
        <v>29</v>
      </c>
      <c r="NT444" s="87" t="s">
        <v>29</v>
      </c>
      <c r="NW444">
        <v>3</v>
      </c>
      <c r="OH444" t="s">
        <v>1593</v>
      </c>
      <c r="OI444" s="87"/>
      <c r="OJ444">
        <v>2007</v>
      </c>
      <c r="OO444" t="s">
        <v>1178</v>
      </c>
      <c r="OP444" s="58">
        <v>46105</v>
      </c>
    </row>
    <row r="445" spans="1:406" ht="15.75" thickBot="1">
      <c r="A445" t="s">
        <v>248</v>
      </c>
      <c r="B445" t="s">
        <v>1580</v>
      </c>
      <c r="C445" t="s">
        <v>1183</v>
      </c>
      <c r="D445" s="4" t="s">
        <v>1955</v>
      </c>
      <c r="E445" t="s">
        <v>1596</v>
      </c>
      <c r="F445" s="100" t="s">
        <v>31</v>
      </c>
      <c r="G445" s="87" t="s">
        <v>2</v>
      </c>
      <c r="H445" s="87" t="s">
        <v>30</v>
      </c>
      <c r="I445">
        <v>7.25</v>
      </c>
      <c r="J445">
        <v>3.4166666669999999</v>
      </c>
      <c r="K445" s="87" t="s">
        <v>29</v>
      </c>
      <c r="AV445" t="s">
        <v>1715</v>
      </c>
      <c r="AW445">
        <v>3240</v>
      </c>
      <c r="AX445">
        <v>1.2E-2</v>
      </c>
      <c r="AY445">
        <v>1</v>
      </c>
      <c r="BA445">
        <v>2006</v>
      </c>
      <c r="BB445">
        <v>2007</v>
      </c>
      <c r="BD445" t="s">
        <v>19</v>
      </c>
      <c r="BE445" t="s">
        <v>1585</v>
      </c>
      <c r="BF445" t="s">
        <v>24</v>
      </c>
      <c r="BG445" s="78" t="s">
        <v>1243</v>
      </c>
      <c r="BH445" t="s">
        <v>1598</v>
      </c>
      <c r="BI445" t="s">
        <v>838</v>
      </c>
      <c r="BJ445" s="87" t="s">
        <v>22</v>
      </c>
      <c r="BK445">
        <v>20000</v>
      </c>
      <c r="EH445" s="9"/>
      <c r="EI445" s="9"/>
      <c r="EJ445" s="9"/>
      <c r="EK445" s="9"/>
      <c r="EL445" s="9"/>
      <c r="EM445" s="9"/>
      <c r="EN445" s="9"/>
      <c r="EO445" s="9"/>
      <c r="EP445" s="9"/>
      <c r="EQ445" s="9"/>
      <c r="ER445" s="9"/>
      <c r="ES445" s="9"/>
      <c r="ET445" s="9"/>
      <c r="EU445" s="9"/>
      <c r="EV445" s="9"/>
      <c r="EW445" s="9"/>
      <c r="EX445" s="9"/>
      <c r="EY445" s="9"/>
      <c r="EZ445" s="9"/>
      <c r="FA445" s="9"/>
      <c r="FB445" s="9"/>
      <c r="FC445" s="9"/>
      <c r="FD445" s="9"/>
      <c r="FE445" s="9"/>
      <c r="FF445" s="9"/>
      <c r="FG445" s="9"/>
      <c r="FH445" s="9"/>
      <c r="FI445" s="9"/>
      <c r="FJ445" s="9"/>
      <c r="FK445" s="9"/>
      <c r="FL445" s="9"/>
      <c r="FM445" s="9"/>
      <c r="FN445" s="9"/>
      <c r="FO445" s="9"/>
      <c r="FP445" s="9"/>
      <c r="FQ445" s="9"/>
      <c r="FR445" s="9"/>
      <c r="FS445" s="9"/>
      <c r="FT445" s="9"/>
      <c r="FU445" s="9"/>
      <c r="FV445" s="9"/>
      <c r="FW445" s="9"/>
      <c r="FX445" s="9"/>
      <c r="FY445" s="9"/>
      <c r="FZ445" s="9"/>
      <c r="GA445" s="9"/>
      <c r="GB445" s="9"/>
      <c r="GC445" s="9"/>
      <c r="GD445" s="9"/>
      <c r="GE445" s="9"/>
      <c r="GF445" s="9"/>
      <c r="GG445" s="9"/>
      <c r="GH445" s="9"/>
      <c r="GI445" s="9"/>
      <c r="GJ445" s="9"/>
      <c r="GK445" s="9"/>
      <c r="GL445" s="9"/>
      <c r="GM445" s="9"/>
      <c r="GN445" s="9"/>
      <c r="GO445" s="9"/>
      <c r="GP445" s="9"/>
      <c r="GQ445" s="9"/>
      <c r="GR445" s="9"/>
      <c r="GS445" s="9"/>
      <c r="GT445" s="9"/>
      <c r="GU445" s="9"/>
      <c r="GV445" s="9"/>
      <c r="GW445" s="9"/>
      <c r="GX445" s="9"/>
      <c r="GY445" s="9"/>
      <c r="GZ445" s="9"/>
      <c r="HA445" s="9"/>
      <c r="HB445" s="9"/>
      <c r="HC445" s="9"/>
      <c r="HD445" s="9"/>
      <c r="HE445" s="9"/>
      <c r="HF445" s="9"/>
      <c r="HG445" s="9"/>
      <c r="HH445" s="9"/>
      <c r="HI445" s="9"/>
      <c r="HJ445" s="9"/>
      <c r="HK445" s="9"/>
      <c r="HU445" s="101">
        <v>38838</v>
      </c>
      <c r="HW445" s="58"/>
      <c r="IG445" t="s">
        <v>1585</v>
      </c>
      <c r="IH445" t="s">
        <v>19</v>
      </c>
      <c r="IM445" s="87"/>
      <c r="JI445" t="s">
        <v>1585</v>
      </c>
      <c r="JJ445" s="84" t="s">
        <v>721</v>
      </c>
      <c r="MS445" t="s">
        <v>1607</v>
      </c>
      <c r="MT445">
        <v>120</v>
      </c>
      <c r="MU445" t="s">
        <v>1583</v>
      </c>
      <c r="MW445" t="s">
        <v>1598</v>
      </c>
      <c r="ND445" t="s">
        <v>1611</v>
      </c>
      <c r="NE445" s="87" t="s">
        <v>1613</v>
      </c>
      <c r="NG445" s="103" t="s">
        <v>266</v>
      </c>
      <c r="NH445" s="102" t="s">
        <v>1550</v>
      </c>
      <c r="NP445" t="s">
        <v>64</v>
      </c>
      <c r="NQ445" t="s">
        <v>6</v>
      </c>
      <c r="NR445" s="104">
        <v>72968.42</v>
      </c>
      <c r="NS445" s="87" t="s">
        <v>29</v>
      </c>
      <c r="NT445" s="87" t="s">
        <v>29</v>
      </c>
      <c r="NW445">
        <v>3</v>
      </c>
      <c r="OH445" t="s">
        <v>1593</v>
      </c>
      <c r="OI445" s="87"/>
      <c r="OJ445">
        <v>2007</v>
      </c>
      <c r="OO445" t="s">
        <v>1178</v>
      </c>
      <c r="OP445" s="58">
        <v>46105</v>
      </c>
    </row>
    <row r="446" spans="1:406" ht="15.75" thickBot="1">
      <c r="A446" t="s">
        <v>248</v>
      </c>
      <c r="B446" t="s">
        <v>1580</v>
      </c>
      <c r="C446" t="s">
        <v>1183</v>
      </c>
      <c r="D446" s="4" t="s">
        <v>1955</v>
      </c>
      <c r="E446" t="s">
        <v>1596</v>
      </c>
      <c r="F446" s="100" t="s">
        <v>31</v>
      </c>
      <c r="G446" s="87" t="s">
        <v>2</v>
      </c>
      <c r="H446" s="87" t="s">
        <v>30</v>
      </c>
      <c r="I446">
        <v>7.25</v>
      </c>
      <c r="J446">
        <v>3.4166666669999999</v>
      </c>
      <c r="K446" s="87" t="s">
        <v>29</v>
      </c>
      <c r="AV446" t="s">
        <v>1715</v>
      </c>
      <c r="AW446">
        <v>3240</v>
      </c>
      <c r="AX446">
        <v>1.2E-2</v>
      </c>
      <c r="AY446">
        <v>1</v>
      </c>
      <c r="BA446">
        <v>2006</v>
      </c>
      <c r="BB446">
        <v>2007</v>
      </c>
      <c r="BD446" t="s">
        <v>19</v>
      </c>
      <c r="BE446" t="s">
        <v>1581</v>
      </c>
      <c r="BF446" t="s">
        <v>299</v>
      </c>
      <c r="BG446" s="78" t="s">
        <v>1243</v>
      </c>
      <c r="BH446" t="s">
        <v>1598</v>
      </c>
      <c r="BI446" t="s">
        <v>234</v>
      </c>
      <c r="BJ446" s="87" t="s">
        <v>22</v>
      </c>
      <c r="BK446">
        <v>20000</v>
      </c>
      <c r="EH446" s="9"/>
      <c r="EI446" s="9"/>
      <c r="EJ446" s="9"/>
      <c r="EK446" s="9"/>
      <c r="EL446" s="9"/>
      <c r="EM446" s="9"/>
      <c r="EN446" s="9"/>
      <c r="EO446" s="9"/>
      <c r="EP446" s="9"/>
      <c r="EQ446" s="9"/>
      <c r="ER446" s="9"/>
      <c r="ES446" s="9"/>
      <c r="ET446" s="9"/>
      <c r="EU446" s="9"/>
      <c r="EV446" s="9"/>
      <c r="EW446" s="9"/>
      <c r="EX446" s="9"/>
      <c r="EY446" s="9"/>
      <c r="EZ446" s="9"/>
      <c r="FA446" s="9"/>
      <c r="FB446" s="9"/>
      <c r="FC446" s="9"/>
      <c r="FD446" s="9"/>
      <c r="FE446" s="9"/>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c r="GM446" s="9"/>
      <c r="GN446" s="9"/>
      <c r="GO446" s="9"/>
      <c r="GP446" s="9"/>
      <c r="GQ446" s="9"/>
      <c r="GR446" s="9"/>
      <c r="GS446" s="9"/>
      <c r="GT446" s="9"/>
      <c r="GU446" s="9"/>
      <c r="GV446" s="9"/>
      <c r="GW446" s="9"/>
      <c r="GX446" s="9"/>
      <c r="GY446" s="9"/>
      <c r="GZ446" s="9"/>
      <c r="HA446" s="9"/>
      <c r="HB446" s="9"/>
      <c r="HC446" s="9"/>
      <c r="HD446" s="9"/>
      <c r="HE446" s="9"/>
      <c r="HF446" s="9"/>
      <c r="HG446" s="9"/>
      <c r="HH446" s="9"/>
      <c r="HI446" s="9"/>
      <c r="HJ446" s="9"/>
      <c r="HK446" s="9"/>
      <c r="HU446" s="101">
        <v>38838</v>
      </c>
      <c r="HW446" s="58"/>
      <c r="IG446" t="s">
        <v>1581</v>
      </c>
      <c r="IH446" t="s">
        <v>19</v>
      </c>
      <c r="JI446" t="s">
        <v>1581</v>
      </c>
      <c r="JJ446" s="84" t="s">
        <v>227</v>
      </c>
      <c r="JU446" s="8" t="s">
        <v>227</v>
      </c>
      <c r="JV446" s="8" t="s">
        <v>1600</v>
      </c>
      <c r="JW446" t="s">
        <v>13</v>
      </c>
      <c r="JX446">
        <v>40000</v>
      </c>
      <c r="MS446" t="s">
        <v>1607</v>
      </c>
      <c r="MT446">
        <v>120</v>
      </c>
      <c r="MU446" t="s">
        <v>1583</v>
      </c>
      <c r="MW446" t="s">
        <v>1598</v>
      </c>
      <c r="ND446" t="s">
        <v>1612</v>
      </c>
      <c r="NE446" s="87" t="s">
        <v>1613</v>
      </c>
      <c r="NG446" s="103" t="s">
        <v>266</v>
      </c>
      <c r="NH446" s="102" t="s">
        <v>1550</v>
      </c>
      <c r="NP446" t="s">
        <v>57</v>
      </c>
      <c r="NQ446" t="s">
        <v>6</v>
      </c>
      <c r="NR446" s="104">
        <v>10480.81</v>
      </c>
      <c r="NS446" s="87" t="s">
        <v>29</v>
      </c>
      <c r="NT446" s="87" t="s">
        <v>29</v>
      </c>
      <c r="NW446">
        <v>3</v>
      </c>
      <c r="OH446" t="s">
        <v>1594</v>
      </c>
      <c r="OI446" s="87"/>
      <c r="OJ446">
        <v>2007</v>
      </c>
      <c r="OO446" t="s">
        <v>1178</v>
      </c>
      <c r="OP446" s="58">
        <v>46105</v>
      </c>
    </row>
    <row r="447" spans="1:406" ht="15.75" thickBot="1">
      <c r="A447" t="s">
        <v>248</v>
      </c>
      <c r="B447" t="s">
        <v>1580</v>
      </c>
      <c r="C447" t="s">
        <v>1183</v>
      </c>
      <c r="D447" s="4" t="s">
        <v>1955</v>
      </c>
      <c r="E447" t="s">
        <v>1596</v>
      </c>
      <c r="F447" s="100" t="s">
        <v>31</v>
      </c>
      <c r="G447" s="87" t="s">
        <v>2</v>
      </c>
      <c r="H447" s="87" t="s">
        <v>30</v>
      </c>
      <c r="I447">
        <v>7.25</v>
      </c>
      <c r="J447">
        <v>3.4166666669999999</v>
      </c>
      <c r="K447" s="87" t="s">
        <v>29</v>
      </c>
      <c r="AV447" t="s">
        <v>1715</v>
      </c>
      <c r="AW447">
        <v>3240</v>
      </c>
      <c r="AX447">
        <v>1.2E-2</v>
      </c>
      <c r="AY447">
        <v>1</v>
      </c>
      <c r="BA447">
        <v>2006</v>
      </c>
      <c r="BB447">
        <v>2007</v>
      </c>
      <c r="BD447" t="s">
        <v>19</v>
      </c>
      <c r="BE447" t="s">
        <v>1584</v>
      </c>
      <c r="BF447" t="s">
        <v>256</v>
      </c>
      <c r="BG447" s="78" t="s">
        <v>1243</v>
      </c>
      <c r="BH447" t="s">
        <v>1598</v>
      </c>
      <c r="BI447" t="s">
        <v>234</v>
      </c>
      <c r="BJ447" s="87" t="s">
        <v>22</v>
      </c>
      <c r="BK447">
        <v>20000</v>
      </c>
      <c r="EH447" s="9"/>
      <c r="EI447" s="9"/>
      <c r="EJ447" s="9"/>
      <c r="EK447" s="9"/>
      <c r="EL447" s="9"/>
      <c r="EM447" s="9"/>
      <c r="EN447" s="9"/>
      <c r="EO447" s="9"/>
      <c r="EP447" s="9"/>
      <c r="EQ447" s="9"/>
      <c r="ER447" s="9"/>
      <c r="ES447" s="9"/>
      <c r="ET447" s="9"/>
      <c r="EU447" s="9"/>
      <c r="EV447" s="9"/>
      <c r="EW447" s="9"/>
      <c r="EX447" s="9"/>
      <c r="EY447" s="9"/>
      <c r="EZ447" s="9"/>
      <c r="FA447" s="9"/>
      <c r="FB447" s="9"/>
      <c r="FC447" s="9"/>
      <c r="FD447" s="9"/>
      <c r="FE447" s="9"/>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c r="GM447" s="9"/>
      <c r="GN447" s="9"/>
      <c r="GO447" s="9"/>
      <c r="GP447" s="9"/>
      <c r="GQ447" s="9"/>
      <c r="GR447" s="9"/>
      <c r="GS447" s="9"/>
      <c r="GT447" s="9"/>
      <c r="GU447" s="9"/>
      <c r="GV447" s="9"/>
      <c r="GW447" s="9"/>
      <c r="GX447" s="9"/>
      <c r="GY447" s="9"/>
      <c r="GZ447" s="9"/>
      <c r="HA447" s="9"/>
      <c r="HB447" s="9"/>
      <c r="HC447" s="9"/>
      <c r="HD447" s="9"/>
      <c r="HE447" s="9"/>
      <c r="HF447" s="9"/>
      <c r="HG447" s="9"/>
      <c r="HH447" s="9"/>
      <c r="HI447" s="9"/>
      <c r="HJ447" s="9"/>
      <c r="HK447" s="9"/>
      <c r="HU447" s="101">
        <v>38838</v>
      </c>
      <c r="HW447" s="58"/>
      <c r="IG447" t="s">
        <v>1584</v>
      </c>
      <c r="IH447" t="s">
        <v>19</v>
      </c>
      <c r="JI447" t="s">
        <v>1584</v>
      </c>
      <c r="JJ447" s="84" t="s">
        <v>227</v>
      </c>
      <c r="JU447" s="8" t="s">
        <v>227</v>
      </c>
      <c r="JV447" s="8" t="s">
        <v>1600</v>
      </c>
      <c r="JW447" t="s">
        <v>13</v>
      </c>
      <c r="JX447">
        <v>80000</v>
      </c>
      <c r="MS447" t="s">
        <v>1607</v>
      </c>
      <c r="MT447">
        <v>120</v>
      </c>
      <c r="MU447" t="s">
        <v>1583</v>
      </c>
      <c r="MW447" t="s">
        <v>1598</v>
      </c>
      <c r="ND447" t="s">
        <v>1612</v>
      </c>
      <c r="NE447" s="87" t="s">
        <v>1613</v>
      </c>
      <c r="NG447" s="103" t="s">
        <v>266</v>
      </c>
      <c r="NH447" s="102" t="s">
        <v>1550</v>
      </c>
      <c r="NP447" t="s">
        <v>48</v>
      </c>
      <c r="NQ447" t="s">
        <v>6</v>
      </c>
      <c r="NR447" s="104">
        <v>150395.88</v>
      </c>
      <c r="NS447" s="87" t="s">
        <v>29</v>
      </c>
      <c r="NT447" s="87" t="s">
        <v>29</v>
      </c>
      <c r="NW447">
        <v>3</v>
      </c>
      <c r="OH447" t="s">
        <v>1594</v>
      </c>
      <c r="OI447" s="87"/>
      <c r="OJ447">
        <v>2007</v>
      </c>
      <c r="OO447" t="s">
        <v>1178</v>
      </c>
      <c r="OP447" s="58">
        <v>46105</v>
      </c>
    </row>
    <row r="448" spans="1:406" ht="15.75" thickBot="1">
      <c r="A448" t="s">
        <v>248</v>
      </c>
      <c r="B448" t="s">
        <v>1580</v>
      </c>
      <c r="C448" t="s">
        <v>1183</v>
      </c>
      <c r="D448" s="4" t="s">
        <v>1955</v>
      </c>
      <c r="E448" t="s">
        <v>1596</v>
      </c>
      <c r="F448" s="100" t="s">
        <v>31</v>
      </c>
      <c r="G448" s="87" t="s">
        <v>2</v>
      </c>
      <c r="H448" s="87" t="s">
        <v>30</v>
      </c>
      <c r="I448">
        <v>7.25</v>
      </c>
      <c r="J448">
        <v>3.4166666669999999</v>
      </c>
      <c r="K448" s="87" t="s">
        <v>29</v>
      </c>
      <c r="AV448" t="s">
        <v>1715</v>
      </c>
      <c r="AW448">
        <v>3240</v>
      </c>
      <c r="AX448">
        <v>1.2E-2</v>
      </c>
      <c r="AY448">
        <v>1</v>
      </c>
      <c r="BA448">
        <v>2006</v>
      </c>
      <c r="BB448">
        <v>2007</v>
      </c>
      <c r="BD448" t="s">
        <v>19</v>
      </c>
      <c r="BE448" t="s">
        <v>1588</v>
      </c>
      <c r="BF448" t="s">
        <v>1467</v>
      </c>
      <c r="BG448" s="78" t="s">
        <v>1243</v>
      </c>
      <c r="BH448" t="s">
        <v>1587</v>
      </c>
      <c r="BI448" t="s">
        <v>1599</v>
      </c>
      <c r="BJ448" s="87" t="s">
        <v>22</v>
      </c>
      <c r="BK448">
        <v>1330</v>
      </c>
      <c r="EH448" s="9"/>
      <c r="EI448" s="9"/>
      <c r="EJ448" s="9"/>
      <c r="EK448" s="9"/>
      <c r="EL448" s="9"/>
      <c r="EM448" s="9"/>
      <c r="EN448" s="9"/>
      <c r="EO448" s="9"/>
      <c r="EP448" s="9"/>
      <c r="EQ448" s="9"/>
      <c r="ER448" s="9"/>
      <c r="ES448" s="9"/>
      <c r="ET448" s="9"/>
      <c r="EU448" s="9"/>
      <c r="EV448" s="9"/>
      <c r="EW448" s="9"/>
      <c r="EX448" s="9"/>
      <c r="EY448" s="9"/>
      <c r="EZ448" s="9"/>
      <c r="FA448" s="9"/>
      <c r="FB448" s="9"/>
      <c r="FC448" s="9"/>
      <c r="FD448" s="9"/>
      <c r="FE448" s="9"/>
      <c r="FF448" s="9"/>
      <c r="FG448" s="9"/>
      <c r="FH448" s="9"/>
      <c r="FI448" s="9"/>
      <c r="FJ448" s="9"/>
      <c r="FK448" s="9"/>
      <c r="FL448" s="9"/>
      <c r="FM448" s="9"/>
      <c r="FN448" s="9"/>
      <c r="FO448" s="9"/>
      <c r="FP448" s="9"/>
      <c r="FQ448" s="9"/>
      <c r="FR448" s="9"/>
      <c r="FS448" s="9"/>
      <c r="FT448" s="9"/>
      <c r="FU448" s="9"/>
      <c r="FV448" s="9"/>
      <c r="FW448" s="9"/>
      <c r="FX448" s="9"/>
      <c r="FY448" s="9"/>
      <c r="FZ448" s="9"/>
      <c r="GA448" s="9"/>
      <c r="GB448" s="9"/>
      <c r="GC448" s="9"/>
      <c r="GD448" s="9"/>
      <c r="GE448" s="9"/>
      <c r="GF448" s="9"/>
      <c r="GG448" s="9"/>
      <c r="GH448" s="9"/>
      <c r="GI448" s="9"/>
      <c r="GJ448" s="9"/>
      <c r="GK448" s="9"/>
      <c r="GL448" s="9"/>
      <c r="GM448" s="9"/>
      <c r="GN448" s="9"/>
      <c r="GO448" s="9"/>
      <c r="GP448" s="9"/>
      <c r="GQ448" s="9"/>
      <c r="GR448" s="9"/>
      <c r="GS448" s="9"/>
      <c r="GT448" s="9"/>
      <c r="GU448" s="9"/>
      <c r="GV448" s="9"/>
      <c r="GW448" s="9"/>
      <c r="GX448" s="9"/>
      <c r="GY448" s="9"/>
      <c r="GZ448" s="9"/>
      <c r="HA448" s="9"/>
      <c r="HB448" s="9"/>
      <c r="HC448" s="9"/>
      <c r="HD448" s="9"/>
      <c r="HE448" s="9"/>
      <c r="HF448" s="9"/>
      <c r="HG448" s="9"/>
      <c r="HH448" s="9"/>
      <c r="HI448" s="9"/>
      <c r="HJ448" s="9"/>
      <c r="HK448" s="9"/>
      <c r="HU448" s="101">
        <v>38838</v>
      </c>
      <c r="HW448" s="58"/>
      <c r="IG448" t="s">
        <v>1588</v>
      </c>
      <c r="IH448" t="s">
        <v>19</v>
      </c>
      <c r="JI448" t="s">
        <v>1588</v>
      </c>
      <c r="JJ448" s="84" t="s">
        <v>227</v>
      </c>
      <c r="JU448" s="8" t="s">
        <v>227</v>
      </c>
      <c r="JV448" s="8" t="s">
        <v>1600</v>
      </c>
      <c r="JW448" t="s">
        <v>13</v>
      </c>
      <c r="JX448">
        <v>40000</v>
      </c>
      <c r="MS448" t="s">
        <v>1607</v>
      </c>
      <c r="MT448">
        <v>120</v>
      </c>
      <c r="MU448" t="s">
        <v>1603</v>
      </c>
      <c r="MW448" t="s">
        <v>1602</v>
      </c>
      <c r="MX448" t="s">
        <v>1606</v>
      </c>
      <c r="ND448" t="s">
        <v>1612</v>
      </c>
      <c r="NE448" s="87" t="s">
        <v>1613</v>
      </c>
      <c r="NG448" s="103" t="s">
        <v>266</v>
      </c>
      <c r="NH448" s="102" t="s">
        <v>1550</v>
      </c>
      <c r="NP448" t="s">
        <v>57</v>
      </c>
      <c r="NQ448" t="s">
        <v>6</v>
      </c>
      <c r="NR448" s="104">
        <v>634752.39</v>
      </c>
      <c r="NS448" s="87" t="s">
        <v>29</v>
      </c>
      <c r="NT448" s="87" t="s">
        <v>29</v>
      </c>
      <c r="NW448">
        <v>3</v>
      </c>
      <c r="OH448" t="s">
        <v>1595</v>
      </c>
      <c r="OI448" s="87"/>
      <c r="OJ448">
        <v>2007</v>
      </c>
      <c r="OO448" t="s">
        <v>1178</v>
      </c>
      <c r="OP448" s="58">
        <v>46105</v>
      </c>
    </row>
    <row r="449" spans="1:406" ht="15.75" thickBot="1">
      <c r="A449" t="s">
        <v>248</v>
      </c>
      <c r="B449" t="s">
        <v>1580</v>
      </c>
      <c r="C449" t="s">
        <v>1183</v>
      </c>
      <c r="D449" s="4" t="s">
        <v>1955</v>
      </c>
      <c r="E449" t="s">
        <v>1596</v>
      </c>
      <c r="F449" s="100" t="s">
        <v>31</v>
      </c>
      <c r="G449" s="87" t="s">
        <v>2</v>
      </c>
      <c r="H449" s="87" t="s">
        <v>30</v>
      </c>
      <c r="I449">
        <v>7.25</v>
      </c>
      <c r="J449">
        <v>3.4166666669999999</v>
      </c>
      <c r="K449" s="87" t="s">
        <v>29</v>
      </c>
      <c r="AV449" t="s">
        <v>1715</v>
      </c>
      <c r="AW449">
        <v>3240</v>
      </c>
      <c r="AX449">
        <v>1.2E-2</v>
      </c>
      <c r="AY449">
        <v>1</v>
      </c>
      <c r="BA449">
        <v>2006</v>
      </c>
      <c r="BB449">
        <v>2007</v>
      </c>
      <c r="BD449" t="s">
        <v>19</v>
      </c>
      <c r="BE449" t="s">
        <v>1589</v>
      </c>
      <c r="BF449" t="s">
        <v>1469</v>
      </c>
      <c r="BG449" s="78" t="s">
        <v>1243</v>
      </c>
      <c r="BH449" t="s">
        <v>1587</v>
      </c>
      <c r="BI449" t="s">
        <v>1599</v>
      </c>
      <c r="BJ449" s="87" t="s">
        <v>22</v>
      </c>
      <c r="BK449">
        <v>1330</v>
      </c>
      <c r="EH449" s="9"/>
      <c r="EI449" s="9"/>
      <c r="EJ449" s="9"/>
      <c r="EK449" s="9"/>
      <c r="EL449" s="9"/>
      <c r="EM449" s="9"/>
      <c r="EN449" s="9"/>
      <c r="EO449" s="9"/>
      <c r="EP449" s="9"/>
      <c r="EQ449" s="9"/>
      <c r="ER449" s="9"/>
      <c r="ES449" s="9"/>
      <c r="ET449" s="9"/>
      <c r="EU449" s="9"/>
      <c r="EV449" s="9"/>
      <c r="EW449" s="9"/>
      <c r="EX449" s="9"/>
      <c r="EY449" s="9"/>
      <c r="EZ449" s="9"/>
      <c r="FA449" s="9"/>
      <c r="FB449" s="9"/>
      <c r="FC449" s="9"/>
      <c r="FD449" s="9"/>
      <c r="FE449" s="9"/>
      <c r="FF449" s="9"/>
      <c r="FG449" s="9"/>
      <c r="FH449" s="9"/>
      <c r="FI449" s="9"/>
      <c r="FJ449" s="9"/>
      <c r="FK449" s="9"/>
      <c r="FL449" s="9"/>
      <c r="FM449" s="9"/>
      <c r="FN449" s="9"/>
      <c r="FO449" s="9"/>
      <c r="FP449" s="9"/>
      <c r="FQ449" s="9"/>
      <c r="FR449" s="9"/>
      <c r="FS449" s="9"/>
      <c r="FT449" s="9"/>
      <c r="FU449" s="9"/>
      <c r="FV449" s="9"/>
      <c r="FW449" s="9"/>
      <c r="FX449" s="9"/>
      <c r="FY449" s="9"/>
      <c r="FZ449" s="9"/>
      <c r="GA449" s="9"/>
      <c r="GB449" s="9"/>
      <c r="GC449" s="9"/>
      <c r="GD449" s="9"/>
      <c r="GE449" s="9"/>
      <c r="GF449" s="9"/>
      <c r="GG449" s="9"/>
      <c r="GH449" s="9"/>
      <c r="GI449" s="9"/>
      <c r="GJ449" s="9"/>
      <c r="GK449" s="9"/>
      <c r="GL449" s="9"/>
      <c r="GM449" s="9"/>
      <c r="GN449" s="9"/>
      <c r="GO449" s="9"/>
      <c r="GP449" s="9"/>
      <c r="GQ449" s="9"/>
      <c r="GR449" s="9"/>
      <c r="GS449" s="9"/>
      <c r="GT449" s="9"/>
      <c r="GU449" s="9"/>
      <c r="GV449" s="9"/>
      <c r="GW449" s="9"/>
      <c r="GX449" s="9"/>
      <c r="GY449" s="9"/>
      <c r="GZ449" s="9"/>
      <c r="HA449" s="9"/>
      <c r="HB449" s="9"/>
      <c r="HC449" s="9"/>
      <c r="HD449" s="9"/>
      <c r="HE449" s="9"/>
      <c r="HF449" s="9"/>
      <c r="HG449" s="9"/>
      <c r="HH449" s="9"/>
      <c r="HI449" s="9"/>
      <c r="HJ449" s="9"/>
      <c r="HK449" s="9"/>
      <c r="HU449" s="101">
        <v>38838</v>
      </c>
      <c r="HW449" s="58"/>
      <c r="IG449" t="s">
        <v>1589</v>
      </c>
      <c r="IH449" t="s">
        <v>19</v>
      </c>
      <c r="JI449" t="s">
        <v>1589</v>
      </c>
      <c r="JJ449" s="84" t="s">
        <v>227</v>
      </c>
      <c r="JU449" s="8" t="s">
        <v>227</v>
      </c>
      <c r="JV449" s="8" t="s">
        <v>1600</v>
      </c>
      <c r="JW449" t="s">
        <v>13</v>
      </c>
      <c r="JX449">
        <v>80000</v>
      </c>
      <c r="MS449" t="s">
        <v>1607</v>
      </c>
      <c r="MT449">
        <v>120</v>
      </c>
      <c r="MU449" t="s">
        <v>1603</v>
      </c>
      <c r="MW449" t="s">
        <v>1602</v>
      </c>
      <c r="MX449" t="s">
        <v>1606</v>
      </c>
      <c r="ND449" t="s">
        <v>1612</v>
      </c>
      <c r="NE449" s="87" t="s">
        <v>1613</v>
      </c>
      <c r="NG449" s="103" t="s">
        <v>266</v>
      </c>
      <c r="NH449" s="102" t="s">
        <v>1550</v>
      </c>
      <c r="NP449" t="s">
        <v>48</v>
      </c>
      <c r="NQ449" t="s">
        <v>6</v>
      </c>
      <c r="NR449" s="104">
        <v>868909.69</v>
      </c>
      <c r="NS449" s="87" t="s">
        <v>29</v>
      </c>
      <c r="NT449" s="87" t="s">
        <v>29</v>
      </c>
      <c r="NW449">
        <v>3</v>
      </c>
      <c r="OH449" t="s">
        <v>1595</v>
      </c>
      <c r="OI449" s="87"/>
      <c r="OJ449">
        <v>2007</v>
      </c>
      <c r="OO449" t="s">
        <v>1178</v>
      </c>
      <c r="OP449" s="58">
        <v>46105</v>
      </c>
    </row>
    <row r="450" spans="1:406" ht="15.75" thickBot="1">
      <c r="A450" t="s">
        <v>248</v>
      </c>
      <c r="B450" t="s">
        <v>1580</v>
      </c>
      <c r="C450" t="s">
        <v>1183</v>
      </c>
      <c r="D450" s="4" t="s">
        <v>1955</v>
      </c>
      <c r="E450" t="s">
        <v>1596</v>
      </c>
      <c r="F450" s="100" t="s">
        <v>31</v>
      </c>
      <c r="G450" s="87" t="s">
        <v>2</v>
      </c>
      <c r="H450" s="87" t="s">
        <v>30</v>
      </c>
      <c r="I450">
        <v>7.25</v>
      </c>
      <c r="J450">
        <v>3.4166666669999999</v>
      </c>
      <c r="K450" s="87" t="s">
        <v>29</v>
      </c>
      <c r="AV450" t="s">
        <v>1715</v>
      </c>
      <c r="AW450">
        <v>3240</v>
      </c>
      <c r="AX450">
        <v>1.2E-2</v>
      </c>
      <c r="AY450">
        <v>1</v>
      </c>
      <c r="BA450">
        <v>2006</v>
      </c>
      <c r="BB450">
        <v>2007</v>
      </c>
      <c r="BD450" t="s">
        <v>238</v>
      </c>
      <c r="BE450" t="s">
        <v>1591</v>
      </c>
      <c r="BF450" t="s">
        <v>57</v>
      </c>
      <c r="BG450" s="78" t="s">
        <v>1243</v>
      </c>
      <c r="BH450" t="s">
        <v>1587</v>
      </c>
      <c r="BI450" t="s">
        <v>1599</v>
      </c>
      <c r="BJ450" s="87" t="s">
        <v>22</v>
      </c>
      <c r="BK450">
        <v>1330</v>
      </c>
      <c r="BL450" t="s">
        <v>56</v>
      </c>
      <c r="BM450" t="s">
        <v>1598</v>
      </c>
      <c r="BN450" t="s">
        <v>234</v>
      </c>
      <c r="BO450" s="87" t="s">
        <v>22</v>
      </c>
      <c r="BP450">
        <v>20000</v>
      </c>
      <c r="EH450" s="9"/>
      <c r="EI450" s="9"/>
      <c r="EJ450" s="9"/>
      <c r="EK450" s="9"/>
      <c r="EL450" s="9"/>
      <c r="EM450" s="9"/>
      <c r="EN450" s="9"/>
      <c r="EO450" s="9"/>
      <c r="EP450" s="9"/>
      <c r="EQ450" s="9"/>
      <c r="ER450" s="9"/>
      <c r="ES450" s="9"/>
      <c r="ET450" s="9"/>
      <c r="EU450" s="9"/>
      <c r="EV450" s="9"/>
      <c r="EW450" s="9"/>
      <c r="EX450" s="9"/>
      <c r="EY450" s="9"/>
      <c r="EZ450" s="9"/>
      <c r="FA450" s="9"/>
      <c r="FB450" s="9"/>
      <c r="FC450" s="9"/>
      <c r="FD450" s="9"/>
      <c r="FE450" s="9"/>
      <c r="FF450" s="9"/>
      <c r="FG450" s="9"/>
      <c r="FH450" s="9"/>
      <c r="FI450" s="9"/>
      <c r="FJ450" s="9"/>
      <c r="FK450" s="9"/>
      <c r="FL450" s="9"/>
      <c r="FM450" s="9"/>
      <c r="FN450" s="9"/>
      <c r="FO450" s="9"/>
      <c r="FP450" s="9"/>
      <c r="FQ450" s="9"/>
      <c r="FR450" s="9"/>
      <c r="FS450" s="9"/>
      <c r="FT450" s="9"/>
      <c r="FU450" s="9"/>
      <c r="FV450" s="9"/>
      <c r="FW450" s="9"/>
      <c r="FX450" s="9"/>
      <c r="FY450" s="9"/>
      <c r="FZ450" s="9"/>
      <c r="GA450" s="9"/>
      <c r="GB450" s="9"/>
      <c r="GC450" s="9"/>
      <c r="GD450" s="9"/>
      <c r="GE450" s="9"/>
      <c r="GF450" s="9"/>
      <c r="GG450" s="9"/>
      <c r="GH450" s="9"/>
      <c r="GI450" s="9"/>
      <c r="GJ450" s="9"/>
      <c r="GK450" s="9"/>
      <c r="GL450" s="9"/>
      <c r="GM450" s="9"/>
      <c r="GN450" s="9"/>
      <c r="GO450" s="9"/>
      <c r="GP450" s="9"/>
      <c r="GQ450" s="9"/>
      <c r="GR450" s="9"/>
      <c r="GS450" s="9"/>
      <c r="GT450" s="9"/>
      <c r="GU450" s="9"/>
      <c r="GV450" s="9"/>
      <c r="GW450" s="9"/>
      <c r="GX450" s="9"/>
      <c r="GY450" s="9"/>
      <c r="GZ450" s="9"/>
      <c r="HA450" s="9"/>
      <c r="HB450" s="9"/>
      <c r="HC450" s="9"/>
      <c r="HD450" s="9"/>
      <c r="HE450" s="9"/>
      <c r="HF450" s="9"/>
      <c r="HG450" s="9"/>
      <c r="HH450" s="9"/>
      <c r="HI450" s="9"/>
      <c r="HJ450" s="9"/>
      <c r="HK450" s="9"/>
      <c r="HU450" s="101">
        <v>38838</v>
      </c>
      <c r="HW450" s="58"/>
      <c r="IG450" t="s">
        <v>1591</v>
      </c>
      <c r="IH450" s="87" t="s">
        <v>1200</v>
      </c>
      <c r="II450" t="s">
        <v>660</v>
      </c>
      <c r="IJ450" t="s">
        <v>661</v>
      </c>
      <c r="IK450">
        <v>2006</v>
      </c>
      <c r="IM450" s="87" t="s">
        <v>29</v>
      </c>
      <c r="JI450" t="s">
        <v>1591</v>
      </c>
      <c r="JJ450" s="84" t="s">
        <v>227</v>
      </c>
      <c r="JU450" s="8" t="s">
        <v>227</v>
      </c>
      <c r="JV450" s="8" t="s">
        <v>1600</v>
      </c>
      <c r="JW450" t="s">
        <v>13</v>
      </c>
      <c r="JX450">
        <v>40000</v>
      </c>
      <c r="MS450" t="s">
        <v>1607</v>
      </c>
      <c r="MT450">
        <v>120</v>
      </c>
      <c r="MU450" t="s">
        <v>1604</v>
      </c>
      <c r="MW450" t="s">
        <v>1598</v>
      </c>
      <c r="MX450" t="s">
        <v>1602</v>
      </c>
      <c r="MY450" t="s">
        <v>1606</v>
      </c>
      <c r="ND450" t="s">
        <v>1612</v>
      </c>
      <c r="NE450" s="87" t="s">
        <v>1613</v>
      </c>
      <c r="NG450" s="103" t="s">
        <v>266</v>
      </c>
      <c r="NH450" s="102" t="s">
        <v>1550</v>
      </c>
      <c r="NQ450" t="s">
        <v>6</v>
      </c>
      <c r="NR450" s="104">
        <v>656889.51</v>
      </c>
      <c r="NS450" s="87" t="s">
        <v>29</v>
      </c>
      <c r="NT450" s="87" t="s">
        <v>29</v>
      </c>
      <c r="NW450">
        <v>3</v>
      </c>
      <c r="OH450" t="s">
        <v>1605</v>
      </c>
      <c r="OI450" s="87"/>
      <c r="OJ450">
        <v>2007</v>
      </c>
      <c r="OO450" t="s">
        <v>1178</v>
      </c>
      <c r="OP450" s="58">
        <v>46105</v>
      </c>
    </row>
    <row r="451" spans="1:406" ht="15.75" thickBot="1">
      <c r="A451" t="s">
        <v>248</v>
      </c>
      <c r="B451" t="s">
        <v>1580</v>
      </c>
      <c r="C451" t="s">
        <v>1183</v>
      </c>
      <c r="D451" s="4" t="s">
        <v>1955</v>
      </c>
      <c r="E451" t="s">
        <v>1596</v>
      </c>
      <c r="F451" s="100" t="s">
        <v>31</v>
      </c>
      <c r="G451" s="87" t="s">
        <v>2</v>
      </c>
      <c r="H451" s="87" t="s">
        <v>30</v>
      </c>
      <c r="I451">
        <v>7.25</v>
      </c>
      <c r="J451">
        <v>3.4166666669999999</v>
      </c>
      <c r="K451" s="87" t="s">
        <v>29</v>
      </c>
      <c r="AV451" t="s">
        <v>1715</v>
      </c>
      <c r="AW451">
        <v>3240</v>
      </c>
      <c r="AX451">
        <v>1.2E-2</v>
      </c>
      <c r="AY451">
        <v>1</v>
      </c>
      <c r="BA451">
        <v>2006</v>
      </c>
      <c r="BB451">
        <v>2007</v>
      </c>
      <c r="BD451" t="s">
        <v>238</v>
      </c>
      <c r="BE451" t="s">
        <v>1592</v>
      </c>
      <c r="BF451" t="s">
        <v>48</v>
      </c>
      <c r="BG451" s="78" t="s">
        <v>1243</v>
      </c>
      <c r="BH451" t="s">
        <v>1587</v>
      </c>
      <c r="BI451" t="s">
        <v>1599</v>
      </c>
      <c r="BJ451" s="87" t="s">
        <v>22</v>
      </c>
      <c r="BK451">
        <v>1330</v>
      </c>
      <c r="BL451" t="s">
        <v>56</v>
      </c>
      <c r="BM451" t="s">
        <v>1598</v>
      </c>
      <c r="BN451" t="s">
        <v>234</v>
      </c>
      <c r="BO451" s="87" t="s">
        <v>22</v>
      </c>
      <c r="BP451">
        <v>20000</v>
      </c>
      <c r="EH451" s="9"/>
      <c r="EI451" s="9"/>
      <c r="EJ451" s="9"/>
      <c r="EK451" s="9"/>
      <c r="EL451" s="9"/>
      <c r="EM451" s="9"/>
      <c r="EN451" s="9"/>
      <c r="EO451" s="9"/>
      <c r="EP451" s="9"/>
      <c r="EQ451" s="9"/>
      <c r="ER451" s="9"/>
      <c r="ES451" s="9"/>
      <c r="ET451" s="9"/>
      <c r="EU451" s="9"/>
      <c r="EV451" s="9"/>
      <c r="EW451" s="9"/>
      <c r="EX451" s="9"/>
      <c r="EY451" s="9"/>
      <c r="EZ451" s="9"/>
      <c r="FA451" s="9"/>
      <c r="FB451" s="9"/>
      <c r="FC451" s="9"/>
      <c r="FD451" s="9"/>
      <c r="FE451" s="9"/>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c r="GM451" s="9"/>
      <c r="GN451" s="9"/>
      <c r="GO451" s="9"/>
      <c r="GP451" s="9"/>
      <c r="GQ451" s="9"/>
      <c r="GR451" s="9"/>
      <c r="GS451" s="9"/>
      <c r="GT451" s="9"/>
      <c r="GU451" s="9"/>
      <c r="GV451" s="9"/>
      <c r="GW451" s="9"/>
      <c r="GX451" s="9"/>
      <c r="GY451" s="9"/>
      <c r="GZ451" s="9"/>
      <c r="HA451" s="9"/>
      <c r="HB451" s="9"/>
      <c r="HC451" s="9"/>
      <c r="HD451" s="9"/>
      <c r="HE451" s="9"/>
      <c r="HF451" s="9"/>
      <c r="HG451" s="9"/>
      <c r="HH451" s="9"/>
      <c r="HI451" s="9"/>
      <c r="HJ451" s="9"/>
      <c r="HK451" s="9"/>
      <c r="HU451" s="101">
        <v>38838</v>
      </c>
      <c r="HW451" s="58"/>
      <c r="IG451" t="s">
        <v>1592</v>
      </c>
      <c r="IH451" s="87" t="s">
        <v>1200</v>
      </c>
      <c r="II451" t="s">
        <v>660</v>
      </c>
      <c r="IJ451" t="s">
        <v>661</v>
      </c>
      <c r="IK451">
        <v>2006</v>
      </c>
      <c r="IM451" s="87" t="s">
        <v>29</v>
      </c>
      <c r="JI451" t="s">
        <v>1592</v>
      </c>
      <c r="JJ451" s="84" t="s">
        <v>227</v>
      </c>
      <c r="JU451" s="8" t="s">
        <v>227</v>
      </c>
      <c r="JV451" s="8" t="s">
        <v>1600</v>
      </c>
      <c r="JW451" t="s">
        <v>13</v>
      </c>
      <c r="JX451">
        <v>80000</v>
      </c>
      <c r="MS451" t="s">
        <v>1607</v>
      </c>
      <c r="MT451">
        <v>120</v>
      </c>
      <c r="MU451" t="s">
        <v>1604</v>
      </c>
      <c r="MW451" t="s">
        <v>1598</v>
      </c>
      <c r="MX451" t="s">
        <v>1602</v>
      </c>
      <c r="MY451" t="s">
        <v>1606</v>
      </c>
      <c r="ND451" t="s">
        <v>1612</v>
      </c>
      <c r="NE451" s="87" t="s">
        <v>1613</v>
      </c>
      <c r="NG451" s="103" t="s">
        <v>266</v>
      </c>
      <c r="NH451" s="102" t="s">
        <v>1550</v>
      </c>
      <c r="NQ451" t="s">
        <v>6</v>
      </c>
      <c r="NR451" s="104">
        <v>649884.23</v>
      </c>
      <c r="NS451" s="87" t="s">
        <v>29</v>
      </c>
      <c r="NT451" s="87" t="s">
        <v>29</v>
      </c>
      <c r="NW451">
        <v>3</v>
      </c>
      <c r="OH451" t="s">
        <v>1605</v>
      </c>
      <c r="OI451" s="87"/>
      <c r="OJ451">
        <v>2007</v>
      </c>
      <c r="OO451" t="s">
        <v>1178</v>
      </c>
      <c r="OP451" s="58">
        <v>46105</v>
      </c>
    </row>
    <row r="452" spans="1:406" ht="15.75" thickBot="1">
      <c r="A452" t="s">
        <v>248</v>
      </c>
      <c r="B452" t="s">
        <v>1580</v>
      </c>
      <c r="C452" t="s">
        <v>1183</v>
      </c>
      <c r="D452" s="4" t="s">
        <v>1955</v>
      </c>
      <c r="E452" t="s">
        <v>1596</v>
      </c>
      <c r="F452" s="100" t="s">
        <v>31</v>
      </c>
      <c r="G452" s="87" t="s">
        <v>2</v>
      </c>
      <c r="H452" s="87" t="s">
        <v>30</v>
      </c>
      <c r="I452">
        <v>7.25</v>
      </c>
      <c r="J452">
        <v>3.4166666669999999</v>
      </c>
      <c r="K452" s="87" t="s">
        <v>29</v>
      </c>
      <c r="AV452" t="s">
        <v>1715</v>
      </c>
      <c r="AW452">
        <v>3240</v>
      </c>
      <c r="AX452">
        <v>1.2E-2</v>
      </c>
      <c r="AY452">
        <v>1</v>
      </c>
      <c r="BA452">
        <v>2006</v>
      </c>
      <c r="BB452">
        <v>2007</v>
      </c>
      <c r="BD452" t="s">
        <v>238</v>
      </c>
      <c r="BE452" t="s">
        <v>1590</v>
      </c>
      <c r="BF452" t="s">
        <v>64</v>
      </c>
      <c r="BG452" s="78" t="s">
        <v>1243</v>
      </c>
      <c r="BH452" t="s">
        <v>1587</v>
      </c>
      <c r="BI452" t="s">
        <v>1599</v>
      </c>
      <c r="BJ452" s="87" t="s">
        <v>22</v>
      </c>
      <c r="BK452">
        <v>1330</v>
      </c>
      <c r="BL452" t="s">
        <v>56</v>
      </c>
      <c r="BM452" t="s">
        <v>1598</v>
      </c>
      <c r="BN452" t="s">
        <v>234</v>
      </c>
      <c r="BO452" s="87" t="s">
        <v>22</v>
      </c>
      <c r="BP452">
        <v>20000</v>
      </c>
      <c r="EH452" s="9"/>
      <c r="EI452" s="9"/>
      <c r="EJ452" s="9"/>
      <c r="EK452" s="9"/>
      <c r="EL452" s="9"/>
      <c r="EM452" s="9"/>
      <c r="EN452" s="9"/>
      <c r="EO452" s="9"/>
      <c r="EP452" s="9"/>
      <c r="EQ452" s="9"/>
      <c r="ER452" s="9"/>
      <c r="ES452" s="9"/>
      <c r="ET452" s="9"/>
      <c r="EU452" s="9"/>
      <c r="EV452" s="9"/>
      <c r="EW452" s="9"/>
      <c r="EX452" s="9"/>
      <c r="EY452" s="9"/>
      <c r="EZ452" s="9"/>
      <c r="FA452" s="9"/>
      <c r="FB452" s="9"/>
      <c r="FC452" s="9"/>
      <c r="FD452" s="9"/>
      <c r="FE452" s="9"/>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c r="GM452" s="9"/>
      <c r="GN452" s="9"/>
      <c r="GO452" s="9"/>
      <c r="GP452" s="9"/>
      <c r="GQ452" s="9"/>
      <c r="GR452" s="9"/>
      <c r="GS452" s="9"/>
      <c r="GT452" s="9"/>
      <c r="GU452" s="9"/>
      <c r="GV452" s="9"/>
      <c r="GW452" s="9"/>
      <c r="GX452" s="9"/>
      <c r="GY452" s="9"/>
      <c r="GZ452" s="9"/>
      <c r="HA452" s="9"/>
      <c r="HB452" s="9"/>
      <c r="HC452" s="9"/>
      <c r="HD452" s="9"/>
      <c r="HE452" s="9"/>
      <c r="HF452" s="9"/>
      <c r="HG452" s="9"/>
      <c r="HH452" s="9"/>
      <c r="HI452" s="9"/>
      <c r="HJ452" s="9"/>
      <c r="HK452" s="9"/>
      <c r="HU452" s="101">
        <v>38838</v>
      </c>
      <c r="HW452" s="58"/>
      <c r="IG452" t="s">
        <v>1590</v>
      </c>
      <c r="IH452" s="87" t="s">
        <v>1200</v>
      </c>
      <c r="II452" t="s">
        <v>660</v>
      </c>
      <c r="IJ452" t="s">
        <v>661</v>
      </c>
      <c r="IK452">
        <v>2006</v>
      </c>
      <c r="IM452" s="87" t="s">
        <v>29</v>
      </c>
      <c r="JI452" t="s">
        <v>1590</v>
      </c>
      <c r="JJ452" s="84" t="s">
        <v>721</v>
      </c>
      <c r="MS452" t="s">
        <v>1607</v>
      </c>
      <c r="MT452">
        <v>120</v>
      </c>
      <c r="MU452" t="s">
        <v>1604</v>
      </c>
      <c r="MW452" t="s">
        <v>1598</v>
      </c>
      <c r="MX452" t="s">
        <v>1602</v>
      </c>
      <c r="MY452" t="s">
        <v>1606</v>
      </c>
      <c r="ND452" t="s">
        <v>1611</v>
      </c>
      <c r="NE452" s="87" t="s">
        <v>1615</v>
      </c>
      <c r="NG452" s="4" t="s">
        <v>1616</v>
      </c>
      <c r="NH452" s="102"/>
      <c r="NQ452" t="s">
        <v>6</v>
      </c>
      <c r="NR452" s="104">
        <v>3.42</v>
      </c>
      <c r="NS452" s="87" t="s">
        <v>29</v>
      </c>
      <c r="NT452" s="87" t="s">
        <v>29</v>
      </c>
      <c r="NW452">
        <v>3</v>
      </c>
      <c r="OH452" t="s">
        <v>1614</v>
      </c>
      <c r="OI452" s="88" t="s">
        <v>6</v>
      </c>
      <c r="OK452">
        <v>2006</v>
      </c>
      <c r="OL452">
        <v>2007</v>
      </c>
      <c r="OO452" t="s">
        <v>1178</v>
      </c>
      <c r="OP452" s="58">
        <v>46105</v>
      </c>
    </row>
    <row r="453" spans="1:406" ht="15.75" thickBot="1">
      <c r="A453" t="s">
        <v>248</v>
      </c>
      <c r="B453" t="s">
        <v>1580</v>
      </c>
      <c r="C453" t="s">
        <v>1183</v>
      </c>
      <c r="D453" s="4" t="s">
        <v>1955</v>
      </c>
      <c r="E453" t="s">
        <v>1596</v>
      </c>
      <c r="F453" s="100" t="s">
        <v>31</v>
      </c>
      <c r="G453" s="87" t="s">
        <v>2</v>
      </c>
      <c r="H453" s="87" t="s">
        <v>30</v>
      </c>
      <c r="I453">
        <v>7.25</v>
      </c>
      <c r="J453">
        <v>3.4166666669999999</v>
      </c>
      <c r="K453" s="87" t="s">
        <v>29</v>
      </c>
      <c r="AV453" t="s">
        <v>1715</v>
      </c>
      <c r="AW453">
        <v>3240</v>
      </c>
      <c r="AX453">
        <v>1.2E-2</v>
      </c>
      <c r="AY453">
        <v>1</v>
      </c>
      <c r="BA453">
        <v>2006</v>
      </c>
      <c r="BB453">
        <v>2007</v>
      </c>
      <c r="BD453" t="s">
        <v>238</v>
      </c>
      <c r="BE453" t="s">
        <v>1591</v>
      </c>
      <c r="BF453" t="s">
        <v>57</v>
      </c>
      <c r="BG453" s="78" t="s">
        <v>1243</v>
      </c>
      <c r="BH453" t="s">
        <v>1587</v>
      </c>
      <c r="BI453" t="s">
        <v>1599</v>
      </c>
      <c r="BJ453" s="87" t="s">
        <v>22</v>
      </c>
      <c r="BK453">
        <v>1330</v>
      </c>
      <c r="BL453" t="s">
        <v>56</v>
      </c>
      <c r="BM453" t="s">
        <v>1598</v>
      </c>
      <c r="BN453" t="s">
        <v>234</v>
      </c>
      <c r="BO453" s="87" t="s">
        <v>22</v>
      </c>
      <c r="BP453">
        <v>20000</v>
      </c>
      <c r="EH453" s="9"/>
      <c r="EI453" s="9"/>
      <c r="EJ453" s="9"/>
      <c r="EK453" s="9"/>
      <c r="EL453" s="9"/>
      <c r="EM453" s="9"/>
      <c r="EN453" s="9"/>
      <c r="EO453" s="9"/>
      <c r="EP453" s="9"/>
      <c r="EQ453" s="9"/>
      <c r="ER453" s="9"/>
      <c r="ES453" s="9"/>
      <c r="ET453" s="9"/>
      <c r="EU453" s="9"/>
      <c r="EV453" s="9"/>
      <c r="EW453" s="9"/>
      <c r="EX453" s="9"/>
      <c r="EY453" s="9"/>
      <c r="EZ453" s="9"/>
      <c r="FA453" s="9"/>
      <c r="FB453" s="9"/>
      <c r="FC453" s="9"/>
      <c r="FD453" s="9"/>
      <c r="FE453" s="9"/>
      <c r="FF453" s="9"/>
      <c r="FG453" s="9"/>
      <c r="FH453" s="9"/>
      <c r="FI453" s="9"/>
      <c r="FJ453" s="9"/>
      <c r="FK453" s="9"/>
      <c r="FL453" s="9"/>
      <c r="FM453" s="9"/>
      <c r="FN453" s="9"/>
      <c r="FO453" s="9"/>
      <c r="FP453" s="9"/>
      <c r="FQ453" s="9"/>
      <c r="FR453" s="9"/>
      <c r="FS453" s="9"/>
      <c r="FT453" s="9"/>
      <c r="FU453" s="9"/>
      <c r="FV453" s="9"/>
      <c r="FW453" s="9"/>
      <c r="FX453" s="9"/>
      <c r="FY453" s="9"/>
      <c r="FZ453" s="9"/>
      <c r="GA453" s="9"/>
      <c r="GB453" s="9"/>
      <c r="GC453" s="9"/>
      <c r="GD453" s="9"/>
      <c r="GE453" s="9"/>
      <c r="GF453" s="9"/>
      <c r="GG453" s="9"/>
      <c r="GH453" s="9"/>
      <c r="GI453" s="9"/>
      <c r="GJ453" s="9"/>
      <c r="GK453" s="9"/>
      <c r="GL453" s="9"/>
      <c r="GM453" s="9"/>
      <c r="GN453" s="9"/>
      <c r="GO453" s="9"/>
      <c r="GP453" s="9"/>
      <c r="GQ453" s="9"/>
      <c r="GR453" s="9"/>
      <c r="GS453" s="9"/>
      <c r="GT453" s="9"/>
      <c r="GU453" s="9"/>
      <c r="GV453" s="9"/>
      <c r="GW453" s="9"/>
      <c r="GX453" s="9"/>
      <c r="GY453" s="9"/>
      <c r="GZ453" s="9"/>
      <c r="HA453" s="9"/>
      <c r="HB453" s="9"/>
      <c r="HC453" s="9"/>
      <c r="HD453" s="9"/>
      <c r="HE453" s="9"/>
      <c r="HF453" s="9"/>
      <c r="HG453" s="9"/>
      <c r="HH453" s="9"/>
      <c r="HI453" s="9"/>
      <c r="HJ453" s="9"/>
      <c r="HK453" s="9"/>
      <c r="HU453" s="101">
        <v>38838</v>
      </c>
      <c r="HW453" s="58"/>
      <c r="IG453" t="s">
        <v>1591</v>
      </c>
      <c r="IH453" s="87" t="s">
        <v>1200</v>
      </c>
      <c r="II453" t="s">
        <v>660</v>
      </c>
      <c r="IJ453" t="s">
        <v>661</v>
      </c>
      <c r="IK453">
        <v>2006</v>
      </c>
      <c r="IM453" s="87" t="s">
        <v>29</v>
      </c>
      <c r="JI453" t="s">
        <v>1591</v>
      </c>
      <c r="JJ453" s="84" t="s">
        <v>227</v>
      </c>
      <c r="JU453" s="8" t="s">
        <v>227</v>
      </c>
      <c r="JV453" s="8" t="s">
        <v>1600</v>
      </c>
      <c r="JW453" t="s">
        <v>13</v>
      </c>
      <c r="JX453">
        <v>40000</v>
      </c>
      <c r="MS453" t="s">
        <v>1607</v>
      </c>
      <c r="MT453">
        <v>120</v>
      </c>
      <c r="MU453" t="s">
        <v>1604</v>
      </c>
      <c r="MW453" t="s">
        <v>1598</v>
      </c>
      <c r="MX453" t="s">
        <v>1602</v>
      </c>
      <c r="MY453" t="s">
        <v>1606</v>
      </c>
      <c r="ND453" t="s">
        <v>1612</v>
      </c>
      <c r="NE453" s="87" t="s">
        <v>1615</v>
      </c>
      <c r="NG453" s="4" t="s">
        <v>1616</v>
      </c>
      <c r="NH453" s="102"/>
      <c r="NQ453" t="s">
        <v>6</v>
      </c>
      <c r="NR453" s="104">
        <v>3.74</v>
      </c>
      <c r="NS453" s="87" t="s">
        <v>29</v>
      </c>
      <c r="NT453" s="87" t="s">
        <v>29</v>
      </c>
      <c r="NW453">
        <v>3</v>
      </c>
      <c r="OH453" t="s">
        <v>1614</v>
      </c>
      <c r="OI453" s="88" t="s">
        <v>6</v>
      </c>
      <c r="OK453">
        <v>2006</v>
      </c>
      <c r="OL453">
        <v>2007</v>
      </c>
      <c r="OO453" t="s">
        <v>1178</v>
      </c>
      <c r="OP453" s="58">
        <v>46105</v>
      </c>
    </row>
    <row r="454" spans="1:406" ht="15.75" thickBot="1">
      <c r="A454" t="s">
        <v>248</v>
      </c>
      <c r="B454" t="s">
        <v>1580</v>
      </c>
      <c r="C454" t="s">
        <v>1183</v>
      </c>
      <c r="D454" s="4" t="s">
        <v>1955</v>
      </c>
      <c r="E454" t="s">
        <v>1596</v>
      </c>
      <c r="F454" s="100" t="s">
        <v>31</v>
      </c>
      <c r="G454" s="87" t="s">
        <v>2</v>
      </c>
      <c r="H454" s="87" t="s">
        <v>30</v>
      </c>
      <c r="I454">
        <v>7.25</v>
      </c>
      <c r="J454">
        <v>3.4166666669999999</v>
      </c>
      <c r="K454" s="87" t="s">
        <v>29</v>
      </c>
      <c r="AV454" t="s">
        <v>1715</v>
      </c>
      <c r="AW454">
        <v>3240</v>
      </c>
      <c r="AX454">
        <v>1.2E-2</v>
      </c>
      <c r="AY454">
        <v>1</v>
      </c>
      <c r="BA454">
        <v>2006</v>
      </c>
      <c r="BB454">
        <v>2007</v>
      </c>
      <c r="BD454" t="s">
        <v>238</v>
      </c>
      <c r="BE454" t="s">
        <v>1592</v>
      </c>
      <c r="BF454" t="s">
        <v>48</v>
      </c>
      <c r="BG454" s="78" t="s">
        <v>1243</v>
      </c>
      <c r="BH454" t="s">
        <v>1587</v>
      </c>
      <c r="BI454" t="s">
        <v>1599</v>
      </c>
      <c r="BJ454" s="87" t="s">
        <v>22</v>
      </c>
      <c r="BK454">
        <v>1330</v>
      </c>
      <c r="BL454" t="s">
        <v>56</v>
      </c>
      <c r="BM454" t="s">
        <v>1598</v>
      </c>
      <c r="BN454" t="s">
        <v>234</v>
      </c>
      <c r="BO454" s="87" t="s">
        <v>22</v>
      </c>
      <c r="BP454">
        <v>20000</v>
      </c>
      <c r="EH454" s="9"/>
      <c r="EI454" s="9"/>
      <c r="EJ454" s="9"/>
      <c r="EK454" s="9"/>
      <c r="EL454" s="9"/>
      <c r="EM454" s="9"/>
      <c r="EN454" s="9"/>
      <c r="EO454" s="9"/>
      <c r="EP454" s="9"/>
      <c r="EQ454" s="9"/>
      <c r="ER454" s="9"/>
      <c r="ES454" s="9"/>
      <c r="ET454" s="9"/>
      <c r="EU454" s="9"/>
      <c r="EV454" s="9"/>
      <c r="EW454" s="9"/>
      <c r="EX454" s="9"/>
      <c r="EY454" s="9"/>
      <c r="EZ454" s="9"/>
      <c r="FA454" s="9"/>
      <c r="FB454" s="9"/>
      <c r="FC454" s="9"/>
      <c r="FD454" s="9"/>
      <c r="FE454" s="9"/>
      <c r="FF454" s="9"/>
      <c r="FG454" s="9"/>
      <c r="FH454" s="9"/>
      <c r="FI454" s="9"/>
      <c r="FJ454" s="9"/>
      <c r="FK454" s="9"/>
      <c r="FL454" s="9"/>
      <c r="FM454" s="9"/>
      <c r="FN454" s="9"/>
      <c r="FO454" s="9"/>
      <c r="FP454" s="9"/>
      <c r="FQ454" s="9"/>
      <c r="FR454" s="9"/>
      <c r="FS454" s="9"/>
      <c r="FT454" s="9"/>
      <c r="FU454" s="9"/>
      <c r="FV454" s="9"/>
      <c r="FW454" s="9"/>
      <c r="FX454" s="9"/>
      <c r="FY454" s="9"/>
      <c r="FZ454" s="9"/>
      <c r="GA454" s="9"/>
      <c r="GB454" s="9"/>
      <c r="GC454" s="9"/>
      <c r="GD454" s="9"/>
      <c r="GE454" s="9"/>
      <c r="GF454" s="9"/>
      <c r="GG454" s="9"/>
      <c r="GH454" s="9"/>
      <c r="GI454" s="9"/>
      <c r="GJ454" s="9"/>
      <c r="GK454" s="9"/>
      <c r="GL454" s="9"/>
      <c r="GM454" s="9"/>
      <c r="GN454" s="9"/>
      <c r="GO454" s="9"/>
      <c r="GP454" s="9"/>
      <c r="GQ454" s="9"/>
      <c r="GR454" s="9"/>
      <c r="GS454" s="9"/>
      <c r="GT454" s="9"/>
      <c r="GU454" s="9"/>
      <c r="GV454" s="9"/>
      <c r="GW454" s="9"/>
      <c r="GX454" s="9"/>
      <c r="GY454" s="9"/>
      <c r="GZ454" s="9"/>
      <c r="HA454" s="9"/>
      <c r="HB454" s="9"/>
      <c r="HC454" s="9"/>
      <c r="HD454" s="9"/>
      <c r="HE454" s="9"/>
      <c r="HF454" s="9"/>
      <c r="HG454" s="9"/>
      <c r="HH454" s="9"/>
      <c r="HI454" s="9"/>
      <c r="HJ454" s="9"/>
      <c r="HK454" s="9"/>
      <c r="HU454" s="101">
        <v>38838</v>
      </c>
      <c r="HW454" s="58"/>
      <c r="IG454" t="s">
        <v>1592</v>
      </c>
      <c r="IH454" s="87" t="s">
        <v>1200</v>
      </c>
      <c r="II454" t="s">
        <v>660</v>
      </c>
      <c r="IJ454" t="s">
        <v>661</v>
      </c>
      <c r="IK454">
        <v>2006</v>
      </c>
      <c r="IM454" s="87" t="s">
        <v>29</v>
      </c>
      <c r="JI454" t="s">
        <v>1592</v>
      </c>
      <c r="JJ454" s="84" t="s">
        <v>227</v>
      </c>
      <c r="JU454" s="8" t="s">
        <v>227</v>
      </c>
      <c r="JV454" s="8" t="s">
        <v>1600</v>
      </c>
      <c r="JW454" t="s">
        <v>13</v>
      </c>
      <c r="JX454">
        <v>80000</v>
      </c>
      <c r="MS454" t="s">
        <v>1607</v>
      </c>
      <c r="MT454">
        <v>120</v>
      </c>
      <c r="MU454" t="s">
        <v>1604</v>
      </c>
      <c r="MW454" t="s">
        <v>1598</v>
      </c>
      <c r="MX454" t="s">
        <v>1602</v>
      </c>
      <c r="MY454" t="s">
        <v>1606</v>
      </c>
      <c r="ND454" t="s">
        <v>1612</v>
      </c>
      <c r="NE454" s="87" t="s">
        <v>1615</v>
      </c>
      <c r="NG454" s="4" t="s">
        <v>1616</v>
      </c>
      <c r="NH454" s="102"/>
      <c r="NK454" s="104"/>
      <c r="NQ454" t="s">
        <v>6</v>
      </c>
      <c r="NR454" s="104">
        <v>3.77</v>
      </c>
      <c r="NS454" s="87" t="s">
        <v>29</v>
      </c>
      <c r="NT454" s="87" t="s">
        <v>29</v>
      </c>
      <c r="NW454">
        <v>3</v>
      </c>
      <c r="OH454" t="s">
        <v>1614</v>
      </c>
      <c r="OI454" s="88" t="s">
        <v>6</v>
      </c>
      <c r="OK454">
        <v>2006</v>
      </c>
      <c r="OL454">
        <v>2007</v>
      </c>
      <c r="OO454" t="s">
        <v>1178</v>
      </c>
      <c r="OP454" s="58">
        <v>46105</v>
      </c>
    </row>
    <row r="455" spans="1:406" ht="15.75" thickBot="1">
      <c r="A455" t="s">
        <v>248</v>
      </c>
      <c r="B455" t="s">
        <v>1580</v>
      </c>
      <c r="C455" t="s">
        <v>1183</v>
      </c>
      <c r="D455" s="4" t="s">
        <v>1955</v>
      </c>
      <c r="E455" t="s">
        <v>1596</v>
      </c>
      <c r="F455" s="100" t="s">
        <v>31</v>
      </c>
      <c r="G455" s="87" t="s">
        <v>2</v>
      </c>
      <c r="H455" s="87" t="s">
        <v>30</v>
      </c>
      <c r="I455">
        <v>7.25</v>
      </c>
      <c r="J455">
        <v>3.4166666669999999</v>
      </c>
      <c r="K455" s="87" t="s">
        <v>29</v>
      </c>
      <c r="AV455" t="s">
        <v>1715</v>
      </c>
      <c r="AW455">
        <v>3240</v>
      </c>
      <c r="AX455">
        <v>1.2E-2</v>
      </c>
      <c r="AY455">
        <v>1</v>
      </c>
      <c r="BA455">
        <v>2006</v>
      </c>
      <c r="BB455">
        <v>2007</v>
      </c>
      <c r="BD455" t="s">
        <v>19</v>
      </c>
      <c r="BE455" t="s">
        <v>1586</v>
      </c>
      <c r="BF455" t="s">
        <v>39</v>
      </c>
      <c r="BG455" s="78" t="s">
        <v>1243</v>
      </c>
      <c r="BH455" t="s">
        <v>1587</v>
      </c>
      <c r="BI455" t="s">
        <v>1599</v>
      </c>
      <c r="BJ455" s="87" t="s">
        <v>22</v>
      </c>
      <c r="BK455">
        <v>1330</v>
      </c>
      <c r="EH455" s="9"/>
      <c r="EI455" s="9"/>
      <c r="EJ455" s="9"/>
      <c r="EK455" s="9"/>
      <c r="EL455" s="9"/>
      <c r="EM455" s="9"/>
      <c r="EN455" s="9"/>
      <c r="EO455" s="9"/>
      <c r="EP455" s="9"/>
      <c r="EQ455" s="9"/>
      <c r="ER455" s="9"/>
      <c r="ES455" s="9"/>
      <c r="ET455" s="9"/>
      <c r="EU455" s="9"/>
      <c r="EV455" s="9"/>
      <c r="EW455" s="9"/>
      <c r="EX455" s="9"/>
      <c r="EY455" s="9"/>
      <c r="EZ455" s="9"/>
      <c r="FA455" s="9"/>
      <c r="FB455" s="9"/>
      <c r="FC455" s="9"/>
      <c r="FD455" s="9"/>
      <c r="FE455" s="9"/>
      <c r="FF455" s="9"/>
      <c r="FG455" s="9"/>
      <c r="FH455" s="9"/>
      <c r="FI455" s="9"/>
      <c r="FJ455" s="9"/>
      <c r="FK455" s="9"/>
      <c r="FL455" s="9"/>
      <c r="FM455" s="9"/>
      <c r="FN455" s="9"/>
      <c r="FO455" s="9"/>
      <c r="FP455" s="9"/>
      <c r="FQ455" s="9"/>
      <c r="FR455" s="9"/>
      <c r="FS455" s="9"/>
      <c r="FT455" s="9"/>
      <c r="FU455" s="9"/>
      <c r="FV455" s="9"/>
      <c r="FW455" s="9"/>
      <c r="FX455" s="9"/>
      <c r="FY455" s="9"/>
      <c r="FZ455" s="9"/>
      <c r="GA455" s="9"/>
      <c r="GB455" s="9"/>
      <c r="GC455" s="9"/>
      <c r="GD455" s="9"/>
      <c r="GE455" s="9"/>
      <c r="GF455" s="9"/>
      <c r="GG455" s="9"/>
      <c r="GH455" s="9"/>
      <c r="GI455" s="9"/>
      <c r="GJ455" s="9"/>
      <c r="GK455" s="9"/>
      <c r="GL455" s="9"/>
      <c r="GM455" s="9"/>
      <c r="GN455" s="9"/>
      <c r="GO455" s="9"/>
      <c r="GP455" s="9"/>
      <c r="GQ455" s="9"/>
      <c r="GR455" s="9"/>
      <c r="GS455" s="9"/>
      <c r="GT455" s="9"/>
      <c r="GU455" s="9"/>
      <c r="GV455" s="9"/>
      <c r="GW455" s="9"/>
      <c r="GX455" s="9"/>
      <c r="GY455" s="9"/>
      <c r="GZ455" s="9"/>
      <c r="HA455" s="9"/>
      <c r="HB455" s="9"/>
      <c r="HC455" s="9"/>
      <c r="HD455" s="9"/>
      <c r="HE455" s="9"/>
      <c r="HF455" s="9"/>
      <c r="HG455" s="9"/>
      <c r="HH455" s="9"/>
      <c r="HI455" s="9"/>
      <c r="HJ455" s="9"/>
      <c r="HK455" s="9"/>
      <c r="HU455" s="101">
        <v>38838</v>
      </c>
      <c r="HW455" s="58"/>
      <c r="IG455" t="s">
        <v>1586</v>
      </c>
      <c r="IH455" t="s">
        <v>19</v>
      </c>
      <c r="IM455" s="87"/>
      <c r="JI455" t="s">
        <v>1586</v>
      </c>
      <c r="JJ455" s="84" t="s">
        <v>721</v>
      </c>
      <c r="MS455" t="s">
        <v>1607</v>
      </c>
      <c r="MT455">
        <v>120</v>
      </c>
      <c r="MU455" t="s">
        <v>1603</v>
      </c>
      <c r="MW455" t="s">
        <v>1602</v>
      </c>
      <c r="MX455" t="s">
        <v>1606</v>
      </c>
      <c r="ND455" t="s">
        <v>1611</v>
      </c>
      <c r="NE455" s="87" t="s">
        <v>1615</v>
      </c>
      <c r="NG455" s="4" t="s">
        <v>1616</v>
      </c>
      <c r="NH455" s="102"/>
      <c r="NP455" t="s">
        <v>64</v>
      </c>
      <c r="NQ455" t="s">
        <v>6</v>
      </c>
      <c r="NR455" s="104">
        <v>3.7</v>
      </c>
      <c r="NS455" s="87" t="s">
        <v>29</v>
      </c>
      <c r="NT455" s="87" t="s">
        <v>29</v>
      </c>
      <c r="NW455">
        <v>3</v>
      </c>
      <c r="OH455" t="s">
        <v>1614</v>
      </c>
      <c r="OI455" s="88" t="s">
        <v>6</v>
      </c>
      <c r="OK455">
        <v>2006</v>
      </c>
      <c r="OL455">
        <v>2007</v>
      </c>
      <c r="OO455" t="s">
        <v>1178</v>
      </c>
      <c r="OP455" s="58">
        <v>46105</v>
      </c>
    </row>
    <row r="456" spans="1:406" ht="15.75" thickBot="1">
      <c r="A456" t="s">
        <v>248</v>
      </c>
      <c r="B456" t="s">
        <v>1580</v>
      </c>
      <c r="C456" t="s">
        <v>1183</v>
      </c>
      <c r="D456" s="4" t="s">
        <v>1955</v>
      </c>
      <c r="E456" t="s">
        <v>1596</v>
      </c>
      <c r="F456" s="100" t="s">
        <v>31</v>
      </c>
      <c r="G456" s="87" t="s">
        <v>2</v>
      </c>
      <c r="H456" s="87" t="s">
        <v>30</v>
      </c>
      <c r="I456">
        <v>7.25</v>
      </c>
      <c r="J456">
        <v>3.4166666669999999</v>
      </c>
      <c r="K456" s="87" t="s">
        <v>29</v>
      </c>
      <c r="AV456" t="s">
        <v>1715</v>
      </c>
      <c r="AW456">
        <v>3240</v>
      </c>
      <c r="AX456">
        <v>1.2E-2</v>
      </c>
      <c r="AY456">
        <v>1</v>
      </c>
      <c r="BA456">
        <v>2006</v>
      </c>
      <c r="BB456">
        <v>2007</v>
      </c>
      <c r="BD456" t="s">
        <v>19</v>
      </c>
      <c r="BE456" t="s">
        <v>1588</v>
      </c>
      <c r="BF456" t="s">
        <v>1467</v>
      </c>
      <c r="BG456" s="78" t="s">
        <v>1243</v>
      </c>
      <c r="BH456" t="s">
        <v>1587</v>
      </c>
      <c r="BI456" t="s">
        <v>1599</v>
      </c>
      <c r="BJ456" s="87" t="s">
        <v>22</v>
      </c>
      <c r="BK456">
        <v>1330</v>
      </c>
      <c r="EH456" s="9"/>
      <c r="EI456" s="9"/>
      <c r="EJ456" s="9"/>
      <c r="EK456" s="9"/>
      <c r="EL456" s="9"/>
      <c r="EM456" s="9"/>
      <c r="EN456" s="9"/>
      <c r="EO456" s="9"/>
      <c r="EP456" s="9"/>
      <c r="EQ456" s="9"/>
      <c r="ER456" s="9"/>
      <c r="ES456" s="9"/>
      <c r="ET456" s="9"/>
      <c r="EU456" s="9"/>
      <c r="EV456" s="9"/>
      <c r="EW456" s="9"/>
      <c r="EX456" s="9"/>
      <c r="EY456" s="9"/>
      <c r="EZ456" s="9"/>
      <c r="FA456" s="9"/>
      <c r="FB456" s="9"/>
      <c r="FC456" s="9"/>
      <c r="FD456" s="9"/>
      <c r="FE456" s="9"/>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c r="GM456" s="9"/>
      <c r="GN456" s="9"/>
      <c r="GO456" s="9"/>
      <c r="GP456" s="9"/>
      <c r="GQ456" s="9"/>
      <c r="GR456" s="9"/>
      <c r="GS456" s="9"/>
      <c r="GT456" s="9"/>
      <c r="GU456" s="9"/>
      <c r="GV456" s="9"/>
      <c r="GW456" s="9"/>
      <c r="GX456" s="9"/>
      <c r="GY456" s="9"/>
      <c r="GZ456" s="9"/>
      <c r="HA456" s="9"/>
      <c r="HB456" s="9"/>
      <c r="HC456" s="9"/>
      <c r="HD456" s="9"/>
      <c r="HE456" s="9"/>
      <c r="HF456" s="9"/>
      <c r="HG456" s="9"/>
      <c r="HH456" s="9"/>
      <c r="HI456" s="9"/>
      <c r="HJ456" s="9"/>
      <c r="HK456" s="9"/>
      <c r="HU456" s="101">
        <v>38838</v>
      </c>
      <c r="HW456" s="58"/>
      <c r="IG456" t="s">
        <v>1588</v>
      </c>
      <c r="IH456" t="s">
        <v>19</v>
      </c>
      <c r="JI456" t="s">
        <v>1588</v>
      </c>
      <c r="JJ456" s="84" t="s">
        <v>227</v>
      </c>
      <c r="JU456" s="8" t="s">
        <v>227</v>
      </c>
      <c r="JV456" s="8" t="s">
        <v>1600</v>
      </c>
      <c r="JW456" t="s">
        <v>13</v>
      </c>
      <c r="JX456">
        <v>40000</v>
      </c>
      <c r="MS456" t="s">
        <v>1607</v>
      </c>
      <c r="MT456">
        <v>120</v>
      </c>
      <c r="MU456" t="s">
        <v>1603</v>
      </c>
      <c r="MW456" t="s">
        <v>1602</v>
      </c>
      <c r="MX456" t="s">
        <v>1606</v>
      </c>
      <c r="ND456" t="s">
        <v>1612</v>
      </c>
      <c r="NE456" s="87" t="s">
        <v>1615</v>
      </c>
      <c r="NG456" s="4" t="s">
        <v>1616</v>
      </c>
      <c r="NH456" s="102"/>
      <c r="NP456" t="s">
        <v>57</v>
      </c>
      <c r="NQ456" t="s">
        <v>6</v>
      </c>
      <c r="NR456" s="104">
        <v>4.68</v>
      </c>
      <c r="NS456" s="87" t="s">
        <v>29</v>
      </c>
      <c r="NT456" s="87" t="s">
        <v>29</v>
      </c>
      <c r="NW456">
        <v>3</v>
      </c>
      <c r="OH456" t="s">
        <v>1614</v>
      </c>
      <c r="OI456" s="88" t="s">
        <v>6</v>
      </c>
      <c r="OK456">
        <v>2006</v>
      </c>
      <c r="OL456">
        <v>2007</v>
      </c>
      <c r="OO456" t="s">
        <v>1178</v>
      </c>
      <c r="OP456" s="58">
        <v>46105</v>
      </c>
    </row>
    <row r="457" spans="1:406" ht="15.75" thickBot="1">
      <c r="A457" t="s">
        <v>248</v>
      </c>
      <c r="B457" t="s">
        <v>1580</v>
      </c>
      <c r="C457" t="s">
        <v>1183</v>
      </c>
      <c r="D457" s="4" t="s">
        <v>1955</v>
      </c>
      <c r="E457" t="s">
        <v>1596</v>
      </c>
      <c r="F457" s="100" t="s">
        <v>31</v>
      </c>
      <c r="G457" s="87" t="s">
        <v>2</v>
      </c>
      <c r="H457" s="87" t="s">
        <v>30</v>
      </c>
      <c r="I457">
        <v>7.25</v>
      </c>
      <c r="J457">
        <v>3.4166666669999999</v>
      </c>
      <c r="K457" s="87" t="s">
        <v>29</v>
      </c>
      <c r="AV457" t="s">
        <v>1715</v>
      </c>
      <c r="AW457">
        <v>3240</v>
      </c>
      <c r="AX457">
        <v>1.2E-2</v>
      </c>
      <c r="AY457">
        <v>1</v>
      </c>
      <c r="BA457">
        <v>2006</v>
      </c>
      <c r="BB457">
        <v>2007</v>
      </c>
      <c r="BD457" t="s">
        <v>19</v>
      </c>
      <c r="BE457" t="s">
        <v>1589</v>
      </c>
      <c r="BF457" t="s">
        <v>1469</v>
      </c>
      <c r="BG457" s="78" t="s">
        <v>1243</v>
      </c>
      <c r="BH457" t="s">
        <v>1587</v>
      </c>
      <c r="BI457" t="s">
        <v>1599</v>
      </c>
      <c r="BJ457" s="87" t="s">
        <v>22</v>
      </c>
      <c r="BK457">
        <v>1330</v>
      </c>
      <c r="EH457" s="9"/>
      <c r="EI457" s="9"/>
      <c r="EJ457" s="9"/>
      <c r="EK457" s="9"/>
      <c r="EL457" s="9"/>
      <c r="EM457" s="9"/>
      <c r="EN457" s="9"/>
      <c r="EO457" s="9"/>
      <c r="EP457" s="9"/>
      <c r="EQ457" s="9"/>
      <c r="ER457" s="9"/>
      <c r="ES457" s="9"/>
      <c r="ET457" s="9"/>
      <c r="EU457" s="9"/>
      <c r="EV457" s="9"/>
      <c r="EW457" s="9"/>
      <c r="EX457" s="9"/>
      <c r="EY457" s="9"/>
      <c r="EZ457" s="9"/>
      <c r="FA457" s="9"/>
      <c r="FB457" s="9"/>
      <c r="FC457" s="9"/>
      <c r="FD457" s="9"/>
      <c r="FE457" s="9"/>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c r="GM457" s="9"/>
      <c r="GN457" s="9"/>
      <c r="GO457" s="9"/>
      <c r="GP457" s="9"/>
      <c r="GQ457" s="9"/>
      <c r="GR457" s="9"/>
      <c r="GS457" s="9"/>
      <c r="GT457" s="9"/>
      <c r="GU457" s="9"/>
      <c r="GV457" s="9"/>
      <c r="GW457" s="9"/>
      <c r="GX457" s="9"/>
      <c r="GY457" s="9"/>
      <c r="GZ457" s="9"/>
      <c r="HA457" s="9"/>
      <c r="HB457" s="9"/>
      <c r="HC457" s="9"/>
      <c r="HD457" s="9"/>
      <c r="HE457" s="9"/>
      <c r="HF457" s="9"/>
      <c r="HG457" s="9"/>
      <c r="HH457" s="9"/>
      <c r="HI457" s="9"/>
      <c r="HJ457" s="9"/>
      <c r="HK457" s="9"/>
      <c r="HU457" s="101">
        <v>38838</v>
      </c>
      <c r="HW457" s="58"/>
      <c r="IG457" t="s">
        <v>1589</v>
      </c>
      <c r="IH457" t="s">
        <v>19</v>
      </c>
      <c r="JI457" t="s">
        <v>1589</v>
      </c>
      <c r="JJ457" s="84" t="s">
        <v>227</v>
      </c>
      <c r="JU457" s="8" t="s">
        <v>227</v>
      </c>
      <c r="JV457" s="8" t="s">
        <v>1600</v>
      </c>
      <c r="JW457" t="s">
        <v>13</v>
      </c>
      <c r="JX457">
        <v>80000</v>
      </c>
      <c r="MS457" t="s">
        <v>1607</v>
      </c>
      <c r="MT457">
        <v>120</v>
      </c>
      <c r="MU457" t="s">
        <v>1603</v>
      </c>
      <c r="MW457" t="s">
        <v>1602</v>
      </c>
      <c r="MX457" t="s">
        <v>1606</v>
      </c>
      <c r="ND457" t="s">
        <v>1612</v>
      </c>
      <c r="NE457" s="87" t="s">
        <v>1615</v>
      </c>
      <c r="NG457" s="4" t="s">
        <v>1616</v>
      </c>
      <c r="NH457" s="102"/>
      <c r="NP457" t="s">
        <v>48</v>
      </c>
      <c r="NQ457" t="s">
        <v>6</v>
      </c>
      <c r="NR457" s="104">
        <v>4.97</v>
      </c>
      <c r="NS457" s="87" t="s">
        <v>29</v>
      </c>
      <c r="NT457" s="87" t="s">
        <v>29</v>
      </c>
      <c r="NW457">
        <v>3</v>
      </c>
      <c r="OH457" t="s">
        <v>1614</v>
      </c>
      <c r="OI457" s="88" t="s">
        <v>6</v>
      </c>
      <c r="OK457">
        <v>2006</v>
      </c>
      <c r="OL457">
        <v>2007</v>
      </c>
      <c r="OO457" t="s">
        <v>1178</v>
      </c>
      <c r="OP457" s="58">
        <v>46105</v>
      </c>
    </row>
    <row r="458" spans="1:406" ht="15.75" thickBot="1">
      <c r="A458" t="s">
        <v>248</v>
      </c>
      <c r="B458" t="s">
        <v>1580</v>
      </c>
      <c r="C458" t="s">
        <v>1183</v>
      </c>
      <c r="D458" s="4" t="s">
        <v>1955</v>
      </c>
      <c r="E458" t="s">
        <v>1596</v>
      </c>
      <c r="F458" s="100" t="s">
        <v>31</v>
      </c>
      <c r="G458" s="87" t="s">
        <v>2</v>
      </c>
      <c r="H458" s="87" t="s">
        <v>30</v>
      </c>
      <c r="I458">
        <v>7.25</v>
      </c>
      <c r="J458">
        <v>3.4166666669999999</v>
      </c>
      <c r="K458" s="87" t="s">
        <v>29</v>
      </c>
      <c r="AV458" t="s">
        <v>1715</v>
      </c>
      <c r="AW458">
        <v>3240</v>
      </c>
      <c r="AX458">
        <v>1.2E-2</v>
      </c>
      <c r="AY458">
        <v>1</v>
      </c>
      <c r="BA458">
        <v>2006</v>
      </c>
      <c r="BB458">
        <v>2007</v>
      </c>
      <c r="BD458" t="s">
        <v>19</v>
      </c>
      <c r="BE458" t="s">
        <v>1585</v>
      </c>
      <c r="BF458" t="s">
        <v>24</v>
      </c>
      <c r="BG458" s="78" t="s">
        <v>1243</v>
      </c>
      <c r="BH458" t="s">
        <v>1598</v>
      </c>
      <c r="BI458" t="s">
        <v>838</v>
      </c>
      <c r="BJ458" s="87" t="s">
        <v>22</v>
      </c>
      <c r="BK458">
        <v>20000</v>
      </c>
      <c r="EH458" s="9"/>
      <c r="EI458" s="9"/>
      <c r="EJ458" s="9"/>
      <c r="EK458" s="9"/>
      <c r="EL458" s="9"/>
      <c r="EM458" s="9"/>
      <c r="EN458" s="9"/>
      <c r="EO458" s="9"/>
      <c r="EP458" s="9"/>
      <c r="EQ458" s="9"/>
      <c r="ER458" s="9"/>
      <c r="ES458" s="9"/>
      <c r="ET458" s="9"/>
      <c r="EU458" s="9"/>
      <c r="EV458" s="9"/>
      <c r="EW458" s="9"/>
      <c r="EX458" s="9"/>
      <c r="EY458" s="9"/>
      <c r="EZ458" s="9"/>
      <c r="FA458" s="9"/>
      <c r="FB458" s="9"/>
      <c r="FC458" s="9"/>
      <c r="FD458" s="9"/>
      <c r="FE458" s="9"/>
      <c r="FF458" s="9"/>
      <c r="FG458" s="9"/>
      <c r="FH458" s="9"/>
      <c r="FI458" s="9"/>
      <c r="FJ458" s="9"/>
      <c r="FK458" s="9"/>
      <c r="FL458" s="9"/>
      <c r="FM458" s="9"/>
      <c r="FN458" s="9"/>
      <c r="FO458" s="9"/>
      <c r="FP458" s="9"/>
      <c r="FQ458" s="9"/>
      <c r="FR458" s="9"/>
      <c r="FS458" s="9"/>
      <c r="FT458" s="9"/>
      <c r="FU458" s="9"/>
      <c r="FV458" s="9"/>
      <c r="FW458" s="9"/>
      <c r="FX458" s="9"/>
      <c r="FY458" s="9"/>
      <c r="FZ458" s="9"/>
      <c r="GA458" s="9"/>
      <c r="GB458" s="9"/>
      <c r="GC458" s="9"/>
      <c r="GD458" s="9"/>
      <c r="GE458" s="9"/>
      <c r="GF458" s="9"/>
      <c r="GG458" s="9"/>
      <c r="GH458" s="9"/>
      <c r="GI458" s="9"/>
      <c r="GJ458" s="9"/>
      <c r="GK458" s="9"/>
      <c r="GL458" s="9"/>
      <c r="GM458" s="9"/>
      <c r="GN458" s="9"/>
      <c r="GO458" s="9"/>
      <c r="GP458" s="9"/>
      <c r="GQ458" s="9"/>
      <c r="GR458" s="9"/>
      <c r="GS458" s="9"/>
      <c r="GT458" s="9"/>
      <c r="GU458" s="9"/>
      <c r="GV458" s="9"/>
      <c r="GW458" s="9"/>
      <c r="GX458" s="9"/>
      <c r="GY458" s="9"/>
      <c r="GZ458" s="9"/>
      <c r="HA458" s="9"/>
      <c r="HB458" s="9"/>
      <c r="HC458" s="9"/>
      <c r="HD458" s="9"/>
      <c r="HE458" s="9"/>
      <c r="HF458" s="9"/>
      <c r="HG458" s="9"/>
      <c r="HH458" s="9"/>
      <c r="HI458" s="9"/>
      <c r="HJ458" s="9"/>
      <c r="HK458" s="9"/>
      <c r="HU458" s="101">
        <v>38838</v>
      </c>
      <c r="HW458" s="58"/>
      <c r="IG458" t="s">
        <v>1585</v>
      </c>
      <c r="IH458" t="s">
        <v>19</v>
      </c>
      <c r="IM458" s="87"/>
      <c r="JI458" t="s">
        <v>1585</v>
      </c>
      <c r="JJ458" s="84" t="s">
        <v>721</v>
      </c>
      <c r="MS458" t="s">
        <v>1607</v>
      </c>
      <c r="MT458">
        <v>120</v>
      </c>
      <c r="MU458" t="s">
        <v>1583</v>
      </c>
      <c r="MW458" t="s">
        <v>1598</v>
      </c>
      <c r="ND458" t="s">
        <v>1611</v>
      </c>
      <c r="NE458" s="87" t="s">
        <v>1615</v>
      </c>
      <c r="NG458" s="4" t="s">
        <v>1616</v>
      </c>
      <c r="NH458" s="102"/>
      <c r="NP458" t="s">
        <v>64</v>
      </c>
      <c r="NQ458" t="s">
        <v>6</v>
      </c>
      <c r="NR458" s="104">
        <v>1.73</v>
      </c>
      <c r="NS458" s="87" t="s">
        <v>29</v>
      </c>
      <c r="NT458" s="87" t="s">
        <v>29</v>
      </c>
      <c r="NW458">
        <v>3</v>
      </c>
      <c r="OH458" t="s">
        <v>1614</v>
      </c>
      <c r="OI458" s="88" t="s">
        <v>6</v>
      </c>
      <c r="OK458">
        <v>2006</v>
      </c>
      <c r="OL458">
        <v>2007</v>
      </c>
      <c r="OO458" t="s">
        <v>1178</v>
      </c>
      <c r="OP458" s="58">
        <v>46105</v>
      </c>
    </row>
    <row r="459" spans="1:406" ht="15.75" thickBot="1">
      <c r="A459" t="s">
        <v>248</v>
      </c>
      <c r="B459" t="s">
        <v>1580</v>
      </c>
      <c r="C459" t="s">
        <v>1183</v>
      </c>
      <c r="D459" s="4" t="s">
        <v>1955</v>
      </c>
      <c r="E459" t="s">
        <v>1596</v>
      </c>
      <c r="F459" s="100" t="s">
        <v>31</v>
      </c>
      <c r="G459" s="87" t="s">
        <v>2</v>
      </c>
      <c r="H459" s="87" t="s">
        <v>30</v>
      </c>
      <c r="I459">
        <v>7.25</v>
      </c>
      <c r="J459">
        <v>3.4166666669999999</v>
      </c>
      <c r="K459" s="87" t="s">
        <v>29</v>
      </c>
      <c r="AV459" t="s">
        <v>1715</v>
      </c>
      <c r="AW459">
        <v>3240</v>
      </c>
      <c r="AX459">
        <v>1.2E-2</v>
      </c>
      <c r="AY459">
        <v>1</v>
      </c>
      <c r="BA459">
        <v>2006</v>
      </c>
      <c r="BB459">
        <v>2007</v>
      </c>
      <c r="BD459" t="s">
        <v>19</v>
      </c>
      <c r="BE459" t="s">
        <v>1581</v>
      </c>
      <c r="BF459" t="s">
        <v>299</v>
      </c>
      <c r="BG459" s="78" t="s">
        <v>1243</v>
      </c>
      <c r="BH459" t="s">
        <v>1598</v>
      </c>
      <c r="BI459" t="s">
        <v>234</v>
      </c>
      <c r="BJ459" s="87" t="s">
        <v>22</v>
      </c>
      <c r="BK459">
        <v>20000</v>
      </c>
      <c r="EH459" s="9"/>
      <c r="EI459" s="9"/>
      <c r="EJ459" s="9"/>
      <c r="EK459" s="9"/>
      <c r="EL459" s="9"/>
      <c r="EM459" s="9"/>
      <c r="EN459" s="9"/>
      <c r="EO459" s="9"/>
      <c r="EP459" s="9"/>
      <c r="EQ459" s="9"/>
      <c r="ER459" s="9"/>
      <c r="ES459" s="9"/>
      <c r="ET459" s="9"/>
      <c r="EU459" s="9"/>
      <c r="EV459" s="9"/>
      <c r="EW459" s="9"/>
      <c r="EX459" s="9"/>
      <c r="EY459" s="9"/>
      <c r="EZ459" s="9"/>
      <c r="FA459" s="9"/>
      <c r="FB459" s="9"/>
      <c r="FC459" s="9"/>
      <c r="FD459" s="9"/>
      <c r="FE459" s="9"/>
      <c r="FF459" s="9"/>
      <c r="FG459" s="9"/>
      <c r="FH459" s="9"/>
      <c r="FI459" s="9"/>
      <c r="FJ459" s="9"/>
      <c r="FK459" s="9"/>
      <c r="FL459" s="9"/>
      <c r="FM459" s="9"/>
      <c r="FN459" s="9"/>
      <c r="FO459" s="9"/>
      <c r="FP459" s="9"/>
      <c r="FQ459" s="9"/>
      <c r="FR459" s="9"/>
      <c r="FS459" s="9"/>
      <c r="FT459" s="9"/>
      <c r="FU459" s="9"/>
      <c r="FV459" s="9"/>
      <c r="FW459" s="9"/>
      <c r="FX459" s="9"/>
      <c r="FY459" s="9"/>
      <c r="FZ459" s="9"/>
      <c r="GA459" s="9"/>
      <c r="GB459" s="9"/>
      <c r="GC459" s="9"/>
      <c r="GD459" s="9"/>
      <c r="GE459" s="9"/>
      <c r="GF459" s="9"/>
      <c r="GG459" s="9"/>
      <c r="GH459" s="9"/>
      <c r="GI459" s="9"/>
      <c r="GJ459" s="9"/>
      <c r="GK459" s="9"/>
      <c r="GL459" s="9"/>
      <c r="GM459" s="9"/>
      <c r="GN459" s="9"/>
      <c r="GO459" s="9"/>
      <c r="GP459" s="9"/>
      <c r="GQ459" s="9"/>
      <c r="GR459" s="9"/>
      <c r="GS459" s="9"/>
      <c r="GT459" s="9"/>
      <c r="GU459" s="9"/>
      <c r="GV459" s="9"/>
      <c r="GW459" s="9"/>
      <c r="GX459" s="9"/>
      <c r="GY459" s="9"/>
      <c r="GZ459" s="9"/>
      <c r="HA459" s="9"/>
      <c r="HB459" s="9"/>
      <c r="HC459" s="9"/>
      <c r="HD459" s="9"/>
      <c r="HE459" s="9"/>
      <c r="HF459" s="9"/>
      <c r="HG459" s="9"/>
      <c r="HH459" s="9"/>
      <c r="HI459" s="9"/>
      <c r="HJ459" s="9"/>
      <c r="HK459" s="9"/>
      <c r="HU459" s="101">
        <v>38838</v>
      </c>
      <c r="HW459" s="58"/>
      <c r="IG459" t="s">
        <v>1581</v>
      </c>
      <c r="IH459" t="s">
        <v>19</v>
      </c>
      <c r="JI459" t="s">
        <v>1581</v>
      </c>
      <c r="JJ459" s="84" t="s">
        <v>227</v>
      </c>
      <c r="JU459" s="8" t="s">
        <v>227</v>
      </c>
      <c r="JV459" s="8" t="s">
        <v>1600</v>
      </c>
      <c r="JW459" t="s">
        <v>13</v>
      </c>
      <c r="JX459">
        <v>40000</v>
      </c>
      <c r="MS459" t="s">
        <v>1607</v>
      </c>
      <c r="MT459">
        <v>120</v>
      </c>
      <c r="MU459" t="s">
        <v>1583</v>
      </c>
      <c r="MW459" t="s">
        <v>1598</v>
      </c>
      <c r="ND459" t="s">
        <v>1612</v>
      </c>
      <c r="NE459" s="87" t="s">
        <v>1615</v>
      </c>
      <c r="NG459" s="4" t="s">
        <v>1616</v>
      </c>
      <c r="NH459" s="102"/>
      <c r="NP459" t="s">
        <v>57</v>
      </c>
      <c r="NQ459" t="s">
        <v>6</v>
      </c>
      <c r="NR459" s="104">
        <v>2.82</v>
      </c>
      <c r="NS459" s="87" t="s">
        <v>29</v>
      </c>
      <c r="NT459" s="87" t="s">
        <v>29</v>
      </c>
      <c r="NW459">
        <v>3</v>
      </c>
      <c r="OH459" t="s">
        <v>1614</v>
      </c>
      <c r="OI459" s="88" t="s">
        <v>6</v>
      </c>
      <c r="OK459">
        <v>2006</v>
      </c>
      <c r="OL459">
        <v>2007</v>
      </c>
      <c r="OO459" t="s">
        <v>1178</v>
      </c>
      <c r="OP459" s="58">
        <v>46105</v>
      </c>
    </row>
    <row r="460" spans="1:406" ht="15.75" thickBot="1">
      <c r="A460" t="s">
        <v>248</v>
      </c>
      <c r="B460" t="s">
        <v>1580</v>
      </c>
      <c r="C460" t="s">
        <v>1183</v>
      </c>
      <c r="D460" s="4" t="s">
        <v>1955</v>
      </c>
      <c r="E460" t="s">
        <v>1596</v>
      </c>
      <c r="F460" s="100" t="s">
        <v>31</v>
      </c>
      <c r="G460" s="87" t="s">
        <v>2</v>
      </c>
      <c r="H460" s="87" t="s">
        <v>30</v>
      </c>
      <c r="I460">
        <v>7.25</v>
      </c>
      <c r="J460">
        <v>3.4166666669999999</v>
      </c>
      <c r="K460" s="87" t="s">
        <v>29</v>
      </c>
      <c r="AV460" t="s">
        <v>1715</v>
      </c>
      <c r="AW460">
        <v>3240</v>
      </c>
      <c r="AX460">
        <v>1.2E-2</v>
      </c>
      <c r="AY460">
        <v>1</v>
      </c>
      <c r="BA460">
        <v>2006</v>
      </c>
      <c r="BB460">
        <v>2007</v>
      </c>
      <c r="BD460" t="s">
        <v>19</v>
      </c>
      <c r="BE460" t="s">
        <v>1584</v>
      </c>
      <c r="BF460" t="s">
        <v>256</v>
      </c>
      <c r="BG460" s="78" t="s">
        <v>1243</v>
      </c>
      <c r="BH460" t="s">
        <v>1598</v>
      </c>
      <c r="BI460" t="s">
        <v>234</v>
      </c>
      <c r="BJ460" s="87" t="s">
        <v>22</v>
      </c>
      <c r="BK460">
        <v>20000</v>
      </c>
      <c r="EH460" s="9"/>
      <c r="EI460" s="9"/>
      <c r="EJ460" s="9"/>
      <c r="EK460" s="9"/>
      <c r="EL460" s="9"/>
      <c r="EM460" s="9"/>
      <c r="EN460" s="9"/>
      <c r="EO460" s="9"/>
      <c r="EP460" s="9"/>
      <c r="EQ460" s="9"/>
      <c r="ER460" s="9"/>
      <c r="ES460" s="9"/>
      <c r="ET460" s="9"/>
      <c r="EU460" s="9"/>
      <c r="EV460" s="9"/>
      <c r="EW460" s="9"/>
      <c r="EX460" s="9"/>
      <c r="EY460" s="9"/>
      <c r="EZ460" s="9"/>
      <c r="FA460" s="9"/>
      <c r="FB460" s="9"/>
      <c r="FC460" s="9"/>
      <c r="FD460" s="9"/>
      <c r="FE460" s="9"/>
      <c r="FF460" s="9"/>
      <c r="FG460" s="9"/>
      <c r="FH460" s="9"/>
      <c r="FI460" s="9"/>
      <c r="FJ460" s="9"/>
      <c r="FK460" s="9"/>
      <c r="FL460" s="9"/>
      <c r="FM460" s="9"/>
      <c r="FN460" s="9"/>
      <c r="FO460" s="9"/>
      <c r="FP460" s="9"/>
      <c r="FQ460" s="9"/>
      <c r="FR460" s="9"/>
      <c r="FS460" s="9"/>
      <c r="FT460" s="9"/>
      <c r="FU460" s="9"/>
      <c r="FV460" s="9"/>
      <c r="FW460" s="9"/>
      <c r="FX460" s="9"/>
      <c r="FY460" s="9"/>
      <c r="FZ460" s="9"/>
      <c r="GA460" s="9"/>
      <c r="GB460" s="9"/>
      <c r="GC460" s="9"/>
      <c r="GD460" s="9"/>
      <c r="GE460" s="9"/>
      <c r="GF460" s="9"/>
      <c r="GG460" s="9"/>
      <c r="GH460" s="9"/>
      <c r="GI460" s="9"/>
      <c r="GJ460" s="9"/>
      <c r="GK460" s="9"/>
      <c r="GL460" s="9"/>
      <c r="GM460" s="9"/>
      <c r="GN460" s="9"/>
      <c r="GO460" s="9"/>
      <c r="GP460" s="9"/>
      <c r="GQ460" s="9"/>
      <c r="GR460" s="9"/>
      <c r="GS460" s="9"/>
      <c r="GT460" s="9"/>
      <c r="GU460" s="9"/>
      <c r="GV460" s="9"/>
      <c r="GW460" s="9"/>
      <c r="GX460" s="9"/>
      <c r="GY460" s="9"/>
      <c r="GZ460" s="9"/>
      <c r="HA460" s="9"/>
      <c r="HB460" s="9"/>
      <c r="HC460" s="9"/>
      <c r="HD460" s="9"/>
      <c r="HE460" s="9"/>
      <c r="HF460" s="9"/>
      <c r="HG460" s="9"/>
      <c r="HH460" s="9"/>
      <c r="HI460" s="9"/>
      <c r="HJ460" s="9"/>
      <c r="HK460" s="9"/>
      <c r="HU460" s="101">
        <v>38838</v>
      </c>
      <c r="HW460" s="58"/>
      <c r="IG460" t="s">
        <v>1584</v>
      </c>
      <c r="IH460" t="s">
        <v>19</v>
      </c>
      <c r="JI460" t="s">
        <v>1584</v>
      </c>
      <c r="JJ460" s="84" t="s">
        <v>227</v>
      </c>
      <c r="JU460" s="8" t="s">
        <v>227</v>
      </c>
      <c r="JV460" s="8" t="s">
        <v>1600</v>
      </c>
      <c r="JW460" t="s">
        <v>13</v>
      </c>
      <c r="JX460">
        <v>80000</v>
      </c>
      <c r="MS460" t="s">
        <v>1607</v>
      </c>
      <c r="MT460">
        <v>120</v>
      </c>
      <c r="MU460" t="s">
        <v>1583</v>
      </c>
      <c r="MW460" t="s">
        <v>1598</v>
      </c>
      <c r="ND460" t="s">
        <v>1612</v>
      </c>
      <c r="NE460" s="87" t="s">
        <v>1615</v>
      </c>
      <c r="NG460" s="4" t="s">
        <v>1616</v>
      </c>
      <c r="NH460" s="102"/>
      <c r="NP460" t="s">
        <v>48</v>
      </c>
      <c r="NQ460" t="s">
        <v>6</v>
      </c>
      <c r="NR460" s="104">
        <v>2.2400000000000002</v>
      </c>
      <c r="NS460" s="87" t="s">
        <v>29</v>
      </c>
      <c r="NT460" s="87" t="s">
        <v>29</v>
      </c>
      <c r="NW460">
        <v>3</v>
      </c>
      <c r="OH460" t="s">
        <v>1614</v>
      </c>
      <c r="OI460" s="88" t="s">
        <v>6</v>
      </c>
      <c r="OK460">
        <v>2006</v>
      </c>
      <c r="OL460">
        <v>2007</v>
      </c>
      <c r="OO460" t="s">
        <v>1178</v>
      </c>
      <c r="OP460" s="58">
        <v>46105</v>
      </c>
    </row>
    <row r="461" spans="1:406" ht="15.75" thickBot="1">
      <c r="A461" t="s">
        <v>248</v>
      </c>
      <c r="B461" t="s">
        <v>1580</v>
      </c>
      <c r="C461" t="s">
        <v>1183</v>
      </c>
      <c r="D461" s="4" t="s">
        <v>1955</v>
      </c>
      <c r="E461" t="s">
        <v>1596</v>
      </c>
      <c r="F461" s="100" t="s">
        <v>31</v>
      </c>
      <c r="G461" s="87" t="s">
        <v>2</v>
      </c>
      <c r="H461" s="87" t="s">
        <v>30</v>
      </c>
      <c r="I461">
        <v>7.25</v>
      </c>
      <c r="J461">
        <v>3.4166666669999999</v>
      </c>
      <c r="K461" s="87" t="s">
        <v>29</v>
      </c>
      <c r="AV461" t="s">
        <v>1715</v>
      </c>
      <c r="AW461">
        <v>3240</v>
      </c>
      <c r="AX461">
        <v>1.2E-2</v>
      </c>
      <c r="AY461">
        <v>1</v>
      </c>
      <c r="BA461">
        <v>2006</v>
      </c>
      <c r="BB461">
        <v>2007</v>
      </c>
      <c r="BD461" t="s">
        <v>238</v>
      </c>
      <c r="BE461" t="s">
        <v>1590</v>
      </c>
      <c r="BF461" t="s">
        <v>64</v>
      </c>
      <c r="BG461" s="78" t="s">
        <v>1243</v>
      </c>
      <c r="BH461" t="s">
        <v>1587</v>
      </c>
      <c r="BI461" t="s">
        <v>1599</v>
      </c>
      <c r="BJ461" s="87" t="s">
        <v>22</v>
      </c>
      <c r="BK461">
        <v>1330</v>
      </c>
      <c r="BL461" t="s">
        <v>56</v>
      </c>
      <c r="BM461" t="s">
        <v>1598</v>
      </c>
      <c r="BN461" t="s">
        <v>234</v>
      </c>
      <c r="BO461" s="87" t="s">
        <v>22</v>
      </c>
      <c r="BP461">
        <v>20000</v>
      </c>
      <c r="EH461" s="9"/>
      <c r="EI461" s="9"/>
      <c r="EJ461" s="9"/>
      <c r="EK461" s="9"/>
      <c r="EL461" s="9"/>
      <c r="EM461" s="9"/>
      <c r="EN461" s="9"/>
      <c r="EO461" s="9"/>
      <c r="EP461" s="9"/>
      <c r="EQ461" s="9"/>
      <c r="ER461" s="9"/>
      <c r="ES461" s="9"/>
      <c r="ET461" s="9"/>
      <c r="EU461" s="9"/>
      <c r="EV461" s="9"/>
      <c r="EW461" s="9"/>
      <c r="EX461" s="9"/>
      <c r="EY461" s="9"/>
      <c r="EZ461" s="9"/>
      <c r="FA461" s="9"/>
      <c r="FB461" s="9"/>
      <c r="FC461" s="9"/>
      <c r="FD461" s="9"/>
      <c r="FE461" s="9"/>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c r="GM461" s="9"/>
      <c r="GN461" s="9"/>
      <c r="GO461" s="9"/>
      <c r="GP461" s="9"/>
      <c r="GQ461" s="9"/>
      <c r="GR461" s="9"/>
      <c r="GS461" s="9"/>
      <c r="GT461" s="9"/>
      <c r="GU461" s="9"/>
      <c r="GV461" s="9"/>
      <c r="GW461" s="9"/>
      <c r="GX461" s="9"/>
      <c r="GY461" s="9"/>
      <c r="GZ461" s="9"/>
      <c r="HA461" s="9"/>
      <c r="HB461" s="9"/>
      <c r="HC461" s="9"/>
      <c r="HD461" s="9"/>
      <c r="HE461" s="9"/>
      <c r="HF461" s="9"/>
      <c r="HG461" s="9"/>
      <c r="HH461" s="9"/>
      <c r="HI461" s="9"/>
      <c r="HJ461" s="9"/>
      <c r="HK461" s="9"/>
      <c r="HU461" s="101">
        <v>38838</v>
      </c>
      <c r="HW461" s="58"/>
      <c r="IG461" t="s">
        <v>1590</v>
      </c>
      <c r="IH461" s="87" t="s">
        <v>1200</v>
      </c>
      <c r="II461" t="s">
        <v>660</v>
      </c>
      <c r="IJ461" t="s">
        <v>661</v>
      </c>
      <c r="IK461">
        <v>2006</v>
      </c>
      <c r="IM461" s="87" t="s">
        <v>29</v>
      </c>
      <c r="JI461" t="s">
        <v>1590</v>
      </c>
      <c r="JJ461" s="84" t="s">
        <v>721</v>
      </c>
      <c r="MS461" t="s">
        <v>1607</v>
      </c>
      <c r="MT461">
        <v>120</v>
      </c>
      <c r="MU461" t="s">
        <v>1604</v>
      </c>
      <c r="MW461" t="s">
        <v>1598</v>
      </c>
      <c r="NE461" s="87" t="s">
        <v>1617</v>
      </c>
      <c r="NG461" s="103" t="s">
        <v>8</v>
      </c>
      <c r="NH461" s="102" t="s">
        <v>13</v>
      </c>
      <c r="NQ461" t="s">
        <v>6</v>
      </c>
      <c r="NR461" s="104"/>
      <c r="NS461" s="87" t="s">
        <v>29</v>
      </c>
      <c r="NT461" s="87"/>
      <c r="NW461">
        <v>3</v>
      </c>
      <c r="NX461">
        <v>4238.72</v>
      </c>
      <c r="NY461" s="87" t="s">
        <v>29</v>
      </c>
      <c r="NZ461">
        <v>0</v>
      </c>
      <c r="OA461" s="87" t="s">
        <v>29</v>
      </c>
      <c r="OB461">
        <v>266.67</v>
      </c>
      <c r="OC461" s="87" t="s">
        <v>29</v>
      </c>
      <c r="OH461" t="s">
        <v>1593</v>
      </c>
      <c r="OI461" s="87"/>
      <c r="OJ461">
        <v>2006</v>
      </c>
      <c r="OO461" t="s">
        <v>1178</v>
      </c>
      <c r="OP461" s="58">
        <v>46105</v>
      </c>
    </row>
    <row r="462" spans="1:406" ht="15.75" thickBot="1">
      <c r="A462" t="s">
        <v>248</v>
      </c>
      <c r="B462" t="s">
        <v>1580</v>
      </c>
      <c r="C462" t="s">
        <v>1183</v>
      </c>
      <c r="D462" s="4" t="s">
        <v>1955</v>
      </c>
      <c r="E462" t="s">
        <v>1596</v>
      </c>
      <c r="F462" s="100" t="s">
        <v>31</v>
      </c>
      <c r="G462" s="87" t="s">
        <v>2</v>
      </c>
      <c r="H462" s="87" t="s">
        <v>30</v>
      </c>
      <c r="I462">
        <v>7.25</v>
      </c>
      <c r="J462">
        <v>3.4166666669999999</v>
      </c>
      <c r="K462" s="87" t="s">
        <v>29</v>
      </c>
      <c r="AV462" t="s">
        <v>1715</v>
      </c>
      <c r="AW462">
        <v>3240</v>
      </c>
      <c r="AX462">
        <v>1.2E-2</v>
      </c>
      <c r="AY462">
        <v>1</v>
      </c>
      <c r="BA462">
        <v>2006</v>
      </c>
      <c r="BB462">
        <v>2007</v>
      </c>
      <c r="BD462" t="s">
        <v>19</v>
      </c>
      <c r="BE462" t="s">
        <v>1586</v>
      </c>
      <c r="BF462" t="s">
        <v>39</v>
      </c>
      <c r="BG462" s="78" t="s">
        <v>1243</v>
      </c>
      <c r="BH462" t="s">
        <v>1587</v>
      </c>
      <c r="BI462" t="s">
        <v>1599</v>
      </c>
      <c r="BJ462" s="87" t="s">
        <v>22</v>
      </c>
      <c r="BK462">
        <v>1330</v>
      </c>
      <c r="EH462" s="9"/>
      <c r="EI462" s="9"/>
      <c r="EJ462" s="9"/>
      <c r="EK462" s="9"/>
      <c r="EL462" s="9"/>
      <c r="EM462" s="9"/>
      <c r="EN462" s="9"/>
      <c r="EO462" s="9"/>
      <c r="EP462" s="9"/>
      <c r="EQ462" s="9"/>
      <c r="ER462" s="9"/>
      <c r="ES462" s="9"/>
      <c r="ET462" s="9"/>
      <c r="EU462" s="9"/>
      <c r="EV462" s="9"/>
      <c r="EW462" s="9"/>
      <c r="EX462" s="9"/>
      <c r="EY462" s="9"/>
      <c r="EZ462" s="9"/>
      <c r="FA462" s="9"/>
      <c r="FB462" s="9"/>
      <c r="FC462" s="9"/>
      <c r="FD462" s="9"/>
      <c r="FE462" s="9"/>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c r="GM462" s="9"/>
      <c r="GN462" s="9"/>
      <c r="GO462" s="9"/>
      <c r="GP462" s="9"/>
      <c r="GQ462" s="9"/>
      <c r="GR462" s="9"/>
      <c r="GS462" s="9"/>
      <c r="GT462" s="9"/>
      <c r="GU462" s="9"/>
      <c r="GV462" s="9"/>
      <c r="GW462" s="9"/>
      <c r="GX462" s="9"/>
      <c r="GY462" s="9"/>
      <c r="GZ462" s="9"/>
      <c r="HA462" s="9"/>
      <c r="HB462" s="9"/>
      <c r="HC462" s="9"/>
      <c r="HD462" s="9"/>
      <c r="HE462" s="9"/>
      <c r="HF462" s="9"/>
      <c r="HG462" s="9"/>
      <c r="HH462" s="9"/>
      <c r="HI462" s="9"/>
      <c r="HJ462" s="9"/>
      <c r="HK462" s="9"/>
      <c r="HU462" s="101">
        <v>38838</v>
      </c>
      <c r="HW462" s="58"/>
      <c r="IG462" t="s">
        <v>1586</v>
      </c>
      <c r="IH462" t="s">
        <v>19</v>
      </c>
      <c r="IM462" s="87"/>
      <c r="JI462" t="s">
        <v>1586</v>
      </c>
      <c r="JJ462" s="84" t="s">
        <v>721</v>
      </c>
      <c r="MS462" t="s">
        <v>1607</v>
      </c>
      <c r="MT462">
        <v>120</v>
      </c>
      <c r="MU462" t="s">
        <v>1603</v>
      </c>
      <c r="MX462" t="s">
        <v>1606</v>
      </c>
      <c r="MY462" t="s">
        <v>1602</v>
      </c>
      <c r="NE462" s="87" t="s">
        <v>1617</v>
      </c>
      <c r="NG462" s="103" t="s">
        <v>8</v>
      </c>
      <c r="NH462" s="102" t="s">
        <v>13</v>
      </c>
      <c r="NP462" t="s">
        <v>64</v>
      </c>
      <c r="NQ462" t="s">
        <v>6</v>
      </c>
      <c r="NR462" s="104"/>
      <c r="NS462" s="87" t="s">
        <v>29</v>
      </c>
      <c r="NT462" s="87"/>
      <c r="NW462">
        <v>3</v>
      </c>
      <c r="NY462" s="87" t="s">
        <v>29</v>
      </c>
      <c r="NZ462">
        <v>0</v>
      </c>
      <c r="OA462" s="87" t="s">
        <v>29</v>
      </c>
      <c r="OB462">
        <v>305.54000000000002</v>
      </c>
      <c r="OC462" s="87" t="s">
        <v>29</v>
      </c>
      <c r="OH462" t="s">
        <v>1593</v>
      </c>
      <c r="OI462" s="87"/>
      <c r="OJ462">
        <v>2006</v>
      </c>
      <c r="OO462" t="s">
        <v>1178</v>
      </c>
      <c r="OP462" s="58">
        <v>46105</v>
      </c>
    </row>
    <row r="463" spans="1:406" ht="15.75" thickBot="1">
      <c r="A463" t="s">
        <v>248</v>
      </c>
      <c r="B463" t="s">
        <v>1580</v>
      </c>
      <c r="C463" t="s">
        <v>1183</v>
      </c>
      <c r="D463" s="4" t="s">
        <v>1955</v>
      </c>
      <c r="E463" t="s">
        <v>1596</v>
      </c>
      <c r="F463" s="100" t="s">
        <v>31</v>
      </c>
      <c r="G463" s="87" t="s">
        <v>2</v>
      </c>
      <c r="H463" s="87" t="s">
        <v>30</v>
      </c>
      <c r="I463">
        <v>7.25</v>
      </c>
      <c r="J463">
        <v>3.4166666669999999</v>
      </c>
      <c r="K463" s="87" t="s">
        <v>29</v>
      </c>
      <c r="AV463" t="s">
        <v>1715</v>
      </c>
      <c r="AW463">
        <v>3240</v>
      </c>
      <c r="AX463">
        <v>1.2E-2</v>
      </c>
      <c r="AY463">
        <v>1</v>
      </c>
      <c r="BA463">
        <v>2006</v>
      </c>
      <c r="BB463">
        <v>2007</v>
      </c>
      <c r="BD463" t="s">
        <v>19</v>
      </c>
      <c r="BE463" t="s">
        <v>1585</v>
      </c>
      <c r="BF463" t="s">
        <v>24</v>
      </c>
      <c r="BG463" s="78" t="s">
        <v>1243</v>
      </c>
      <c r="BH463" t="s">
        <v>1598</v>
      </c>
      <c r="BI463" t="s">
        <v>838</v>
      </c>
      <c r="BJ463" s="87" t="s">
        <v>22</v>
      </c>
      <c r="BK463">
        <v>20000</v>
      </c>
      <c r="EH463" s="9"/>
      <c r="EI463" s="9"/>
      <c r="EJ463" s="9"/>
      <c r="EK463" s="9"/>
      <c r="EL463" s="9"/>
      <c r="EM463" s="9"/>
      <c r="EN463" s="9"/>
      <c r="EO463" s="9"/>
      <c r="EP463" s="9"/>
      <c r="EQ463" s="9"/>
      <c r="ER463" s="9"/>
      <c r="ES463" s="9"/>
      <c r="ET463" s="9"/>
      <c r="EU463" s="9"/>
      <c r="EV463" s="9"/>
      <c r="EW463" s="9"/>
      <c r="EX463" s="9"/>
      <c r="EY463" s="9"/>
      <c r="EZ463" s="9"/>
      <c r="FA463" s="9"/>
      <c r="FB463" s="9"/>
      <c r="FC463" s="9"/>
      <c r="FD463" s="9"/>
      <c r="FE463" s="9"/>
      <c r="FF463" s="9"/>
      <c r="FG463" s="9"/>
      <c r="FH463" s="9"/>
      <c r="FI463" s="9"/>
      <c r="FJ463" s="9"/>
      <c r="FK463" s="9"/>
      <c r="FL463" s="9"/>
      <c r="FM463" s="9"/>
      <c r="FN463" s="9"/>
      <c r="FO463" s="9"/>
      <c r="FP463" s="9"/>
      <c r="FQ463" s="9"/>
      <c r="FR463" s="9"/>
      <c r="FS463" s="9"/>
      <c r="FT463" s="9"/>
      <c r="FU463" s="9"/>
      <c r="FV463" s="9"/>
      <c r="FW463" s="9"/>
      <c r="FX463" s="9"/>
      <c r="FY463" s="9"/>
      <c r="FZ463" s="9"/>
      <c r="GA463" s="9"/>
      <c r="GB463" s="9"/>
      <c r="GC463" s="9"/>
      <c r="GD463" s="9"/>
      <c r="GE463" s="9"/>
      <c r="GF463" s="9"/>
      <c r="GG463" s="9"/>
      <c r="GH463" s="9"/>
      <c r="GI463" s="9"/>
      <c r="GJ463" s="9"/>
      <c r="GK463" s="9"/>
      <c r="GL463" s="9"/>
      <c r="GM463" s="9"/>
      <c r="GN463" s="9"/>
      <c r="GO463" s="9"/>
      <c r="GP463" s="9"/>
      <c r="GQ463" s="9"/>
      <c r="GR463" s="9"/>
      <c r="GS463" s="9"/>
      <c r="GT463" s="9"/>
      <c r="GU463" s="9"/>
      <c r="GV463" s="9"/>
      <c r="GW463" s="9"/>
      <c r="GX463" s="9"/>
      <c r="GY463" s="9"/>
      <c r="GZ463" s="9"/>
      <c r="HA463" s="9"/>
      <c r="HB463" s="9"/>
      <c r="HC463" s="9"/>
      <c r="HD463" s="9"/>
      <c r="HE463" s="9"/>
      <c r="HF463" s="9"/>
      <c r="HG463" s="9"/>
      <c r="HH463" s="9"/>
      <c r="HI463" s="9"/>
      <c r="HJ463" s="9"/>
      <c r="HK463" s="9"/>
      <c r="HU463" s="101">
        <v>38838</v>
      </c>
      <c r="HW463" s="58"/>
      <c r="IG463" t="s">
        <v>1585</v>
      </c>
      <c r="IH463" t="s">
        <v>19</v>
      </c>
      <c r="IM463" s="87"/>
      <c r="JI463" t="s">
        <v>1585</v>
      </c>
      <c r="JJ463" s="84" t="s">
        <v>721</v>
      </c>
      <c r="MS463" t="s">
        <v>1607</v>
      </c>
      <c r="MT463">
        <v>120</v>
      </c>
      <c r="MU463" t="s">
        <v>1583</v>
      </c>
      <c r="MW463" t="s">
        <v>1598</v>
      </c>
      <c r="NE463" s="87" t="s">
        <v>1617</v>
      </c>
      <c r="NG463" s="103" t="s">
        <v>8</v>
      </c>
      <c r="NH463" s="102" t="s">
        <v>13</v>
      </c>
      <c r="NP463" t="s">
        <v>64</v>
      </c>
      <c r="NQ463" t="s">
        <v>6</v>
      </c>
      <c r="NR463" s="104"/>
      <c r="NS463" s="87" t="s">
        <v>29</v>
      </c>
      <c r="NT463" s="87"/>
      <c r="NW463">
        <v>3</v>
      </c>
      <c r="NX463">
        <v>3569.3</v>
      </c>
      <c r="NY463" s="87" t="s">
        <v>29</v>
      </c>
      <c r="OH463" t="s">
        <v>1593</v>
      </c>
      <c r="OI463" s="87"/>
      <c r="OJ463">
        <v>2006</v>
      </c>
      <c r="OO463" t="s">
        <v>1178</v>
      </c>
      <c r="OP463" s="58">
        <v>46105</v>
      </c>
    </row>
    <row r="464" spans="1:406" ht="15.75" thickBot="1">
      <c r="A464" t="s">
        <v>248</v>
      </c>
      <c r="B464" t="s">
        <v>1580</v>
      </c>
      <c r="C464" t="s">
        <v>1183</v>
      </c>
      <c r="D464" s="4" t="s">
        <v>1955</v>
      </c>
      <c r="E464" t="s">
        <v>1596</v>
      </c>
      <c r="F464" s="100" t="s">
        <v>31</v>
      </c>
      <c r="G464" s="87" t="s">
        <v>2</v>
      </c>
      <c r="H464" s="87" t="s">
        <v>30</v>
      </c>
      <c r="I464">
        <v>7.25</v>
      </c>
      <c r="J464">
        <v>3.4166666669999999</v>
      </c>
      <c r="K464" s="87" t="s">
        <v>29</v>
      </c>
      <c r="AV464" t="s">
        <v>1715</v>
      </c>
      <c r="AW464">
        <v>3240</v>
      </c>
      <c r="AX464">
        <v>1.2E-2</v>
      </c>
      <c r="AY464">
        <v>1</v>
      </c>
      <c r="BA464">
        <v>2006</v>
      </c>
      <c r="BB464">
        <v>2007</v>
      </c>
      <c r="BD464" t="s">
        <v>19</v>
      </c>
      <c r="BE464" t="s">
        <v>1581</v>
      </c>
      <c r="BF464" t="s">
        <v>299</v>
      </c>
      <c r="BG464" s="78" t="s">
        <v>1243</v>
      </c>
      <c r="BH464" t="s">
        <v>1598</v>
      </c>
      <c r="BI464" t="s">
        <v>234</v>
      </c>
      <c r="BJ464" s="87" t="s">
        <v>22</v>
      </c>
      <c r="BK464">
        <v>20000</v>
      </c>
      <c r="EH464" s="9"/>
      <c r="EI464" s="9"/>
      <c r="EJ464" s="9"/>
      <c r="EK464" s="9"/>
      <c r="EL464" s="9"/>
      <c r="EM464" s="9"/>
      <c r="EN464" s="9"/>
      <c r="EO464" s="9"/>
      <c r="EP464" s="9"/>
      <c r="EQ464" s="9"/>
      <c r="ER464" s="9"/>
      <c r="ES464" s="9"/>
      <c r="ET464" s="9"/>
      <c r="EU464" s="9"/>
      <c r="EV464" s="9"/>
      <c r="EW464" s="9"/>
      <c r="EX464" s="9"/>
      <c r="EY464" s="9"/>
      <c r="EZ464" s="9"/>
      <c r="FA464" s="9"/>
      <c r="FB464" s="9"/>
      <c r="FC464" s="9"/>
      <c r="FD464" s="9"/>
      <c r="FE464" s="9"/>
      <c r="FF464" s="9"/>
      <c r="FG464" s="9"/>
      <c r="FH464" s="9"/>
      <c r="FI464" s="9"/>
      <c r="FJ464" s="9"/>
      <c r="FK464" s="9"/>
      <c r="FL464" s="9"/>
      <c r="FM464" s="9"/>
      <c r="FN464" s="9"/>
      <c r="FO464" s="9"/>
      <c r="FP464" s="9"/>
      <c r="FQ464" s="9"/>
      <c r="FR464" s="9"/>
      <c r="FS464" s="9"/>
      <c r="FT464" s="9"/>
      <c r="FU464" s="9"/>
      <c r="FV464" s="9"/>
      <c r="FW464" s="9"/>
      <c r="FX464" s="9"/>
      <c r="FY464" s="9"/>
      <c r="FZ464" s="9"/>
      <c r="GA464" s="9"/>
      <c r="GB464" s="9"/>
      <c r="GC464" s="9"/>
      <c r="GD464" s="9"/>
      <c r="GE464" s="9"/>
      <c r="GF464" s="9"/>
      <c r="GG464" s="9"/>
      <c r="GH464" s="9"/>
      <c r="GI464" s="9"/>
      <c r="GJ464" s="9"/>
      <c r="GK464" s="9"/>
      <c r="GL464" s="9"/>
      <c r="GM464" s="9"/>
      <c r="GN464" s="9"/>
      <c r="GO464" s="9"/>
      <c r="GP464" s="9"/>
      <c r="GQ464" s="9"/>
      <c r="GR464" s="9"/>
      <c r="GS464" s="9"/>
      <c r="GT464" s="9"/>
      <c r="GU464" s="9"/>
      <c r="GV464" s="9"/>
      <c r="GW464" s="9"/>
      <c r="GX464" s="9"/>
      <c r="GY464" s="9"/>
      <c r="GZ464" s="9"/>
      <c r="HA464" s="9"/>
      <c r="HB464" s="9"/>
      <c r="HC464" s="9"/>
      <c r="HD464" s="9"/>
      <c r="HE464" s="9"/>
      <c r="HF464" s="9"/>
      <c r="HG464" s="9"/>
      <c r="HH464" s="9"/>
      <c r="HI464" s="9"/>
      <c r="HJ464" s="9"/>
      <c r="HK464" s="9"/>
      <c r="HU464" s="101">
        <v>38838</v>
      </c>
      <c r="HW464" s="58"/>
      <c r="IG464" t="s">
        <v>1581</v>
      </c>
      <c r="IH464" t="s">
        <v>19</v>
      </c>
      <c r="JI464" t="s">
        <v>1581</v>
      </c>
      <c r="JJ464" s="84" t="s">
        <v>227</v>
      </c>
      <c r="JU464" s="8" t="s">
        <v>227</v>
      </c>
      <c r="JV464" s="8" t="s">
        <v>1600</v>
      </c>
      <c r="JW464" t="s">
        <v>13</v>
      </c>
      <c r="JX464">
        <v>40000</v>
      </c>
      <c r="MS464" t="s">
        <v>1607</v>
      </c>
      <c r="MT464">
        <v>120</v>
      </c>
      <c r="MU464" t="s">
        <v>1583</v>
      </c>
      <c r="MW464" t="s">
        <v>1598</v>
      </c>
      <c r="NE464" s="87" t="s">
        <v>1617</v>
      </c>
      <c r="NG464" s="103" t="s">
        <v>8</v>
      </c>
      <c r="NH464" s="102" t="s">
        <v>13</v>
      </c>
      <c r="NP464" t="s">
        <v>57</v>
      </c>
      <c r="NQ464" t="s">
        <v>6</v>
      </c>
      <c r="NR464" s="104"/>
      <c r="NS464" s="87" t="s">
        <v>29</v>
      </c>
      <c r="NT464" s="87"/>
      <c r="NW464">
        <v>3</v>
      </c>
      <c r="NX464">
        <v>9987.1</v>
      </c>
      <c r="NY464" s="87" t="s">
        <v>29</v>
      </c>
      <c r="OH464" t="s">
        <v>1594</v>
      </c>
      <c r="OI464" s="87"/>
      <c r="OJ464">
        <v>2006</v>
      </c>
      <c r="OO464" t="s">
        <v>1178</v>
      </c>
      <c r="OP464" s="58">
        <v>46105</v>
      </c>
    </row>
    <row r="465" spans="1:406" ht="15.75" thickBot="1">
      <c r="A465" t="s">
        <v>248</v>
      </c>
      <c r="B465" t="s">
        <v>1580</v>
      </c>
      <c r="C465" t="s">
        <v>1183</v>
      </c>
      <c r="D465" s="4" t="s">
        <v>1955</v>
      </c>
      <c r="E465" t="s">
        <v>1596</v>
      </c>
      <c r="F465" s="100" t="s">
        <v>31</v>
      </c>
      <c r="G465" s="87" t="s">
        <v>2</v>
      </c>
      <c r="H465" s="87" t="s">
        <v>30</v>
      </c>
      <c r="I465">
        <v>7.25</v>
      </c>
      <c r="J465">
        <v>3.4166666669999999</v>
      </c>
      <c r="K465" s="87" t="s">
        <v>29</v>
      </c>
      <c r="AV465" t="s">
        <v>1715</v>
      </c>
      <c r="AW465">
        <v>3240</v>
      </c>
      <c r="AX465">
        <v>1.2E-2</v>
      </c>
      <c r="AY465">
        <v>1</v>
      </c>
      <c r="BA465">
        <v>2006</v>
      </c>
      <c r="BB465">
        <v>2007</v>
      </c>
      <c r="BD465" t="s">
        <v>19</v>
      </c>
      <c r="BE465" t="s">
        <v>1584</v>
      </c>
      <c r="BF465" t="s">
        <v>256</v>
      </c>
      <c r="BG465" s="78" t="s">
        <v>1243</v>
      </c>
      <c r="BH465" t="s">
        <v>1598</v>
      </c>
      <c r="BI465" t="s">
        <v>234</v>
      </c>
      <c r="BJ465" s="87" t="s">
        <v>22</v>
      </c>
      <c r="BK465">
        <v>20000</v>
      </c>
      <c r="EH465" s="9"/>
      <c r="EI465" s="9"/>
      <c r="EJ465" s="9"/>
      <c r="EK465" s="9"/>
      <c r="EL465" s="9"/>
      <c r="EM465" s="9"/>
      <c r="EN465" s="9"/>
      <c r="EO465" s="9"/>
      <c r="EP465" s="9"/>
      <c r="EQ465" s="9"/>
      <c r="ER465" s="9"/>
      <c r="ES465" s="9"/>
      <c r="ET465" s="9"/>
      <c r="EU465" s="9"/>
      <c r="EV465" s="9"/>
      <c r="EW465" s="9"/>
      <c r="EX465" s="9"/>
      <c r="EY465" s="9"/>
      <c r="EZ465" s="9"/>
      <c r="FA465" s="9"/>
      <c r="FB465" s="9"/>
      <c r="FC465" s="9"/>
      <c r="FD465" s="9"/>
      <c r="FE465" s="9"/>
      <c r="FF465" s="9"/>
      <c r="FG465" s="9"/>
      <c r="FH465" s="9"/>
      <c r="FI465" s="9"/>
      <c r="FJ465" s="9"/>
      <c r="FK465" s="9"/>
      <c r="FL465" s="9"/>
      <c r="FM465" s="9"/>
      <c r="FN465" s="9"/>
      <c r="FO465" s="9"/>
      <c r="FP465" s="9"/>
      <c r="FQ465" s="9"/>
      <c r="FR465" s="9"/>
      <c r="FS465" s="9"/>
      <c r="FT465" s="9"/>
      <c r="FU465" s="9"/>
      <c r="FV465" s="9"/>
      <c r="FW465" s="9"/>
      <c r="FX465" s="9"/>
      <c r="FY465" s="9"/>
      <c r="FZ465" s="9"/>
      <c r="GA465" s="9"/>
      <c r="GB465" s="9"/>
      <c r="GC465" s="9"/>
      <c r="GD465" s="9"/>
      <c r="GE465" s="9"/>
      <c r="GF465" s="9"/>
      <c r="GG465" s="9"/>
      <c r="GH465" s="9"/>
      <c r="GI465" s="9"/>
      <c r="GJ465" s="9"/>
      <c r="GK465" s="9"/>
      <c r="GL465" s="9"/>
      <c r="GM465" s="9"/>
      <c r="GN465" s="9"/>
      <c r="GO465" s="9"/>
      <c r="GP465" s="9"/>
      <c r="GQ465" s="9"/>
      <c r="GR465" s="9"/>
      <c r="GS465" s="9"/>
      <c r="GT465" s="9"/>
      <c r="GU465" s="9"/>
      <c r="GV465" s="9"/>
      <c r="GW465" s="9"/>
      <c r="GX465" s="9"/>
      <c r="GY465" s="9"/>
      <c r="GZ465" s="9"/>
      <c r="HA465" s="9"/>
      <c r="HB465" s="9"/>
      <c r="HC465" s="9"/>
      <c r="HD465" s="9"/>
      <c r="HE465" s="9"/>
      <c r="HF465" s="9"/>
      <c r="HG465" s="9"/>
      <c r="HH465" s="9"/>
      <c r="HI465" s="9"/>
      <c r="HJ465" s="9"/>
      <c r="HK465" s="9"/>
      <c r="HU465" s="101">
        <v>38838</v>
      </c>
      <c r="HW465" s="58"/>
      <c r="IG465" t="s">
        <v>1584</v>
      </c>
      <c r="IH465" t="s">
        <v>19</v>
      </c>
      <c r="JI465" t="s">
        <v>1584</v>
      </c>
      <c r="JJ465" s="84" t="s">
        <v>227</v>
      </c>
      <c r="JU465" s="8" t="s">
        <v>227</v>
      </c>
      <c r="JV465" s="8" t="s">
        <v>1600</v>
      </c>
      <c r="JW465" t="s">
        <v>13</v>
      </c>
      <c r="JX465">
        <v>80000</v>
      </c>
      <c r="MS465" t="s">
        <v>1607</v>
      </c>
      <c r="MT465">
        <v>120</v>
      </c>
      <c r="MU465" t="s">
        <v>1583</v>
      </c>
      <c r="MW465" t="s">
        <v>1598</v>
      </c>
      <c r="NE465" s="87" t="s">
        <v>1617</v>
      </c>
      <c r="NG465" s="103" t="s">
        <v>8</v>
      </c>
      <c r="NH465" s="102" t="s">
        <v>13</v>
      </c>
      <c r="NP465" t="s">
        <v>48</v>
      </c>
      <c r="NQ465" t="s">
        <v>6</v>
      </c>
      <c r="NR465" s="104"/>
      <c r="NS465" s="87" t="s">
        <v>29</v>
      </c>
      <c r="NT465" s="87"/>
      <c r="NW465">
        <v>3</v>
      </c>
      <c r="NX465">
        <v>7821.91</v>
      </c>
      <c r="NY465" s="87" t="s">
        <v>29</v>
      </c>
      <c r="OH465" t="s">
        <v>1594</v>
      </c>
      <c r="OI465" s="87"/>
      <c r="OJ465">
        <v>2006</v>
      </c>
      <c r="OO465" t="s">
        <v>1178</v>
      </c>
      <c r="OP465" s="58">
        <v>46105</v>
      </c>
    </row>
    <row r="466" spans="1:406" ht="15.75" thickBot="1">
      <c r="A466" t="s">
        <v>248</v>
      </c>
      <c r="B466" t="s">
        <v>1580</v>
      </c>
      <c r="C466" t="s">
        <v>1183</v>
      </c>
      <c r="D466" s="4" t="s">
        <v>1955</v>
      </c>
      <c r="E466" t="s">
        <v>1596</v>
      </c>
      <c r="F466" s="100" t="s">
        <v>31</v>
      </c>
      <c r="G466" s="87" t="s">
        <v>2</v>
      </c>
      <c r="H466" s="87" t="s">
        <v>30</v>
      </c>
      <c r="I466">
        <v>7.25</v>
      </c>
      <c r="J466">
        <v>3.4166666669999999</v>
      </c>
      <c r="K466" s="87" t="s">
        <v>29</v>
      </c>
      <c r="AV466" t="s">
        <v>1715</v>
      </c>
      <c r="AW466">
        <v>3240</v>
      </c>
      <c r="AX466">
        <v>1.2E-2</v>
      </c>
      <c r="AY466">
        <v>1</v>
      </c>
      <c r="BA466">
        <v>2006</v>
      </c>
      <c r="BB466">
        <v>2007</v>
      </c>
      <c r="BD466" t="s">
        <v>19</v>
      </c>
      <c r="BE466" t="s">
        <v>1588</v>
      </c>
      <c r="BF466" t="s">
        <v>1467</v>
      </c>
      <c r="BG466" s="78" t="s">
        <v>1243</v>
      </c>
      <c r="BH466" t="s">
        <v>1587</v>
      </c>
      <c r="BI466" t="s">
        <v>1599</v>
      </c>
      <c r="BJ466" s="87" t="s">
        <v>22</v>
      </c>
      <c r="BK466">
        <v>1330</v>
      </c>
      <c r="EH466" s="9"/>
      <c r="EI466" s="9"/>
      <c r="EJ466" s="9"/>
      <c r="EK466" s="9"/>
      <c r="EL466" s="9"/>
      <c r="EM466" s="9"/>
      <c r="EN466" s="9"/>
      <c r="EO466" s="9"/>
      <c r="EP466" s="9"/>
      <c r="EQ466" s="9"/>
      <c r="ER466" s="9"/>
      <c r="ES466" s="9"/>
      <c r="ET466" s="9"/>
      <c r="EU466" s="9"/>
      <c r="EV466" s="9"/>
      <c r="EW466" s="9"/>
      <c r="EX466" s="9"/>
      <c r="EY466" s="9"/>
      <c r="EZ466" s="9"/>
      <c r="FA466" s="9"/>
      <c r="FB466" s="9"/>
      <c r="FC466" s="9"/>
      <c r="FD466" s="9"/>
      <c r="FE466" s="9"/>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c r="GM466" s="9"/>
      <c r="GN466" s="9"/>
      <c r="GO466" s="9"/>
      <c r="GP466" s="9"/>
      <c r="GQ466" s="9"/>
      <c r="GR466" s="9"/>
      <c r="GS466" s="9"/>
      <c r="GT466" s="9"/>
      <c r="GU466" s="9"/>
      <c r="GV466" s="9"/>
      <c r="GW466" s="9"/>
      <c r="GX466" s="9"/>
      <c r="GY466" s="9"/>
      <c r="GZ466" s="9"/>
      <c r="HA466" s="9"/>
      <c r="HB466" s="9"/>
      <c r="HC466" s="9"/>
      <c r="HD466" s="9"/>
      <c r="HE466" s="9"/>
      <c r="HF466" s="9"/>
      <c r="HG466" s="9"/>
      <c r="HH466" s="9"/>
      <c r="HI466" s="9"/>
      <c r="HJ466" s="9"/>
      <c r="HK466" s="9"/>
      <c r="HU466" s="101">
        <v>38838</v>
      </c>
      <c r="HW466" s="58"/>
      <c r="IG466" t="s">
        <v>1588</v>
      </c>
      <c r="IH466" t="s">
        <v>19</v>
      </c>
      <c r="JI466" t="s">
        <v>1588</v>
      </c>
      <c r="JJ466" s="84" t="s">
        <v>227</v>
      </c>
      <c r="JU466" s="8" t="s">
        <v>227</v>
      </c>
      <c r="JV466" s="8" t="s">
        <v>1600</v>
      </c>
      <c r="JW466" t="s">
        <v>13</v>
      </c>
      <c r="JX466">
        <v>40000</v>
      </c>
      <c r="MS466" t="s">
        <v>1607</v>
      </c>
      <c r="MT466">
        <v>120</v>
      </c>
      <c r="MU466" t="s">
        <v>1603</v>
      </c>
      <c r="MX466" t="s">
        <v>1606</v>
      </c>
      <c r="MY466" t="s">
        <v>1602</v>
      </c>
      <c r="NE466" s="87" t="s">
        <v>1617</v>
      </c>
      <c r="NG466" s="103" t="s">
        <v>8</v>
      </c>
      <c r="NH466" s="102" t="s">
        <v>13</v>
      </c>
      <c r="NP466" t="s">
        <v>57</v>
      </c>
      <c r="NQ466" t="s">
        <v>6</v>
      </c>
      <c r="NR466" s="104"/>
      <c r="NS466" s="87" t="s">
        <v>29</v>
      </c>
      <c r="NT466" s="87"/>
      <c r="NW466">
        <v>3</v>
      </c>
      <c r="NY466" s="87"/>
      <c r="NZ466">
        <v>1133.29</v>
      </c>
      <c r="OA466" s="87" t="s">
        <v>29</v>
      </c>
      <c r="OB466">
        <v>666.64</v>
      </c>
      <c r="OC466" s="87" t="s">
        <v>29</v>
      </c>
      <c r="OH466" t="s">
        <v>1595</v>
      </c>
      <c r="OI466" s="87"/>
      <c r="OJ466">
        <v>2006</v>
      </c>
      <c r="OO466" t="s">
        <v>1178</v>
      </c>
      <c r="OP466" s="58">
        <v>46105</v>
      </c>
    </row>
    <row r="467" spans="1:406" ht="15.75" thickBot="1">
      <c r="A467" t="s">
        <v>248</v>
      </c>
      <c r="B467" t="s">
        <v>1580</v>
      </c>
      <c r="C467" t="s">
        <v>1183</v>
      </c>
      <c r="D467" s="4" t="s">
        <v>1955</v>
      </c>
      <c r="E467" t="s">
        <v>1596</v>
      </c>
      <c r="F467" s="100" t="s">
        <v>31</v>
      </c>
      <c r="G467" s="87" t="s">
        <v>2</v>
      </c>
      <c r="H467" s="87" t="s">
        <v>30</v>
      </c>
      <c r="I467">
        <v>7.25</v>
      </c>
      <c r="J467">
        <v>3.4166666669999999</v>
      </c>
      <c r="K467" s="87" t="s">
        <v>29</v>
      </c>
      <c r="AV467" t="s">
        <v>1715</v>
      </c>
      <c r="AW467">
        <v>3240</v>
      </c>
      <c r="AX467">
        <v>1.2E-2</v>
      </c>
      <c r="AY467">
        <v>1</v>
      </c>
      <c r="BA467">
        <v>2006</v>
      </c>
      <c r="BB467">
        <v>2007</v>
      </c>
      <c r="BD467" t="s">
        <v>19</v>
      </c>
      <c r="BE467" t="s">
        <v>1589</v>
      </c>
      <c r="BF467" t="s">
        <v>1469</v>
      </c>
      <c r="BG467" s="78" t="s">
        <v>1243</v>
      </c>
      <c r="BH467" t="s">
        <v>1587</v>
      </c>
      <c r="BI467" t="s">
        <v>1599</v>
      </c>
      <c r="BJ467" s="87" t="s">
        <v>22</v>
      </c>
      <c r="BK467">
        <v>1330</v>
      </c>
      <c r="EH467" s="9"/>
      <c r="EI467" s="9"/>
      <c r="EJ467" s="9"/>
      <c r="EK467" s="9"/>
      <c r="EL467" s="9"/>
      <c r="EM467" s="9"/>
      <c r="EN467" s="9"/>
      <c r="EO467" s="9"/>
      <c r="EP467" s="9"/>
      <c r="EQ467" s="9"/>
      <c r="ER467" s="9"/>
      <c r="ES467" s="9"/>
      <c r="ET467" s="9"/>
      <c r="EU467" s="9"/>
      <c r="EV467" s="9"/>
      <c r="EW467" s="9"/>
      <c r="EX467" s="9"/>
      <c r="EY467" s="9"/>
      <c r="EZ467" s="9"/>
      <c r="FA467" s="9"/>
      <c r="FB467" s="9"/>
      <c r="FC467" s="9"/>
      <c r="FD467" s="9"/>
      <c r="FE467" s="9"/>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c r="GM467" s="9"/>
      <c r="GN467" s="9"/>
      <c r="GO467" s="9"/>
      <c r="GP467" s="9"/>
      <c r="GQ467" s="9"/>
      <c r="GR467" s="9"/>
      <c r="GS467" s="9"/>
      <c r="GT467" s="9"/>
      <c r="GU467" s="9"/>
      <c r="GV467" s="9"/>
      <c r="GW467" s="9"/>
      <c r="GX467" s="9"/>
      <c r="GY467" s="9"/>
      <c r="GZ467" s="9"/>
      <c r="HA467" s="9"/>
      <c r="HB467" s="9"/>
      <c r="HC467" s="9"/>
      <c r="HD467" s="9"/>
      <c r="HE467" s="9"/>
      <c r="HF467" s="9"/>
      <c r="HG467" s="9"/>
      <c r="HH467" s="9"/>
      <c r="HI467" s="9"/>
      <c r="HJ467" s="9"/>
      <c r="HK467" s="9"/>
      <c r="HU467" s="101">
        <v>38838</v>
      </c>
      <c r="HW467" s="58"/>
      <c r="IG467" t="s">
        <v>1589</v>
      </c>
      <c r="IH467" t="s">
        <v>19</v>
      </c>
      <c r="JI467" t="s">
        <v>1589</v>
      </c>
      <c r="JJ467" s="84" t="s">
        <v>227</v>
      </c>
      <c r="JU467" s="8" t="s">
        <v>227</v>
      </c>
      <c r="JV467" s="8" t="s">
        <v>1600</v>
      </c>
      <c r="JW467" t="s">
        <v>13</v>
      </c>
      <c r="JX467">
        <v>80000</v>
      </c>
      <c r="MS467" t="s">
        <v>1607</v>
      </c>
      <c r="MT467">
        <v>120</v>
      </c>
      <c r="MU467" t="s">
        <v>1603</v>
      </c>
      <c r="MX467" t="s">
        <v>1606</v>
      </c>
      <c r="MY467" t="s">
        <v>1602</v>
      </c>
      <c r="NE467" s="87" t="s">
        <v>1617</v>
      </c>
      <c r="NG467" s="103" t="s">
        <v>8</v>
      </c>
      <c r="NH467" s="102" t="s">
        <v>13</v>
      </c>
      <c r="NP467" t="s">
        <v>48</v>
      </c>
      <c r="NQ467" t="s">
        <v>6</v>
      </c>
      <c r="NR467" s="104"/>
      <c r="NS467" s="87" t="s">
        <v>29</v>
      </c>
      <c r="NT467" s="87"/>
      <c r="NW467">
        <v>3</v>
      </c>
      <c r="NY467" s="87"/>
      <c r="NZ467">
        <v>0</v>
      </c>
      <c r="OA467" s="87" t="s">
        <v>29</v>
      </c>
      <c r="OB467">
        <v>916.63</v>
      </c>
      <c r="OC467" s="87" t="s">
        <v>29</v>
      </c>
      <c r="OH467" t="s">
        <v>1595</v>
      </c>
      <c r="OI467" s="87"/>
      <c r="OJ467">
        <v>2006</v>
      </c>
      <c r="OO467" t="s">
        <v>1178</v>
      </c>
      <c r="OP467" s="58">
        <v>46105</v>
      </c>
    </row>
    <row r="468" spans="1:406" ht="15.75" thickBot="1">
      <c r="A468" t="s">
        <v>248</v>
      </c>
      <c r="B468" t="s">
        <v>1580</v>
      </c>
      <c r="C468" t="s">
        <v>1183</v>
      </c>
      <c r="D468" s="4" t="s">
        <v>1955</v>
      </c>
      <c r="E468" t="s">
        <v>1596</v>
      </c>
      <c r="F468" s="100" t="s">
        <v>31</v>
      </c>
      <c r="G468" s="87" t="s">
        <v>2</v>
      </c>
      <c r="H468" s="87" t="s">
        <v>30</v>
      </c>
      <c r="I468">
        <v>7.25</v>
      </c>
      <c r="J468">
        <v>3.4166666669999999</v>
      </c>
      <c r="K468" s="87" t="s">
        <v>29</v>
      </c>
      <c r="AV468" t="s">
        <v>1715</v>
      </c>
      <c r="AW468">
        <v>3240</v>
      </c>
      <c r="AX468">
        <v>1.2E-2</v>
      </c>
      <c r="AY468">
        <v>1</v>
      </c>
      <c r="BA468">
        <v>2006</v>
      </c>
      <c r="BB468">
        <v>2007</v>
      </c>
      <c r="BD468" t="s">
        <v>238</v>
      </c>
      <c r="BE468" t="s">
        <v>1591</v>
      </c>
      <c r="BF468" t="s">
        <v>57</v>
      </c>
      <c r="BG468" s="78" t="s">
        <v>1243</v>
      </c>
      <c r="BH468" t="s">
        <v>1587</v>
      </c>
      <c r="BI468" t="s">
        <v>1599</v>
      </c>
      <c r="BJ468" s="87" t="s">
        <v>22</v>
      </c>
      <c r="BK468">
        <v>1330</v>
      </c>
      <c r="BL468" t="s">
        <v>56</v>
      </c>
      <c r="BM468" t="s">
        <v>1598</v>
      </c>
      <c r="BN468" t="s">
        <v>234</v>
      </c>
      <c r="BO468" s="87" t="s">
        <v>22</v>
      </c>
      <c r="BP468">
        <v>20000</v>
      </c>
      <c r="EH468" s="9"/>
      <c r="EI468" s="9"/>
      <c r="EJ468" s="9"/>
      <c r="EK468" s="9"/>
      <c r="EL468" s="9"/>
      <c r="EM468" s="9"/>
      <c r="EN468" s="9"/>
      <c r="EO468" s="9"/>
      <c r="EP468" s="9"/>
      <c r="EQ468" s="9"/>
      <c r="ER468" s="9"/>
      <c r="ES468" s="9"/>
      <c r="ET468" s="9"/>
      <c r="EU468" s="9"/>
      <c r="EV468" s="9"/>
      <c r="EW468" s="9"/>
      <c r="EX468" s="9"/>
      <c r="EY468" s="9"/>
      <c r="EZ468" s="9"/>
      <c r="FA468" s="9"/>
      <c r="FB468" s="9"/>
      <c r="FC468" s="9"/>
      <c r="FD468" s="9"/>
      <c r="FE468" s="9"/>
      <c r="FF468" s="9"/>
      <c r="FG468" s="9"/>
      <c r="FH468" s="9"/>
      <c r="FI468" s="9"/>
      <c r="FJ468" s="9"/>
      <c r="FK468" s="9"/>
      <c r="FL468" s="9"/>
      <c r="FM468" s="9"/>
      <c r="FN468" s="9"/>
      <c r="FO468" s="9"/>
      <c r="FP468" s="9"/>
      <c r="FQ468" s="9"/>
      <c r="FR468" s="9"/>
      <c r="FS468" s="9"/>
      <c r="FT468" s="9"/>
      <c r="FU468" s="9"/>
      <c r="FV468" s="9"/>
      <c r="FW468" s="9"/>
      <c r="FX468" s="9"/>
      <c r="FY468" s="9"/>
      <c r="FZ468" s="9"/>
      <c r="GA468" s="9"/>
      <c r="GB468" s="9"/>
      <c r="GC468" s="9"/>
      <c r="GD468" s="9"/>
      <c r="GE468" s="9"/>
      <c r="GF468" s="9"/>
      <c r="GG468" s="9"/>
      <c r="GH468" s="9"/>
      <c r="GI468" s="9"/>
      <c r="GJ468" s="9"/>
      <c r="GK468" s="9"/>
      <c r="GL468" s="9"/>
      <c r="GM468" s="9"/>
      <c r="GN468" s="9"/>
      <c r="GO468" s="9"/>
      <c r="GP468" s="9"/>
      <c r="GQ468" s="9"/>
      <c r="GR468" s="9"/>
      <c r="GS468" s="9"/>
      <c r="GT468" s="9"/>
      <c r="GU468" s="9"/>
      <c r="GV468" s="9"/>
      <c r="GW468" s="9"/>
      <c r="GX468" s="9"/>
      <c r="GY468" s="9"/>
      <c r="GZ468" s="9"/>
      <c r="HA468" s="9"/>
      <c r="HB468" s="9"/>
      <c r="HC468" s="9"/>
      <c r="HD468" s="9"/>
      <c r="HE468" s="9"/>
      <c r="HF468" s="9"/>
      <c r="HG468" s="9"/>
      <c r="HH468" s="9"/>
      <c r="HI468" s="9"/>
      <c r="HJ468" s="9"/>
      <c r="HK468" s="9"/>
      <c r="HU468" s="101">
        <v>38838</v>
      </c>
      <c r="HW468" s="58"/>
      <c r="IG468" t="s">
        <v>1591</v>
      </c>
      <c r="IH468" s="87" t="s">
        <v>1200</v>
      </c>
      <c r="II468" t="s">
        <v>660</v>
      </c>
      <c r="IJ468" t="s">
        <v>661</v>
      </c>
      <c r="IK468">
        <v>2006</v>
      </c>
      <c r="IM468" s="87" t="s">
        <v>29</v>
      </c>
      <c r="JI468" t="s">
        <v>1591</v>
      </c>
      <c r="JJ468" s="84" t="s">
        <v>227</v>
      </c>
      <c r="JU468" s="8" t="s">
        <v>227</v>
      </c>
      <c r="JV468" s="8" t="s">
        <v>1600</v>
      </c>
      <c r="JW468" t="s">
        <v>13</v>
      </c>
      <c r="JX468">
        <v>40000</v>
      </c>
      <c r="MS468" t="s">
        <v>1607</v>
      </c>
      <c r="MT468">
        <v>120</v>
      </c>
      <c r="MU468" t="s">
        <v>1604</v>
      </c>
      <c r="MW468" t="s">
        <v>1598</v>
      </c>
      <c r="MX468" t="s">
        <v>1606</v>
      </c>
      <c r="MY468" t="s">
        <v>1602</v>
      </c>
      <c r="NE468" s="87" t="s">
        <v>1617</v>
      </c>
      <c r="NG468" s="103" t="s">
        <v>8</v>
      </c>
      <c r="NH468" s="102" t="s">
        <v>13</v>
      </c>
      <c r="NQ468" t="s">
        <v>6</v>
      </c>
      <c r="NR468" s="104"/>
      <c r="NS468" s="87" t="s">
        <v>29</v>
      </c>
      <c r="NT468" s="87"/>
      <c r="NW468">
        <v>3</v>
      </c>
      <c r="NX468">
        <v>5771.99</v>
      </c>
      <c r="NY468" s="87" t="s">
        <v>29</v>
      </c>
      <c r="NZ468">
        <v>0</v>
      </c>
      <c r="OA468" s="87" t="s">
        <v>29</v>
      </c>
      <c r="OB468">
        <v>400</v>
      </c>
      <c r="OC468" s="87" t="s">
        <v>29</v>
      </c>
      <c r="OH468" t="s">
        <v>1605</v>
      </c>
      <c r="OI468" s="87"/>
      <c r="OJ468">
        <v>2006</v>
      </c>
      <c r="OO468" t="s">
        <v>1178</v>
      </c>
      <c r="OP468" s="58">
        <v>46105</v>
      </c>
    </row>
    <row r="469" spans="1:406" ht="15.75" thickBot="1">
      <c r="A469" t="s">
        <v>248</v>
      </c>
      <c r="B469" t="s">
        <v>1580</v>
      </c>
      <c r="C469" t="s">
        <v>1183</v>
      </c>
      <c r="D469" s="4" t="s">
        <v>1955</v>
      </c>
      <c r="E469" t="s">
        <v>1596</v>
      </c>
      <c r="F469" s="100" t="s">
        <v>31</v>
      </c>
      <c r="G469" s="87" t="s">
        <v>2</v>
      </c>
      <c r="H469" s="87" t="s">
        <v>30</v>
      </c>
      <c r="I469">
        <v>7.25</v>
      </c>
      <c r="J469">
        <v>3.4166666669999999</v>
      </c>
      <c r="K469" s="87" t="s">
        <v>29</v>
      </c>
      <c r="AV469" t="s">
        <v>1715</v>
      </c>
      <c r="AW469">
        <v>3240</v>
      </c>
      <c r="AX469">
        <v>1.2E-2</v>
      </c>
      <c r="AY469">
        <v>1</v>
      </c>
      <c r="BA469">
        <v>2006</v>
      </c>
      <c r="BB469">
        <v>2007</v>
      </c>
      <c r="BD469" t="s">
        <v>238</v>
      </c>
      <c r="BE469" t="s">
        <v>1592</v>
      </c>
      <c r="BF469" t="s">
        <v>48</v>
      </c>
      <c r="BG469" s="78" t="s">
        <v>1243</v>
      </c>
      <c r="BH469" t="s">
        <v>1587</v>
      </c>
      <c r="BI469" t="s">
        <v>1599</v>
      </c>
      <c r="BJ469" s="87" t="s">
        <v>22</v>
      </c>
      <c r="BK469">
        <v>1330</v>
      </c>
      <c r="BL469" t="s">
        <v>56</v>
      </c>
      <c r="BM469" t="s">
        <v>1598</v>
      </c>
      <c r="BN469" t="s">
        <v>234</v>
      </c>
      <c r="BO469" s="87" t="s">
        <v>22</v>
      </c>
      <c r="BP469">
        <v>20000</v>
      </c>
      <c r="EH469" s="9"/>
      <c r="EI469" s="9"/>
      <c r="EJ469" s="9"/>
      <c r="EK469" s="9"/>
      <c r="EL469" s="9"/>
      <c r="EM469" s="9"/>
      <c r="EN469" s="9"/>
      <c r="EO469" s="9"/>
      <c r="EP469" s="9"/>
      <c r="EQ469" s="9"/>
      <c r="ER469" s="9"/>
      <c r="ES469" s="9"/>
      <c r="ET469" s="9"/>
      <c r="EU469" s="9"/>
      <c r="EV469" s="9"/>
      <c r="EW469" s="9"/>
      <c r="EX469" s="9"/>
      <c r="EY469" s="9"/>
      <c r="EZ469" s="9"/>
      <c r="FA469" s="9"/>
      <c r="FB469" s="9"/>
      <c r="FC469" s="9"/>
      <c r="FD469" s="9"/>
      <c r="FE469" s="9"/>
      <c r="FF469" s="9"/>
      <c r="FG469" s="9"/>
      <c r="FH469" s="9"/>
      <c r="FI469" s="9"/>
      <c r="FJ469" s="9"/>
      <c r="FK469" s="9"/>
      <c r="FL469" s="9"/>
      <c r="FM469" s="9"/>
      <c r="FN469" s="9"/>
      <c r="FO469" s="9"/>
      <c r="FP469" s="9"/>
      <c r="FQ469" s="9"/>
      <c r="FR469" s="9"/>
      <c r="FS469" s="9"/>
      <c r="FT469" s="9"/>
      <c r="FU469" s="9"/>
      <c r="FV469" s="9"/>
      <c r="FW469" s="9"/>
      <c r="FX469" s="9"/>
      <c r="FY469" s="9"/>
      <c r="FZ469" s="9"/>
      <c r="GA469" s="9"/>
      <c r="GB469" s="9"/>
      <c r="GC469" s="9"/>
      <c r="GD469" s="9"/>
      <c r="GE469" s="9"/>
      <c r="GF469" s="9"/>
      <c r="GG469" s="9"/>
      <c r="GH469" s="9"/>
      <c r="GI469" s="9"/>
      <c r="GJ469" s="9"/>
      <c r="GK469" s="9"/>
      <c r="GL469" s="9"/>
      <c r="GM469" s="9"/>
      <c r="GN469" s="9"/>
      <c r="GO469" s="9"/>
      <c r="GP469" s="9"/>
      <c r="GQ469" s="9"/>
      <c r="GR469" s="9"/>
      <c r="GS469" s="9"/>
      <c r="GT469" s="9"/>
      <c r="GU469" s="9"/>
      <c r="GV469" s="9"/>
      <c r="GW469" s="9"/>
      <c r="GX469" s="9"/>
      <c r="GY469" s="9"/>
      <c r="GZ469" s="9"/>
      <c r="HA469" s="9"/>
      <c r="HB469" s="9"/>
      <c r="HC469" s="9"/>
      <c r="HD469" s="9"/>
      <c r="HE469" s="9"/>
      <c r="HF469" s="9"/>
      <c r="HG469" s="9"/>
      <c r="HH469" s="9"/>
      <c r="HI469" s="9"/>
      <c r="HJ469" s="9"/>
      <c r="HK469" s="9"/>
      <c r="HU469" s="101">
        <v>38838</v>
      </c>
      <c r="HW469" s="58"/>
      <c r="IG469" t="s">
        <v>1592</v>
      </c>
      <c r="IH469" s="87" t="s">
        <v>1200</v>
      </c>
      <c r="II469" t="s">
        <v>660</v>
      </c>
      <c r="IJ469" t="s">
        <v>661</v>
      </c>
      <c r="IK469">
        <v>2006</v>
      </c>
      <c r="IM469" s="87" t="s">
        <v>29</v>
      </c>
      <c r="JI469" t="s">
        <v>1592</v>
      </c>
      <c r="JJ469" s="84" t="s">
        <v>227</v>
      </c>
      <c r="JU469" s="8" t="s">
        <v>227</v>
      </c>
      <c r="JV469" s="8" t="s">
        <v>1600</v>
      </c>
      <c r="JW469" t="s">
        <v>13</v>
      </c>
      <c r="JX469">
        <v>80000</v>
      </c>
      <c r="MS469" t="s">
        <v>1607</v>
      </c>
      <c r="MT469">
        <v>120</v>
      </c>
      <c r="MU469" t="s">
        <v>1604</v>
      </c>
      <c r="MW469" t="s">
        <v>1598</v>
      </c>
      <c r="MX469" t="s">
        <v>1606</v>
      </c>
      <c r="MY469" t="s">
        <v>1602</v>
      </c>
      <c r="NE469" s="87" t="s">
        <v>1617</v>
      </c>
      <c r="NG469" s="103" t="s">
        <v>8</v>
      </c>
      <c r="NH469" s="102" t="s">
        <v>13</v>
      </c>
      <c r="NQ469" t="s">
        <v>6</v>
      </c>
      <c r="NR469" s="104"/>
      <c r="NS469" s="87" t="s">
        <v>29</v>
      </c>
      <c r="NT469" s="87"/>
      <c r="NW469">
        <v>3</v>
      </c>
      <c r="NX469">
        <v>4747.03</v>
      </c>
      <c r="NY469" s="87" t="s">
        <v>29</v>
      </c>
      <c r="NZ469">
        <v>3510.97</v>
      </c>
      <c r="OA469" s="87" t="s">
        <v>29</v>
      </c>
      <c r="OB469">
        <v>316.67</v>
      </c>
      <c r="OC469" s="87" t="s">
        <v>29</v>
      </c>
      <c r="OH469" t="s">
        <v>1605</v>
      </c>
      <c r="OI469" s="87"/>
      <c r="OJ469">
        <v>2006</v>
      </c>
      <c r="OO469" t="s">
        <v>1178</v>
      </c>
      <c r="OP469" s="58">
        <v>46105</v>
      </c>
    </row>
    <row r="470" spans="1:406" ht="15.75" thickBot="1">
      <c r="A470" t="s">
        <v>248</v>
      </c>
      <c r="B470" t="s">
        <v>1580</v>
      </c>
      <c r="C470" t="s">
        <v>1183</v>
      </c>
      <c r="D470" s="4" t="s">
        <v>1955</v>
      </c>
      <c r="E470" t="s">
        <v>1596</v>
      </c>
      <c r="F470" s="100" t="s">
        <v>31</v>
      </c>
      <c r="G470" s="87" t="s">
        <v>2</v>
      </c>
      <c r="H470" s="87" t="s">
        <v>30</v>
      </c>
      <c r="I470">
        <v>7.25</v>
      </c>
      <c r="J470">
        <v>3.4166666669999999</v>
      </c>
      <c r="K470" s="87" t="s">
        <v>29</v>
      </c>
      <c r="AV470" t="s">
        <v>1715</v>
      </c>
      <c r="AW470">
        <v>3240</v>
      </c>
      <c r="AX470">
        <v>1.2E-2</v>
      </c>
      <c r="AY470">
        <v>1</v>
      </c>
      <c r="BA470">
        <v>2006</v>
      </c>
      <c r="BB470">
        <v>2007</v>
      </c>
      <c r="BD470" t="s">
        <v>238</v>
      </c>
      <c r="BE470" t="s">
        <v>1590</v>
      </c>
      <c r="BF470" t="s">
        <v>64</v>
      </c>
      <c r="BG470" s="78" t="s">
        <v>1243</v>
      </c>
      <c r="BH470" t="s">
        <v>1587</v>
      </c>
      <c r="BI470" t="s">
        <v>1599</v>
      </c>
      <c r="BJ470" s="87" t="s">
        <v>22</v>
      </c>
      <c r="BK470">
        <v>1330</v>
      </c>
      <c r="BL470" t="s">
        <v>56</v>
      </c>
      <c r="BM470" t="s">
        <v>1598</v>
      </c>
      <c r="BN470" t="s">
        <v>234</v>
      </c>
      <c r="BO470" s="87" t="s">
        <v>22</v>
      </c>
      <c r="BP470">
        <v>20000</v>
      </c>
      <c r="EH470" s="9"/>
      <c r="EI470" s="9"/>
      <c r="EJ470" s="9"/>
      <c r="EK470" s="9"/>
      <c r="EL470" s="9"/>
      <c r="EM470" s="9"/>
      <c r="EN470" s="9"/>
      <c r="EO470" s="9"/>
      <c r="EP470" s="9"/>
      <c r="EQ470" s="9"/>
      <c r="ER470" s="9"/>
      <c r="ES470" s="9"/>
      <c r="ET470" s="9"/>
      <c r="EU470" s="9"/>
      <c r="EV470" s="9"/>
      <c r="EW470" s="9"/>
      <c r="EX470" s="9"/>
      <c r="EY470" s="9"/>
      <c r="EZ470" s="9"/>
      <c r="FA470" s="9"/>
      <c r="FB470" s="9"/>
      <c r="FC470" s="9"/>
      <c r="FD470" s="9"/>
      <c r="FE470" s="9"/>
      <c r="FF470" s="9"/>
      <c r="FG470" s="9"/>
      <c r="FH470" s="9"/>
      <c r="FI470" s="9"/>
      <c r="FJ470" s="9"/>
      <c r="FK470" s="9"/>
      <c r="FL470" s="9"/>
      <c r="FM470" s="9"/>
      <c r="FN470" s="9"/>
      <c r="FO470" s="9"/>
      <c r="FP470" s="9"/>
      <c r="FQ470" s="9"/>
      <c r="FR470" s="9"/>
      <c r="FS470" s="9"/>
      <c r="FT470" s="9"/>
      <c r="FU470" s="9"/>
      <c r="FV470" s="9"/>
      <c r="FW470" s="9"/>
      <c r="FX470" s="9"/>
      <c r="FY470" s="9"/>
      <c r="FZ470" s="9"/>
      <c r="GA470" s="9"/>
      <c r="GB470" s="9"/>
      <c r="GC470" s="9"/>
      <c r="GD470" s="9"/>
      <c r="GE470" s="9"/>
      <c r="GF470" s="9"/>
      <c r="GG470" s="9"/>
      <c r="GH470" s="9"/>
      <c r="GI470" s="9"/>
      <c r="GJ470" s="9"/>
      <c r="GK470" s="9"/>
      <c r="GL470" s="9"/>
      <c r="GM470" s="9"/>
      <c r="GN470" s="9"/>
      <c r="GO470" s="9"/>
      <c r="GP470" s="9"/>
      <c r="GQ470" s="9"/>
      <c r="GR470" s="9"/>
      <c r="GS470" s="9"/>
      <c r="GT470" s="9"/>
      <c r="GU470" s="9"/>
      <c r="GV470" s="9"/>
      <c r="GW470" s="9"/>
      <c r="GX470" s="9"/>
      <c r="GY470" s="9"/>
      <c r="GZ470" s="9"/>
      <c r="HA470" s="9"/>
      <c r="HB470" s="9"/>
      <c r="HC470" s="9"/>
      <c r="HD470" s="9"/>
      <c r="HE470" s="9"/>
      <c r="HF470" s="9"/>
      <c r="HG470" s="9"/>
      <c r="HH470" s="9"/>
      <c r="HI470" s="9"/>
      <c r="HJ470" s="9"/>
      <c r="HK470" s="9"/>
      <c r="HU470" s="101">
        <v>38838</v>
      </c>
      <c r="HW470" s="58"/>
      <c r="IG470" t="s">
        <v>1590</v>
      </c>
      <c r="IH470" s="87" t="s">
        <v>1200</v>
      </c>
      <c r="II470" t="s">
        <v>660</v>
      </c>
      <c r="IJ470" t="s">
        <v>661</v>
      </c>
      <c r="IK470">
        <v>2006</v>
      </c>
      <c r="IM470" s="87" t="s">
        <v>29</v>
      </c>
      <c r="JI470" t="s">
        <v>1590</v>
      </c>
      <c r="JJ470" s="84" t="s">
        <v>721</v>
      </c>
      <c r="MS470" t="s">
        <v>1607</v>
      </c>
      <c r="MT470">
        <v>120</v>
      </c>
      <c r="MU470" t="s">
        <v>1604</v>
      </c>
      <c r="MW470" t="s">
        <v>1598</v>
      </c>
      <c r="NE470" s="87" t="s">
        <v>1617</v>
      </c>
      <c r="NG470" s="103" t="s">
        <v>8</v>
      </c>
      <c r="NH470" s="102" t="s">
        <v>1550</v>
      </c>
      <c r="NQ470" t="s">
        <v>6</v>
      </c>
      <c r="NR470" s="104"/>
      <c r="NS470" s="87" t="s">
        <v>29</v>
      </c>
      <c r="NT470" s="87"/>
      <c r="NW470">
        <v>3</v>
      </c>
      <c r="NX470">
        <v>930.52</v>
      </c>
      <c r="NY470" s="87" t="s">
        <v>29</v>
      </c>
      <c r="NZ470">
        <v>3469.31</v>
      </c>
      <c r="OA470" s="87" t="s">
        <v>29</v>
      </c>
      <c r="OB470">
        <v>7444.15</v>
      </c>
      <c r="OC470" s="87" t="s">
        <v>29</v>
      </c>
      <c r="OH470" t="s">
        <v>1593</v>
      </c>
      <c r="OI470" s="87"/>
      <c r="OJ470">
        <v>2007</v>
      </c>
      <c r="OO470" t="s">
        <v>1178</v>
      </c>
      <c r="OP470" s="58">
        <v>46105</v>
      </c>
    </row>
    <row r="471" spans="1:406" ht="15.75" thickBot="1">
      <c r="A471" t="s">
        <v>248</v>
      </c>
      <c r="B471" t="s">
        <v>1580</v>
      </c>
      <c r="C471" t="s">
        <v>1183</v>
      </c>
      <c r="D471" s="4" t="s">
        <v>1955</v>
      </c>
      <c r="E471" t="s">
        <v>1596</v>
      </c>
      <c r="F471" s="100" t="s">
        <v>31</v>
      </c>
      <c r="G471" s="87" t="s">
        <v>2</v>
      </c>
      <c r="H471" s="87" t="s">
        <v>30</v>
      </c>
      <c r="I471">
        <v>7.25</v>
      </c>
      <c r="J471">
        <v>3.4166666669999999</v>
      </c>
      <c r="K471" s="87" t="s">
        <v>29</v>
      </c>
      <c r="AV471" t="s">
        <v>1715</v>
      </c>
      <c r="AW471">
        <v>3240</v>
      </c>
      <c r="AX471">
        <v>1.2E-2</v>
      </c>
      <c r="AY471">
        <v>1</v>
      </c>
      <c r="BA471">
        <v>2006</v>
      </c>
      <c r="BB471">
        <v>2007</v>
      </c>
      <c r="BD471" t="s">
        <v>19</v>
      </c>
      <c r="BE471" t="s">
        <v>1586</v>
      </c>
      <c r="BF471" t="s">
        <v>39</v>
      </c>
      <c r="BG471" s="78" t="s">
        <v>1243</v>
      </c>
      <c r="BH471" t="s">
        <v>1587</v>
      </c>
      <c r="BI471" t="s">
        <v>1599</v>
      </c>
      <c r="BJ471" s="87" t="s">
        <v>22</v>
      </c>
      <c r="BK471">
        <v>1330</v>
      </c>
      <c r="EH471" s="9"/>
      <c r="EI471" s="9"/>
      <c r="EJ471" s="9"/>
      <c r="EK471" s="9"/>
      <c r="EL471" s="9"/>
      <c r="EM471" s="9"/>
      <c r="EN471" s="9"/>
      <c r="EO471" s="9"/>
      <c r="EP471" s="9"/>
      <c r="EQ471" s="9"/>
      <c r="ER471" s="9"/>
      <c r="ES471" s="9"/>
      <c r="ET471" s="9"/>
      <c r="EU471" s="9"/>
      <c r="EV471" s="9"/>
      <c r="EW471" s="9"/>
      <c r="EX471" s="9"/>
      <c r="EY471" s="9"/>
      <c r="EZ471" s="9"/>
      <c r="FA471" s="9"/>
      <c r="FB471" s="9"/>
      <c r="FC471" s="9"/>
      <c r="FD471" s="9"/>
      <c r="FE471" s="9"/>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c r="GM471" s="9"/>
      <c r="GN471" s="9"/>
      <c r="GO471" s="9"/>
      <c r="GP471" s="9"/>
      <c r="GQ471" s="9"/>
      <c r="GR471" s="9"/>
      <c r="GS471" s="9"/>
      <c r="GT471" s="9"/>
      <c r="GU471" s="9"/>
      <c r="GV471" s="9"/>
      <c r="GW471" s="9"/>
      <c r="GX471" s="9"/>
      <c r="GY471" s="9"/>
      <c r="GZ471" s="9"/>
      <c r="HA471" s="9"/>
      <c r="HB471" s="9"/>
      <c r="HC471" s="9"/>
      <c r="HD471" s="9"/>
      <c r="HE471" s="9"/>
      <c r="HF471" s="9"/>
      <c r="HG471" s="9"/>
      <c r="HH471" s="9"/>
      <c r="HI471" s="9"/>
      <c r="HJ471" s="9"/>
      <c r="HK471" s="9"/>
      <c r="HU471" s="101">
        <v>38838</v>
      </c>
      <c r="HW471" s="58"/>
      <c r="IG471" t="s">
        <v>1586</v>
      </c>
      <c r="IH471" t="s">
        <v>19</v>
      </c>
      <c r="IM471" s="87"/>
      <c r="JI471" t="s">
        <v>1586</v>
      </c>
      <c r="JJ471" s="84" t="s">
        <v>721</v>
      </c>
      <c r="MS471" t="s">
        <v>1607</v>
      </c>
      <c r="MT471">
        <v>120</v>
      </c>
      <c r="MU471" t="s">
        <v>1603</v>
      </c>
      <c r="MX471" t="s">
        <v>1606</v>
      </c>
      <c r="MY471" t="s">
        <v>1602</v>
      </c>
      <c r="NE471" s="87" t="s">
        <v>1617</v>
      </c>
      <c r="NG471" s="103" t="s">
        <v>8</v>
      </c>
      <c r="NH471" s="102" t="s">
        <v>1550</v>
      </c>
      <c r="NP471" t="s">
        <v>64</v>
      </c>
      <c r="NQ471" t="s">
        <v>6</v>
      </c>
      <c r="NR471" s="104"/>
      <c r="NS471" s="87" t="s">
        <v>29</v>
      </c>
      <c r="NT471" s="87"/>
      <c r="NW471">
        <v>3</v>
      </c>
      <c r="NY471" s="87" t="s">
        <v>29</v>
      </c>
      <c r="NZ471">
        <v>2869.33</v>
      </c>
      <c r="OA471" s="87" t="s">
        <v>29</v>
      </c>
      <c r="OB471">
        <v>6749.73</v>
      </c>
      <c r="OC471" s="87" t="s">
        <v>29</v>
      </c>
      <c r="OH471" t="s">
        <v>1593</v>
      </c>
      <c r="OI471" s="87"/>
      <c r="OJ471">
        <v>2007</v>
      </c>
      <c r="OO471" t="s">
        <v>1178</v>
      </c>
      <c r="OP471" s="58">
        <v>46105</v>
      </c>
    </row>
    <row r="472" spans="1:406" ht="15.75" thickBot="1">
      <c r="A472" t="s">
        <v>248</v>
      </c>
      <c r="B472" t="s">
        <v>1580</v>
      </c>
      <c r="C472" t="s">
        <v>1183</v>
      </c>
      <c r="D472" s="4" t="s">
        <v>1955</v>
      </c>
      <c r="E472" t="s">
        <v>1596</v>
      </c>
      <c r="F472" s="100" t="s">
        <v>31</v>
      </c>
      <c r="G472" s="87" t="s">
        <v>2</v>
      </c>
      <c r="H472" s="87" t="s">
        <v>30</v>
      </c>
      <c r="I472">
        <v>7.25</v>
      </c>
      <c r="J472">
        <v>3.4166666669999999</v>
      </c>
      <c r="K472" s="87" t="s">
        <v>29</v>
      </c>
      <c r="AV472" t="s">
        <v>1715</v>
      </c>
      <c r="AW472">
        <v>3240</v>
      </c>
      <c r="AX472">
        <v>1.2E-2</v>
      </c>
      <c r="AY472">
        <v>1</v>
      </c>
      <c r="BA472">
        <v>2006</v>
      </c>
      <c r="BB472">
        <v>2007</v>
      </c>
      <c r="BD472" t="s">
        <v>19</v>
      </c>
      <c r="BE472" t="s">
        <v>1585</v>
      </c>
      <c r="BF472" t="s">
        <v>24</v>
      </c>
      <c r="BG472" s="78" t="s">
        <v>1243</v>
      </c>
      <c r="BH472" t="s">
        <v>1598</v>
      </c>
      <c r="BI472" t="s">
        <v>838</v>
      </c>
      <c r="BJ472" s="87" t="s">
        <v>22</v>
      </c>
      <c r="BK472">
        <v>20000</v>
      </c>
      <c r="EH472" s="9"/>
      <c r="EI472" s="9"/>
      <c r="EJ472" s="9"/>
      <c r="EK472" s="9"/>
      <c r="EL472" s="9"/>
      <c r="EM472" s="9"/>
      <c r="EN472" s="9"/>
      <c r="EO472" s="9"/>
      <c r="EP472" s="9"/>
      <c r="EQ472" s="9"/>
      <c r="ER472" s="9"/>
      <c r="ES472" s="9"/>
      <c r="ET472" s="9"/>
      <c r="EU472" s="9"/>
      <c r="EV472" s="9"/>
      <c r="EW472" s="9"/>
      <c r="EX472" s="9"/>
      <c r="EY472" s="9"/>
      <c r="EZ472" s="9"/>
      <c r="FA472" s="9"/>
      <c r="FB472" s="9"/>
      <c r="FC472" s="9"/>
      <c r="FD472" s="9"/>
      <c r="FE472" s="9"/>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c r="GM472" s="9"/>
      <c r="GN472" s="9"/>
      <c r="GO472" s="9"/>
      <c r="GP472" s="9"/>
      <c r="GQ472" s="9"/>
      <c r="GR472" s="9"/>
      <c r="GS472" s="9"/>
      <c r="GT472" s="9"/>
      <c r="GU472" s="9"/>
      <c r="GV472" s="9"/>
      <c r="GW472" s="9"/>
      <c r="GX472" s="9"/>
      <c r="GY472" s="9"/>
      <c r="GZ472" s="9"/>
      <c r="HA472" s="9"/>
      <c r="HB472" s="9"/>
      <c r="HC472" s="9"/>
      <c r="HD472" s="9"/>
      <c r="HE472" s="9"/>
      <c r="HF472" s="9"/>
      <c r="HG472" s="9"/>
      <c r="HH472" s="9"/>
      <c r="HI472" s="9"/>
      <c r="HJ472" s="9"/>
      <c r="HK472" s="9"/>
      <c r="HU472" s="101">
        <v>38838</v>
      </c>
      <c r="HW472" s="58"/>
      <c r="IG472" t="s">
        <v>1585</v>
      </c>
      <c r="IH472" t="s">
        <v>19</v>
      </c>
      <c r="IM472" s="87"/>
      <c r="JI472" t="s">
        <v>1585</v>
      </c>
      <c r="JJ472" s="84" t="s">
        <v>721</v>
      </c>
      <c r="MS472" t="s">
        <v>1607</v>
      </c>
      <c r="MT472">
        <v>120</v>
      </c>
      <c r="MU472" t="s">
        <v>1583</v>
      </c>
      <c r="MW472" t="s">
        <v>1598</v>
      </c>
      <c r="NE472" s="87" t="s">
        <v>1617</v>
      </c>
      <c r="NG472" s="103" t="s">
        <v>8</v>
      </c>
      <c r="NH472" s="102" t="s">
        <v>1550</v>
      </c>
      <c r="NP472" t="s">
        <v>64</v>
      </c>
      <c r="NQ472" t="s">
        <v>6</v>
      </c>
      <c r="NR472" s="104"/>
      <c r="NS472" s="87" t="s">
        <v>29</v>
      </c>
      <c r="NT472" s="87"/>
      <c r="NW472">
        <v>3</v>
      </c>
      <c r="NX472">
        <v>4224.83</v>
      </c>
      <c r="NY472" s="87" t="s">
        <v>29</v>
      </c>
      <c r="OH472" t="s">
        <v>1593</v>
      </c>
      <c r="OI472" s="87"/>
      <c r="OJ472">
        <v>2007</v>
      </c>
      <c r="OO472" t="s">
        <v>1178</v>
      </c>
      <c r="OP472" s="58">
        <v>46105</v>
      </c>
    </row>
    <row r="473" spans="1:406" ht="15.75" thickBot="1">
      <c r="A473" t="s">
        <v>248</v>
      </c>
      <c r="B473" t="s">
        <v>1580</v>
      </c>
      <c r="C473" t="s">
        <v>1183</v>
      </c>
      <c r="D473" s="4" t="s">
        <v>1955</v>
      </c>
      <c r="E473" t="s">
        <v>1596</v>
      </c>
      <c r="F473" s="100" t="s">
        <v>31</v>
      </c>
      <c r="G473" s="87" t="s">
        <v>2</v>
      </c>
      <c r="H473" s="87" t="s">
        <v>30</v>
      </c>
      <c r="I473">
        <v>7.25</v>
      </c>
      <c r="J473">
        <v>3.4166666669999999</v>
      </c>
      <c r="K473" s="87" t="s">
        <v>29</v>
      </c>
      <c r="AV473" t="s">
        <v>1715</v>
      </c>
      <c r="AW473">
        <v>3240</v>
      </c>
      <c r="AX473">
        <v>1.2E-2</v>
      </c>
      <c r="AY473">
        <v>1</v>
      </c>
      <c r="BA473">
        <v>2006</v>
      </c>
      <c r="BB473">
        <v>2007</v>
      </c>
      <c r="BD473" t="s">
        <v>19</v>
      </c>
      <c r="BE473" t="s">
        <v>1581</v>
      </c>
      <c r="BF473" t="s">
        <v>299</v>
      </c>
      <c r="BG473" s="78" t="s">
        <v>1243</v>
      </c>
      <c r="BH473" t="s">
        <v>1598</v>
      </c>
      <c r="BI473" t="s">
        <v>234</v>
      </c>
      <c r="BJ473" s="87" t="s">
        <v>22</v>
      </c>
      <c r="BK473">
        <v>20000</v>
      </c>
      <c r="EH473" s="9"/>
      <c r="EI473" s="9"/>
      <c r="EJ473" s="9"/>
      <c r="EK473" s="9"/>
      <c r="EL473" s="9"/>
      <c r="EM473" s="9"/>
      <c r="EN473" s="9"/>
      <c r="EO473" s="9"/>
      <c r="EP473" s="9"/>
      <c r="EQ473" s="9"/>
      <c r="ER473" s="9"/>
      <c r="ES473" s="9"/>
      <c r="ET473" s="9"/>
      <c r="EU473" s="9"/>
      <c r="EV473" s="9"/>
      <c r="EW473" s="9"/>
      <c r="EX473" s="9"/>
      <c r="EY473" s="9"/>
      <c r="EZ473" s="9"/>
      <c r="FA473" s="9"/>
      <c r="FB473" s="9"/>
      <c r="FC473" s="9"/>
      <c r="FD473" s="9"/>
      <c r="FE473" s="9"/>
      <c r="FF473" s="9"/>
      <c r="FG473" s="9"/>
      <c r="FH473" s="9"/>
      <c r="FI473" s="9"/>
      <c r="FJ473" s="9"/>
      <c r="FK473" s="9"/>
      <c r="FL473" s="9"/>
      <c r="FM473" s="9"/>
      <c r="FN473" s="9"/>
      <c r="FO473" s="9"/>
      <c r="FP473" s="9"/>
      <c r="FQ473" s="9"/>
      <c r="FR473" s="9"/>
      <c r="FS473" s="9"/>
      <c r="FT473" s="9"/>
      <c r="FU473" s="9"/>
      <c r="FV473" s="9"/>
      <c r="FW473" s="9"/>
      <c r="FX473" s="9"/>
      <c r="FY473" s="9"/>
      <c r="FZ473" s="9"/>
      <c r="GA473" s="9"/>
      <c r="GB473" s="9"/>
      <c r="GC473" s="9"/>
      <c r="GD473" s="9"/>
      <c r="GE473" s="9"/>
      <c r="GF473" s="9"/>
      <c r="GG473" s="9"/>
      <c r="GH473" s="9"/>
      <c r="GI473" s="9"/>
      <c r="GJ473" s="9"/>
      <c r="GK473" s="9"/>
      <c r="GL473" s="9"/>
      <c r="GM473" s="9"/>
      <c r="GN473" s="9"/>
      <c r="GO473" s="9"/>
      <c r="GP473" s="9"/>
      <c r="GQ473" s="9"/>
      <c r="GR473" s="9"/>
      <c r="GS473" s="9"/>
      <c r="GT473" s="9"/>
      <c r="GU473" s="9"/>
      <c r="GV473" s="9"/>
      <c r="GW473" s="9"/>
      <c r="GX473" s="9"/>
      <c r="GY473" s="9"/>
      <c r="GZ473" s="9"/>
      <c r="HA473" s="9"/>
      <c r="HB473" s="9"/>
      <c r="HC473" s="9"/>
      <c r="HD473" s="9"/>
      <c r="HE473" s="9"/>
      <c r="HF473" s="9"/>
      <c r="HG473" s="9"/>
      <c r="HH473" s="9"/>
      <c r="HI473" s="9"/>
      <c r="HJ473" s="9"/>
      <c r="HK473" s="9"/>
      <c r="HU473" s="101">
        <v>38838</v>
      </c>
      <c r="HW473" s="58"/>
      <c r="IG473" t="s">
        <v>1581</v>
      </c>
      <c r="IH473" t="s">
        <v>19</v>
      </c>
      <c r="JI473" t="s">
        <v>1581</v>
      </c>
      <c r="JJ473" s="84" t="s">
        <v>227</v>
      </c>
      <c r="JU473" s="8" t="s">
        <v>227</v>
      </c>
      <c r="JV473" s="8" t="s">
        <v>1600</v>
      </c>
      <c r="JW473" t="s">
        <v>13</v>
      </c>
      <c r="JX473">
        <v>40000</v>
      </c>
      <c r="MS473" t="s">
        <v>1607</v>
      </c>
      <c r="MT473">
        <v>120</v>
      </c>
      <c r="MU473" t="s">
        <v>1583</v>
      </c>
      <c r="MW473" t="s">
        <v>1598</v>
      </c>
      <c r="NE473" s="87" t="s">
        <v>1617</v>
      </c>
      <c r="NG473" s="103" t="s">
        <v>8</v>
      </c>
      <c r="NH473" s="102" t="s">
        <v>1550</v>
      </c>
      <c r="NP473" t="s">
        <v>57</v>
      </c>
      <c r="NQ473" t="s">
        <v>6</v>
      </c>
      <c r="NR473" s="104"/>
      <c r="NS473" s="87" t="s">
        <v>29</v>
      </c>
      <c r="NT473" s="87"/>
      <c r="NW473">
        <v>3</v>
      </c>
      <c r="NX473">
        <v>6685.84</v>
      </c>
      <c r="NY473" s="87" t="s">
        <v>29</v>
      </c>
      <c r="OH473" t="s">
        <v>1594</v>
      </c>
      <c r="OI473" s="87"/>
      <c r="OJ473">
        <v>2007</v>
      </c>
      <c r="OO473" t="s">
        <v>1178</v>
      </c>
      <c r="OP473" s="58">
        <v>46105</v>
      </c>
    </row>
    <row r="474" spans="1:406" ht="15.75" thickBot="1">
      <c r="A474" t="s">
        <v>248</v>
      </c>
      <c r="B474" t="s">
        <v>1580</v>
      </c>
      <c r="C474" t="s">
        <v>1183</v>
      </c>
      <c r="D474" s="4" t="s">
        <v>1955</v>
      </c>
      <c r="E474" t="s">
        <v>1596</v>
      </c>
      <c r="F474" s="100" t="s">
        <v>31</v>
      </c>
      <c r="G474" s="87" t="s">
        <v>2</v>
      </c>
      <c r="H474" s="87" t="s">
        <v>30</v>
      </c>
      <c r="I474">
        <v>7.25</v>
      </c>
      <c r="J474">
        <v>3.4166666669999999</v>
      </c>
      <c r="K474" s="87" t="s">
        <v>29</v>
      </c>
      <c r="AV474" t="s">
        <v>1715</v>
      </c>
      <c r="AW474">
        <v>3240</v>
      </c>
      <c r="AX474">
        <v>1.2E-2</v>
      </c>
      <c r="AY474">
        <v>1</v>
      </c>
      <c r="BA474">
        <v>2006</v>
      </c>
      <c r="BB474">
        <v>2007</v>
      </c>
      <c r="BD474" t="s">
        <v>19</v>
      </c>
      <c r="BE474" t="s">
        <v>1584</v>
      </c>
      <c r="BF474" t="s">
        <v>256</v>
      </c>
      <c r="BG474" s="78" t="s">
        <v>1243</v>
      </c>
      <c r="BH474" t="s">
        <v>1598</v>
      </c>
      <c r="BI474" t="s">
        <v>234</v>
      </c>
      <c r="BJ474" s="87" t="s">
        <v>22</v>
      </c>
      <c r="BK474">
        <v>20000</v>
      </c>
      <c r="EH474" s="9"/>
      <c r="EI474" s="9"/>
      <c r="EJ474" s="9"/>
      <c r="EK474" s="9"/>
      <c r="EL474" s="9"/>
      <c r="EM474" s="9"/>
      <c r="EN474" s="9"/>
      <c r="EO474" s="9"/>
      <c r="EP474" s="9"/>
      <c r="EQ474" s="9"/>
      <c r="ER474" s="9"/>
      <c r="ES474" s="9"/>
      <c r="ET474" s="9"/>
      <c r="EU474" s="9"/>
      <c r="EV474" s="9"/>
      <c r="EW474" s="9"/>
      <c r="EX474" s="9"/>
      <c r="EY474" s="9"/>
      <c r="EZ474" s="9"/>
      <c r="FA474" s="9"/>
      <c r="FB474" s="9"/>
      <c r="FC474" s="9"/>
      <c r="FD474" s="9"/>
      <c r="FE474" s="9"/>
      <c r="FF474" s="9"/>
      <c r="FG474" s="9"/>
      <c r="FH474" s="9"/>
      <c r="FI474" s="9"/>
      <c r="FJ474" s="9"/>
      <c r="FK474" s="9"/>
      <c r="FL474" s="9"/>
      <c r="FM474" s="9"/>
      <c r="FN474" s="9"/>
      <c r="FO474" s="9"/>
      <c r="FP474" s="9"/>
      <c r="FQ474" s="9"/>
      <c r="FR474" s="9"/>
      <c r="FS474" s="9"/>
      <c r="FT474" s="9"/>
      <c r="FU474" s="9"/>
      <c r="FV474" s="9"/>
      <c r="FW474" s="9"/>
      <c r="FX474" s="9"/>
      <c r="FY474" s="9"/>
      <c r="FZ474" s="9"/>
      <c r="GA474" s="9"/>
      <c r="GB474" s="9"/>
      <c r="GC474" s="9"/>
      <c r="GD474" s="9"/>
      <c r="GE474" s="9"/>
      <c r="GF474" s="9"/>
      <c r="GG474" s="9"/>
      <c r="GH474" s="9"/>
      <c r="GI474" s="9"/>
      <c r="GJ474" s="9"/>
      <c r="GK474" s="9"/>
      <c r="GL474" s="9"/>
      <c r="GM474" s="9"/>
      <c r="GN474" s="9"/>
      <c r="GO474" s="9"/>
      <c r="GP474" s="9"/>
      <c r="GQ474" s="9"/>
      <c r="GR474" s="9"/>
      <c r="GS474" s="9"/>
      <c r="GT474" s="9"/>
      <c r="GU474" s="9"/>
      <c r="GV474" s="9"/>
      <c r="GW474" s="9"/>
      <c r="GX474" s="9"/>
      <c r="GY474" s="9"/>
      <c r="GZ474" s="9"/>
      <c r="HA474" s="9"/>
      <c r="HB474" s="9"/>
      <c r="HC474" s="9"/>
      <c r="HD474" s="9"/>
      <c r="HE474" s="9"/>
      <c r="HF474" s="9"/>
      <c r="HG474" s="9"/>
      <c r="HH474" s="9"/>
      <c r="HI474" s="9"/>
      <c r="HJ474" s="9"/>
      <c r="HK474" s="9"/>
      <c r="HU474" s="101">
        <v>38838</v>
      </c>
      <c r="HW474" s="58"/>
      <c r="IG474" t="s">
        <v>1584</v>
      </c>
      <c r="IH474" t="s">
        <v>19</v>
      </c>
      <c r="JI474" t="s">
        <v>1584</v>
      </c>
      <c r="JJ474" s="84" t="s">
        <v>227</v>
      </c>
      <c r="JU474" s="8" t="s">
        <v>227</v>
      </c>
      <c r="JV474" s="8" t="s">
        <v>1600</v>
      </c>
      <c r="JW474" t="s">
        <v>13</v>
      </c>
      <c r="JX474">
        <v>80000</v>
      </c>
      <c r="MS474" t="s">
        <v>1607</v>
      </c>
      <c r="MT474">
        <v>120</v>
      </c>
      <c r="MU474" t="s">
        <v>1583</v>
      </c>
      <c r="MW474" t="s">
        <v>1598</v>
      </c>
      <c r="NE474" s="87" t="s">
        <v>1617</v>
      </c>
      <c r="NG474" s="103" t="s">
        <v>8</v>
      </c>
      <c r="NH474" s="102" t="s">
        <v>1550</v>
      </c>
      <c r="NP474" t="s">
        <v>48</v>
      </c>
      <c r="NQ474" t="s">
        <v>6</v>
      </c>
      <c r="NR474" s="104"/>
      <c r="NS474" s="87" t="s">
        <v>29</v>
      </c>
      <c r="NT474" s="87"/>
      <c r="NW474">
        <v>3</v>
      </c>
      <c r="NX474">
        <v>5927.54</v>
      </c>
      <c r="NY474" s="87" t="s">
        <v>29</v>
      </c>
      <c r="OH474" t="s">
        <v>1594</v>
      </c>
      <c r="OI474" s="87"/>
      <c r="OJ474">
        <v>2007</v>
      </c>
      <c r="OO474" t="s">
        <v>1178</v>
      </c>
      <c r="OP474" s="58">
        <v>46105</v>
      </c>
    </row>
    <row r="475" spans="1:406" ht="15.75" thickBot="1">
      <c r="A475" t="s">
        <v>248</v>
      </c>
      <c r="B475" t="s">
        <v>1580</v>
      </c>
      <c r="C475" t="s">
        <v>1183</v>
      </c>
      <c r="D475" s="4" t="s">
        <v>1955</v>
      </c>
      <c r="E475" t="s">
        <v>1596</v>
      </c>
      <c r="F475" s="100" t="s">
        <v>31</v>
      </c>
      <c r="G475" s="87" t="s">
        <v>2</v>
      </c>
      <c r="H475" s="87" t="s">
        <v>30</v>
      </c>
      <c r="I475">
        <v>7.25</v>
      </c>
      <c r="J475">
        <v>3.4166666669999999</v>
      </c>
      <c r="K475" s="87" t="s">
        <v>29</v>
      </c>
      <c r="AV475" t="s">
        <v>1715</v>
      </c>
      <c r="AW475">
        <v>3240</v>
      </c>
      <c r="AX475">
        <v>1.2E-2</v>
      </c>
      <c r="AY475">
        <v>1</v>
      </c>
      <c r="BA475">
        <v>2006</v>
      </c>
      <c r="BB475">
        <v>2007</v>
      </c>
      <c r="BD475" t="s">
        <v>19</v>
      </c>
      <c r="BE475" t="s">
        <v>1588</v>
      </c>
      <c r="BF475" t="s">
        <v>1467</v>
      </c>
      <c r="BG475" s="78" t="s">
        <v>1243</v>
      </c>
      <c r="BH475" t="s">
        <v>1587</v>
      </c>
      <c r="BI475" t="s">
        <v>1599</v>
      </c>
      <c r="BJ475" s="87" t="s">
        <v>22</v>
      </c>
      <c r="BK475">
        <v>1330</v>
      </c>
      <c r="EH475" s="9"/>
      <c r="EI475" s="9"/>
      <c r="EJ475" s="9"/>
      <c r="EK475" s="9"/>
      <c r="EL475" s="9"/>
      <c r="EM475" s="9"/>
      <c r="EN475" s="9"/>
      <c r="EO475" s="9"/>
      <c r="EP475" s="9"/>
      <c r="EQ475" s="9"/>
      <c r="ER475" s="9"/>
      <c r="ES475" s="9"/>
      <c r="ET475" s="9"/>
      <c r="EU475" s="9"/>
      <c r="EV475" s="9"/>
      <c r="EW475" s="9"/>
      <c r="EX475" s="9"/>
      <c r="EY475" s="9"/>
      <c r="EZ475" s="9"/>
      <c r="FA475" s="9"/>
      <c r="FB475" s="9"/>
      <c r="FC475" s="9"/>
      <c r="FD475" s="9"/>
      <c r="FE475" s="9"/>
      <c r="FF475" s="9"/>
      <c r="FG475" s="9"/>
      <c r="FH475" s="9"/>
      <c r="FI475" s="9"/>
      <c r="FJ475" s="9"/>
      <c r="FK475" s="9"/>
      <c r="FL475" s="9"/>
      <c r="FM475" s="9"/>
      <c r="FN475" s="9"/>
      <c r="FO475" s="9"/>
      <c r="FP475" s="9"/>
      <c r="FQ475" s="9"/>
      <c r="FR475" s="9"/>
      <c r="FS475" s="9"/>
      <c r="FT475" s="9"/>
      <c r="FU475" s="9"/>
      <c r="FV475" s="9"/>
      <c r="FW475" s="9"/>
      <c r="FX475" s="9"/>
      <c r="FY475" s="9"/>
      <c r="FZ475" s="9"/>
      <c r="GA475" s="9"/>
      <c r="GB475" s="9"/>
      <c r="GC475" s="9"/>
      <c r="GD475" s="9"/>
      <c r="GE475" s="9"/>
      <c r="GF475" s="9"/>
      <c r="GG475" s="9"/>
      <c r="GH475" s="9"/>
      <c r="GI475" s="9"/>
      <c r="GJ475" s="9"/>
      <c r="GK475" s="9"/>
      <c r="GL475" s="9"/>
      <c r="GM475" s="9"/>
      <c r="GN475" s="9"/>
      <c r="GO475" s="9"/>
      <c r="GP475" s="9"/>
      <c r="GQ475" s="9"/>
      <c r="GR475" s="9"/>
      <c r="GS475" s="9"/>
      <c r="GT475" s="9"/>
      <c r="GU475" s="9"/>
      <c r="GV475" s="9"/>
      <c r="GW475" s="9"/>
      <c r="GX475" s="9"/>
      <c r="GY475" s="9"/>
      <c r="GZ475" s="9"/>
      <c r="HA475" s="9"/>
      <c r="HB475" s="9"/>
      <c r="HC475" s="9"/>
      <c r="HD475" s="9"/>
      <c r="HE475" s="9"/>
      <c r="HF475" s="9"/>
      <c r="HG475" s="9"/>
      <c r="HH475" s="9"/>
      <c r="HI475" s="9"/>
      <c r="HJ475" s="9"/>
      <c r="HK475" s="9"/>
      <c r="HU475" s="101">
        <v>38838</v>
      </c>
      <c r="HW475" s="58"/>
      <c r="IG475" t="s">
        <v>1588</v>
      </c>
      <c r="IH475" t="s">
        <v>19</v>
      </c>
      <c r="JI475" t="s">
        <v>1588</v>
      </c>
      <c r="JJ475" s="84" t="s">
        <v>227</v>
      </c>
      <c r="JU475" s="8" t="s">
        <v>227</v>
      </c>
      <c r="JV475" s="8" t="s">
        <v>1600</v>
      </c>
      <c r="JW475" t="s">
        <v>13</v>
      </c>
      <c r="JX475">
        <v>40000</v>
      </c>
      <c r="MS475" t="s">
        <v>1607</v>
      </c>
      <c r="MT475">
        <v>120</v>
      </c>
      <c r="MU475" t="s">
        <v>1603</v>
      </c>
      <c r="MX475" t="s">
        <v>1606</v>
      </c>
      <c r="MY475" t="s">
        <v>1602</v>
      </c>
      <c r="NE475" s="87" t="s">
        <v>1617</v>
      </c>
      <c r="NG475" s="103" t="s">
        <v>8</v>
      </c>
      <c r="NH475" s="102" t="s">
        <v>1550</v>
      </c>
      <c r="NP475" t="s">
        <v>57</v>
      </c>
      <c r="NQ475" t="s">
        <v>6</v>
      </c>
      <c r="NR475" s="104"/>
      <c r="NS475" s="87" t="s">
        <v>29</v>
      </c>
      <c r="NT475" s="87"/>
      <c r="NW475">
        <v>3</v>
      </c>
      <c r="NY475" s="87"/>
      <c r="NZ475">
        <v>4063.73</v>
      </c>
      <c r="OA475" s="87" t="s">
        <v>29</v>
      </c>
      <c r="OB475">
        <v>10610.69</v>
      </c>
      <c r="OC475" s="87" t="s">
        <v>29</v>
      </c>
      <c r="OH475" t="s">
        <v>1595</v>
      </c>
      <c r="OI475" s="87"/>
      <c r="OJ475">
        <v>2007</v>
      </c>
      <c r="OO475" t="s">
        <v>1178</v>
      </c>
      <c r="OP475" s="58">
        <v>46105</v>
      </c>
    </row>
    <row r="476" spans="1:406" ht="15.75" thickBot="1">
      <c r="A476" t="s">
        <v>248</v>
      </c>
      <c r="B476" t="s">
        <v>1580</v>
      </c>
      <c r="C476" t="s">
        <v>1183</v>
      </c>
      <c r="D476" s="4" t="s">
        <v>1955</v>
      </c>
      <c r="E476" t="s">
        <v>1596</v>
      </c>
      <c r="F476" s="100" t="s">
        <v>31</v>
      </c>
      <c r="G476" s="87" t="s">
        <v>2</v>
      </c>
      <c r="H476" s="87" t="s">
        <v>30</v>
      </c>
      <c r="I476">
        <v>7.25</v>
      </c>
      <c r="J476">
        <v>3.4166666669999999</v>
      </c>
      <c r="K476" s="87" t="s">
        <v>29</v>
      </c>
      <c r="AV476" t="s">
        <v>1715</v>
      </c>
      <c r="AW476">
        <v>3240</v>
      </c>
      <c r="AX476">
        <v>1.2E-2</v>
      </c>
      <c r="AY476">
        <v>1</v>
      </c>
      <c r="BA476">
        <v>2006</v>
      </c>
      <c r="BB476">
        <v>2007</v>
      </c>
      <c r="BD476" t="s">
        <v>19</v>
      </c>
      <c r="BE476" t="s">
        <v>1589</v>
      </c>
      <c r="BF476" t="s">
        <v>1469</v>
      </c>
      <c r="BG476" s="78" t="s">
        <v>1243</v>
      </c>
      <c r="BH476" t="s">
        <v>1587</v>
      </c>
      <c r="BI476" t="s">
        <v>1599</v>
      </c>
      <c r="BJ476" s="87" t="s">
        <v>22</v>
      </c>
      <c r="BK476">
        <v>1330</v>
      </c>
      <c r="EH476" s="9"/>
      <c r="EI476" s="9"/>
      <c r="EJ476" s="9"/>
      <c r="EK476" s="9"/>
      <c r="EL476" s="9"/>
      <c r="EM476" s="9"/>
      <c r="EN476" s="9"/>
      <c r="EO476" s="9"/>
      <c r="EP476" s="9"/>
      <c r="EQ476" s="9"/>
      <c r="ER476" s="9"/>
      <c r="ES476" s="9"/>
      <c r="ET476" s="9"/>
      <c r="EU476" s="9"/>
      <c r="EV476" s="9"/>
      <c r="EW476" s="9"/>
      <c r="EX476" s="9"/>
      <c r="EY476" s="9"/>
      <c r="EZ476" s="9"/>
      <c r="FA476" s="9"/>
      <c r="FB476" s="9"/>
      <c r="FC476" s="9"/>
      <c r="FD476" s="9"/>
      <c r="FE476" s="9"/>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c r="GM476" s="9"/>
      <c r="GN476" s="9"/>
      <c r="GO476" s="9"/>
      <c r="GP476" s="9"/>
      <c r="GQ476" s="9"/>
      <c r="GR476" s="9"/>
      <c r="GS476" s="9"/>
      <c r="GT476" s="9"/>
      <c r="GU476" s="9"/>
      <c r="GV476" s="9"/>
      <c r="GW476" s="9"/>
      <c r="GX476" s="9"/>
      <c r="GY476" s="9"/>
      <c r="GZ476" s="9"/>
      <c r="HA476" s="9"/>
      <c r="HB476" s="9"/>
      <c r="HC476" s="9"/>
      <c r="HD476" s="9"/>
      <c r="HE476" s="9"/>
      <c r="HF476" s="9"/>
      <c r="HG476" s="9"/>
      <c r="HH476" s="9"/>
      <c r="HI476" s="9"/>
      <c r="HJ476" s="9"/>
      <c r="HK476" s="9"/>
      <c r="HU476" s="101">
        <v>38838</v>
      </c>
      <c r="HW476" s="58"/>
      <c r="IG476" t="s">
        <v>1589</v>
      </c>
      <c r="IH476" t="s">
        <v>19</v>
      </c>
      <c r="JI476" t="s">
        <v>1589</v>
      </c>
      <c r="JJ476" s="84" t="s">
        <v>227</v>
      </c>
      <c r="JU476" s="8" t="s">
        <v>227</v>
      </c>
      <c r="JV476" s="8" t="s">
        <v>1600</v>
      </c>
      <c r="JW476" t="s">
        <v>13</v>
      </c>
      <c r="JX476">
        <v>80000</v>
      </c>
      <c r="MS476" t="s">
        <v>1607</v>
      </c>
      <c r="MT476">
        <v>120</v>
      </c>
      <c r="MU476" t="s">
        <v>1603</v>
      </c>
      <c r="MX476" t="s">
        <v>1606</v>
      </c>
      <c r="MY476" t="s">
        <v>1602</v>
      </c>
      <c r="NE476" s="87" t="s">
        <v>1617</v>
      </c>
      <c r="NG476" s="103" t="s">
        <v>8</v>
      </c>
      <c r="NH476" s="102" t="s">
        <v>1550</v>
      </c>
      <c r="NP476" t="s">
        <v>48</v>
      </c>
      <c r="NQ476" t="s">
        <v>6</v>
      </c>
      <c r="NR476" s="104"/>
      <c r="NS476" s="87" t="s">
        <v>29</v>
      </c>
      <c r="NT476" s="87"/>
      <c r="NW476">
        <v>3</v>
      </c>
      <c r="NY476" s="87"/>
      <c r="NZ476">
        <v>5994.2</v>
      </c>
      <c r="OA476" s="87" t="s">
        <v>29</v>
      </c>
      <c r="OB476">
        <v>12082.85</v>
      </c>
      <c r="OC476" s="87" t="s">
        <v>29</v>
      </c>
      <c r="OH476" t="s">
        <v>1595</v>
      </c>
      <c r="OI476" s="87"/>
      <c r="OJ476">
        <v>2007</v>
      </c>
      <c r="OO476" t="s">
        <v>1178</v>
      </c>
      <c r="OP476" s="58">
        <v>46105</v>
      </c>
    </row>
    <row r="477" spans="1:406" ht="15.75" thickBot="1">
      <c r="A477" t="s">
        <v>248</v>
      </c>
      <c r="B477" t="s">
        <v>1580</v>
      </c>
      <c r="C477" t="s">
        <v>1183</v>
      </c>
      <c r="D477" s="4" t="s">
        <v>1955</v>
      </c>
      <c r="E477" t="s">
        <v>1596</v>
      </c>
      <c r="F477" s="100" t="s">
        <v>31</v>
      </c>
      <c r="G477" s="87" t="s">
        <v>2</v>
      </c>
      <c r="H477" s="87" t="s">
        <v>30</v>
      </c>
      <c r="I477">
        <v>7.25</v>
      </c>
      <c r="J477">
        <v>3.4166666669999999</v>
      </c>
      <c r="K477" s="87" t="s">
        <v>29</v>
      </c>
      <c r="AV477" t="s">
        <v>1715</v>
      </c>
      <c r="AW477">
        <v>3240</v>
      </c>
      <c r="AX477">
        <v>1.2E-2</v>
      </c>
      <c r="AY477">
        <v>1</v>
      </c>
      <c r="BA477">
        <v>2006</v>
      </c>
      <c r="BB477">
        <v>2007</v>
      </c>
      <c r="BD477" t="s">
        <v>238</v>
      </c>
      <c r="BE477" t="s">
        <v>1591</v>
      </c>
      <c r="BF477" t="s">
        <v>57</v>
      </c>
      <c r="BG477" s="78" t="s">
        <v>1243</v>
      </c>
      <c r="BH477" t="s">
        <v>1587</v>
      </c>
      <c r="BI477" t="s">
        <v>1599</v>
      </c>
      <c r="BJ477" s="87" t="s">
        <v>22</v>
      </c>
      <c r="BK477">
        <v>1330</v>
      </c>
      <c r="BL477" t="s">
        <v>56</v>
      </c>
      <c r="BM477" t="s">
        <v>1598</v>
      </c>
      <c r="BN477" t="s">
        <v>234</v>
      </c>
      <c r="BO477" s="87" t="s">
        <v>22</v>
      </c>
      <c r="BP477">
        <v>20000</v>
      </c>
      <c r="EH477" s="9"/>
      <c r="EI477" s="9"/>
      <c r="EJ477" s="9"/>
      <c r="EK477" s="9"/>
      <c r="EL477" s="9"/>
      <c r="EM477" s="9"/>
      <c r="EN477" s="9"/>
      <c r="EO477" s="9"/>
      <c r="EP477" s="9"/>
      <c r="EQ477" s="9"/>
      <c r="ER477" s="9"/>
      <c r="ES477" s="9"/>
      <c r="ET477" s="9"/>
      <c r="EU477" s="9"/>
      <c r="EV477" s="9"/>
      <c r="EW477" s="9"/>
      <c r="EX477" s="9"/>
      <c r="EY477" s="9"/>
      <c r="EZ477" s="9"/>
      <c r="FA477" s="9"/>
      <c r="FB477" s="9"/>
      <c r="FC477" s="9"/>
      <c r="FD477" s="9"/>
      <c r="FE477" s="9"/>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c r="GM477" s="9"/>
      <c r="GN477" s="9"/>
      <c r="GO477" s="9"/>
      <c r="GP477" s="9"/>
      <c r="GQ477" s="9"/>
      <c r="GR477" s="9"/>
      <c r="GS477" s="9"/>
      <c r="GT477" s="9"/>
      <c r="GU477" s="9"/>
      <c r="GV477" s="9"/>
      <c r="GW477" s="9"/>
      <c r="GX477" s="9"/>
      <c r="GY477" s="9"/>
      <c r="GZ477" s="9"/>
      <c r="HA477" s="9"/>
      <c r="HB477" s="9"/>
      <c r="HC477" s="9"/>
      <c r="HD477" s="9"/>
      <c r="HE477" s="9"/>
      <c r="HF477" s="9"/>
      <c r="HG477" s="9"/>
      <c r="HH477" s="9"/>
      <c r="HI477" s="9"/>
      <c r="HJ477" s="9"/>
      <c r="HK477" s="9"/>
      <c r="HU477" s="101">
        <v>38838</v>
      </c>
      <c r="HW477" s="58"/>
      <c r="IG477" t="s">
        <v>1591</v>
      </c>
      <c r="IH477" s="87" t="s">
        <v>1200</v>
      </c>
      <c r="II477" t="s">
        <v>660</v>
      </c>
      <c r="IJ477" t="s">
        <v>661</v>
      </c>
      <c r="IK477">
        <v>2006</v>
      </c>
      <c r="IM477" s="87" t="s">
        <v>29</v>
      </c>
      <c r="JI477" t="s">
        <v>1591</v>
      </c>
      <c r="JJ477" s="84" t="s">
        <v>227</v>
      </c>
      <c r="JU477" s="8" t="s">
        <v>227</v>
      </c>
      <c r="JV477" s="8" t="s">
        <v>1600</v>
      </c>
      <c r="JW477" t="s">
        <v>13</v>
      </c>
      <c r="JX477">
        <v>40000</v>
      </c>
      <c r="MS477" t="s">
        <v>1607</v>
      </c>
      <c r="MT477">
        <v>120</v>
      </c>
      <c r="MU477" t="s">
        <v>1604</v>
      </c>
      <c r="MW477" t="s">
        <v>1598</v>
      </c>
      <c r="MX477" t="s">
        <v>1606</v>
      </c>
      <c r="MY477" t="s">
        <v>1602</v>
      </c>
      <c r="NE477" s="87" t="s">
        <v>1617</v>
      </c>
      <c r="NG477" s="103" t="s">
        <v>8</v>
      </c>
      <c r="NH477" s="102" t="s">
        <v>1550</v>
      </c>
      <c r="NQ477" t="s">
        <v>6</v>
      </c>
      <c r="NR477" s="104"/>
      <c r="NS477" s="87" t="s">
        <v>29</v>
      </c>
      <c r="NT477" s="87"/>
      <c r="NW477">
        <v>3</v>
      </c>
      <c r="NX477">
        <v>2452.6799999999998</v>
      </c>
      <c r="NY477" s="87" t="s">
        <v>29</v>
      </c>
      <c r="NZ477">
        <v>5030.3500000000004</v>
      </c>
      <c r="OA477" s="87" t="s">
        <v>29</v>
      </c>
      <c r="OB477">
        <v>9110.75</v>
      </c>
      <c r="OC477" s="87" t="s">
        <v>29</v>
      </c>
      <c r="OH477" t="s">
        <v>1605</v>
      </c>
      <c r="OI477" s="87"/>
      <c r="OJ477">
        <v>2007</v>
      </c>
      <c r="OO477" t="s">
        <v>1178</v>
      </c>
      <c r="OP477" s="58">
        <v>46105</v>
      </c>
    </row>
    <row r="478" spans="1:406" ht="15.75" thickBot="1">
      <c r="A478" t="s">
        <v>248</v>
      </c>
      <c r="B478" t="s">
        <v>1580</v>
      </c>
      <c r="C478" t="s">
        <v>1183</v>
      </c>
      <c r="D478" s="4" t="s">
        <v>1955</v>
      </c>
      <c r="E478" t="s">
        <v>1596</v>
      </c>
      <c r="F478" s="100" t="s">
        <v>31</v>
      </c>
      <c r="G478" s="87" t="s">
        <v>2</v>
      </c>
      <c r="H478" s="87" t="s">
        <v>30</v>
      </c>
      <c r="I478">
        <v>7.25</v>
      </c>
      <c r="J478">
        <v>3.4166666669999999</v>
      </c>
      <c r="K478" s="87" t="s">
        <v>29</v>
      </c>
      <c r="AV478" t="s">
        <v>1715</v>
      </c>
      <c r="AW478">
        <v>3240</v>
      </c>
      <c r="AX478">
        <v>1.2E-2</v>
      </c>
      <c r="AY478">
        <v>1</v>
      </c>
      <c r="BA478">
        <v>2006</v>
      </c>
      <c r="BB478">
        <v>2007</v>
      </c>
      <c r="BD478" t="s">
        <v>238</v>
      </c>
      <c r="BE478" t="s">
        <v>1592</v>
      </c>
      <c r="BF478" t="s">
        <v>48</v>
      </c>
      <c r="BG478" s="78" t="s">
        <v>1243</v>
      </c>
      <c r="BH478" t="s">
        <v>1587</v>
      </c>
      <c r="BI478" t="s">
        <v>1599</v>
      </c>
      <c r="BJ478" s="87" t="s">
        <v>22</v>
      </c>
      <c r="BK478">
        <v>1330</v>
      </c>
      <c r="BL478" t="s">
        <v>56</v>
      </c>
      <c r="BM478" t="s">
        <v>1598</v>
      </c>
      <c r="BN478" t="s">
        <v>234</v>
      </c>
      <c r="BO478" s="87" t="s">
        <v>22</v>
      </c>
      <c r="BP478">
        <v>20000</v>
      </c>
      <c r="EH478" s="9"/>
      <c r="EI478" s="9"/>
      <c r="EJ478" s="9"/>
      <c r="EK478" s="9"/>
      <c r="EL478" s="9"/>
      <c r="EM478" s="9"/>
      <c r="EN478" s="9"/>
      <c r="EO478" s="9"/>
      <c r="EP478" s="9"/>
      <c r="EQ478" s="9"/>
      <c r="ER478" s="9"/>
      <c r="ES478" s="9"/>
      <c r="ET478" s="9"/>
      <c r="EU478" s="9"/>
      <c r="EV478" s="9"/>
      <c r="EW478" s="9"/>
      <c r="EX478" s="9"/>
      <c r="EY478" s="9"/>
      <c r="EZ478" s="9"/>
      <c r="FA478" s="9"/>
      <c r="FB478" s="9"/>
      <c r="FC478" s="9"/>
      <c r="FD478" s="9"/>
      <c r="FE478" s="9"/>
      <c r="FF478" s="9"/>
      <c r="FG478" s="9"/>
      <c r="FH478" s="9"/>
      <c r="FI478" s="9"/>
      <c r="FJ478" s="9"/>
      <c r="FK478" s="9"/>
      <c r="FL478" s="9"/>
      <c r="FM478" s="9"/>
      <c r="FN478" s="9"/>
      <c r="FO478" s="9"/>
      <c r="FP478" s="9"/>
      <c r="FQ478" s="9"/>
      <c r="FR478" s="9"/>
      <c r="FS478" s="9"/>
      <c r="FT478" s="9"/>
      <c r="FU478" s="9"/>
      <c r="FV478" s="9"/>
      <c r="FW478" s="9"/>
      <c r="FX478" s="9"/>
      <c r="FY478" s="9"/>
      <c r="FZ478" s="9"/>
      <c r="GA478" s="9"/>
      <c r="GB478" s="9"/>
      <c r="GC478" s="9"/>
      <c r="GD478" s="9"/>
      <c r="GE478" s="9"/>
      <c r="GF478" s="9"/>
      <c r="GG478" s="9"/>
      <c r="GH478" s="9"/>
      <c r="GI478" s="9"/>
      <c r="GJ478" s="9"/>
      <c r="GK478" s="9"/>
      <c r="GL478" s="9"/>
      <c r="GM478" s="9"/>
      <c r="GN478" s="9"/>
      <c r="GO478" s="9"/>
      <c r="GP478" s="9"/>
      <c r="GQ478" s="9"/>
      <c r="GR478" s="9"/>
      <c r="GS478" s="9"/>
      <c r="GT478" s="9"/>
      <c r="GU478" s="9"/>
      <c r="GV478" s="9"/>
      <c r="GW478" s="9"/>
      <c r="GX478" s="9"/>
      <c r="GY478" s="9"/>
      <c r="GZ478" s="9"/>
      <c r="HA478" s="9"/>
      <c r="HB478" s="9"/>
      <c r="HC478" s="9"/>
      <c r="HD478" s="9"/>
      <c r="HE478" s="9"/>
      <c r="HF478" s="9"/>
      <c r="HG478" s="9"/>
      <c r="HH478" s="9"/>
      <c r="HI478" s="9"/>
      <c r="HJ478" s="9"/>
      <c r="HK478" s="9"/>
      <c r="HU478" s="101">
        <v>38838</v>
      </c>
      <c r="HW478" s="58"/>
      <c r="IG478" t="s">
        <v>1592</v>
      </c>
      <c r="IH478" s="87" t="s">
        <v>1200</v>
      </c>
      <c r="II478" t="s">
        <v>660</v>
      </c>
      <c r="IJ478" t="s">
        <v>661</v>
      </c>
      <c r="IK478">
        <v>2006</v>
      </c>
      <c r="IM478" s="87" t="s">
        <v>29</v>
      </c>
      <c r="JI478" t="s">
        <v>1592</v>
      </c>
      <c r="JJ478" s="84" t="s">
        <v>227</v>
      </c>
      <c r="JU478" s="8" t="s">
        <v>227</v>
      </c>
      <c r="JV478" s="8" t="s">
        <v>1600</v>
      </c>
      <c r="JW478" t="s">
        <v>13</v>
      </c>
      <c r="JX478">
        <v>80000</v>
      </c>
      <c r="MS478" t="s">
        <v>1607</v>
      </c>
      <c r="MT478">
        <v>120</v>
      </c>
      <c r="MU478" t="s">
        <v>1604</v>
      </c>
      <c r="MW478" t="s">
        <v>1598</v>
      </c>
      <c r="MX478" t="s">
        <v>1606</v>
      </c>
      <c r="MY478" t="s">
        <v>1602</v>
      </c>
      <c r="NE478" s="87" t="s">
        <v>1617</v>
      </c>
      <c r="NG478" s="103" t="s">
        <v>8</v>
      </c>
      <c r="NH478" s="102" t="s">
        <v>1550</v>
      </c>
      <c r="NQ478" t="s">
        <v>6</v>
      </c>
      <c r="NR478" s="104"/>
      <c r="NS478" s="87" t="s">
        <v>29</v>
      </c>
      <c r="NT478" s="87"/>
      <c r="NW478">
        <v>3</v>
      </c>
      <c r="NX478">
        <v>949.96</v>
      </c>
      <c r="NY478" s="87" t="s">
        <v>29</v>
      </c>
      <c r="NZ478">
        <v>4549.82</v>
      </c>
      <c r="OA478" s="87" t="s">
        <v>29</v>
      </c>
      <c r="OB478">
        <v>10027.379999999999</v>
      </c>
      <c r="OC478" s="87" t="s">
        <v>29</v>
      </c>
      <c r="OH478" t="s">
        <v>1605</v>
      </c>
      <c r="OI478" s="87"/>
      <c r="OJ478">
        <v>2007</v>
      </c>
      <c r="OO478" t="s">
        <v>1178</v>
      </c>
      <c r="OP478" s="58">
        <v>46105</v>
      </c>
    </row>
    <row r="479" spans="1:406" ht="15.75" thickBot="1">
      <c r="A479" t="s">
        <v>36</v>
      </c>
      <c r="B479" t="s">
        <v>1758</v>
      </c>
      <c r="C479" t="s">
        <v>1759</v>
      </c>
      <c r="D479" s="4" t="s">
        <v>245</v>
      </c>
      <c r="E479" t="s">
        <v>1825</v>
      </c>
      <c r="F479" s="4" t="s">
        <v>1823</v>
      </c>
      <c r="G479" t="s">
        <v>254</v>
      </c>
      <c r="H479" t="s">
        <v>30</v>
      </c>
      <c r="I479">
        <v>-23.748532000000001</v>
      </c>
      <c r="J479">
        <v>-62.056702000000001</v>
      </c>
      <c r="K479" s="87" t="s">
        <v>29</v>
      </c>
      <c r="AV479" t="s">
        <v>1785</v>
      </c>
      <c r="AW479" t="s">
        <v>234</v>
      </c>
      <c r="AX479">
        <v>1000</v>
      </c>
      <c r="AY479" s="5">
        <v>5.5555555555555558E-3</v>
      </c>
      <c r="AZ479" t="s">
        <v>1822</v>
      </c>
      <c r="BA479">
        <v>2010</v>
      </c>
      <c r="BD479" t="s">
        <v>1844</v>
      </c>
      <c r="BE479" t="s">
        <v>1761</v>
      </c>
      <c r="BF479" t="s">
        <v>39</v>
      </c>
      <c r="BG479" t="s">
        <v>1762</v>
      </c>
      <c r="EE479" t="s">
        <v>1793</v>
      </c>
      <c r="EF479" t="s">
        <v>29</v>
      </c>
      <c r="EG479" t="s">
        <v>29</v>
      </c>
      <c r="EH479" t="s">
        <v>29</v>
      </c>
      <c r="EI479" t="s">
        <v>1792</v>
      </c>
      <c r="EJ479" t="s">
        <v>29</v>
      </c>
      <c r="EK479" t="s">
        <v>29</v>
      </c>
      <c r="EL479" t="s">
        <v>29</v>
      </c>
      <c r="EM479" t="s">
        <v>1787</v>
      </c>
      <c r="EN479" t="s">
        <v>29</v>
      </c>
      <c r="EO479" t="s">
        <v>29</v>
      </c>
      <c r="EP479" t="s">
        <v>29</v>
      </c>
      <c r="EQ479" t="s">
        <v>1788</v>
      </c>
      <c r="ER479" t="s">
        <v>29</v>
      </c>
      <c r="ES479" t="s">
        <v>29</v>
      </c>
      <c r="ET479" t="s">
        <v>29</v>
      </c>
      <c r="EU479" t="s">
        <v>1789</v>
      </c>
      <c r="EV479" t="s">
        <v>29</v>
      </c>
      <c r="EW479" t="s">
        <v>29</v>
      </c>
      <c r="EX479" t="s">
        <v>29</v>
      </c>
      <c r="EY479" t="s">
        <v>1790</v>
      </c>
      <c r="EZ479" t="s">
        <v>29</v>
      </c>
      <c r="FA479" t="s">
        <v>29</v>
      </c>
      <c r="FB479" t="s">
        <v>29</v>
      </c>
      <c r="FC479" t="s">
        <v>1791</v>
      </c>
      <c r="FD479" t="s">
        <v>29</v>
      </c>
      <c r="FE479" t="s">
        <v>29</v>
      </c>
      <c r="FF479" t="s">
        <v>29</v>
      </c>
      <c r="HY479" t="s">
        <v>1761</v>
      </c>
      <c r="IU479" t="s">
        <v>1761</v>
      </c>
      <c r="IV479" t="s">
        <v>1810</v>
      </c>
      <c r="IW479" t="s">
        <v>1810</v>
      </c>
      <c r="IX479" t="s">
        <v>1810</v>
      </c>
      <c r="IY479">
        <v>5</v>
      </c>
      <c r="IZ479">
        <v>70</v>
      </c>
      <c r="MS479" t="s">
        <v>1824</v>
      </c>
      <c r="MT479">
        <v>1963</v>
      </c>
      <c r="MU479" t="s">
        <v>1773</v>
      </c>
      <c r="MW479" t="s">
        <v>1764</v>
      </c>
      <c r="NB479" t="s">
        <v>1774</v>
      </c>
      <c r="NC479" t="s">
        <v>711</v>
      </c>
      <c r="NE479" s="125" t="s">
        <v>1770</v>
      </c>
      <c r="NG479" s="125" t="s">
        <v>1770</v>
      </c>
      <c r="NP479" t="s">
        <v>1846</v>
      </c>
      <c r="NQ479" t="s">
        <v>6</v>
      </c>
      <c r="NR479">
        <v>2.2000000000000002</v>
      </c>
      <c r="NS479" t="s">
        <v>1456</v>
      </c>
      <c r="NT479">
        <v>1.2</v>
      </c>
      <c r="NW479">
        <v>6</v>
      </c>
      <c r="OH479" t="s">
        <v>1594</v>
      </c>
      <c r="OJ479">
        <v>2010</v>
      </c>
      <c r="OO479" t="s">
        <v>1178</v>
      </c>
      <c r="OP479" s="58">
        <v>46108</v>
      </c>
    </row>
    <row r="480" spans="1:406" ht="15.75" thickBot="1">
      <c r="A480" t="s">
        <v>36</v>
      </c>
      <c r="B480" t="s">
        <v>1758</v>
      </c>
      <c r="C480" t="s">
        <v>1759</v>
      </c>
      <c r="D480" s="4" t="s">
        <v>245</v>
      </c>
      <c r="E480" t="s">
        <v>1825</v>
      </c>
      <c r="F480" s="4" t="s">
        <v>1823</v>
      </c>
      <c r="G480" t="s">
        <v>254</v>
      </c>
      <c r="H480" t="s">
        <v>30</v>
      </c>
      <c r="I480">
        <v>-23.748532000000001</v>
      </c>
      <c r="J480">
        <v>-62.056702000000001</v>
      </c>
      <c r="K480" s="87" t="s">
        <v>29</v>
      </c>
      <c r="AV480" t="s">
        <v>1785</v>
      </c>
      <c r="AW480" t="s">
        <v>234</v>
      </c>
      <c r="AX480" t="s">
        <v>234</v>
      </c>
      <c r="AY480" s="5">
        <v>5.5555555555555558E-3</v>
      </c>
      <c r="AZ480" t="s">
        <v>1822</v>
      </c>
      <c r="BA480">
        <v>2010</v>
      </c>
      <c r="BD480" t="s">
        <v>1778</v>
      </c>
      <c r="BE480" t="s">
        <v>1779</v>
      </c>
      <c r="BF480" t="s">
        <v>64</v>
      </c>
      <c r="BG480" t="s">
        <v>1798</v>
      </c>
      <c r="BH480" t="s">
        <v>1796</v>
      </c>
      <c r="BI480" t="s">
        <v>1801</v>
      </c>
      <c r="BJ480" t="s">
        <v>29</v>
      </c>
      <c r="BK480" t="s">
        <v>29</v>
      </c>
      <c r="EE480" t="s">
        <v>1793</v>
      </c>
      <c r="EF480" t="s">
        <v>29</v>
      </c>
      <c r="EG480" t="s">
        <v>29</v>
      </c>
      <c r="EH480" t="s">
        <v>29</v>
      </c>
      <c r="EI480" t="s">
        <v>1792</v>
      </c>
      <c r="EJ480" t="s">
        <v>29</v>
      </c>
      <c r="EK480" t="s">
        <v>29</v>
      </c>
      <c r="EL480" t="s">
        <v>29</v>
      </c>
      <c r="EM480" t="s">
        <v>1787</v>
      </c>
      <c r="EN480" t="s">
        <v>29</v>
      </c>
      <c r="EO480" t="s">
        <v>29</v>
      </c>
      <c r="EP480" t="s">
        <v>29</v>
      </c>
      <c r="EQ480" t="s">
        <v>1788</v>
      </c>
      <c r="ER480" t="s">
        <v>29</v>
      </c>
      <c r="ES480" t="s">
        <v>29</v>
      </c>
      <c r="ET480" t="s">
        <v>29</v>
      </c>
      <c r="EU480" t="s">
        <v>1789</v>
      </c>
      <c r="EV480" t="s">
        <v>29</v>
      </c>
      <c r="EW480" t="s">
        <v>29</v>
      </c>
      <c r="EX480" t="s">
        <v>29</v>
      </c>
      <c r="EY480" t="s">
        <v>1790</v>
      </c>
      <c r="EZ480" t="s">
        <v>29</v>
      </c>
      <c r="FA480" t="s">
        <v>29</v>
      </c>
      <c r="FB480" t="s">
        <v>29</v>
      </c>
      <c r="FC480" t="s">
        <v>1791</v>
      </c>
      <c r="FD480" t="s">
        <v>29</v>
      </c>
      <c r="FE480" t="s">
        <v>29</v>
      </c>
      <c r="FF480" t="s">
        <v>29</v>
      </c>
      <c r="GM480" t="s">
        <v>1794</v>
      </c>
      <c r="GN480" s="9" t="s">
        <v>29</v>
      </c>
      <c r="GO480" s="9" t="s">
        <v>29</v>
      </c>
      <c r="GP480" s="9" t="s">
        <v>29</v>
      </c>
      <c r="GQ480" s="9"/>
      <c r="GR480" s="9"/>
      <c r="GS480" s="9"/>
      <c r="GT480" s="9"/>
      <c r="GU480" s="9"/>
      <c r="GV480" s="9"/>
      <c r="GW480" s="9"/>
      <c r="GX480" s="9"/>
      <c r="GY480" s="9"/>
      <c r="GZ480" s="9"/>
      <c r="HA480" s="9"/>
      <c r="HB480" s="9"/>
      <c r="HC480" s="9"/>
      <c r="HD480" s="9"/>
      <c r="HE480" s="9"/>
      <c r="HF480" s="9"/>
      <c r="HG480" s="9"/>
      <c r="HH480" s="9"/>
      <c r="HI480" s="9"/>
      <c r="HJ480" s="9"/>
      <c r="HK480" s="9"/>
      <c r="HL480" s="9"/>
      <c r="HX480" s="58"/>
      <c r="HY480" t="s">
        <v>1779</v>
      </c>
      <c r="HZ480" t="s">
        <v>1814</v>
      </c>
      <c r="IU480" t="s">
        <v>1779</v>
      </c>
      <c r="IV480" s="84" t="s">
        <v>1811</v>
      </c>
      <c r="IW480" t="s">
        <v>1786</v>
      </c>
      <c r="IX480" s="54" t="s">
        <v>1795</v>
      </c>
      <c r="IY480">
        <v>1</v>
      </c>
      <c r="IZ480">
        <v>81</v>
      </c>
      <c r="MS480" t="s">
        <v>1824</v>
      </c>
      <c r="MT480">
        <v>1963</v>
      </c>
      <c r="MU480" t="s">
        <v>1773</v>
      </c>
      <c r="MW480" t="s">
        <v>1764</v>
      </c>
      <c r="NB480" t="s">
        <v>1774</v>
      </c>
      <c r="NC480" t="s">
        <v>711</v>
      </c>
      <c r="NE480" t="s">
        <v>1770</v>
      </c>
      <c r="NG480" t="s">
        <v>1770</v>
      </c>
      <c r="NQ480" t="s">
        <v>6</v>
      </c>
      <c r="NR480">
        <v>2.2999999999999998</v>
      </c>
      <c r="NS480" t="s">
        <v>1456</v>
      </c>
      <c r="NT480">
        <v>1.8</v>
      </c>
      <c r="NW480">
        <v>8</v>
      </c>
      <c r="OH480" t="s">
        <v>1594</v>
      </c>
      <c r="OJ480">
        <v>2010</v>
      </c>
      <c r="OO480" t="s">
        <v>1178</v>
      </c>
      <c r="OP480" s="58">
        <v>46108</v>
      </c>
    </row>
    <row r="481" spans="1:406" ht="15.75" thickBot="1">
      <c r="A481" t="s">
        <v>36</v>
      </c>
      <c r="B481" t="s">
        <v>1758</v>
      </c>
      <c r="C481" t="s">
        <v>1759</v>
      </c>
      <c r="D481" s="4" t="s">
        <v>245</v>
      </c>
      <c r="E481" t="s">
        <v>1825</v>
      </c>
      <c r="F481" s="4" t="s">
        <v>1823</v>
      </c>
      <c r="G481" t="s">
        <v>254</v>
      </c>
      <c r="H481" t="s">
        <v>30</v>
      </c>
      <c r="I481">
        <v>-23.748532000000001</v>
      </c>
      <c r="J481">
        <v>-62.056702000000001</v>
      </c>
      <c r="K481" s="87" t="s">
        <v>29</v>
      </c>
      <c r="AV481" t="s">
        <v>1785</v>
      </c>
      <c r="AW481" t="s">
        <v>234</v>
      </c>
      <c r="AX481">
        <v>3600</v>
      </c>
      <c r="AY481" s="5">
        <v>5.5555555555555558E-3</v>
      </c>
      <c r="AZ481" t="s">
        <v>1822</v>
      </c>
      <c r="BA481">
        <v>2010</v>
      </c>
      <c r="BD481" t="s">
        <v>1778</v>
      </c>
      <c r="BE481" t="s">
        <v>1781</v>
      </c>
      <c r="BF481" t="s">
        <v>57</v>
      </c>
      <c r="BG481" t="s">
        <v>1798</v>
      </c>
      <c r="BH481" t="s">
        <v>1796</v>
      </c>
      <c r="BI481" t="s">
        <v>29</v>
      </c>
      <c r="BJ481" t="s">
        <v>29</v>
      </c>
      <c r="BK481" t="s">
        <v>29</v>
      </c>
      <c r="EE481" t="s">
        <v>1793</v>
      </c>
      <c r="EF481" t="s">
        <v>29</v>
      </c>
      <c r="EG481" t="s">
        <v>29</v>
      </c>
      <c r="EH481" t="s">
        <v>29</v>
      </c>
      <c r="EI481" t="s">
        <v>1792</v>
      </c>
      <c r="EJ481" t="s">
        <v>29</v>
      </c>
      <c r="EK481" t="s">
        <v>29</v>
      </c>
      <c r="EL481" t="s">
        <v>29</v>
      </c>
      <c r="EM481" t="s">
        <v>1787</v>
      </c>
      <c r="EN481" t="s">
        <v>29</v>
      </c>
      <c r="EO481" t="s">
        <v>29</v>
      </c>
      <c r="EP481" t="s">
        <v>29</v>
      </c>
      <c r="EQ481" t="s">
        <v>1788</v>
      </c>
      <c r="ER481" t="s">
        <v>29</v>
      </c>
      <c r="ES481" t="s">
        <v>29</v>
      </c>
      <c r="ET481" t="s">
        <v>29</v>
      </c>
      <c r="EU481" t="s">
        <v>1789</v>
      </c>
      <c r="EV481" t="s">
        <v>29</v>
      </c>
      <c r="EW481" t="s">
        <v>29</v>
      </c>
      <c r="EX481" t="s">
        <v>29</v>
      </c>
      <c r="EY481" t="s">
        <v>1790</v>
      </c>
      <c r="EZ481" t="s">
        <v>29</v>
      </c>
      <c r="FA481" t="s">
        <v>29</v>
      </c>
      <c r="FB481" t="s">
        <v>29</v>
      </c>
      <c r="FC481" t="s">
        <v>1791</v>
      </c>
      <c r="FD481" t="s">
        <v>29</v>
      </c>
      <c r="FE481" t="s">
        <v>29</v>
      </c>
      <c r="FF481" t="s">
        <v>29</v>
      </c>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c r="GM481" s="9" t="s">
        <v>1794</v>
      </c>
      <c r="GN481" s="9" t="s">
        <v>29</v>
      </c>
      <c r="GO481" s="9" t="s">
        <v>29</v>
      </c>
      <c r="GP481" s="9" t="s">
        <v>29</v>
      </c>
      <c r="GQ481" s="9"/>
      <c r="GR481" s="9"/>
      <c r="GS481" s="9"/>
      <c r="GT481" s="9"/>
      <c r="GU481" s="9"/>
      <c r="GV481" s="9"/>
      <c r="GW481" s="9"/>
      <c r="GX481" s="9"/>
      <c r="GY481" s="9"/>
      <c r="GZ481" s="9"/>
      <c r="HA481" s="9"/>
      <c r="HB481" s="9"/>
      <c r="HC481" s="9"/>
      <c r="HD481" s="9"/>
      <c r="HE481" s="9"/>
      <c r="HF481" s="9"/>
      <c r="HG481" s="9"/>
      <c r="HH481" s="9"/>
      <c r="HI481" s="9"/>
      <c r="HJ481" s="9"/>
      <c r="HK481" s="9"/>
      <c r="HL481" s="9"/>
      <c r="HX481" s="58"/>
      <c r="HY481" t="s">
        <v>1781</v>
      </c>
      <c r="HZ481" t="s">
        <v>1814</v>
      </c>
      <c r="IU481" t="s">
        <v>1781</v>
      </c>
      <c r="IV481" s="84" t="s">
        <v>1811</v>
      </c>
      <c r="IW481" s="12" t="s">
        <v>1786</v>
      </c>
      <c r="IX481" s="54" t="s">
        <v>1797</v>
      </c>
      <c r="IY481">
        <v>7.5</v>
      </c>
      <c r="IZ481">
        <v>56</v>
      </c>
      <c r="MS481" t="s">
        <v>1824</v>
      </c>
      <c r="MT481">
        <v>1963</v>
      </c>
      <c r="MU481" t="s">
        <v>1773</v>
      </c>
      <c r="MW481" t="s">
        <v>1764</v>
      </c>
      <c r="NB481" t="s">
        <v>1774</v>
      </c>
      <c r="NC481" t="s">
        <v>711</v>
      </c>
      <c r="NE481" t="s">
        <v>1770</v>
      </c>
      <c r="NG481" t="s">
        <v>1770</v>
      </c>
      <c r="NQ481" t="s">
        <v>6</v>
      </c>
      <c r="NR481">
        <v>2.8</v>
      </c>
      <c r="NS481" t="s">
        <v>1456</v>
      </c>
      <c r="NT481">
        <v>2</v>
      </c>
      <c r="NW481">
        <v>7</v>
      </c>
      <c r="OH481" t="s">
        <v>1594</v>
      </c>
      <c r="OJ481">
        <v>2010</v>
      </c>
      <c r="OO481" t="s">
        <v>1178</v>
      </c>
      <c r="OP481" s="58">
        <v>46108</v>
      </c>
    </row>
    <row r="482" spans="1:406" ht="15.75" thickBot="1">
      <c r="A482" t="s">
        <v>36</v>
      </c>
      <c r="B482" t="s">
        <v>1758</v>
      </c>
      <c r="C482" t="s">
        <v>1759</v>
      </c>
      <c r="D482" s="4" t="s">
        <v>245</v>
      </c>
      <c r="E482" t="s">
        <v>1825</v>
      </c>
      <c r="F482" s="4" t="s">
        <v>1823</v>
      </c>
      <c r="G482" t="s">
        <v>254</v>
      </c>
      <c r="H482" t="s">
        <v>30</v>
      </c>
      <c r="I482">
        <v>-23.748532000000001</v>
      </c>
      <c r="J482">
        <v>-62.056702000000001</v>
      </c>
      <c r="K482" s="87" t="s">
        <v>29</v>
      </c>
      <c r="AV482" t="s">
        <v>1785</v>
      </c>
      <c r="AW482" t="s">
        <v>234</v>
      </c>
      <c r="AX482">
        <v>3600</v>
      </c>
      <c r="AY482" s="5">
        <v>5.5555555555555558E-3</v>
      </c>
      <c r="AZ482" t="s">
        <v>1822</v>
      </c>
      <c r="BA482">
        <v>2010</v>
      </c>
      <c r="BD482" t="s">
        <v>1778</v>
      </c>
      <c r="BE482" t="s">
        <v>1783</v>
      </c>
      <c r="BF482" t="s">
        <v>48</v>
      </c>
      <c r="BG482" t="s">
        <v>1798</v>
      </c>
      <c r="BH482" t="s">
        <v>1800</v>
      </c>
      <c r="BI482" t="s">
        <v>29</v>
      </c>
      <c r="BJ482" t="s">
        <v>29</v>
      </c>
      <c r="BK482" t="s">
        <v>29</v>
      </c>
      <c r="EE482" t="s">
        <v>1793</v>
      </c>
      <c r="EF482" t="s">
        <v>29</v>
      </c>
      <c r="EG482" t="s">
        <v>29</v>
      </c>
      <c r="EH482" t="s">
        <v>29</v>
      </c>
      <c r="EI482" t="s">
        <v>1792</v>
      </c>
      <c r="EJ482" t="s">
        <v>29</v>
      </c>
      <c r="EK482" t="s">
        <v>29</v>
      </c>
      <c r="EL482" t="s">
        <v>29</v>
      </c>
      <c r="EM482" t="s">
        <v>1787</v>
      </c>
      <c r="EN482" t="s">
        <v>29</v>
      </c>
      <c r="EO482" t="s">
        <v>29</v>
      </c>
      <c r="EP482" t="s">
        <v>29</v>
      </c>
      <c r="EQ482" t="s">
        <v>1788</v>
      </c>
      <c r="ER482" t="s">
        <v>29</v>
      </c>
      <c r="ES482" t="s">
        <v>29</v>
      </c>
      <c r="ET482" t="s">
        <v>29</v>
      </c>
      <c r="EU482" t="s">
        <v>1789</v>
      </c>
      <c r="EV482" t="s">
        <v>29</v>
      </c>
      <c r="EW482" t="s">
        <v>29</v>
      </c>
      <c r="EX482" t="s">
        <v>29</v>
      </c>
      <c r="EY482" t="s">
        <v>1790</v>
      </c>
      <c r="EZ482" t="s">
        <v>29</v>
      </c>
      <c r="FA482" t="s">
        <v>29</v>
      </c>
      <c r="FB482" t="s">
        <v>29</v>
      </c>
      <c r="FC482" t="s">
        <v>1791</v>
      </c>
      <c r="FD482" t="s">
        <v>29</v>
      </c>
      <c r="FE482" t="s">
        <v>29</v>
      </c>
      <c r="FF482" t="s">
        <v>29</v>
      </c>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c r="GM482" s="9" t="s">
        <v>1794</v>
      </c>
      <c r="GN482" s="9" t="s">
        <v>29</v>
      </c>
      <c r="GO482" s="9" t="s">
        <v>29</v>
      </c>
      <c r="GP482" s="9" t="s">
        <v>29</v>
      </c>
      <c r="GQ482" s="9"/>
      <c r="GR482" s="9"/>
      <c r="GS482" s="9"/>
      <c r="GT482" s="9"/>
      <c r="GU482" s="9"/>
      <c r="GV482" s="9"/>
      <c r="GW482" s="9"/>
      <c r="GX482" s="9"/>
      <c r="GY482" s="9"/>
      <c r="GZ482" s="9"/>
      <c r="HA482" s="9"/>
      <c r="HB482" s="9"/>
      <c r="HC482" s="9"/>
      <c r="HD482" s="9"/>
      <c r="HE482" s="9"/>
      <c r="HF482" s="9"/>
      <c r="HG482" s="9"/>
      <c r="HH482" s="9"/>
      <c r="HI482" s="9"/>
      <c r="HJ482" s="9"/>
      <c r="HK482" s="9"/>
      <c r="HL482" s="9"/>
      <c r="HX482" s="58"/>
      <c r="HY482" t="s">
        <v>1783</v>
      </c>
      <c r="HZ482" t="s">
        <v>1813</v>
      </c>
      <c r="IU482" t="s">
        <v>1783</v>
      </c>
      <c r="IV482" s="84" t="s">
        <v>1811</v>
      </c>
      <c r="IW482" s="12" t="s">
        <v>1786</v>
      </c>
      <c r="IX482" s="54" t="s">
        <v>1797</v>
      </c>
      <c r="IY482">
        <v>7.5</v>
      </c>
      <c r="IZ482">
        <v>37</v>
      </c>
      <c r="MS482" t="s">
        <v>1824</v>
      </c>
      <c r="MT482">
        <v>1963</v>
      </c>
      <c r="MU482" t="s">
        <v>1773</v>
      </c>
      <c r="MW482" t="s">
        <v>1764</v>
      </c>
      <c r="NB482" t="s">
        <v>1774</v>
      </c>
      <c r="NC482" t="s">
        <v>711</v>
      </c>
      <c r="NE482" t="s">
        <v>1770</v>
      </c>
      <c r="NG482" t="s">
        <v>1770</v>
      </c>
      <c r="NQ482" t="s">
        <v>6</v>
      </c>
      <c r="NR482">
        <v>3.8</v>
      </c>
      <c r="NS482" t="s">
        <v>1456</v>
      </c>
      <c r="NT482">
        <v>1.6</v>
      </c>
      <c r="NW482">
        <v>5</v>
      </c>
      <c r="OH482" t="s">
        <v>1594</v>
      </c>
      <c r="OJ482">
        <v>2010</v>
      </c>
      <c r="OO482" t="s">
        <v>1178</v>
      </c>
      <c r="OP482" s="58">
        <v>46108</v>
      </c>
    </row>
    <row r="483" spans="1:406" ht="15.75" thickBot="1">
      <c r="A483" t="s">
        <v>36</v>
      </c>
      <c r="B483" t="s">
        <v>1758</v>
      </c>
      <c r="C483" t="s">
        <v>1759</v>
      </c>
      <c r="D483" s="4" t="s">
        <v>245</v>
      </c>
      <c r="E483" t="s">
        <v>1825</v>
      </c>
      <c r="F483" s="4" t="s">
        <v>1823</v>
      </c>
      <c r="G483" t="s">
        <v>254</v>
      </c>
      <c r="H483" t="s">
        <v>30</v>
      </c>
      <c r="I483">
        <v>-23.748532000000001</v>
      </c>
      <c r="J483">
        <v>-62.056702000000001</v>
      </c>
      <c r="K483" s="87" t="s">
        <v>29</v>
      </c>
      <c r="AV483" t="s">
        <v>1785</v>
      </c>
      <c r="AW483" t="s">
        <v>234</v>
      </c>
      <c r="AX483" t="s">
        <v>234</v>
      </c>
      <c r="AY483" s="5">
        <v>5.5555555555555558E-3</v>
      </c>
      <c r="AZ483" t="s">
        <v>1822</v>
      </c>
      <c r="BA483">
        <v>2010</v>
      </c>
      <c r="BD483" t="s">
        <v>1766</v>
      </c>
      <c r="BE483" t="s">
        <v>1767</v>
      </c>
      <c r="BF483" t="s">
        <v>24</v>
      </c>
      <c r="BG483" t="s">
        <v>1798</v>
      </c>
      <c r="BH483" t="s">
        <v>1800</v>
      </c>
      <c r="BI483" t="s">
        <v>29</v>
      </c>
      <c r="BJ483" t="s">
        <v>29</v>
      </c>
      <c r="BK483" t="s">
        <v>29</v>
      </c>
      <c r="GM483" t="s">
        <v>1794</v>
      </c>
      <c r="GN483" s="9" t="s">
        <v>29</v>
      </c>
      <c r="GO483" s="9" t="s">
        <v>29</v>
      </c>
      <c r="GP483" s="9" t="s">
        <v>29</v>
      </c>
      <c r="HY483" t="s">
        <v>1767</v>
      </c>
      <c r="HZ483" t="s">
        <v>1813</v>
      </c>
      <c r="IU483" t="s">
        <v>1767</v>
      </c>
      <c r="IV483" s="54" t="s">
        <v>1812</v>
      </c>
      <c r="IW483" s="54" t="s">
        <v>1812</v>
      </c>
      <c r="IX483" s="54" t="s">
        <v>1799</v>
      </c>
      <c r="IY483">
        <v>1</v>
      </c>
      <c r="IZ483">
        <v>6</v>
      </c>
      <c r="MS483" t="s">
        <v>1824</v>
      </c>
      <c r="MT483">
        <v>1963</v>
      </c>
      <c r="MU483" t="s">
        <v>1773</v>
      </c>
      <c r="MW483" t="s">
        <v>1764</v>
      </c>
      <c r="NB483" t="s">
        <v>1774</v>
      </c>
      <c r="NC483" t="s">
        <v>711</v>
      </c>
      <c r="NE483" t="s">
        <v>1770</v>
      </c>
      <c r="NG483" t="s">
        <v>1770</v>
      </c>
      <c r="NP483" t="s">
        <v>1847</v>
      </c>
      <c r="NQ483" t="s">
        <v>6</v>
      </c>
      <c r="NR483">
        <v>3</v>
      </c>
      <c r="NS483" t="s">
        <v>1456</v>
      </c>
      <c r="NT483">
        <v>1.7</v>
      </c>
      <c r="NW483">
        <v>7</v>
      </c>
      <c r="OH483" t="s">
        <v>1594</v>
      </c>
      <c r="OJ483">
        <v>2010</v>
      </c>
      <c r="OO483" t="s">
        <v>1178</v>
      </c>
      <c r="OP483" s="58">
        <v>46108</v>
      </c>
    </row>
    <row r="484" spans="1:406" ht="15.75" thickBot="1">
      <c r="A484" t="s">
        <v>36</v>
      </c>
      <c r="B484" t="s">
        <v>1758</v>
      </c>
      <c r="C484" t="s">
        <v>1759</v>
      </c>
      <c r="D484" s="4" t="s">
        <v>245</v>
      </c>
      <c r="E484" t="s">
        <v>1825</v>
      </c>
      <c r="F484" s="4" t="s">
        <v>1823</v>
      </c>
      <c r="G484" t="s">
        <v>254</v>
      </c>
      <c r="H484" t="s">
        <v>30</v>
      </c>
      <c r="I484">
        <v>-23.748532000000001</v>
      </c>
      <c r="J484">
        <v>-62.056702000000001</v>
      </c>
      <c r="K484" s="87" t="s">
        <v>29</v>
      </c>
      <c r="AV484" t="s">
        <v>1785</v>
      </c>
      <c r="AW484" t="s">
        <v>234</v>
      </c>
      <c r="AX484">
        <v>1000</v>
      </c>
      <c r="AY484" s="5">
        <v>5.5555555555555558E-3</v>
      </c>
      <c r="AZ484" t="s">
        <v>1822</v>
      </c>
      <c r="BA484">
        <v>2010</v>
      </c>
      <c r="BD484" t="s">
        <v>1844</v>
      </c>
      <c r="BE484" t="s">
        <v>1761</v>
      </c>
      <c r="BF484" t="s">
        <v>39</v>
      </c>
      <c r="BG484" t="s">
        <v>1762</v>
      </c>
      <c r="EE484" t="s">
        <v>1793</v>
      </c>
      <c r="EF484" t="s">
        <v>29</v>
      </c>
      <c r="EG484" t="s">
        <v>29</v>
      </c>
      <c r="EH484" t="s">
        <v>29</v>
      </c>
      <c r="EI484" t="s">
        <v>1792</v>
      </c>
      <c r="EJ484" t="s">
        <v>29</v>
      </c>
      <c r="EK484" t="s">
        <v>29</v>
      </c>
      <c r="EL484" t="s">
        <v>29</v>
      </c>
      <c r="EM484" t="s">
        <v>1787</v>
      </c>
      <c r="EN484" t="s">
        <v>29</v>
      </c>
      <c r="EO484" t="s">
        <v>29</v>
      </c>
      <c r="EP484" t="s">
        <v>29</v>
      </c>
      <c r="EQ484" t="s">
        <v>1788</v>
      </c>
      <c r="ER484" t="s">
        <v>29</v>
      </c>
      <c r="ES484" t="s">
        <v>29</v>
      </c>
      <c r="ET484" t="s">
        <v>29</v>
      </c>
      <c r="EU484" t="s">
        <v>1789</v>
      </c>
      <c r="EV484" t="s">
        <v>29</v>
      </c>
      <c r="EW484" t="s">
        <v>29</v>
      </c>
      <c r="EX484" t="s">
        <v>29</v>
      </c>
      <c r="EY484" t="s">
        <v>1790</v>
      </c>
      <c r="EZ484" t="s">
        <v>29</v>
      </c>
      <c r="FA484" t="s">
        <v>29</v>
      </c>
      <c r="FB484" t="s">
        <v>29</v>
      </c>
      <c r="FC484" t="s">
        <v>1791</v>
      </c>
      <c r="FD484" t="s">
        <v>29</v>
      </c>
      <c r="FE484" t="s">
        <v>29</v>
      </c>
      <c r="FF484" t="s">
        <v>29</v>
      </c>
      <c r="HY484" t="s">
        <v>1761</v>
      </c>
      <c r="IU484" t="s">
        <v>1761</v>
      </c>
      <c r="IV484" t="s">
        <v>1810</v>
      </c>
      <c r="IW484" t="s">
        <v>1810</v>
      </c>
      <c r="IX484" t="s">
        <v>1810</v>
      </c>
      <c r="IY484">
        <v>5</v>
      </c>
      <c r="IZ484">
        <v>70</v>
      </c>
      <c r="MS484" t="s">
        <v>1824</v>
      </c>
      <c r="MT484">
        <v>1963</v>
      </c>
      <c r="MU484" t="s">
        <v>1769</v>
      </c>
      <c r="MW484" t="s">
        <v>1764</v>
      </c>
      <c r="NB484" t="s">
        <v>1808</v>
      </c>
      <c r="NC484" t="s">
        <v>711</v>
      </c>
      <c r="NE484" t="s">
        <v>1770</v>
      </c>
      <c r="NG484" t="s">
        <v>1770</v>
      </c>
      <c r="NP484" t="s">
        <v>1846</v>
      </c>
      <c r="NQ484" t="s">
        <v>6</v>
      </c>
      <c r="NR484">
        <v>0.6</v>
      </c>
      <c r="NS484" t="s">
        <v>1456</v>
      </c>
      <c r="NT484">
        <v>0.6</v>
      </c>
      <c r="NW484">
        <v>6</v>
      </c>
      <c r="OH484" t="s">
        <v>1594</v>
      </c>
      <c r="OJ484">
        <v>2010</v>
      </c>
      <c r="OO484" t="s">
        <v>1178</v>
      </c>
      <c r="OP484" s="58">
        <v>46108</v>
      </c>
    </row>
    <row r="485" spans="1:406" ht="15.75" thickBot="1">
      <c r="A485" t="s">
        <v>36</v>
      </c>
      <c r="B485" t="s">
        <v>1758</v>
      </c>
      <c r="C485" t="s">
        <v>1759</v>
      </c>
      <c r="D485" s="4" t="s">
        <v>245</v>
      </c>
      <c r="E485" t="s">
        <v>1825</v>
      </c>
      <c r="F485" s="4" t="s">
        <v>1823</v>
      </c>
      <c r="G485" t="s">
        <v>254</v>
      </c>
      <c r="H485" t="s">
        <v>30</v>
      </c>
      <c r="I485">
        <v>-23.748532000000001</v>
      </c>
      <c r="J485">
        <v>-62.056702000000001</v>
      </c>
      <c r="K485" s="87" t="s">
        <v>29</v>
      </c>
      <c r="AV485" t="s">
        <v>1785</v>
      </c>
      <c r="AW485" t="s">
        <v>234</v>
      </c>
      <c r="AX485" t="s">
        <v>234</v>
      </c>
      <c r="AY485" s="5">
        <v>5.5555555555555558E-3</v>
      </c>
      <c r="AZ485" t="s">
        <v>1822</v>
      </c>
      <c r="BA485">
        <v>2010</v>
      </c>
      <c r="BD485" t="s">
        <v>1778</v>
      </c>
      <c r="BE485" t="s">
        <v>1779</v>
      </c>
      <c r="BF485" t="s">
        <v>64</v>
      </c>
      <c r="BG485" t="s">
        <v>1798</v>
      </c>
      <c r="BH485" t="s">
        <v>1796</v>
      </c>
      <c r="BI485" t="s">
        <v>1801</v>
      </c>
      <c r="BJ485" t="s">
        <v>29</v>
      </c>
      <c r="BK485" t="s">
        <v>29</v>
      </c>
      <c r="EE485" t="s">
        <v>1793</v>
      </c>
      <c r="EF485" t="s">
        <v>29</v>
      </c>
      <c r="EG485" t="s">
        <v>29</v>
      </c>
      <c r="EH485" t="s">
        <v>29</v>
      </c>
      <c r="EI485" t="s">
        <v>1792</v>
      </c>
      <c r="EJ485" t="s">
        <v>29</v>
      </c>
      <c r="EK485" t="s">
        <v>29</v>
      </c>
      <c r="EL485" t="s">
        <v>29</v>
      </c>
      <c r="EM485" t="s">
        <v>1787</v>
      </c>
      <c r="EN485" t="s">
        <v>29</v>
      </c>
      <c r="EO485" t="s">
        <v>29</v>
      </c>
      <c r="EP485" t="s">
        <v>29</v>
      </c>
      <c r="EQ485" t="s">
        <v>1788</v>
      </c>
      <c r="ER485" t="s">
        <v>29</v>
      </c>
      <c r="ES485" t="s">
        <v>29</v>
      </c>
      <c r="ET485" t="s">
        <v>29</v>
      </c>
      <c r="EU485" t="s">
        <v>1789</v>
      </c>
      <c r="EV485" t="s">
        <v>29</v>
      </c>
      <c r="EW485" t="s">
        <v>29</v>
      </c>
      <c r="EX485" t="s">
        <v>29</v>
      </c>
      <c r="EY485" t="s">
        <v>1790</v>
      </c>
      <c r="EZ485" t="s">
        <v>29</v>
      </c>
      <c r="FA485" t="s">
        <v>29</v>
      </c>
      <c r="FB485" t="s">
        <v>29</v>
      </c>
      <c r="FC485" t="s">
        <v>1791</v>
      </c>
      <c r="FD485" t="s">
        <v>29</v>
      </c>
      <c r="FE485" t="s">
        <v>29</v>
      </c>
      <c r="FF485" t="s">
        <v>29</v>
      </c>
      <c r="GM485" t="s">
        <v>1794</v>
      </c>
      <c r="GN485" s="9" t="s">
        <v>29</v>
      </c>
      <c r="GO485" s="9" t="s">
        <v>29</v>
      </c>
      <c r="GP485" s="9" t="s">
        <v>29</v>
      </c>
      <c r="GQ485" s="9"/>
      <c r="GR485" s="9"/>
      <c r="GS485" s="9"/>
      <c r="GT485" s="9"/>
      <c r="GU485" s="9"/>
      <c r="GV485" s="9"/>
      <c r="GW485" s="9"/>
      <c r="GX485" s="9"/>
      <c r="GY485" s="9"/>
      <c r="GZ485" s="9"/>
      <c r="HA485" s="9"/>
      <c r="HB485" s="9"/>
      <c r="HC485" s="9"/>
      <c r="HD485" s="9"/>
      <c r="HE485" s="9"/>
      <c r="HF485" s="9"/>
      <c r="HG485" s="9"/>
      <c r="HH485" s="9"/>
      <c r="HI485" s="9"/>
      <c r="HJ485" s="9"/>
      <c r="HK485" s="9"/>
      <c r="HL485" s="9"/>
      <c r="HX485" s="58"/>
      <c r="HY485" t="s">
        <v>1779</v>
      </c>
      <c r="HZ485" t="s">
        <v>1814</v>
      </c>
      <c r="IU485" t="s">
        <v>1779</v>
      </c>
      <c r="IV485" s="84" t="s">
        <v>1811</v>
      </c>
      <c r="IW485" t="s">
        <v>1786</v>
      </c>
      <c r="IX485" s="54" t="s">
        <v>1795</v>
      </c>
      <c r="IY485">
        <v>1</v>
      </c>
      <c r="IZ485">
        <v>81</v>
      </c>
      <c r="MS485" t="s">
        <v>1824</v>
      </c>
      <c r="MT485">
        <v>1963</v>
      </c>
      <c r="MU485" t="s">
        <v>1769</v>
      </c>
      <c r="MW485" t="s">
        <v>1764</v>
      </c>
      <c r="NB485" t="s">
        <v>1808</v>
      </c>
      <c r="NC485" t="s">
        <v>711</v>
      </c>
      <c r="NE485" t="s">
        <v>1770</v>
      </c>
      <c r="NG485" t="s">
        <v>1770</v>
      </c>
      <c r="NQ485" t="s">
        <v>6</v>
      </c>
      <c r="NR485">
        <v>0.3</v>
      </c>
      <c r="NS485" t="s">
        <v>1456</v>
      </c>
      <c r="NT485">
        <v>0.5</v>
      </c>
      <c r="NW485">
        <v>8</v>
      </c>
      <c r="OH485" t="s">
        <v>1594</v>
      </c>
      <c r="OJ485">
        <v>2010</v>
      </c>
      <c r="OO485" t="s">
        <v>1178</v>
      </c>
      <c r="OP485" s="58">
        <v>46108</v>
      </c>
    </row>
    <row r="486" spans="1:406" ht="15.75" thickBot="1">
      <c r="A486" t="s">
        <v>36</v>
      </c>
      <c r="B486" t="s">
        <v>1758</v>
      </c>
      <c r="C486" t="s">
        <v>1759</v>
      </c>
      <c r="D486" s="4" t="s">
        <v>245</v>
      </c>
      <c r="E486" t="s">
        <v>1825</v>
      </c>
      <c r="F486" s="4" t="s">
        <v>1823</v>
      </c>
      <c r="G486" t="s">
        <v>254</v>
      </c>
      <c r="H486" t="s">
        <v>30</v>
      </c>
      <c r="I486">
        <v>-23.748532000000001</v>
      </c>
      <c r="J486">
        <v>-62.056702000000001</v>
      </c>
      <c r="K486" s="87" t="s">
        <v>29</v>
      </c>
      <c r="AV486" t="s">
        <v>1785</v>
      </c>
      <c r="AW486" t="s">
        <v>234</v>
      </c>
      <c r="AX486">
        <v>3600</v>
      </c>
      <c r="AY486" s="5">
        <v>5.5555555555555558E-3</v>
      </c>
      <c r="AZ486" t="s">
        <v>1822</v>
      </c>
      <c r="BA486">
        <v>2010</v>
      </c>
      <c r="BD486" t="s">
        <v>1778</v>
      </c>
      <c r="BE486" t="s">
        <v>1781</v>
      </c>
      <c r="BF486" t="s">
        <v>57</v>
      </c>
      <c r="BG486" t="s">
        <v>1798</v>
      </c>
      <c r="BH486" t="s">
        <v>1796</v>
      </c>
      <c r="BI486" t="s">
        <v>29</v>
      </c>
      <c r="BJ486" t="s">
        <v>29</v>
      </c>
      <c r="BK486" t="s">
        <v>29</v>
      </c>
      <c r="EE486" t="s">
        <v>1793</v>
      </c>
      <c r="EF486" t="s">
        <v>29</v>
      </c>
      <c r="EG486" t="s">
        <v>29</v>
      </c>
      <c r="EH486" t="s">
        <v>29</v>
      </c>
      <c r="EI486" t="s">
        <v>1792</v>
      </c>
      <c r="EJ486" t="s">
        <v>29</v>
      </c>
      <c r="EK486" t="s">
        <v>29</v>
      </c>
      <c r="EL486" t="s">
        <v>29</v>
      </c>
      <c r="EM486" t="s">
        <v>1787</v>
      </c>
      <c r="EN486" t="s">
        <v>29</v>
      </c>
      <c r="EO486" t="s">
        <v>29</v>
      </c>
      <c r="EP486" t="s">
        <v>29</v>
      </c>
      <c r="EQ486" t="s">
        <v>1788</v>
      </c>
      <c r="ER486" t="s">
        <v>29</v>
      </c>
      <c r="ES486" t="s">
        <v>29</v>
      </c>
      <c r="ET486" t="s">
        <v>29</v>
      </c>
      <c r="EU486" t="s">
        <v>1789</v>
      </c>
      <c r="EV486" t="s">
        <v>29</v>
      </c>
      <c r="EW486" t="s">
        <v>29</v>
      </c>
      <c r="EX486" t="s">
        <v>29</v>
      </c>
      <c r="EY486" t="s">
        <v>1790</v>
      </c>
      <c r="EZ486" t="s">
        <v>29</v>
      </c>
      <c r="FA486" t="s">
        <v>29</v>
      </c>
      <c r="FB486" t="s">
        <v>29</v>
      </c>
      <c r="FC486" t="s">
        <v>1791</v>
      </c>
      <c r="FD486" t="s">
        <v>29</v>
      </c>
      <c r="FE486" t="s">
        <v>29</v>
      </c>
      <c r="FF486" t="s">
        <v>29</v>
      </c>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c r="GM486" s="9" t="s">
        <v>1794</v>
      </c>
      <c r="GN486" s="9" t="s">
        <v>29</v>
      </c>
      <c r="GO486" s="9" t="s">
        <v>29</v>
      </c>
      <c r="GP486" s="9" t="s">
        <v>29</v>
      </c>
      <c r="GQ486" s="9"/>
      <c r="GR486" s="9"/>
      <c r="GS486" s="9"/>
      <c r="GT486" s="9"/>
      <c r="GU486" s="9"/>
      <c r="GV486" s="9"/>
      <c r="GW486" s="9"/>
      <c r="GX486" s="9"/>
      <c r="GY486" s="9"/>
      <c r="GZ486" s="9"/>
      <c r="HA486" s="9"/>
      <c r="HB486" s="9"/>
      <c r="HC486" s="9"/>
      <c r="HD486" s="9"/>
      <c r="HE486" s="9"/>
      <c r="HF486" s="9"/>
      <c r="HG486" s="9"/>
      <c r="HH486" s="9"/>
      <c r="HI486" s="9"/>
      <c r="HJ486" s="9"/>
      <c r="HK486" s="9"/>
      <c r="HL486" s="9"/>
      <c r="HX486" s="58"/>
      <c r="HY486" t="s">
        <v>1781</v>
      </c>
      <c r="HZ486" t="s">
        <v>1814</v>
      </c>
      <c r="IU486" t="s">
        <v>1781</v>
      </c>
      <c r="IV486" s="84" t="s">
        <v>1811</v>
      </c>
      <c r="IW486" s="12" t="s">
        <v>1786</v>
      </c>
      <c r="IX486" s="54" t="s">
        <v>1797</v>
      </c>
      <c r="IY486">
        <v>7.5</v>
      </c>
      <c r="IZ486">
        <v>56</v>
      </c>
      <c r="MS486" t="s">
        <v>1824</v>
      </c>
      <c r="MT486">
        <v>1963</v>
      </c>
      <c r="MU486" t="s">
        <v>1769</v>
      </c>
      <c r="MW486" t="s">
        <v>1764</v>
      </c>
      <c r="NB486" t="s">
        <v>1808</v>
      </c>
      <c r="NC486" t="s">
        <v>711</v>
      </c>
      <c r="NE486" t="s">
        <v>1770</v>
      </c>
      <c r="NG486" t="s">
        <v>1770</v>
      </c>
      <c r="NQ486" t="s">
        <v>6</v>
      </c>
      <c r="NR486">
        <v>0.6</v>
      </c>
      <c r="NS486" t="s">
        <v>1456</v>
      </c>
      <c r="NT486">
        <v>0.8</v>
      </c>
      <c r="NW486">
        <v>7</v>
      </c>
      <c r="OH486" t="s">
        <v>1594</v>
      </c>
      <c r="OJ486">
        <v>2010</v>
      </c>
      <c r="OO486" t="s">
        <v>1178</v>
      </c>
      <c r="OP486" s="58">
        <v>46108</v>
      </c>
    </row>
    <row r="487" spans="1:406" ht="15.75" thickBot="1">
      <c r="A487" t="s">
        <v>36</v>
      </c>
      <c r="B487" t="s">
        <v>1758</v>
      </c>
      <c r="C487" t="s">
        <v>1759</v>
      </c>
      <c r="D487" s="4" t="s">
        <v>245</v>
      </c>
      <c r="E487" t="s">
        <v>1825</v>
      </c>
      <c r="F487" s="4" t="s">
        <v>1823</v>
      </c>
      <c r="G487" t="s">
        <v>254</v>
      </c>
      <c r="H487" t="s">
        <v>30</v>
      </c>
      <c r="I487">
        <v>-23.748532000000001</v>
      </c>
      <c r="J487">
        <v>-62.056702000000001</v>
      </c>
      <c r="K487" s="87" t="s">
        <v>29</v>
      </c>
      <c r="AV487" t="s">
        <v>1785</v>
      </c>
      <c r="AW487" t="s">
        <v>234</v>
      </c>
      <c r="AX487">
        <v>3600</v>
      </c>
      <c r="AY487" s="5">
        <v>5.5555555555555558E-3</v>
      </c>
      <c r="AZ487" t="s">
        <v>1822</v>
      </c>
      <c r="BA487">
        <v>2010</v>
      </c>
      <c r="BD487" t="s">
        <v>1778</v>
      </c>
      <c r="BE487" t="s">
        <v>1783</v>
      </c>
      <c r="BF487" t="s">
        <v>48</v>
      </c>
      <c r="BG487" t="s">
        <v>1798</v>
      </c>
      <c r="BH487" t="s">
        <v>1800</v>
      </c>
      <c r="BI487" t="s">
        <v>29</v>
      </c>
      <c r="BJ487" t="s">
        <v>29</v>
      </c>
      <c r="BK487" t="s">
        <v>29</v>
      </c>
      <c r="EE487" t="s">
        <v>1793</v>
      </c>
      <c r="EF487" t="s">
        <v>29</v>
      </c>
      <c r="EG487" t="s">
        <v>29</v>
      </c>
      <c r="EH487" t="s">
        <v>29</v>
      </c>
      <c r="EI487" t="s">
        <v>1792</v>
      </c>
      <c r="EJ487" t="s">
        <v>29</v>
      </c>
      <c r="EK487" t="s">
        <v>29</v>
      </c>
      <c r="EL487" t="s">
        <v>29</v>
      </c>
      <c r="EM487" t="s">
        <v>1787</v>
      </c>
      <c r="EN487" t="s">
        <v>29</v>
      </c>
      <c r="EO487" t="s">
        <v>29</v>
      </c>
      <c r="EP487" t="s">
        <v>29</v>
      </c>
      <c r="EQ487" t="s">
        <v>1788</v>
      </c>
      <c r="ER487" t="s">
        <v>29</v>
      </c>
      <c r="ES487" t="s">
        <v>29</v>
      </c>
      <c r="ET487" t="s">
        <v>29</v>
      </c>
      <c r="EU487" t="s">
        <v>1789</v>
      </c>
      <c r="EV487" t="s">
        <v>29</v>
      </c>
      <c r="EW487" t="s">
        <v>29</v>
      </c>
      <c r="EX487" t="s">
        <v>29</v>
      </c>
      <c r="EY487" t="s">
        <v>1790</v>
      </c>
      <c r="EZ487" t="s">
        <v>29</v>
      </c>
      <c r="FA487" t="s">
        <v>29</v>
      </c>
      <c r="FB487" t="s">
        <v>29</v>
      </c>
      <c r="FC487" t="s">
        <v>1791</v>
      </c>
      <c r="FD487" t="s">
        <v>29</v>
      </c>
      <c r="FE487" t="s">
        <v>29</v>
      </c>
      <c r="FF487" t="s">
        <v>29</v>
      </c>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c r="GM487" s="9" t="s">
        <v>1794</v>
      </c>
      <c r="GN487" s="9" t="s">
        <v>29</v>
      </c>
      <c r="GO487" s="9" t="s">
        <v>29</v>
      </c>
      <c r="GP487" s="9" t="s">
        <v>29</v>
      </c>
      <c r="GQ487" s="9"/>
      <c r="GR487" s="9"/>
      <c r="GS487" s="9"/>
      <c r="GT487" s="9"/>
      <c r="GU487" s="9"/>
      <c r="GV487" s="9"/>
      <c r="GW487" s="9"/>
      <c r="GX487" s="9"/>
      <c r="GY487" s="9"/>
      <c r="GZ487" s="9"/>
      <c r="HA487" s="9"/>
      <c r="HB487" s="9"/>
      <c r="HC487" s="9"/>
      <c r="HD487" s="9"/>
      <c r="HE487" s="9"/>
      <c r="HF487" s="9"/>
      <c r="HG487" s="9"/>
      <c r="HH487" s="9"/>
      <c r="HI487" s="9"/>
      <c r="HJ487" s="9"/>
      <c r="HK487" s="9"/>
      <c r="HL487" s="9"/>
      <c r="HX487" s="58"/>
      <c r="HY487" t="s">
        <v>1783</v>
      </c>
      <c r="HZ487" t="s">
        <v>1813</v>
      </c>
      <c r="IU487" t="s">
        <v>1783</v>
      </c>
      <c r="IV487" s="84" t="s">
        <v>1811</v>
      </c>
      <c r="IW487" s="12" t="s">
        <v>1786</v>
      </c>
      <c r="IX487" s="54" t="s">
        <v>1797</v>
      </c>
      <c r="IY487">
        <v>7.5</v>
      </c>
      <c r="IZ487">
        <v>37</v>
      </c>
      <c r="MS487" t="s">
        <v>1824</v>
      </c>
      <c r="MT487">
        <v>1963</v>
      </c>
      <c r="MU487" t="s">
        <v>1769</v>
      </c>
      <c r="MW487" t="s">
        <v>1764</v>
      </c>
      <c r="NB487" t="s">
        <v>1808</v>
      </c>
      <c r="NC487" t="s">
        <v>711</v>
      </c>
      <c r="NE487" t="s">
        <v>1770</v>
      </c>
      <c r="NG487" t="s">
        <v>1770</v>
      </c>
      <c r="NQ487" t="s">
        <v>6</v>
      </c>
      <c r="NR487">
        <v>0.9</v>
      </c>
      <c r="NS487" t="s">
        <v>1456</v>
      </c>
      <c r="NT487">
        <v>0.9</v>
      </c>
      <c r="NW487">
        <v>5</v>
      </c>
      <c r="OH487" t="s">
        <v>1594</v>
      </c>
      <c r="OJ487">
        <v>2010</v>
      </c>
      <c r="OO487" t="s">
        <v>1178</v>
      </c>
      <c r="OP487" s="58">
        <v>46108</v>
      </c>
    </row>
    <row r="488" spans="1:406" ht="15.75" thickBot="1">
      <c r="A488" t="s">
        <v>36</v>
      </c>
      <c r="B488" t="s">
        <v>1758</v>
      </c>
      <c r="C488" t="s">
        <v>1759</v>
      </c>
      <c r="D488" s="4" t="s">
        <v>245</v>
      </c>
      <c r="E488" t="s">
        <v>1825</v>
      </c>
      <c r="F488" s="4" t="s">
        <v>1823</v>
      </c>
      <c r="G488" t="s">
        <v>254</v>
      </c>
      <c r="H488" t="s">
        <v>30</v>
      </c>
      <c r="I488">
        <v>-23.748532000000001</v>
      </c>
      <c r="J488">
        <v>-62.056702000000001</v>
      </c>
      <c r="K488" s="87" t="s">
        <v>29</v>
      </c>
      <c r="AV488" t="s">
        <v>1785</v>
      </c>
      <c r="AW488" t="s">
        <v>234</v>
      </c>
      <c r="AX488" t="s">
        <v>234</v>
      </c>
      <c r="AY488" s="5">
        <v>5.5555555555555558E-3</v>
      </c>
      <c r="AZ488" t="s">
        <v>1822</v>
      </c>
      <c r="BA488">
        <v>2010</v>
      </c>
      <c r="BD488" t="s">
        <v>1766</v>
      </c>
      <c r="BE488" t="s">
        <v>1767</v>
      </c>
      <c r="BF488" t="s">
        <v>24</v>
      </c>
      <c r="BG488" t="s">
        <v>1798</v>
      </c>
      <c r="BH488" t="s">
        <v>1800</v>
      </c>
      <c r="BI488" t="s">
        <v>29</v>
      </c>
      <c r="BJ488" t="s">
        <v>29</v>
      </c>
      <c r="BK488" t="s">
        <v>29</v>
      </c>
      <c r="GM488" t="s">
        <v>1794</v>
      </c>
      <c r="GN488" s="9" t="s">
        <v>29</v>
      </c>
      <c r="GO488" s="9" t="s">
        <v>29</v>
      </c>
      <c r="GP488" s="9" t="s">
        <v>29</v>
      </c>
      <c r="HY488" t="s">
        <v>1767</v>
      </c>
      <c r="HZ488" t="s">
        <v>1813</v>
      </c>
      <c r="IU488" t="s">
        <v>1767</v>
      </c>
      <c r="IV488" s="54" t="s">
        <v>1812</v>
      </c>
      <c r="IW488" s="54" t="s">
        <v>1812</v>
      </c>
      <c r="IX488" s="54" t="s">
        <v>1799</v>
      </c>
      <c r="IY488">
        <v>1</v>
      </c>
      <c r="IZ488">
        <v>6</v>
      </c>
      <c r="MS488" t="s">
        <v>1824</v>
      </c>
      <c r="MT488">
        <v>1963</v>
      </c>
      <c r="MU488" t="s">
        <v>1769</v>
      </c>
      <c r="MW488" t="s">
        <v>1764</v>
      </c>
      <c r="NB488" t="s">
        <v>1808</v>
      </c>
      <c r="NC488" t="s">
        <v>711</v>
      </c>
      <c r="NE488" t="s">
        <v>1770</v>
      </c>
      <c r="NG488" t="s">
        <v>1770</v>
      </c>
      <c r="NP488" t="s">
        <v>1847</v>
      </c>
      <c r="NQ488" t="s">
        <v>6</v>
      </c>
      <c r="NR488">
        <v>0.9</v>
      </c>
      <c r="NS488" t="s">
        <v>1456</v>
      </c>
      <c r="NT488">
        <v>0.7</v>
      </c>
      <c r="NW488">
        <v>7</v>
      </c>
      <c r="OH488" t="s">
        <v>1594</v>
      </c>
      <c r="OJ488">
        <v>2010</v>
      </c>
      <c r="OO488" t="s">
        <v>1178</v>
      </c>
      <c r="OP488" s="58">
        <v>46108</v>
      </c>
    </row>
    <row r="489" spans="1:406" ht="15.75" thickBot="1">
      <c r="A489" t="s">
        <v>36</v>
      </c>
      <c r="B489" t="s">
        <v>1758</v>
      </c>
      <c r="C489" t="s">
        <v>1759</v>
      </c>
      <c r="D489" s="4" t="s">
        <v>245</v>
      </c>
      <c r="E489" t="s">
        <v>1825</v>
      </c>
      <c r="F489" s="4" t="s">
        <v>1823</v>
      </c>
      <c r="G489" t="s">
        <v>254</v>
      </c>
      <c r="H489" t="s">
        <v>30</v>
      </c>
      <c r="I489">
        <v>-23.748532000000001</v>
      </c>
      <c r="J489">
        <v>-62.056702000000001</v>
      </c>
      <c r="K489" s="87" t="s">
        <v>29</v>
      </c>
      <c r="AV489" t="s">
        <v>1785</v>
      </c>
      <c r="AW489" t="s">
        <v>234</v>
      </c>
      <c r="AX489">
        <v>1000</v>
      </c>
      <c r="AY489" s="5">
        <v>5.5555555555555558E-3</v>
      </c>
      <c r="AZ489" t="s">
        <v>1822</v>
      </c>
      <c r="BA489">
        <v>2010</v>
      </c>
      <c r="BD489" t="s">
        <v>1844</v>
      </c>
      <c r="BE489" t="s">
        <v>1761</v>
      </c>
      <c r="BF489" t="s">
        <v>39</v>
      </c>
      <c r="BG489" t="s">
        <v>1762</v>
      </c>
      <c r="EE489" t="s">
        <v>1793</v>
      </c>
      <c r="EF489" t="s">
        <v>29</v>
      </c>
      <c r="EG489" t="s">
        <v>29</v>
      </c>
      <c r="EH489" t="s">
        <v>29</v>
      </c>
      <c r="EI489" t="s">
        <v>1792</v>
      </c>
      <c r="EJ489" t="s">
        <v>29</v>
      </c>
      <c r="EK489" t="s">
        <v>29</v>
      </c>
      <c r="EL489" t="s">
        <v>29</v>
      </c>
      <c r="EM489" t="s">
        <v>1787</v>
      </c>
      <c r="EN489" t="s">
        <v>29</v>
      </c>
      <c r="EO489" t="s">
        <v>29</v>
      </c>
      <c r="EP489" t="s">
        <v>29</v>
      </c>
      <c r="EQ489" t="s">
        <v>1788</v>
      </c>
      <c r="ER489" t="s">
        <v>29</v>
      </c>
      <c r="ES489" t="s">
        <v>29</v>
      </c>
      <c r="ET489" t="s">
        <v>29</v>
      </c>
      <c r="EU489" t="s">
        <v>1789</v>
      </c>
      <c r="EV489" t="s">
        <v>29</v>
      </c>
      <c r="EW489" t="s">
        <v>29</v>
      </c>
      <c r="EX489" t="s">
        <v>29</v>
      </c>
      <c r="EY489" t="s">
        <v>1790</v>
      </c>
      <c r="EZ489" t="s">
        <v>29</v>
      </c>
      <c r="FA489" t="s">
        <v>29</v>
      </c>
      <c r="FB489" t="s">
        <v>29</v>
      </c>
      <c r="FC489" t="s">
        <v>1791</v>
      </c>
      <c r="FD489" t="s">
        <v>29</v>
      </c>
      <c r="FE489" t="s">
        <v>29</v>
      </c>
      <c r="FF489" t="s">
        <v>29</v>
      </c>
      <c r="HY489" t="s">
        <v>1761</v>
      </c>
      <c r="IU489" t="s">
        <v>1761</v>
      </c>
      <c r="IV489" t="s">
        <v>1810</v>
      </c>
      <c r="IW489" t="s">
        <v>1810</v>
      </c>
      <c r="IX489" t="s">
        <v>1810</v>
      </c>
      <c r="IY489">
        <v>5</v>
      </c>
      <c r="IZ489">
        <v>70</v>
      </c>
      <c r="MS489" t="s">
        <v>1824</v>
      </c>
      <c r="MT489">
        <v>1963</v>
      </c>
      <c r="MU489" t="s">
        <v>1775</v>
      </c>
      <c r="MW489" t="s">
        <v>1764</v>
      </c>
      <c r="NB489" t="s">
        <v>1809</v>
      </c>
      <c r="NC489" t="s">
        <v>711</v>
      </c>
      <c r="NE489" t="s">
        <v>1770</v>
      </c>
      <c r="NG489" t="s">
        <v>1770</v>
      </c>
      <c r="NP489" t="s">
        <v>1846</v>
      </c>
      <c r="NQ489" t="s">
        <v>6</v>
      </c>
      <c r="NR489">
        <v>5.6</v>
      </c>
      <c r="NS489" t="s">
        <v>1456</v>
      </c>
      <c r="NT489">
        <v>2.2999999999999998</v>
      </c>
      <c r="NW489">
        <v>6</v>
      </c>
      <c r="OH489" t="s">
        <v>1594</v>
      </c>
      <c r="OJ489">
        <v>2010</v>
      </c>
      <c r="OO489" t="s">
        <v>1178</v>
      </c>
      <c r="OP489" s="58">
        <v>46108</v>
      </c>
    </row>
    <row r="490" spans="1:406" ht="15.75" thickBot="1">
      <c r="A490" t="s">
        <v>36</v>
      </c>
      <c r="B490" t="s">
        <v>1758</v>
      </c>
      <c r="C490" t="s">
        <v>1759</v>
      </c>
      <c r="D490" s="4" t="s">
        <v>245</v>
      </c>
      <c r="E490" t="s">
        <v>1825</v>
      </c>
      <c r="F490" s="4" t="s">
        <v>1823</v>
      </c>
      <c r="G490" t="s">
        <v>254</v>
      </c>
      <c r="H490" t="s">
        <v>30</v>
      </c>
      <c r="I490">
        <v>-23.748532000000001</v>
      </c>
      <c r="J490">
        <v>-62.056702000000001</v>
      </c>
      <c r="K490" s="87" t="s">
        <v>29</v>
      </c>
      <c r="AV490" t="s">
        <v>1785</v>
      </c>
      <c r="AW490" t="s">
        <v>234</v>
      </c>
      <c r="AX490" t="s">
        <v>234</v>
      </c>
      <c r="AY490" s="5">
        <v>5.5555555555555558E-3</v>
      </c>
      <c r="AZ490" t="s">
        <v>1822</v>
      </c>
      <c r="BA490">
        <v>2010</v>
      </c>
      <c r="BD490" t="s">
        <v>1778</v>
      </c>
      <c r="BE490" t="s">
        <v>1779</v>
      </c>
      <c r="BF490" t="s">
        <v>64</v>
      </c>
      <c r="BG490" t="s">
        <v>1798</v>
      </c>
      <c r="BH490" t="s">
        <v>1796</v>
      </c>
      <c r="BI490" t="s">
        <v>1801</v>
      </c>
      <c r="BJ490" t="s">
        <v>29</v>
      </c>
      <c r="BK490" t="s">
        <v>29</v>
      </c>
      <c r="EE490" t="s">
        <v>1793</v>
      </c>
      <c r="EF490" t="s">
        <v>29</v>
      </c>
      <c r="EG490" t="s">
        <v>29</v>
      </c>
      <c r="EH490" t="s">
        <v>29</v>
      </c>
      <c r="EI490" t="s">
        <v>1792</v>
      </c>
      <c r="EJ490" t="s">
        <v>29</v>
      </c>
      <c r="EK490" t="s">
        <v>29</v>
      </c>
      <c r="EL490" t="s">
        <v>29</v>
      </c>
      <c r="EM490" t="s">
        <v>1787</v>
      </c>
      <c r="EN490" t="s">
        <v>29</v>
      </c>
      <c r="EO490" t="s">
        <v>29</v>
      </c>
      <c r="EP490" t="s">
        <v>29</v>
      </c>
      <c r="EQ490" t="s">
        <v>1788</v>
      </c>
      <c r="ER490" t="s">
        <v>29</v>
      </c>
      <c r="ES490" t="s">
        <v>29</v>
      </c>
      <c r="ET490" t="s">
        <v>29</v>
      </c>
      <c r="EU490" t="s">
        <v>1789</v>
      </c>
      <c r="EV490" t="s">
        <v>29</v>
      </c>
      <c r="EW490" t="s">
        <v>29</v>
      </c>
      <c r="EX490" t="s">
        <v>29</v>
      </c>
      <c r="EY490" t="s">
        <v>1790</v>
      </c>
      <c r="EZ490" t="s">
        <v>29</v>
      </c>
      <c r="FA490" t="s">
        <v>29</v>
      </c>
      <c r="FB490" t="s">
        <v>29</v>
      </c>
      <c r="FC490" t="s">
        <v>1791</v>
      </c>
      <c r="FD490" t="s">
        <v>29</v>
      </c>
      <c r="FE490" t="s">
        <v>29</v>
      </c>
      <c r="FF490" t="s">
        <v>29</v>
      </c>
      <c r="GM490" t="s">
        <v>1794</v>
      </c>
      <c r="GN490" s="9" t="s">
        <v>29</v>
      </c>
      <c r="GO490" s="9" t="s">
        <v>29</v>
      </c>
      <c r="GP490" s="9" t="s">
        <v>29</v>
      </c>
      <c r="GQ490" s="9"/>
      <c r="GR490" s="9"/>
      <c r="GS490" s="9"/>
      <c r="GT490" s="9"/>
      <c r="GU490" s="9"/>
      <c r="GV490" s="9"/>
      <c r="GW490" s="9"/>
      <c r="GX490" s="9"/>
      <c r="GY490" s="9"/>
      <c r="GZ490" s="9"/>
      <c r="HA490" s="9"/>
      <c r="HB490" s="9"/>
      <c r="HC490" s="9"/>
      <c r="HD490" s="9"/>
      <c r="HE490" s="9"/>
      <c r="HF490" s="9"/>
      <c r="HG490" s="9"/>
      <c r="HH490" s="9"/>
      <c r="HI490" s="9"/>
      <c r="HJ490" s="9"/>
      <c r="HK490" s="9"/>
      <c r="HL490" s="9"/>
      <c r="HX490" s="58"/>
      <c r="HY490" t="s">
        <v>1779</v>
      </c>
      <c r="HZ490" t="s">
        <v>1814</v>
      </c>
      <c r="IU490" t="s">
        <v>1779</v>
      </c>
      <c r="IV490" s="84" t="s">
        <v>1811</v>
      </c>
      <c r="IW490" t="s">
        <v>1786</v>
      </c>
      <c r="IX490" s="54" t="s">
        <v>1795</v>
      </c>
      <c r="IY490">
        <v>1</v>
      </c>
      <c r="IZ490">
        <v>81</v>
      </c>
      <c r="MS490" t="s">
        <v>1824</v>
      </c>
      <c r="MT490">
        <v>1963</v>
      </c>
      <c r="MU490" t="s">
        <v>1775</v>
      </c>
      <c r="MW490" t="s">
        <v>1764</v>
      </c>
      <c r="NB490" t="s">
        <v>1809</v>
      </c>
      <c r="NC490" t="s">
        <v>711</v>
      </c>
      <c r="NE490" t="s">
        <v>1770</v>
      </c>
      <c r="NG490" t="s">
        <v>1770</v>
      </c>
      <c r="NQ490" t="s">
        <v>6</v>
      </c>
      <c r="NR490">
        <v>5.0999999999999996</v>
      </c>
      <c r="NS490" t="s">
        <v>1456</v>
      </c>
      <c r="NT490">
        <v>2.2999999999999998</v>
      </c>
      <c r="NW490">
        <v>8</v>
      </c>
      <c r="OH490" t="s">
        <v>1594</v>
      </c>
      <c r="OJ490">
        <v>2010</v>
      </c>
      <c r="OO490" t="s">
        <v>1178</v>
      </c>
      <c r="OP490" s="58">
        <v>46108</v>
      </c>
    </row>
    <row r="491" spans="1:406" ht="15.75" thickBot="1">
      <c r="A491" t="s">
        <v>36</v>
      </c>
      <c r="B491" t="s">
        <v>1758</v>
      </c>
      <c r="C491" t="s">
        <v>1759</v>
      </c>
      <c r="D491" s="4" t="s">
        <v>245</v>
      </c>
      <c r="E491" t="s">
        <v>1825</v>
      </c>
      <c r="F491" s="4" t="s">
        <v>1823</v>
      </c>
      <c r="G491" t="s">
        <v>254</v>
      </c>
      <c r="H491" t="s">
        <v>30</v>
      </c>
      <c r="I491">
        <v>-23.748532000000001</v>
      </c>
      <c r="J491">
        <v>-62.056702000000001</v>
      </c>
      <c r="K491" s="87" t="s">
        <v>29</v>
      </c>
      <c r="AV491" t="s">
        <v>1785</v>
      </c>
      <c r="AW491" t="s">
        <v>234</v>
      </c>
      <c r="AX491">
        <v>3600</v>
      </c>
      <c r="AY491" s="5">
        <v>5.5555555555555558E-3</v>
      </c>
      <c r="AZ491" t="s">
        <v>1822</v>
      </c>
      <c r="BA491">
        <v>2010</v>
      </c>
      <c r="BD491" t="s">
        <v>1778</v>
      </c>
      <c r="BE491" t="s">
        <v>1781</v>
      </c>
      <c r="BF491" t="s">
        <v>57</v>
      </c>
      <c r="BG491" t="s">
        <v>1798</v>
      </c>
      <c r="BH491" t="s">
        <v>1796</v>
      </c>
      <c r="BI491" t="s">
        <v>29</v>
      </c>
      <c r="BJ491" t="s">
        <v>29</v>
      </c>
      <c r="BK491" t="s">
        <v>29</v>
      </c>
      <c r="EE491" t="s">
        <v>1793</v>
      </c>
      <c r="EF491" t="s">
        <v>29</v>
      </c>
      <c r="EG491" t="s">
        <v>29</v>
      </c>
      <c r="EH491" t="s">
        <v>29</v>
      </c>
      <c r="EI491" t="s">
        <v>1792</v>
      </c>
      <c r="EJ491" t="s">
        <v>29</v>
      </c>
      <c r="EK491" t="s">
        <v>29</v>
      </c>
      <c r="EL491" t="s">
        <v>29</v>
      </c>
      <c r="EM491" t="s">
        <v>1787</v>
      </c>
      <c r="EN491" t="s">
        <v>29</v>
      </c>
      <c r="EO491" t="s">
        <v>29</v>
      </c>
      <c r="EP491" t="s">
        <v>29</v>
      </c>
      <c r="EQ491" t="s">
        <v>1788</v>
      </c>
      <c r="ER491" t="s">
        <v>29</v>
      </c>
      <c r="ES491" t="s">
        <v>29</v>
      </c>
      <c r="ET491" t="s">
        <v>29</v>
      </c>
      <c r="EU491" t="s">
        <v>1789</v>
      </c>
      <c r="EV491" t="s">
        <v>29</v>
      </c>
      <c r="EW491" t="s">
        <v>29</v>
      </c>
      <c r="EX491" t="s">
        <v>29</v>
      </c>
      <c r="EY491" t="s">
        <v>1790</v>
      </c>
      <c r="EZ491" t="s">
        <v>29</v>
      </c>
      <c r="FA491" t="s">
        <v>29</v>
      </c>
      <c r="FB491" t="s">
        <v>29</v>
      </c>
      <c r="FC491" t="s">
        <v>1791</v>
      </c>
      <c r="FD491" t="s">
        <v>29</v>
      </c>
      <c r="FE491" t="s">
        <v>29</v>
      </c>
      <c r="FF491" t="s">
        <v>29</v>
      </c>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c r="GM491" s="9" t="s">
        <v>1794</v>
      </c>
      <c r="GN491" s="9" t="s">
        <v>29</v>
      </c>
      <c r="GO491" s="9" t="s">
        <v>29</v>
      </c>
      <c r="GP491" s="9" t="s">
        <v>29</v>
      </c>
      <c r="GQ491" s="9"/>
      <c r="GR491" s="9"/>
      <c r="GS491" s="9"/>
      <c r="GT491" s="9"/>
      <c r="GU491" s="9"/>
      <c r="GV491" s="9"/>
      <c r="GW491" s="9"/>
      <c r="GX491" s="9"/>
      <c r="GY491" s="9"/>
      <c r="GZ491" s="9"/>
      <c r="HA491" s="9"/>
      <c r="HB491" s="9"/>
      <c r="HC491" s="9"/>
      <c r="HD491" s="9"/>
      <c r="HE491" s="9"/>
      <c r="HF491" s="9"/>
      <c r="HG491" s="9"/>
      <c r="HH491" s="9"/>
      <c r="HI491" s="9"/>
      <c r="HJ491" s="9"/>
      <c r="HK491" s="9"/>
      <c r="HL491" s="9"/>
      <c r="HX491" s="58"/>
      <c r="HY491" t="s">
        <v>1781</v>
      </c>
      <c r="HZ491" t="s">
        <v>1814</v>
      </c>
      <c r="IU491" t="s">
        <v>1781</v>
      </c>
      <c r="IV491" s="84" t="s">
        <v>1811</v>
      </c>
      <c r="IW491" s="12" t="s">
        <v>1786</v>
      </c>
      <c r="IX491" s="54" t="s">
        <v>1797</v>
      </c>
      <c r="IY491">
        <v>7.5</v>
      </c>
      <c r="IZ491">
        <v>56</v>
      </c>
      <c r="MS491" t="s">
        <v>1824</v>
      </c>
      <c r="MT491">
        <v>1963</v>
      </c>
      <c r="MU491" t="s">
        <v>1775</v>
      </c>
      <c r="MW491" t="s">
        <v>1764</v>
      </c>
      <c r="NB491" t="s">
        <v>1809</v>
      </c>
      <c r="NC491" t="s">
        <v>711</v>
      </c>
      <c r="NE491" t="s">
        <v>1770</v>
      </c>
      <c r="NG491" t="s">
        <v>1770</v>
      </c>
      <c r="NQ491" t="s">
        <v>6</v>
      </c>
      <c r="NR491">
        <v>5.0999999999999996</v>
      </c>
      <c r="NS491" t="s">
        <v>1456</v>
      </c>
      <c r="NT491">
        <v>2.1</v>
      </c>
      <c r="NW491">
        <v>7</v>
      </c>
      <c r="OH491" t="s">
        <v>1594</v>
      </c>
      <c r="OJ491">
        <v>2010</v>
      </c>
      <c r="OO491" t="s">
        <v>1178</v>
      </c>
      <c r="OP491" s="58">
        <v>46108</v>
      </c>
    </row>
    <row r="492" spans="1:406" ht="15.75" thickBot="1">
      <c r="A492" t="s">
        <v>36</v>
      </c>
      <c r="B492" t="s">
        <v>1758</v>
      </c>
      <c r="C492" t="s">
        <v>1759</v>
      </c>
      <c r="D492" s="4" t="s">
        <v>245</v>
      </c>
      <c r="E492" t="s">
        <v>1825</v>
      </c>
      <c r="F492" s="4" t="s">
        <v>1823</v>
      </c>
      <c r="G492" t="s">
        <v>254</v>
      </c>
      <c r="H492" t="s">
        <v>30</v>
      </c>
      <c r="I492">
        <v>-23.748532000000001</v>
      </c>
      <c r="J492">
        <v>-62.056702000000001</v>
      </c>
      <c r="K492" s="87" t="s">
        <v>29</v>
      </c>
      <c r="AV492" t="s">
        <v>1785</v>
      </c>
      <c r="AW492" t="s">
        <v>234</v>
      </c>
      <c r="AX492">
        <v>3600</v>
      </c>
      <c r="AY492" s="5">
        <v>5.5555555555555558E-3</v>
      </c>
      <c r="AZ492" t="s">
        <v>1822</v>
      </c>
      <c r="BA492">
        <v>2010</v>
      </c>
      <c r="BD492" t="s">
        <v>1778</v>
      </c>
      <c r="BE492" t="s">
        <v>1783</v>
      </c>
      <c r="BF492" t="s">
        <v>48</v>
      </c>
      <c r="BG492" t="s">
        <v>1798</v>
      </c>
      <c r="BH492" t="s">
        <v>1800</v>
      </c>
      <c r="BI492" t="s">
        <v>29</v>
      </c>
      <c r="BJ492" t="s">
        <v>29</v>
      </c>
      <c r="BK492" t="s">
        <v>29</v>
      </c>
      <c r="EE492" t="s">
        <v>1793</v>
      </c>
      <c r="EF492" t="s">
        <v>29</v>
      </c>
      <c r="EG492" t="s">
        <v>29</v>
      </c>
      <c r="EH492" t="s">
        <v>29</v>
      </c>
      <c r="EI492" t="s">
        <v>1792</v>
      </c>
      <c r="EJ492" t="s">
        <v>29</v>
      </c>
      <c r="EK492" t="s">
        <v>29</v>
      </c>
      <c r="EL492" t="s">
        <v>29</v>
      </c>
      <c r="EM492" t="s">
        <v>1787</v>
      </c>
      <c r="EN492" t="s">
        <v>29</v>
      </c>
      <c r="EO492" t="s">
        <v>29</v>
      </c>
      <c r="EP492" t="s">
        <v>29</v>
      </c>
      <c r="EQ492" t="s">
        <v>1788</v>
      </c>
      <c r="ER492" t="s">
        <v>29</v>
      </c>
      <c r="ES492" t="s">
        <v>29</v>
      </c>
      <c r="ET492" t="s">
        <v>29</v>
      </c>
      <c r="EU492" t="s">
        <v>1789</v>
      </c>
      <c r="EV492" t="s">
        <v>29</v>
      </c>
      <c r="EW492" t="s">
        <v>29</v>
      </c>
      <c r="EX492" t="s">
        <v>29</v>
      </c>
      <c r="EY492" t="s">
        <v>1790</v>
      </c>
      <c r="EZ492" t="s">
        <v>29</v>
      </c>
      <c r="FA492" t="s">
        <v>29</v>
      </c>
      <c r="FB492" t="s">
        <v>29</v>
      </c>
      <c r="FC492" t="s">
        <v>1791</v>
      </c>
      <c r="FD492" t="s">
        <v>29</v>
      </c>
      <c r="FE492" t="s">
        <v>29</v>
      </c>
      <c r="FF492" t="s">
        <v>29</v>
      </c>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c r="GM492" s="9" t="s">
        <v>1794</v>
      </c>
      <c r="GN492" s="9" t="s">
        <v>29</v>
      </c>
      <c r="GO492" s="9" t="s">
        <v>29</v>
      </c>
      <c r="GP492" s="9" t="s">
        <v>29</v>
      </c>
      <c r="GQ492" s="9"/>
      <c r="GR492" s="9"/>
      <c r="GS492" s="9"/>
      <c r="GT492" s="9"/>
      <c r="GU492" s="9"/>
      <c r="GV492" s="9"/>
      <c r="GW492" s="9"/>
      <c r="GX492" s="9"/>
      <c r="GY492" s="9"/>
      <c r="GZ492" s="9"/>
      <c r="HA492" s="9"/>
      <c r="HB492" s="9"/>
      <c r="HC492" s="9"/>
      <c r="HD492" s="9"/>
      <c r="HE492" s="9"/>
      <c r="HF492" s="9"/>
      <c r="HG492" s="9"/>
      <c r="HH492" s="9"/>
      <c r="HI492" s="9"/>
      <c r="HJ492" s="9"/>
      <c r="HK492" s="9"/>
      <c r="HL492" s="9"/>
      <c r="HX492" s="58"/>
      <c r="HY492" t="s">
        <v>1783</v>
      </c>
      <c r="HZ492" t="s">
        <v>1813</v>
      </c>
      <c r="IU492" t="s">
        <v>1783</v>
      </c>
      <c r="IV492" s="84" t="s">
        <v>1811</v>
      </c>
      <c r="IW492" s="12" t="s">
        <v>1786</v>
      </c>
      <c r="IX492" s="54" t="s">
        <v>1797</v>
      </c>
      <c r="IY492">
        <v>7.5</v>
      </c>
      <c r="IZ492">
        <v>37</v>
      </c>
      <c r="MS492" t="s">
        <v>1824</v>
      </c>
      <c r="MT492">
        <v>1963</v>
      </c>
      <c r="MU492" t="s">
        <v>1775</v>
      </c>
      <c r="MW492" t="s">
        <v>1764</v>
      </c>
      <c r="NB492" t="s">
        <v>1809</v>
      </c>
      <c r="NC492" t="s">
        <v>711</v>
      </c>
      <c r="NE492" t="s">
        <v>1770</v>
      </c>
      <c r="NG492" t="s">
        <v>1770</v>
      </c>
      <c r="NQ492" t="s">
        <v>6</v>
      </c>
      <c r="NR492">
        <v>4.5999999999999996</v>
      </c>
      <c r="NS492" t="s">
        <v>1456</v>
      </c>
      <c r="NT492">
        <v>2.4</v>
      </c>
      <c r="NW492">
        <v>5</v>
      </c>
      <c r="OH492" t="s">
        <v>1594</v>
      </c>
      <c r="OJ492">
        <v>2010</v>
      </c>
      <c r="OO492" t="s">
        <v>1178</v>
      </c>
      <c r="OP492" s="58">
        <v>46108</v>
      </c>
    </row>
    <row r="493" spans="1:406" ht="15.75" thickBot="1">
      <c r="A493" t="s">
        <v>36</v>
      </c>
      <c r="B493" t="s">
        <v>1758</v>
      </c>
      <c r="C493" t="s">
        <v>1759</v>
      </c>
      <c r="D493" s="4" t="s">
        <v>245</v>
      </c>
      <c r="E493" t="s">
        <v>1825</v>
      </c>
      <c r="F493" s="4" t="s">
        <v>1823</v>
      </c>
      <c r="G493" t="s">
        <v>254</v>
      </c>
      <c r="H493" t="s">
        <v>30</v>
      </c>
      <c r="I493">
        <v>-23.748532000000001</v>
      </c>
      <c r="J493">
        <v>-62.056702000000001</v>
      </c>
      <c r="K493" s="87" t="s">
        <v>29</v>
      </c>
      <c r="AV493" t="s">
        <v>1785</v>
      </c>
      <c r="AW493" t="s">
        <v>234</v>
      </c>
      <c r="AX493" t="s">
        <v>234</v>
      </c>
      <c r="AY493" s="5">
        <v>5.5555555555555558E-3</v>
      </c>
      <c r="AZ493" t="s">
        <v>1822</v>
      </c>
      <c r="BA493">
        <v>2010</v>
      </c>
      <c r="BD493" t="s">
        <v>1766</v>
      </c>
      <c r="BE493" t="s">
        <v>1767</v>
      </c>
      <c r="BF493" t="s">
        <v>24</v>
      </c>
      <c r="BG493" t="s">
        <v>1798</v>
      </c>
      <c r="BH493" t="s">
        <v>1800</v>
      </c>
      <c r="BI493" t="s">
        <v>29</v>
      </c>
      <c r="BJ493" t="s">
        <v>29</v>
      </c>
      <c r="BK493" t="s">
        <v>29</v>
      </c>
      <c r="GM493" t="s">
        <v>1794</v>
      </c>
      <c r="GN493" s="9" t="s">
        <v>29</v>
      </c>
      <c r="GO493" s="9" t="s">
        <v>29</v>
      </c>
      <c r="GP493" s="9" t="s">
        <v>29</v>
      </c>
      <c r="HY493" t="s">
        <v>1767</v>
      </c>
      <c r="HZ493" t="s">
        <v>1813</v>
      </c>
      <c r="IU493" t="s">
        <v>1767</v>
      </c>
      <c r="IV493" s="54" t="s">
        <v>1812</v>
      </c>
      <c r="IW493" s="54" t="s">
        <v>1812</v>
      </c>
      <c r="IX493" s="54" t="s">
        <v>1799</v>
      </c>
      <c r="IY493">
        <v>1</v>
      </c>
      <c r="IZ493">
        <v>6</v>
      </c>
      <c r="MS493" t="s">
        <v>1824</v>
      </c>
      <c r="MT493">
        <v>1963</v>
      </c>
      <c r="MU493" t="s">
        <v>1775</v>
      </c>
      <c r="MW493" t="s">
        <v>1764</v>
      </c>
      <c r="NB493" t="s">
        <v>1809</v>
      </c>
      <c r="NC493" t="s">
        <v>711</v>
      </c>
      <c r="NE493" t="s">
        <v>1770</v>
      </c>
      <c r="NG493" t="s">
        <v>1770</v>
      </c>
      <c r="NP493" t="s">
        <v>1847</v>
      </c>
      <c r="NQ493" t="s">
        <v>6</v>
      </c>
      <c r="NR493">
        <v>1.3</v>
      </c>
      <c r="NS493" t="s">
        <v>1456</v>
      </c>
      <c r="NT493">
        <v>1.3</v>
      </c>
      <c r="NW493">
        <v>7</v>
      </c>
      <c r="OH493" t="s">
        <v>1594</v>
      </c>
      <c r="OJ493">
        <v>2010</v>
      </c>
      <c r="OO493" t="s">
        <v>1178</v>
      </c>
      <c r="OP493" s="58">
        <v>46108</v>
      </c>
    </row>
    <row r="494" spans="1:406" ht="15.75" thickBot="1">
      <c r="A494" t="s">
        <v>36</v>
      </c>
      <c r="B494" t="s">
        <v>1758</v>
      </c>
      <c r="C494" t="s">
        <v>1759</v>
      </c>
      <c r="D494" s="4" t="s">
        <v>245</v>
      </c>
      <c r="E494" t="s">
        <v>1825</v>
      </c>
      <c r="F494" s="4" t="s">
        <v>1823</v>
      </c>
      <c r="G494" t="s">
        <v>254</v>
      </c>
      <c r="H494" t="s">
        <v>30</v>
      </c>
      <c r="I494">
        <v>-23.748532000000001</v>
      </c>
      <c r="J494">
        <v>-62.056702000000001</v>
      </c>
      <c r="K494" s="87" t="s">
        <v>29</v>
      </c>
      <c r="AV494" t="s">
        <v>1785</v>
      </c>
      <c r="AW494" t="s">
        <v>234</v>
      </c>
      <c r="AX494">
        <v>1000</v>
      </c>
      <c r="AY494" s="5">
        <v>5.5555555555555558E-3</v>
      </c>
      <c r="AZ494" t="s">
        <v>1822</v>
      </c>
      <c r="BA494">
        <v>2010</v>
      </c>
      <c r="BD494" t="s">
        <v>1844</v>
      </c>
      <c r="BE494" t="s">
        <v>1761</v>
      </c>
      <c r="BF494" t="s">
        <v>39</v>
      </c>
      <c r="BG494" t="s">
        <v>1762</v>
      </c>
      <c r="EE494" t="s">
        <v>1793</v>
      </c>
      <c r="EF494" t="s">
        <v>29</v>
      </c>
      <c r="EG494" t="s">
        <v>29</v>
      </c>
      <c r="EH494" t="s">
        <v>29</v>
      </c>
      <c r="EI494" t="s">
        <v>1792</v>
      </c>
      <c r="EJ494" t="s">
        <v>29</v>
      </c>
      <c r="EK494" t="s">
        <v>29</v>
      </c>
      <c r="EL494" t="s">
        <v>29</v>
      </c>
      <c r="EM494" t="s">
        <v>1787</v>
      </c>
      <c r="EN494" t="s">
        <v>29</v>
      </c>
      <c r="EO494" t="s">
        <v>29</v>
      </c>
      <c r="EP494" t="s">
        <v>29</v>
      </c>
      <c r="EQ494" t="s">
        <v>1788</v>
      </c>
      <c r="ER494" t="s">
        <v>29</v>
      </c>
      <c r="ES494" t="s">
        <v>29</v>
      </c>
      <c r="ET494" t="s">
        <v>29</v>
      </c>
      <c r="EU494" t="s">
        <v>1789</v>
      </c>
      <c r="EV494" t="s">
        <v>29</v>
      </c>
      <c r="EW494" t="s">
        <v>29</v>
      </c>
      <c r="EX494" t="s">
        <v>29</v>
      </c>
      <c r="EY494" t="s">
        <v>1790</v>
      </c>
      <c r="EZ494" t="s">
        <v>29</v>
      </c>
      <c r="FA494" t="s">
        <v>29</v>
      </c>
      <c r="FB494" t="s">
        <v>29</v>
      </c>
      <c r="FC494" t="s">
        <v>1791</v>
      </c>
      <c r="FD494" t="s">
        <v>29</v>
      </c>
      <c r="FE494" t="s">
        <v>29</v>
      </c>
      <c r="FF494" t="s">
        <v>29</v>
      </c>
      <c r="HY494" t="s">
        <v>1761</v>
      </c>
      <c r="IU494" t="s">
        <v>1761</v>
      </c>
      <c r="IV494" t="s">
        <v>1810</v>
      </c>
      <c r="IW494" t="s">
        <v>1810</v>
      </c>
      <c r="IX494" t="s">
        <v>1810</v>
      </c>
      <c r="IY494">
        <v>5</v>
      </c>
      <c r="IZ494">
        <v>70</v>
      </c>
      <c r="MS494" t="s">
        <v>1824</v>
      </c>
      <c r="MT494">
        <v>1963</v>
      </c>
      <c r="MU494" t="s">
        <v>1771</v>
      </c>
      <c r="MW494" t="s">
        <v>1764</v>
      </c>
      <c r="NB494" t="s">
        <v>1772</v>
      </c>
      <c r="NC494" t="s">
        <v>711</v>
      </c>
      <c r="NE494" t="s">
        <v>1770</v>
      </c>
      <c r="NG494" t="s">
        <v>1770</v>
      </c>
      <c r="NP494" t="s">
        <v>1846</v>
      </c>
      <c r="NQ494" t="s">
        <v>6</v>
      </c>
      <c r="NR494">
        <v>1.7</v>
      </c>
      <c r="NS494" t="s">
        <v>1456</v>
      </c>
      <c r="NT494">
        <v>1</v>
      </c>
      <c r="NW494">
        <v>6</v>
      </c>
      <c r="OH494" t="s">
        <v>1594</v>
      </c>
      <c r="OJ494">
        <v>2010</v>
      </c>
      <c r="OO494" t="s">
        <v>1178</v>
      </c>
      <c r="OP494" s="58">
        <v>46108</v>
      </c>
    </row>
    <row r="495" spans="1:406" ht="15.75" thickBot="1">
      <c r="A495" t="s">
        <v>36</v>
      </c>
      <c r="B495" t="s">
        <v>1758</v>
      </c>
      <c r="C495" t="s">
        <v>1759</v>
      </c>
      <c r="D495" s="4" t="s">
        <v>245</v>
      </c>
      <c r="E495" t="s">
        <v>1825</v>
      </c>
      <c r="F495" s="4" t="s">
        <v>1823</v>
      </c>
      <c r="G495" t="s">
        <v>254</v>
      </c>
      <c r="H495" t="s">
        <v>30</v>
      </c>
      <c r="I495">
        <v>-23.748532000000001</v>
      </c>
      <c r="J495">
        <v>-62.056702000000001</v>
      </c>
      <c r="K495" s="87" t="s">
        <v>29</v>
      </c>
      <c r="AV495" t="s">
        <v>1785</v>
      </c>
      <c r="AW495" t="s">
        <v>234</v>
      </c>
      <c r="AX495" t="s">
        <v>234</v>
      </c>
      <c r="AY495" s="5">
        <v>5.5555555555555558E-3</v>
      </c>
      <c r="AZ495" t="s">
        <v>1822</v>
      </c>
      <c r="BA495">
        <v>2010</v>
      </c>
      <c r="BD495" t="s">
        <v>1778</v>
      </c>
      <c r="BE495" t="s">
        <v>1779</v>
      </c>
      <c r="BF495" t="s">
        <v>64</v>
      </c>
      <c r="BG495" t="s">
        <v>1798</v>
      </c>
      <c r="BH495" t="s">
        <v>1796</v>
      </c>
      <c r="BI495" t="s">
        <v>1801</v>
      </c>
      <c r="BJ495" t="s">
        <v>29</v>
      </c>
      <c r="BK495" t="s">
        <v>29</v>
      </c>
      <c r="EE495" t="s">
        <v>1793</v>
      </c>
      <c r="EF495" t="s">
        <v>29</v>
      </c>
      <c r="EG495" t="s">
        <v>29</v>
      </c>
      <c r="EH495" t="s">
        <v>29</v>
      </c>
      <c r="EI495" t="s">
        <v>1792</v>
      </c>
      <c r="EJ495" t="s">
        <v>29</v>
      </c>
      <c r="EK495" t="s">
        <v>29</v>
      </c>
      <c r="EL495" t="s">
        <v>29</v>
      </c>
      <c r="EM495" t="s">
        <v>1787</v>
      </c>
      <c r="EN495" t="s">
        <v>29</v>
      </c>
      <c r="EO495" t="s">
        <v>29</v>
      </c>
      <c r="EP495" t="s">
        <v>29</v>
      </c>
      <c r="EQ495" t="s">
        <v>1788</v>
      </c>
      <c r="ER495" t="s">
        <v>29</v>
      </c>
      <c r="ES495" t="s">
        <v>29</v>
      </c>
      <c r="ET495" t="s">
        <v>29</v>
      </c>
      <c r="EU495" t="s">
        <v>1789</v>
      </c>
      <c r="EV495" t="s">
        <v>29</v>
      </c>
      <c r="EW495" t="s">
        <v>29</v>
      </c>
      <c r="EX495" t="s">
        <v>29</v>
      </c>
      <c r="EY495" t="s">
        <v>1790</v>
      </c>
      <c r="EZ495" t="s">
        <v>29</v>
      </c>
      <c r="FA495" t="s">
        <v>29</v>
      </c>
      <c r="FB495" t="s">
        <v>29</v>
      </c>
      <c r="FC495" t="s">
        <v>1791</v>
      </c>
      <c r="FD495" t="s">
        <v>29</v>
      </c>
      <c r="FE495" t="s">
        <v>29</v>
      </c>
      <c r="FF495" t="s">
        <v>29</v>
      </c>
      <c r="GM495" t="s">
        <v>1794</v>
      </c>
      <c r="GN495" s="9" t="s">
        <v>29</v>
      </c>
      <c r="GO495" s="9" t="s">
        <v>29</v>
      </c>
      <c r="GP495" s="9" t="s">
        <v>29</v>
      </c>
      <c r="GQ495" s="9"/>
      <c r="GR495" s="9"/>
      <c r="GS495" s="9"/>
      <c r="GT495" s="9"/>
      <c r="GU495" s="9"/>
      <c r="GV495" s="9"/>
      <c r="GW495" s="9"/>
      <c r="GX495" s="9"/>
      <c r="GY495" s="9"/>
      <c r="GZ495" s="9"/>
      <c r="HA495" s="9"/>
      <c r="HB495" s="9"/>
      <c r="HC495" s="9"/>
      <c r="HD495" s="9"/>
      <c r="HE495" s="9"/>
      <c r="HF495" s="9"/>
      <c r="HG495" s="9"/>
      <c r="HH495" s="9"/>
      <c r="HI495" s="9"/>
      <c r="HJ495" s="9"/>
      <c r="HK495" s="9"/>
      <c r="HL495" s="9"/>
      <c r="HX495" s="58"/>
      <c r="HY495" t="s">
        <v>1779</v>
      </c>
      <c r="HZ495" t="s">
        <v>1814</v>
      </c>
      <c r="IU495" t="s">
        <v>1779</v>
      </c>
      <c r="IV495" s="84" t="s">
        <v>1811</v>
      </c>
      <c r="IW495" t="s">
        <v>1786</v>
      </c>
      <c r="IX495" s="54" t="s">
        <v>1795</v>
      </c>
      <c r="IY495">
        <v>1</v>
      </c>
      <c r="IZ495">
        <v>81</v>
      </c>
      <c r="MS495" t="s">
        <v>1824</v>
      </c>
      <c r="MT495">
        <v>1963</v>
      </c>
      <c r="MU495" t="s">
        <v>1771</v>
      </c>
      <c r="MW495" t="s">
        <v>1764</v>
      </c>
      <c r="NB495" t="s">
        <v>1772</v>
      </c>
      <c r="NC495" t="s">
        <v>711</v>
      </c>
      <c r="NE495" t="s">
        <v>1770</v>
      </c>
      <c r="NG495" t="s">
        <v>1770</v>
      </c>
      <c r="NQ495" t="s">
        <v>6</v>
      </c>
      <c r="NR495">
        <v>1</v>
      </c>
      <c r="NS495" t="s">
        <v>1456</v>
      </c>
      <c r="NT495">
        <v>1</v>
      </c>
      <c r="NW495">
        <v>8</v>
      </c>
      <c r="OH495" t="s">
        <v>1594</v>
      </c>
      <c r="OJ495">
        <v>2010</v>
      </c>
      <c r="OO495" t="s">
        <v>1178</v>
      </c>
      <c r="OP495" s="58">
        <v>46108</v>
      </c>
    </row>
    <row r="496" spans="1:406" ht="15.75" thickBot="1">
      <c r="A496" t="s">
        <v>36</v>
      </c>
      <c r="B496" t="s">
        <v>1758</v>
      </c>
      <c r="C496" t="s">
        <v>1759</v>
      </c>
      <c r="D496" s="4" t="s">
        <v>245</v>
      </c>
      <c r="E496" t="s">
        <v>1825</v>
      </c>
      <c r="F496" s="4" t="s">
        <v>1823</v>
      </c>
      <c r="G496" t="s">
        <v>254</v>
      </c>
      <c r="H496" t="s">
        <v>30</v>
      </c>
      <c r="I496">
        <v>-23.748532000000001</v>
      </c>
      <c r="J496">
        <v>-62.056702000000001</v>
      </c>
      <c r="K496" s="87" t="s">
        <v>29</v>
      </c>
      <c r="AV496" t="s">
        <v>1785</v>
      </c>
      <c r="AW496" t="s">
        <v>234</v>
      </c>
      <c r="AX496">
        <v>3600</v>
      </c>
      <c r="AY496" s="5">
        <v>5.5555555555555558E-3</v>
      </c>
      <c r="AZ496" t="s">
        <v>1822</v>
      </c>
      <c r="BA496">
        <v>2010</v>
      </c>
      <c r="BD496" t="s">
        <v>1778</v>
      </c>
      <c r="BE496" t="s">
        <v>1781</v>
      </c>
      <c r="BF496" t="s">
        <v>57</v>
      </c>
      <c r="BG496" t="s">
        <v>1798</v>
      </c>
      <c r="BH496" t="s">
        <v>1796</v>
      </c>
      <c r="BI496" t="s">
        <v>29</v>
      </c>
      <c r="BJ496" t="s">
        <v>29</v>
      </c>
      <c r="BK496" t="s">
        <v>29</v>
      </c>
      <c r="EE496" t="s">
        <v>1793</v>
      </c>
      <c r="EF496" t="s">
        <v>29</v>
      </c>
      <c r="EG496" t="s">
        <v>29</v>
      </c>
      <c r="EH496" t="s">
        <v>29</v>
      </c>
      <c r="EI496" t="s">
        <v>1792</v>
      </c>
      <c r="EJ496" t="s">
        <v>29</v>
      </c>
      <c r="EK496" t="s">
        <v>29</v>
      </c>
      <c r="EL496" t="s">
        <v>29</v>
      </c>
      <c r="EM496" t="s">
        <v>1787</v>
      </c>
      <c r="EN496" t="s">
        <v>29</v>
      </c>
      <c r="EO496" t="s">
        <v>29</v>
      </c>
      <c r="EP496" t="s">
        <v>29</v>
      </c>
      <c r="EQ496" t="s">
        <v>1788</v>
      </c>
      <c r="ER496" t="s">
        <v>29</v>
      </c>
      <c r="ES496" t="s">
        <v>29</v>
      </c>
      <c r="ET496" t="s">
        <v>29</v>
      </c>
      <c r="EU496" t="s">
        <v>1789</v>
      </c>
      <c r="EV496" t="s">
        <v>29</v>
      </c>
      <c r="EW496" t="s">
        <v>29</v>
      </c>
      <c r="EX496" t="s">
        <v>29</v>
      </c>
      <c r="EY496" t="s">
        <v>1790</v>
      </c>
      <c r="EZ496" t="s">
        <v>29</v>
      </c>
      <c r="FA496" t="s">
        <v>29</v>
      </c>
      <c r="FB496" t="s">
        <v>29</v>
      </c>
      <c r="FC496" t="s">
        <v>1791</v>
      </c>
      <c r="FD496" t="s">
        <v>29</v>
      </c>
      <c r="FE496" t="s">
        <v>29</v>
      </c>
      <c r="FF496" t="s">
        <v>29</v>
      </c>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c r="GM496" s="9" t="s">
        <v>1794</v>
      </c>
      <c r="GN496" s="9" t="s">
        <v>29</v>
      </c>
      <c r="GO496" s="9" t="s">
        <v>29</v>
      </c>
      <c r="GP496" s="9" t="s">
        <v>29</v>
      </c>
      <c r="GQ496" s="9"/>
      <c r="GR496" s="9"/>
      <c r="GS496" s="9"/>
      <c r="GT496" s="9"/>
      <c r="GU496" s="9"/>
      <c r="GV496" s="9"/>
      <c r="GW496" s="9"/>
      <c r="GX496" s="9"/>
      <c r="GY496" s="9"/>
      <c r="GZ496" s="9"/>
      <c r="HA496" s="9"/>
      <c r="HB496" s="9"/>
      <c r="HC496" s="9"/>
      <c r="HD496" s="9"/>
      <c r="HE496" s="9"/>
      <c r="HF496" s="9"/>
      <c r="HG496" s="9"/>
      <c r="HH496" s="9"/>
      <c r="HI496" s="9"/>
      <c r="HJ496" s="9"/>
      <c r="HK496" s="9"/>
      <c r="HL496" s="9"/>
      <c r="HX496" s="58"/>
      <c r="HY496" t="s">
        <v>1781</v>
      </c>
      <c r="HZ496" t="s">
        <v>1814</v>
      </c>
      <c r="IU496" t="s">
        <v>1781</v>
      </c>
      <c r="IV496" s="84" t="s">
        <v>1811</v>
      </c>
      <c r="IW496" s="12" t="s">
        <v>1786</v>
      </c>
      <c r="IX496" s="54" t="s">
        <v>1797</v>
      </c>
      <c r="IY496">
        <v>7.5</v>
      </c>
      <c r="IZ496">
        <v>56</v>
      </c>
      <c r="MS496" t="s">
        <v>1824</v>
      </c>
      <c r="MT496">
        <v>1963</v>
      </c>
      <c r="MU496" t="s">
        <v>1771</v>
      </c>
      <c r="MW496" t="s">
        <v>1764</v>
      </c>
      <c r="NB496" t="s">
        <v>1772</v>
      </c>
      <c r="NC496" t="s">
        <v>711</v>
      </c>
      <c r="NE496" t="s">
        <v>1770</v>
      </c>
      <c r="NG496" t="s">
        <v>1770</v>
      </c>
      <c r="NQ496" t="s">
        <v>6</v>
      </c>
      <c r="NR496">
        <v>0.4</v>
      </c>
      <c r="NS496" t="s">
        <v>1456</v>
      </c>
      <c r="NT496">
        <v>0.5</v>
      </c>
      <c r="NW496">
        <v>7</v>
      </c>
      <c r="OH496" t="s">
        <v>1594</v>
      </c>
      <c r="OJ496">
        <v>2010</v>
      </c>
      <c r="OO496" t="s">
        <v>1178</v>
      </c>
      <c r="OP496" s="58">
        <v>46108</v>
      </c>
    </row>
    <row r="497" spans="1:406" ht="15.75" thickBot="1">
      <c r="A497" t="s">
        <v>36</v>
      </c>
      <c r="B497" t="s">
        <v>1758</v>
      </c>
      <c r="C497" t="s">
        <v>1759</v>
      </c>
      <c r="D497" s="4" t="s">
        <v>245</v>
      </c>
      <c r="E497" t="s">
        <v>1825</v>
      </c>
      <c r="F497" s="4" t="s">
        <v>1823</v>
      </c>
      <c r="G497" t="s">
        <v>254</v>
      </c>
      <c r="H497" t="s">
        <v>30</v>
      </c>
      <c r="I497">
        <v>-23.748532000000001</v>
      </c>
      <c r="J497">
        <v>-62.056702000000001</v>
      </c>
      <c r="K497" s="87" t="s">
        <v>29</v>
      </c>
      <c r="AV497" t="s">
        <v>1785</v>
      </c>
      <c r="AW497" t="s">
        <v>234</v>
      </c>
      <c r="AX497">
        <v>3600</v>
      </c>
      <c r="AY497" s="5">
        <v>5.5555555555555558E-3</v>
      </c>
      <c r="AZ497" t="s">
        <v>1822</v>
      </c>
      <c r="BA497">
        <v>2010</v>
      </c>
      <c r="BD497" t="s">
        <v>1778</v>
      </c>
      <c r="BE497" t="s">
        <v>1783</v>
      </c>
      <c r="BF497" t="s">
        <v>48</v>
      </c>
      <c r="BG497" t="s">
        <v>1798</v>
      </c>
      <c r="BH497" t="s">
        <v>1800</v>
      </c>
      <c r="BI497" t="s">
        <v>29</v>
      </c>
      <c r="BJ497" t="s">
        <v>29</v>
      </c>
      <c r="BK497" t="s">
        <v>29</v>
      </c>
      <c r="EE497" t="s">
        <v>1793</v>
      </c>
      <c r="EF497" t="s">
        <v>29</v>
      </c>
      <c r="EG497" t="s">
        <v>29</v>
      </c>
      <c r="EH497" t="s">
        <v>29</v>
      </c>
      <c r="EI497" t="s">
        <v>1792</v>
      </c>
      <c r="EJ497" t="s">
        <v>29</v>
      </c>
      <c r="EK497" t="s">
        <v>29</v>
      </c>
      <c r="EL497" t="s">
        <v>29</v>
      </c>
      <c r="EM497" t="s">
        <v>1787</v>
      </c>
      <c r="EN497" t="s">
        <v>29</v>
      </c>
      <c r="EO497" t="s">
        <v>29</v>
      </c>
      <c r="EP497" t="s">
        <v>29</v>
      </c>
      <c r="EQ497" t="s">
        <v>1788</v>
      </c>
      <c r="ER497" t="s">
        <v>29</v>
      </c>
      <c r="ES497" t="s">
        <v>29</v>
      </c>
      <c r="ET497" t="s">
        <v>29</v>
      </c>
      <c r="EU497" t="s">
        <v>1789</v>
      </c>
      <c r="EV497" t="s">
        <v>29</v>
      </c>
      <c r="EW497" t="s">
        <v>29</v>
      </c>
      <c r="EX497" t="s">
        <v>29</v>
      </c>
      <c r="EY497" t="s">
        <v>1790</v>
      </c>
      <c r="EZ497" t="s">
        <v>29</v>
      </c>
      <c r="FA497" t="s">
        <v>29</v>
      </c>
      <c r="FB497" t="s">
        <v>29</v>
      </c>
      <c r="FC497" t="s">
        <v>1791</v>
      </c>
      <c r="FD497" t="s">
        <v>29</v>
      </c>
      <c r="FE497" t="s">
        <v>29</v>
      </c>
      <c r="FF497" t="s">
        <v>29</v>
      </c>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c r="GM497" s="9" t="s">
        <v>1794</v>
      </c>
      <c r="GN497" s="9" t="s">
        <v>29</v>
      </c>
      <c r="GO497" s="9" t="s">
        <v>29</v>
      </c>
      <c r="GP497" s="9" t="s">
        <v>29</v>
      </c>
      <c r="GQ497" s="9"/>
      <c r="GR497" s="9"/>
      <c r="GS497" s="9"/>
      <c r="GT497" s="9"/>
      <c r="GU497" s="9"/>
      <c r="GV497" s="9"/>
      <c r="GW497" s="9"/>
      <c r="GX497" s="9"/>
      <c r="GY497" s="9"/>
      <c r="GZ497" s="9"/>
      <c r="HA497" s="9"/>
      <c r="HB497" s="9"/>
      <c r="HC497" s="9"/>
      <c r="HD497" s="9"/>
      <c r="HE497" s="9"/>
      <c r="HF497" s="9"/>
      <c r="HG497" s="9"/>
      <c r="HH497" s="9"/>
      <c r="HI497" s="9"/>
      <c r="HJ497" s="9"/>
      <c r="HK497" s="9"/>
      <c r="HL497" s="9"/>
      <c r="HX497" s="58"/>
      <c r="HY497" t="s">
        <v>1783</v>
      </c>
      <c r="HZ497" t="s">
        <v>1813</v>
      </c>
      <c r="IU497" t="s">
        <v>1783</v>
      </c>
      <c r="IV497" s="84" t="s">
        <v>1811</v>
      </c>
      <c r="IW497" s="12" t="s">
        <v>1786</v>
      </c>
      <c r="IX497" s="54" t="s">
        <v>1797</v>
      </c>
      <c r="IY497">
        <v>7.5</v>
      </c>
      <c r="IZ497">
        <v>37</v>
      </c>
      <c r="MS497" t="s">
        <v>1824</v>
      </c>
      <c r="MT497">
        <v>1963</v>
      </c>
      <c r="MU497" t="s">
        <v>1771</v>
      </c>
      <c r="MW497" t="s">
        <v>1764</v>
      </c>
      <c r="NB497" t="s">
        <v>1772</v>
      </c>
      <c r="NC497" t="s">
        <v>711</v>
      </c>
      <c r="NE497" t="s">
        <v>1770</v>
      </c>
      <c r="NG497" t="s">
        <v>1770</v>
      </c>
      <c r="NQ497" t="s">
        <v>6</v>
      </c>
      <c r="NR497">
        <v>0.2</v>
      </c>
      <c r="NS497" t="s">
        <v>1456</v>
      </c>
      <c r="NT497">
        <v>0.4</v>
      </c>
      <c r="NW497">
        <v>5</v>
      </c>
      <c r="OH497" t="s">
        <v>1594</v>
      </c>
      <c r="OJ497">
        <v>2010</v>
      </c>
      <c r="OO497" t="s">
        <v>1178</v>
      </c>
      <c r="OP497" s="58">
        <v>46108</v>
      </c>
    </row>
    <row r="498" spans="1:406" ht="15.75" thickBot="1">
      <c r="A498" t="s">
        <v>36</v>
      </c>
      <c r="B498" t="s">
        <v>1758</v>
      </c>
      <c r="C498" t="s">
        <v>1759</v>
      </c>
      <c r="D498" s="4" t="s">
        <v>245</v>
      </c>
      <c r="E498" t="s">
        <v>1825</v>
      </c>
      <c r="F498" s="4" t="s">
        <v>1823</v>
      </c>
      <c r="G498" t="s">
        <v>254</v>
      </c>
      <c r="H498" t="s">
        <v>30</v>
      </c>
      <c r="I498">
        <v>-23.748532000000001</v>
      </c>
      <c r="J498">
        <v>-62.056702000000001</v>
      </c>
      <c r="K498" s="87" t="s">
        <v>29</v>
      </c>
      <c r="AV498" t="s">
        <v>1785</v>
      </c>
      <c r="AW498" t="s">
        <v>234</v>
      </c>
      <c r="AX498" t="s">
        <v>234</v>
      </c>
      <c r="AY498" s="5">
        <v>5.5555555555555558E-3</v>
      </c>
      <c r="AZ498" t="s">
        <v>1822</v>
      </c>
      <c r="BA498">
        <v>2010</v>
      </c>
      <c r="BD498" t="s">
        <v>1766</v>
      </c>
      <c r="BE498" t="s">
        <v>1767</v>
      </c>
      <c r="BF498" t="s">
        <v>24</v>
      </c>
      <c r="BG498" t="s">
        <v>1798</v>
      </c>
      <c r="BH498" t="s">
        <v>1800</v>
      </c>
      <c r="BI498" t="s">
        <v>29</v>
      </c>
      <c r="BJ498" t="s">
        <v>29</v>
      </c>
      <c r="BK498" t="s">
        <v>29</v>
      </c>
      <c r="GM498" t="s">
        <v>1794</v>
      </c>
      <c r="GN498" s="9" t="s">
        <v>29</v>
      </c>
      <c r="GO498" s="9" t="s">
        <v>29</v>
      </c>
      <c r="GP498" s="9" t="s">
        <v>29</v>
      </c>
      <c r="HY498" t="s">
        <v>1767</v>
      </c>
      <c r="HZ498" t="s">
        <v>1813</v>
      </c>
      <c r="IU498" t="s">
        <v>1767</v>
      </c>
      <c r="IV498" s="54" t="s">
        <v>1812</v>
      </c>
      <c r="IW498" s="54" t="s">
        <v>1812</v>
      </c>
      <c r="IX498" s="54" t="s">
        <v>1799</v>
      </c>
      <c r="IY498">
        <v>1</v>
      </c>
      <c r="IZ498">
        <v>6</v>
      </c>
      <c r="MS498" t="s">
        <v>1824</v>
      </c>
      <c r="MT498">
        <v>1963</v>
      </c>
      <c r="MU498" t="s">
        <v>1771</v>
      </c>
      <c r="MW498" t="s">
        <v>1764</v>
      </c>
      <c r="NB498" t="s">
        <v>1772</v>
      </c>
      <c r="NC498" t="s">
        <v>711</v>
      </c>
      <c r="NE498" t="s">
        <v>1770</v>
      </c>
      <c r="NG498" t="s">
        <v>1770</v>
      </c>
      <c r="NP498" t="s">
        <v>1847</v>
      </c>
      <c r="NQ498" t="s">
        <v>6</v>
      </c>
      <c r="NR498">
        <v>0</v>
      </c>
      <c r="NS498" t="s">
        <v>1456</v>
      </c>
      <c r="NT498">
        <v>0</v>
      </c>
      <c r="NW498">
        <v>7</v>
      </c>
      <c r="OH498" t="s">
        <v>1594</v>
      </c>
      <c r="OJ498">
        <v>2010</v>
      </c>
      <c r="OO498" t="s">
        <v>1178</v>
      </c>
      <c r="OP498" s="58">
        <v>46108</v>
      </c>
    </row>
    <row r="499" spans="1:406" ht="15.75" thickBot="1">
      <c r="A499" t="s">
        <v>36</v>
      </c>
      <c r="B499" t="s">
        <v>1758</v>
      </c>
      <c r="C499" t="s">
        <v>1759</v>
      </c>
      <c r="D499" s="4" t="s">
        <v>245</v>
      </c>
      <c r="E499" t="s">
        <v>1825</v>
      </c>
      <c r="F499" s="4" t="s">
        <v>1823</v>
      </c>
      <c r="G499" t="s">
        <v>254</v>
      </c>
      <c r="H499" t="s">
        <v>30</v>
      </c>
      <c r="I499">
        <v>-23.748532000000001</v>
      </c>
      <c r="J499">
        <v>-62.056702000000001</v>
      </c>
      <c r="K499" s="87" t="s">
        <v>29</v>
      </c>
      <c r="AV499" t="s">
        <v>1785</v>
      </c>
      <c r="AW499" t="s">
        <v>234</v>
      </c>
      <c r="AX499">
        <v>1000</v>
      </c>
      <c r="AY499" s="5">
        <v>5.5555555555555558E-3</v>
      </c>
      <c r="AZ499" t="s">
        <v>1822</v>
      </c>
      <c r="BA499">
        <v>2010</v>
      </c>
      <c r="BD499" t="s">
        <v>1844</v>
      </c>
      <c r="BE499" t="s">
        <v>1761</v>
      </c>
      <c r="BF499" t="s">
        <v>39</v>
      </c>
      <c r="BG499" t="s">
        <v>1762</v>
      </c>
      <c r="EE499" t="s">
        <v>1793</v>
      </c>
      <c r="EF499" t="s">
        <v>29</v>
      </c>
      <c r="EG499" t="s">
        <v>29</v>
      </c>
      <c r="EH499" t="s">
        <v>29</v>
      </c>
      <c r="EI499" t="s">
        <v>1792</v>
      </c>
      <c r="EJ499" t="s">
        <v>29</v>
      </c>
      <c r="EK499" t="s">
        <v>29</v>
      </c>
      <c r="EL499" t="s">
        <v>29</v>
      </c>
      <c r="EM499" t="s">
        <v>1787</v>
      </c>
      <c r="EN499" t="s">
        <v>29</v>
      </c>
      <c r="EO499" t="s">
        <v>29</v>
      </c>
      <c r="EP499" t="s">
        <v>29</v>
      </c>
      <c r="EQ499" t="s">
        <v>1788</v>
      </c>
      <c r="ER499" t="s">
        <v>29</v>
      </c>
      <c r="ES499" t="s">
        <v>29</v>
      </c>
      <c r="ET499" t="s">
        <v>29</v>
      </c>
      <c r="EU499" t="s">
        <v>1789</v>
      </c>
      <c r="EV499" t="s">
        <v>29</v>
      </c>
      <c r="EW499" t="s">
        <v>29</v>
      </c>
      <c r="EX499" t="s">
        <v>29</v>
      </c>
      <c r="EY499" t="s">
        <v>1790</v>
      </c>
      <c r="EZ499" t="s">
        <v>29</v>
      </c>
      <c r="FA499" t="s">
        <v>29</v>
      </c>
      <c r="FB499" t="s">
        <v>29</v>
      </c>
      <c r="FC499" t="s">
        <v>1791</v>
      </c>
      <c r="FD499" t="s">
        <v>29</v>
      </c>
      <c r="FE499" t="s">
        <v>29</v>
      </c>
      <c r="FF499" t="s">
        <v>29</v>
      </c>
      <c r="HY499" t="s">
        <v>1761</v>
      </c>
      <c r="IU499" t="s">
        <v>1761</v>
      </c>
      <c r="IV499" t="s">
        <v>1810</v>
      </c>
      <c r="IW499" t="s">
        <v>1810</v>
      </c>
      <c r="IX499" t="s">
        <v>1810</v>
      </c>
      <c r="IY499">
        <v>5</v>
      </c>
      <c r="IZ499">
        <v>70</v>
      </c>
      <c r="MS499" t="s">
        <v>1824</v>
      </c>
      <c r="MT499">
        <v>1963</v>
      </c>
      <c r="MU499" t="s">
        <v>1776</v>
      </c>
      <c r="MW499" t="s">
        <v>1764</v>
      </c>
      <c r="NB499" t="s">
        <v>1777</v>
      </c>
      <c r="NC499" t="s">
        <v>711</v>
      </c>
      <c r="NE499" t="s">
        <v>1770</v>
      </c>
      <c r="NG499" t="s">
        <v>1770</v>
      </c>
      <c r="NP499" t="s">
        <v>1846</v>
      </c>
      <c r="NQ499" t="s">
        <v>6</v>
      </c>
      <c r="NR499">
        <v>0.6</v>
      </c>
      <c r="NS499" t="s">
        <v>1456</v>
      </c>
      <c r="NT499">
        <v>0.6</v>
      </c>
      <c r="NW499">
        <v>6</v>
      </c>
      <c r="OH499" t="s">
        <v>1594</v>
      </c>
      <c r="OJ499">
        <v>2010</v>
      </c>
      <c r="OO499" t="s">
        <v>1178</v>
      </c>
      <c r="OP499" s="58">
        <v>46108</v>
      </c>
    </row>
    <row r="500" spans="1:406" ht="15.75" thickBot="1">
      <c r="A500" t="s">
        <v>36</v>
      </c>
      <c r="B500" t="s">
        <v>1758</v>
      </c>
      <c r="C500" t="s">
        <v>1759</v>
      </c>
      <c r="D500" s="4" t="s">
        <v>245</v>
      </c>
      <c r="E500" t="s">
        <v>1825</v>
      </c>
      <c r="F500" s="4" t="s">
        <v>1823</v>
      </c>
      <c r="G500" t="s">
        <v>254</v>
      </c>
      <c r="H500" t="s">
        <v>30</v>
      </c>
      <c r="I500">
        <v>-23.748532000000001</v>
      </c>
      <c r="J500">
        <v>-62.056702000000001</v>
      </c>
      <c r="K500" s="87" t="s">
        <v>29</v>
      </c>
      <c r="AV500" t="s">
        <v>1785</v>
      </c>
      <c r="AW500" t="s">
        <v>234</v>
      </c>
      <c r="AX500" t="s">
        <v>234</v>
      </c>
      <c r="AY500" s="5">
        <v>5.5555555555555558E-3</v>
      </c>
      <c r="AZ500" t="s">
        <v>1822</v>
      </c>
      <c r="BA500">
        <v>2010</v>
      </c>
      <c r="BD500" t="s">
        <v>1778</v>
      </c>
      <c r="BE500" t="s">
        <v>1779</v>
      </c>
      <c r="BF500" t="s">
        <v>64</v>
      </c>
      <c r="BG500" t="s">
        <v>1798</v>
      </c>
      <c r="BH500" t="s">
        <v>1796</v>
      </c>
      <c r="BI500" t="s">
        <v>1801</v>
      </c>
      <c r="BJ500" t="s">
        <v>29</v>
      </c>
      <c r="BK500" t="s">
        <v>29</v>
      </c>
      <c r="EE500" t="s">
        <v>1793</v>
      </c>
      <c r="EF500" t="s">
        <v>29</v>
      </c>
      <c r="EG500" t="s">
        <v>29</v>
      </c>
      <c r="EH500" t="s">
        <v>29</v>
      </c>
      <c r="EI500" t="s">
        <v>1792</v>
      </c>
      <c r="EJ500" t="s">
        <v>29</v>
      </c>
      <c r="EK500" t="s">
        <v>29</v>
      </c>
      <c r="EL500" t="s">
        <v>29</v>
      </c>
      <c r="EM500" t="s">
        <v>1787</v>
      </c>
      <c r="EN500" t="s">
        <v>29</v>
      </c>
      <c r="EO500" t="s">
        <v>29</v>
      </c>
      <c r="EP500" t="s">
        <v>29</v>
      </c>
      <c r="EQ500" t="s">
        <v>1788</v>
      </c>
      <c r="ER500" t="s">
        <v>29</v>
      </c>
      <c r="ES500" t="s">
        <v>29</v>
      </c>
      <c r="ET500" t="s">
        <v>29</v>
      </c>
      <c r="EU500" t="s">
        <v>1789</v>
      </c>
      <c r="EV500" t="s">
        <v>29</v>
      </c>
      <c r="EW500" t="s">
        <v>29</v>
      </c>
      <c r="EX500" t="s">
        <v>29</v>
      </c>
      <c r="EY500" t="s">
        <v>1790</v>
      </c>
      <c r="EZ500" t="s">
        <v>29</v>
      </c>
      <c r="FA500" t="s">
        <v>29</v>
      </c>
      <c r="FB500" t="s">
        <v>29</v>
      </c>
      <c r="FC500" t="s">
        <v>1791</v>
      </c>
      <c r="FD500" t="s">
        <v>29</v>
      </c>
      <c r="FE500" t="s">
        <v>29</v>
      </c>
      <c r="FF500" t="s">
        <v>29</v>
      </c>
      <c r="GM500" t="s">
        <v>1794</v>
      </c>
      <c r="GN500" s="9" t="s">
        <v>29</v>
      </c>
      <c r="GO500" s="9" t="s">
        <v>29</v>
      </c>
      <c r="GP500" s="9" t="s">
        <v>29</v>
      </c>
      <c r="GQ500" s="9"/>
      <c r="GR500" s="9"/>
      <c r="GS500" s="9"/>
      <c r="GT500" s="9"/>
      <c r="GU500" s="9"/>
      <c r="GV500" s="9"/>
      <c r="GW500" s="9"/>
      <c r="GX500" s="9"/>
      <c r="GY500" s="9"/>
      <c r="GZ500" s="9"/>
      <c r="HA500" s="9"/>
      <c r="HB500" s="9"/>
      <c r="HC500" s="9"/>
      <c r="HD500" s="9"/>
      <c r="HE500" s="9"/>
      <c r="HF500" s="9"/>
      <c r="HG500" s="9"/>
      <c r="HH500" s="9"/>
      <c r="HI500" s="9"/>
      <c r="HJ500" s="9"/>
      <c r="HK500" s="9"/>
      <c r="HL500" s="9"/>
      <c r="HX500" s="58"/>
      <c r="HY500" t="s">
        <v>1779</v>
      </c>
      <c r="HZ500" t="s">
        <v>1814</v>
      </c>
      <c r="IU500" t="s">
        <v>1779</v>
      </c>
      <c r="IV500" s="84" t="s">
        <v>1811</v>
      </c>
      <c r="IW500" t="s">
        <v>1786</v>
      </c>
      <c r="IX500" s="54" t="s">
        <v>1795</v>
      </c>
      <c r="IY500">
        <v>1</v>
      </c>
      <c r="IZ500">
        <v>81</v>
      </c>
      <c r="MS500" t="s">
        <v>1824</v>
      </c>
      <c r="MT500">
        <v>1963</v>
      </c>
      <c r="MU500" t="s">
        <v>1776</v>
      </c>
      <c r="MW500" t="s">
        <v>1764</v>
      </c>
      <c r="NB500" t="s">
        <v>1777</v>
      </c>
      <c r="NC500" t="s">
        <v>711</v>
      </c>
      <c r="NE500" t="s">
        <v>1770</v>
      </c>
      <c r="NG500" t="s">
        <v>1770</v>
      </c>
      <c r="NQ500" t="s">
        <v>6</v>
      </c>
      <c r="NR500">
        <v>0.3</v>
      </c>
      <c r="NS500" t="s">
        <v>1456</v>
      </c>
      <c r="NT500">
        <v>0.5</v>
      </c>
      <c r="NW500">
        <v>8</v>
      </c>
      <c r="OH500" t="s">
        <v>1594</v>
      </c>
      <c r="OJ500">
        <v>2010</v>
      </c>
      <c r="OO500" t="s">
        <v>1178</v>
      </c>
      <c r="OP500" s="58">
        <v>46108</v>
      </c>
    </row>
    <row r="501" spans="1:406" ht="15.75" thickBot="1">
      <c r="A501" t="s">
        <v>36</v>
      </c>
      <c r="B501" t="s">
        <v>1758</v>
      </c>
      <c r="C501" t="s">
        <v>1759</v>
      </c>
      <c r="D501" s="4" t="s">
        <v>245</v>
      </c>
      <c r="E501" t="s">
        <v>1825</v>
      </c>
      <c r="F501" s="4" t="s">
        <v>1823</v>
      </c>
      <c r="G501" t="s">
        <v>254</v>
      </c>
      <c r="H501" t="s">
        <v>30</v>
      </c>
      <c r="I501">
        <v>-23.748532000000001</v>
      </c>
      <c r="J501">
        <v>-62.056702000000001</v>
      </c>
      <c r="K501" s="87" t="s">
        <v>29</v>
      </c>
      <c r="AV501" t="s">
        <v>1785</v>
      </c>
      <c r="AW501" t="s">
        <v>234</v>
      </c>
      <c r="AX501">
        <v>3600</v>
      </c>
      <c r="AY501" s="5">
        <v>5.5555555555555558E-3</v>
      </c>
      <c r="AZ501" t="s">
        <v>1822</v>
      </c>
      <c r="BA501">
        <v>2010</v>
      </c>
      <c r="BD501" t="s">
        <v>1778</v>
      </c>
      <c r="BE501" t="s">
        <v>1781</v>
      </c>
      <c r="BF501" t="s">
        <v>57</v>
      </c>
      <c r="BG501" t="s">
        <v>1798</v>
      </c>
      <c r="BH501" t="s">
        <v>1796</v>
      </c>
      <c r="BI501" t="s">
        <v>29</v>
      </c>
      <c r="BJ501" t="s">
        <v>29</v>
      </c>
      <c r="BK501" t="s">
        <v>29</v>
      </c>
      <c r="EE501" t="s">
        <v>1793</v>
      </c>
      <c r="EF501" t="s">
        <v>29</v>
      </c>
      <c r="EG501" t="s">
        <v>29</v>
      </c>
      <c r="EH501" t="s">
        <v>29</v>
      </c>
      <c r="EI501" t="s">
        <v>1792</v>
      </c>
      <c r="EJ501" t="s">
        <v>29</v>
      </c>
      <c r="EK501" t="s">
        <v>29</v>
      </c>
      <c r="EL501" t="s">
        <v>29</v>
      </c>
      <c r="EM501" t="s">
        <v>1787</v>
      </c>
      <c r="EN501" t="s">
        <v>29</v>
      </c>
      <c r="EO501" t="s">
        <v>29</v>
      </c>
      <c r="EP501" t="s">
        <v>29</v>
      </c>
      <c r="EQ501" t="s">
        <v>1788</v>
      </c>
      <c r="ER501" t="s">
        <v>29</v>
      </c>
      <c r="ES501" t="s">
        <v>29</v>
      </c>
      <c r="ET501" t="s">
        <v>29</v>
      </c>
      <c r="EU501" t="s">
        <v>1789</v>
      </c>
      <c r="EV501" t="s">
        <v>29</v>
      </c>
      <c r="EW501" t="s">
        <v>29</v>
      </c>
      <c r="EX501" t="s">
        <v>29</v>
      </c>
      <c r="EY501" t="s">
        <v>1790</v>
      </c>
      <c r="EZ501" t="s">
        <v>29</v>
      </c>
      <c r="FA501" t="s">
        <v>29</v>
      </c>
      <c r="FB501" t="s">
        <v>29</v>
      </c>
      <c r="FC501" t="s">
        <v>1791</v>
      </c>
      <c r="FD501" t="s">
        <v>29</v>
      </c>
      <c r="FE501" t="s">
        <v>29</v>
      </c>
      <c r="FF501" t="s">
        <v>29</v>
      </c>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c r="GM501" s="9" t="s">
        <v>1794</v>
      </c>
      <c r="GN501" s="9" t="s">
        <v>29</v>
      </c>
      <c r="GO501" s="9" t="s">
        <v>29</v>
      </c>
      <c r="GP501" s="9" t="s">
        <v>29</v>
      </c>
      <c r="GQ501" s="9"/>
      <c r="GR501" s="9"/>
      <c r="GS501" s="9"/>
      <c r="GT501" s="9"/>
      <c r="GU501" s="9"/>
      <c r="GV501" s="9"/>
      <c r="GW501" s="9"/>
      <c r="GX501" s="9"/>
      <c r="GY501" s="9"/>
      <c r="GZ501" s="9"/>
      <c r="HA501" s="9"/>
      <c r="HB501" s="9"/>
      <c r="HC501" s="9"/>
      <c r="HD501" s="9"/>
      <c r="HE501" s="9"/>
      <c r="HF501" s="9"/>
      <c r="HG501" s="9"/>
      <c r="HH501" s="9"/>
      <c r="HI501" s="9"/>
      <c r="HJ501" s="9"/>
      <c r="HK501" s="9"/>
      <c r="HL501" s="9"/>
      <c r="HX501" s="58"/>
      <c r="HY501" t="s">
        <v>1781</v>
      </c>
      <c r="HZ501" t="s">
        <v>1814</v>
      </c>
      <c r="IU501" t="s">
        <v>1781</v>
      </c>
      <c r="IV501" s="84" t="s">
        <v>1811</v>
      </c>
      <c r="IW501" s="12" t="s">
        <v>1786</v>
      </c>
      <c r="IX501" s="54" t="s">
        <v>1797</v>
      </c>
      <c r="IY501">
        <v>7.5</v>
      </c>
      <c r="IZ501">
        <v>56</v>
      </c>
      <c r="MS501" t="s">
        <v>1824</v>
      </c>
      <c r="MT501">
        <v>1963</v>
      </c>
      <c r="MU501" t="s">
        <v>1776</v>
      </c>
      <c r="MW501" t="s">
        <v>1764</v>
      </c>
      <c r="NB501" t="s">
        <v>1777</v>
      </c>
      <c r="NC501" t="s">
        <v>711</v>
      </c>
      <c r="NE501" t="s">
        <v>1770</v>
      </c>
      <c r="NG501" t="s">
        <v>1770</v>
      </c>
      <c r="NQ501" t="s">
        <v>6</v>
      </c>
      <c r="NR501">
        <v>0.3</v>
      </c>
      <c r="NS501" t="s">
        <v>1456</v>
      </c>
      <c r="NT501">
        <v>0.6</v>
      </c>
      <c r="NW501">
        <v>7</v>
      </c>
      <c r="OH501" t="s">
        <v>1594</v>
      </c>
      <c r="OJ501">
        <v>2010</v>
      </c>
      <c r="OO501" t="s">
        <v>1178</v>
      </c>
      <c r="OP501" s="58">
        <v>46108</v>
      </c>
    </row>
    <row r="502" spans="1:406" ht="15.75" thickBot="1">
      <c r="A502" t="s">
        <v>36</v>
      </c>
      <c r="B502" t="s">
        <v>1758</v>
      </c>
      <c r="C502" t="s">
        <v>1759</v>
      </c>
      <c r="D502" s="4" t="s">
        <v>245</v>
      </c>
      <c r="E502" t="s">
        <v>1825</v>
      </c>
      <c r="F502" s="4" t="s">
        <v>1823</v>
      </c>
      <c r="G502" t="s">
        <v>254</v>
      </c>
      <c r="H502" t="s">
        <v>30</v>
      </c>
      <c r="I502">
        <v>-23.748532000000001</v>
      </c>
      <c r="J502">
        <v>-62.056702000000001</v>
      </c>
      <c r="K502" s="87" t="s">
        <v>29</v>
      </c>
      <c r="AV502" t="s">
        <v>1785</v>
      </c>
      <c r="AW502" t="s">
        <v>234</v>
      </c>
      <c r="AX502">
        <v>3600</v>
      </c>
      <c r="AY502" s="5">
        <v>5.5555555555555558E-3</v>
      </c>
      <c r="AZ502" t="s">
        <v>1822</v>
      </c>
      <c r="BA502">
        <v>2010</v>
      </c>
      <c r="BD502" t="s">
        <v>1778</v>
      </c>
      <c r="BE502" t="s">
        <v>1783</v>
      </c>
      <c r="BF502" t="s">
        <v>48</v>
      </c>
      <c r="BG502" t="s">
        <v>1798</v>
      </c>
      <c r="BH502" t="s">
        <v>1800</v>
      </c>
      <c r="BI502" t="s">
        <v>29</v>
      </c>
      <c r="BJ502" t="s">
        <v>29</v>
      </c>
      <c r="BK502" t="s">
        <v>29</v>
      </c>
      <c r="EE502" t="s">
        <v>1793</v>
      </c>
      <c r="EF502" t="s">
        <v>29</v>
      </c>
      <c r="EG502" t="s">
        <v>29</v>
      </c>
      <c r="EH502" t="s">
        <v>29</v>
      </c>
      <c r="EI502" t="s">
        <v>1792</v>
      </c>
      <c r="EJ502" t="s">
        <v>29</v>
      </c>
      <c r="EK502" t="s">
        <v>29</v>
      </c>
      <c r="EL502" t="s">
        <v>29</v>
      </c>
      <c r="EM502" t="s">
        <v>1787</v>
      </c>
      <c r="EN502" t="s">
        <v>29</v>
      </c>
      <c r="EO502" t="s">
        <v>29</v>
      </c>
      <c r="EP502" t="s">
        <v>29</v>
      </c>
      <c r="EQ502" t="s">
        <v>1788</v>
      </c>
      <c r="ER502" t="s">
        <v>29</v>
      </c>
      <c r="ES502" t="s">
        <v>29</v>
      </c>
      <c r="ET502" t="s">
        <v>29</v>
      </c>
      <c r="EU502" t="s">
        <v>1789</v>
      </c>
      <c r="EV502" t="s">
        <v>29</v>
      </c>
      <c r="EW502" t="s">
        <v>29</v>
      </c>
      <c r="EX502" t="s">
        <v>29</v>
      </c>
      <c r="EY502" t="s">
        <v>1790</v>
      </c>
      <c r="EZ502" t="s">
        <v>29</v>
      </c>
      <c r="FA502" t="s">
        <v>29</v>
      </c>
      <c r="FB502" t="s">
        <v>29</v>
      </c>
      <c r="FC502" t="s">
        <v>1791</v>
      </c>
      <c r="FD502" t="s">
        <v>29</v>
      </c>
      <c r="FE502" t="s">
        <v>29</v>
      </c>
      <c r="FF502" t="s">
        <v>29</v>
      </c>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c r="GM502" s="9" t="s">
        <v>1794</v>
      </c>
      <c r="GN502" s="9" t="s">
        <v>29</v>
      </c>
      <c r="GO502" s="9" t="s">
        <v>29</v>
      </c>
      <c r="GP502" s="9" t="s">
        <v>29</v>
      </c>
      <c r="GQ502" s="9"/>
      <c r="GR502" s="9"/>
      <c r="GS502" s="9"/>
      <c r="GT502" s="9"/>
      <c r="GU502" s="9"/>
      <c r="GV502" s="9"/>
      <c r="GW502" s="9"/>
      <c r="GX502" s="9"/>
      <c r="GY502" s="9"/>
      <c r="GZ502" s="9"/>
      <c r="HA502" s="9"/>
      <c r="HB502" s="9"/>
      <c r="HC502" s="9"/>
      <c r="HD502" s="9"/>
      <c r="HE502" s="9"/>
      <c r="HF502" s="9"/>
      <c r="HG502" s="9"/>
      <c r="HH502" s="9"/>
      <c r="HI502" s="9"/>
      <c r="HJ502" s="9"/>
      <c r="HK502" s="9"/>
      <c r="HL502" s="9"/>
      <c r="HX502" s="58"/>
      <c r="HY502" t="s">
        <v>1783</v>
      </c>
      <c r="HZ502" t="s">
        <v>1813</v>
      </c>
      <c r="IU502" t="s">
        <v>1783</v>
      </c>
      <c r="IV502" s="84" t="s">
        <v>1811</v>
      </c>
      <c r="IW502" s="12" t="s">
        <v>1786</v>
      </c>
      <c r="IX502" s="54" t="s">
        <v>1797</v>
      </c>
      <c r="IY502">
        <v>7.5</v>
      </c>
      <c r="IZ502">
        <v>37</v>
      </c>
      <c r="MS502" t="s">
        <v>1824</v>
      </c>
      <c r="MT502">
        <v>1963</v>
      </c>
      <c r="MU502" t="s">
        <v>1776</v>
      </c>
      <c r="MW502" t="s">
        <v>1764</v>
      </c>
      <c r="NB502" t="s">
        <v>1777</v>
      </c>
      <c r="NC502" t="s">
        <v>711</v>
      </c>
      <c r="NE502" t="s">
        <v>1770</v>
      </c>
      <c r="NG502" t="s">
        <v>1770</v>
      </c>
      <c r="NQ502" t="s">
        <v>6</v>
      </c>
      <c r="NR502">
        <v>0.3</v>
      </c>
      <c r="NS502" t="s">
        <v>1456</v>
      </c>
      <c r="NT502">
        <v>0.5</v>
      </c>
      <c r="NW502">
        <v>5</v>
      </c>
      <c r="OH502" t="s">
        <v>1594</v>
      </c>
      <c r="OJ502">
        <v>2010</v>
      </c>
      <c r="OO502" t="s">
        <v>1178</v>
      </c>
      <c r="OP502" s="58">
        <v>46108</v>
      </c>
    </row>
    <row r="503" spans="1:406" ht="15.75" thickBot="1">
      <c r="A503" t="s">
        <v>36</v>
      </c>
      <c r="B503" t="s">
        <v>1758</v>
      </c>
      <c r="C503" t="s">
        <v>1759</v>
      </c>
      <c r="D503" s="4" t="s">
        <v>245</v>
      </c>
      <c r="E503" t="s">
        <v>1825</v>
      </c>
      <c r="F503" s="4" t="s">
        <v>1823</v>
      </c>
      <c r="G503" t="s">
        <v>254</v>
      </c>
      <c r="H503" t="s">
        <v>30</v>
      </c>
      <c r="I503">
        <v>-23.748532000000001</v>
      </c>
      <c r="J503">
        <v>-62.056702000000001</v>
      </c>
      <c r="K503" s="87" t="s">
        <v>29</v>
      </c>
      <c r="AV503" t="s">
        <v>1785</v>
      </c>
      <c r="AW503" t="s">
        <v>234</v>
      </c>
      <c r="AX503" t="s">
        <v>234</v>
      </c>
      <c r="AY503" s="5">
        <v>5.5555555555555558E-3</v>
      </c>
      <c r="AZ503" t="s">
        <v>1822</v>
      </c>
      <c r="BA503">
        <v>2010</v>
      </c>
      <c r="BD503" t="s">
        <v>1766</v>
      </c>
      <c r="BE503" t="s">
        <v>1767</v>
      </c>
      <c r="BF503" t="s">
        <v>24</v>
      </c>
      <c r="BG503" t="s">
        <v>1798</v>
      </c>
      <c r="BH503" t="s">
        <v>1800</v>
      </c>
      <c r="BI503" t="s">
        <v>29</v>
      </c>
      <c r="BJ503" t="s">
        <v>29</v>
      </c>
      <c r="BK503" t="s">
        <v>29</v>
      </c>
      <c r="GM503" t="s">
        <v>1794</v>
      </c>
      <c r="GN503" s="9" t="s">
        <v>29</v>
      </c>
      <c r="GO503" s="9" t="s">
        <v>29</v>
      </c>
      <c r="GP503" s="9" t="s">
        <v>29</v>
      </c>
      <c r="HY503" t="s">
        <v>1767</v>
      </c>
      <c r="HZ503" t="s">
        <v>1813</v>
      </c>
      <c r="IU503" t="s">
        <v>1767</v>
      </c>
      <c r="IV503" s="54" t="s">
        <v>1812</v>
      </c>
      <c r="IW503" s="54" t="s">
        <v>1812</v>
      </c>
      <c r="IX503" s="54" t="s">
        <v>1799</v>
      </c>
      <c r="IY503">
        <v>1</v>
      </c>
      <c r="IZ503">
        <v>6</v>
      </c>
      <c r="MS503" t="s">
        <v>1824</v>
      </c>
      <c r="MT503">
        <v>1963</v>
      </c>
      <c r="MU503" t="s">
        <v>1776</v>
      </c>
      <c r="MW503" t="s">
        <v>1764</v>
      </c>
      <c r="NB503" t="s">
        <v>1777</v>
      </c>
      <c r="NC503" t="s">
        <v>711</v>
      </c>
      <c r="NE503" t="s">
        <v>1770</v>
      </c>
      <c r="NG503" t="s">
        <v>1770</v>
      </c>
      <c r="NP503" t="s">
        <v>1847</v>
      </c>
      <c r="NQ503" t="s">
        <v>6</v>
      </c>
      <c r="NR503">
        <v>0.3</v>
      </c>
      <c r="NS503" t="s">
        <v>1456</v>
      </c>
      <c r="NT503">
        <v>0.5</v>
      </c>
      <c r="NW503">
        <v>7</v>
      </c>
      <c r="OH503" t="s">
        <v>1594</v>
      </c>
      <c r="OJ503">
        <v>2010</v>
      </c>
      <c r="OO503" t="s">
        <v>1178</v>
      </c>
      <c r="OP503" s="58">
        <v>46108</v>
      </c>
    </row>
    <row r="504" spans="1:406" ht="15.75" thickBot="1">
      <c r="A504" t="s">
        <v>36</v>
      </c>
      <c r="B504" t="s">
        <v>1758</v>
      </c>
      <c r="C504" t="s">
        <v>1759</v>
      </c>
      <c r="D504" s="4" t="s">
        <v>245</v>
      </c>
      <c r="E504" t="s">
        <v>1825</v>
      </c>
      <c r="F504" s="4" t="s">
        <v>1823</v>
      </c>
      <c r="G504" t="s">
        <v>254</v>
      </c>
      <c r="H504" t="s">
        <v>30</v>
      </c>
      <c r="I504">
        <v>-23.748532000000001</v>
      </c>
      <c r="J504">
        <v>-62.056702000000001</v>
      </c>
      <c r="K504" s="87" t="s">
        <v>29</v>
      </c>
      <c r="AV504" t="s">
        <v>1785</v>
      </c>
      <c r="AW504" t="s">
        <v>234</v>
      </c>
      <c r="AX504">
        <v>1000</v>
      </c>
      <c r="AY504" s="5">
        <v>5.5555555555555558E-3</v>
      </c>
      <c r="AZ504" t="s">
        <v>1822</v>
      </c>
      <c r="BA504">
        <v>2010</v>
      </c>
      <c r="BD504" t="s">
        <v>1844</v>
      </c>
      <c r="BE504" t="s">
        <v>1761</v>
      </c>
      <c r="BF504" t="s">
        <v>39</v>
      </c>
      <c r="BG504" t="s">
        <v>1762</v>
      </c>
      <c r="EE504" t="s">
        <v>1793</v>
      </c>
      <c r="EF504" t="s">
        <v>29</v>
      </c>
      <c r="EG504" t="s">
        <v>29</v>
      </c>
      <c r="EH504" t="s">
        <v>29</v>
      </c>
      <c r="EI504" t="s">
        <v>1792</v>
      </c>
      <c r="EJ504" t="s">
        <v>29</v>
      </c>
      <c r="EK504" t="s">
        <v>29</v>
      </c>
      <c r="EL504" t="s">
        <v>29</v>
      </c>
      <c r="EM504" t="s">
        <v>1787</v>
      </c>
      <c r="EN504" t="s">
        <v>29</v>
      </c>
      <c r="EO504" t="s">
        <v>29</v>
      </c>
      <c r="EP504" t="s">
        <v>29</v>
      </c>
      <c r="EQ504" t="s">
        <v>1788</v>
      </c>
      <c r="ER504" t="s">
        <v>29</v>
      </c>
      <c r="ES504" t="s">
        <v>29</v>
      </c>
      <c r="ET504" t="s">
        <v>29</v>
      </c>
      <c r="EU504" t="s">
        <v>1789</v>
      </c>
      <c r="EV504" t="s">
        <v>29</v>
      </c>
      <c r="EW504" t="s">
        <v>29</v>
      </c>
      <c r="EX504" t="s">
        <v>29</v>
      </c>
      <c r="EY504" t="s">
        <v>1790</v>
      </c>
      <c r="EZ504" t="s">
        <v>29</v>
      </c>
      <c r="FA504" t="s">
        <v>29</v>
      </c>
      <c r="FB504" t="s">
        <v>29</v>
      </c>
      <c r="FC504" t="s">
        <v>1791</v>
      </c>
      <c r="FD504" t="s">
        <v>29</v>
      </c>
      <c r="FE504" t="s">
        <v>29</v>
      </c>
      <c r="FF504" t="s">
        <v>29</v>
      </c>
      <c r="HY504" t="s">
        <v>1761</v>
      </c>
      <c r="IU504" t="s">
        <v>1761</v>
      </c>
      <c r="IV504" t="s">
        <v>1810</v>
      </c>
      <c r="IW504" t="s">
        <v>1810</v>
      </c>
      <c r="IX504" t="s">
        <v>1810</v>
      </c>
      <c r="IY504">
        <v>5</v>
      </c>
      <c r="IZ504">
        <v>70</v>
      </c>
      <c r="MS504" t="s">
        <v>1824</v>
      </c>
      <c r="MT504">
        <v>1963</v>
      </c>
      <c r="MU504" t="s">
        <v>1802</v>
      </c>
      <c r="MW504" t="s">
        <v>1764</v>
      </c>
      <c r="NB504" t="s">
        <v>1805</v>
      </c>
      <c r="NC504" t="s">
        <v>711</v>
      </c>
      <c r="NE504" t="s">
        <v>1770</v>
      </c>
      <c r="NG504" t="s">
        <v>1770</v>
      </c>
      <c r="NP504" t="s">
        <v>1846</v>
      </c>
      <c r="NQ504" t="s">
        <v>6</v>
      </c>
      <c r="NR504">
        <v>6.7</v>
      </c>
      <c r="NS504" t="s">
        <v>1456</v>
      </c>
      <c r="NT504">
        <v>2.2000000000000002</v>
      </c>
      <c r="NW504">
        <v>6</v>
      </c>
      <c r="OH504" t="s">
        <v>1594</v>
      </c>
      <c r="OJ504">
        <v>2010</v>
      </c>
      <c r="OO504" t="s">
        <v>1178</v>
      </c>
      <c r="OP504" s="58">
        <v>46108</v>
      </c>
    </row>
    <row r="505" spans="1:406" ht="15.75" thickBot="1">
      <c r="A505" t="s">
        <v>36</v>
      </c>
      <c r="B505" t="s">
        <v>1758</v>
      </c>
      <c r="C505" t="s">
        <v>1759</v>
      </c>
      <c r="D505" s="4" t="s">
        <v>245</v>
      </c>
      <c r="E505" t="s">
        <v>1825</v>
      </c>
      <c r="F505" s="4" t="s">
        <v>1823</v>
      </c>
      <c r="G505" t="s">
        <v>254</v>
      </c>
      <c r="H505" t="s">
        <v>30</v>
      </c>
      <c r="I505">
        <v>-23.748532000000001</v>
      </c>
      <c r="J505">
        <v>-62.056702000000001</v>
      </c>
      <c r="K505" s="87" t="s">
        <v>29</v>
      </c>
      <c r="AV505" t="s">
        <v>1785</v>
      </c>
      <c r="AW505" t="s">
        <v>234</v>
      </c>
      <c r="AX505" t="s">
        <v>234</v>
      </c>
      <c r="AY505" s="5">
        <v>5.5555555555555558E-3</v>
      </c>
      <c r="AZ505" t="s">
        <v>1822</v>
      </c>
      <c r="BA505">
        <v>2010</v>
      </c>
      <c r="BD505" t="s">
        <v>1778</v>
      </c>
      <c r="BE505" t="s">
        <v>1779</v>
      </c>
      <c r="BF505" t="s">
        <v>64</v>
      </c>
      <c r="BG505" t="s">
        <v>1798</v>
      </c>
      <c r="BH505" t="s">
        <v>1796</v>
      </c>
      <c r="BI505" t="s">
        <v>1801</v>
      </c>
      <c r="BJ505" t="s">
        <v>29</v>
      </c>
      <c r="BK505" t="s">
        <v>29</v>
      </c>
      <c r="EE505" t="s">
        <v>1793</v>
      </c>
      <c r="EF505" t="s">
        <v>29</v>
      </c>
      <c r="EG505" t="s">
        <v>29</v>
      </c>
      <c r="EH505" t="s">
        <v>29</v>
      </c>
      <c r="EI505" t="s">
        <v>1792</v>
      </c>
      <c r="EJ505" t="s">
        <v>29</v>
      </c>
      <c r="EK505" t="s">
        <v>29</v>
      </c>
      <c r="EL505" t="s">
        <v>29</v>
      </c>
      <c r="EM505" t="s">
        <v>1787</v>
      </c>
      <c r="EN505" t="s">
        <v>29</v>
      </c>
      <c r="EO505" t="s">
        <v>29</v>
      </c>
      <c r="EP505" t="s">
        <v>29</v>
      </c>
      <c r="EQ505" t="s">
        <v>1788</v>
      </c>
      <c r="ER505" t="s">
        <v>29</v>
      </c>
      <c r="ES505" t="s">
        <v>29</v>
      </c>
      <c r="ET505" t="s">
        <v>29</v>
      </c>
      <c r="EU505" t="s">
        <v>1789</v>
      </c>
      <c r="EV505" t="s">
        <v>29</v>
      </c>
      <c r="EW505" t="s">
        <v>29</v>
      </c>
      <c r="EX505" t="s">
        <v>29</v>
      </c>
      <c r="EY505" t="s">
        <v>1790</v>
      </c>
      <c r="EZ505" t="s">
        <v>29</v>
      </c>
      <c r="FA505" t="s">
        <v>29</v>
      </c>
      <c r="FB505" t="s">
        <v>29</v>
      </c>
      <c r="FC505" t="s">
        <v>1791</v>
      </c>
      <c r="FD505" t="s">
        <v>29</v>
      </c>
      <c r="FE505" t="s">
        <v>29</v>
      </c>
      <c r="FF505" t="s">
        <v>29</v>
      </c>
      <c r="GM505" t="s">
        <v>1794</v>
      </c>
      <c r="GN505" s="9" t="s">
        <v>29</v>
      </c>
      <c r="GO505" s="9" t="s">
        <v>29</v>
      </c>
      <c r="GP505" s="9" t="s">
        <v>29</v>
      </c>
      <c r="GQ505" s="9"/>
      <c r="GR505" s="9"/>
      <c r="GS505" s="9"/>
      <c r="GT505" s="9"/>
      <c r="GU505" s="9"/>
      <c r="GV505" s="9"/>
      <c r="GW505" s="9"/>
      <c r="GX505" s="9"/>
      <c r="GY505" s="9"/>
      <c r="GZ505" s="9"/>
      <c r="HA505" s="9"/>
      <c r="HB505" s="9"/>
      <c r="HC505" s="9"/>
      <c r="HD505" s="9"/>
      <c r="HE505" s="9"/>
      <c r="HF505" s="9"/>
      <c r="HG505" s="9"/>
      <c r="HH505" s="9"/>
      <c r="HI505" s="9"/>
      <c r="HJ505" s="9"/>
      <c r="HK505" s="9"/>
      <c r="HL505" s="9"/>
      <c r="HX505" s="58"/>
      <c r="HY505" t="s">
        <v>1779</v>
      </c>
      <c r="HZ505" t="s">
        <v>1814</v>
      </c>
      <c r="IU505" t="s">
        <v>1779</v>
      </c>
      <c r="IV505" s="84" t="s">
        <v>1811</v>
      </c>
      <c r="IW505" t="s">
        <v>1786</v>
      </c>
      <c r="IX505" s="54" t="s">
        <v>1795</v>
      </c>
      <c r="IY505">
        <v>1</v>
      </c>
      <c r="IZ505">
        <v>81</v>
      </c>
      <c r="MS505" t="s">
        <v>1824</v>
      </c>
      <c r="MT505">
        <v>1963</v>
      </c>
      <c r="MU505" t="s">
        <v>1802</v>
      </c>
      <c r="MW505" t="s">
        <v>1764</v>
      </c>
      <c r="NB505" t="s">
        <v>1805</v>
      </c>
      <c r="NC505" t="s">
        <v>711</v>
      </c>
      <c r="NE505" t="s">
        <v>1770</v>
      </c>
      <c r="NG505" t="s">
        <v>1770</v>
      </c>
      <c r="NQ505" t="s">
        <v>6</v>
      </c>
      <c r="NR505">
        <v>5</v>
      </c>
      <c r="NS505" t="s">
        <v>1456</v>
      </c>
      <c r="NT505">
        <v>2.2999999999999998</v>
      </c>
      <c r="NW505">
        <v>8</v>
      </c>
      <c r="OH505" t="s">
        <v>1594</v>
      </c>
      <c r="OJ505">
        <v>2010</v>
      </c>
      <c r="OO505" t="s">
        <v>1178</v>
      </c>
      <c r="OP505" s="58">
        <v>46108</v>
      </c>
    </row>
    <row r="506" spans="1:406" ht="15.75" thickBot="1">
      <c r="A506" t="s">
        <v>36</v>
      </c>
      <c r="B506" t="s">
        <v>1758</v>
      </c>
      <c r="C506" t="s">
        <v>1759</v>
      </c>
      <c r="D506" s="4" t="s">
        <v>245</v>
      </c>
      <c r="E506" t="s">
        <v>1825</v>
      </c>
      <c r="F506" s="4" t="s">
        <v>1823</v>
      </c>
      <c r="G506" t="s">
        <v>254</v>
      </c>
      <c r="H506" t="s">
        <v>30</v>
      </c>
      <c r="I506">
        <v>-23.748532000000001</v>
      </c>
      <c r="J506">
        <v>-62.056702000000001</v>
      </c>
      <c r="K506" s="87" t="s">
        <v>29</v>
      </c>
      <c r="AV506" t="s">
        <v>1785</v>
      </c>
      <c r="AW506" t="s">
        <v>234</v>
      </c>
      <c r="AX506">
        <v>3600</v>
      </c>
      <c r="AY506" s="5">
        <v>5.5555555555555558E-3</v>
      </c>
      <c r="AZ506" t="s">
        <v>1822</v>
      </c>
      <c r="BA506">
        <v>2010</v>
      </c>
      <c r="BD506" t="s">
        <v>1778</v>
      </c>
      <c r="BE506" t="s">
        <v>1781</v>
      </c>
      <c r="BF506" t="s">
        <v>57</v>
      </c>
      <c r="BG506" t="s">
        <v>1798</v>
      </c>
      <c r="BH506" t="s">
        <v>1796</v>
      </c>
      <c r="BI506" t="s">
        <v>29</v>
      </c>
      <c r="BJ506" t="s">
        <v>29</v>
      </c>
      <c r="BK506" t="s">
        <v>29</v>
      </c>
      <c r="EE506" t="s">
        <v>1793</v>
      </c>
      <c r="EF506" t="s">
        <v>29</v>
      </c>
      <c r="EG506" t="s">
        <v>29</v>
      </c>
      <c r="EH506" t="s">
        <v>29</v>
      </c>
      <c r="EI506" t="s">
        <v>1792</v>
      </c>
      <c r="EJ506" t="s">
        <v>29</v>
      </c>
      <c r="EK506" t="s">
        <v>29</v>
      </c>
      <c r="EL506" t="s">
        <v>29</v>
      </c>
      <c r="EM506" t="s">
        <v>1787</v>
      </c>
      <c r="EN506" t="s">
        <v>29</v>
      </c>
      <c r="EO506" t="s">
        <v>29</v>
      </c>
      <c r="EP506" t="s">
        <v>29</v>
      </c>
      <c r="EQ506" t="s">
        <v>1788</v>
      </c>
      <c r="ER506" t="s">
        <v>29</v>
      </c>
      <c r="ES506" t="s">
        <v>29</v>
      </c>
      <c r="ET506" t="s">
        <v>29</v>
      </c>
      <c r="EU506" t="s">
        <v>1789</v>
      </c>
      <c r="EV506" t="s">
        <v>29</v>
      </c>
      <c r="EW506" t="s">
        <v>29</v>
      </c>
      <c r="EX506" t="s">
        <v>29</v>
      </c>
      <c r="EY506" t="s">
        <v>1790</v>
      </c>
      <c r="EZ506" t="s">
        <v>29</v>
      </c>
      <c r="FA506" t="s">
        <v>29</v>
      </c>
      <c r="FB506" t="s">
        <v>29</v>
      </c>
      <c r="FC506" t="s">
        <v>1791</v>
      </c>
      <c r="FD506" t="s">
        <v>29</v>
      </c>
      <c r="FE506" t="s">
        <v>29</v>
      </c>
      <c r="FF506" t="s">
        <v>29</v>
      </c>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c r="GM506" s="9" t="s">
        <v>1794</v>
      </c>
      <c r="GN506" s="9" t="s">
        <v>29</v>
      </c>
      <c r="GO506" s="9" t="s">
        <v>29</v>
      </c>
      <c r="GP506" s="9" t="s">
        <v>29</v>
      </c>
      <c r="GQ506" s="9"/>
      <c r="GR506" s="9"/>
      <c r="GS506" s="9"/>
      <c r="GT506" s="9"/>
      <c r="GU506" s="9"/>
      <c r="GV506" s="9"/>
      <c r="GW506" s="9"/>
      <c r="GX506" s="9"/>
      <c r="GY506" s="9"/>
      <c r="GZ506" s="9"/>
      <c r="HA506" s="9"/>
      <c r="HB506" s="9"/>
      <c r="HC506" s="9"/>
      <c r="HD506" s="9"/>
      <c r="HE506" s="9"/>
      <c r="HF506" s="9"/>
      <c r="HG506" s="9"/>
      <c r="HH506" s="9"/>
      <c r="HI506" s="9"/>
      <c r="HJ506" s="9"/>
      <c r="HK506" s="9"/>
      <c r="HL506" s="9"/>
      <c r="HX506" s="58"/>
      <c r="HY506" t="s">
        <v>1781</v>
      </c>
      <c r="HZ506" t="s">
        <v>1814</v>
      </c>
      <c r="IU506" t="s">
        <v>1781</v>
      </c>
      <c r="IV506" s="84" t="s">
        <v>1811</v>
      </c>
      <c r="IW506" s="12" t="s">
        <v>1786</v>
      </c>
      <c r="IX506" s="54" t="s">
        <v>1797</v>
      </c>
      <c r="IY506">
        <v>7.5</v>
      </c>
      <c r="IZ506">
        <v>56</v>
      </c>
      <c r="MS506" t="s">
        <v>1824</v>
      </c>
      <c r="MT506">
        <v>1963</v>
      </c>
      <c r="MU506" t="s">
        <v>1802</v>
      </c>
      <c r="MW506" t="s">
        <v>1764</v>
      </c>
      <c r="NB506" t="s">
        <v>1805</v>
      </c>
      <c r="NC506" t="s">
        <v>711</v>
      </c>
      <c r="NE506" t="s">
        <v>1770</v>
      </c>
      <c r="NG506" t="s">
        <v>1770</v>
      </c>
      <c r="NQ506" t="s">
        <v>6</v>
      </c>
      <c r="NR506">
        <v>3.9</v>
      </c>
      <c r="NS506" t="s">
        <v>1456</v>
      </c>
      <c r="NT506">
        <v>1.2</v>
      </c>
      <c r="NW506">
        <v>7</v>
      </c>
      <c r="OH506" t="s">
        <v>1594</v>
      </c>
      <c r="OJ506">
        <v>2010</v>
      </c>
      <c r="OO506" t="s">
        <v>1178</v>
      </c>
      <c r="OP506" s="58">
        <v>46108</v>
      </c>
    </row>
    <row r="507" spans="1:406" ht="15.75" thickBot="1">
      <c r="A507" t="s">
        <v>36</v>
      </c>
      <c r="B507" t="s">
        <v>1758</v>
      </c>
      <c r="C507" t="s">
        <v>1759</v>
      </c>
      <c r="D507" s="4" t="s">
        <v>245</v>
      </c>
      <c r="E507" t="s">
        <v>1825</v>
      </c>
      <c r="F507" s="4" t="s">
        <v>1823</v>
      </c>
      <c r="G507" t="s">
        <v>254</v>
      </c>
      <c r="H507" t="s">
        <v>30</v>
      </c>
      <c r="I507">
        <v>-23.748532000000001</v>
      </c>
      <c r="J507">
        <v>-62.056702000000001</v>
      </c>
      <c r="K507" s="87" t="s">
        <v>29</v>
      </c>
      <c r="AV507" t="s">
        <v>1785</v>
      </c>
      <c r="AW507" t="s">
        <v>234</v>
      </c>
      <c r="AX507">
        <v>3600</v>
      </c>
      <c r="AY507" s="5">
        <v>5.5555555555555558E-3</v>
      </c>
      <c r="AZ507" t="s">
        <v>1822</v>
      </c>
      <c r="BA507">
        <v>2010</v>
      </c>
      <c r="BD507" t="s">
        <v>1778</v>
      </c>
      <c r="BE507" t="s">
        <v>1783</v>
      </c>
      <c r="BF507" t="s">
        <v>48</v>
      </c>
      <c r="BG507" t="s">
        <v>1798</v>
      </c>
      <c r="BH507" t="s">
        <v>1800</v>
      </c>
      <c r="BI507" t="s">
        <v>29</v>
      </c>
      <c r="BJ507" t="s">
        <v>29</v>
      </c>
      <c r="BK507" t="s">
        <v>29</v>
      </c>
      <c r="EE507" t="s">
        <v>1793</v>
      </c>
      <c r="EF507" t="s">
        <v>29</v>
      </c>
      <c r="EG507" t="s">
        <v>29</v>
      </c>
      <c r="EH507" t="s">
        <v>29</v>
      </c>
      <c r="EI507" t="s">
        <v>1792</v>
      </c>
      <c r="EJ507" t="s">
        <v>29</v>
      </c>
      <c r="EK507" t="s">
        <v>29</v>
      </c>
      <c r="EL507" t="s">
        <v>29</v>
      </c>
      <c r="EM507" t="s">
        <v>1787</v>
      </c>
      <c r="EN507" t="s">
        <v>29</v>
      </c>
      <c r="EO507" t="s">
        <v>29</v>
      </c>
      <c r="EP507" t="s">
        <v>29</v>
      </c>
      <c r="EQ507" t="s">
        <v>1788</v>
      </c>
      <c r="ER507" t="s">
        <v>29</v>
      </c>
      <c r="ES507" t="s">
        <v>29</v>
      </c>
      <c r="ET507" t="s">
        <v>29</v>
      </c>
      <c r="EU507" t="s">
        <v>1789</v>
      </c>
      <c r="EV507" t="s">
        <v>29</v>
      </c>
      <c r="EW507" t="s">
        <v>29</v>
      </c>
      <c r="EX507" t="s">
        <v>29</v>
      </c>
      <c r="EY507" t="s">
        <v>1790</v>
      </c>
      <c r="EZ507" t="s">
        <v>29</v>
      </c>
      <c r="FA507" t="s">
        <v>29</v>
      </c>
      <c r="FB507" t="s">
        <v>29</v>
      </c>
      <c r="FC507" t="s">
        <v>1791</v>
      </c>
      <c r="FD507" t="s">
        <v>29</v>
      </c>
      <c r="FE507" t="s">
        <v>29</v>
      </c>
      <c r="FF507" t="s">
        <v>29</v>
      </c>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c r="GM507" s="9" t="s">
        <v>1794</v>
      </c>
      <c r="GN507" s="9" t="s">
        <v>29</v>
      </c>
      <c r="GO507" s="9" t="s">
        <v>29</v>
      </c>
      <c r="GP507" s="9" t="s">
        <v>29</v>
      </c>
      <c r="GQ507" s="9"/>
      <c r="GR507" s="9"/>
      <c r="GS507" s="9"/>
      <c r="GT507" s="9"/>
      <c r="GU507" s="9"/>
      <c r="GV507" s="9"/>
      <c r="GW507" s="9"/>
      <c r="GX507" s="9"/>
      <c r="GY507" s="9"/>
      <c r="GZ507" s="9"/>
      <c r="HA507" s="9"/>
      <c r="HB507" s="9"/>
      <c r="HC507" s="9"/>
      <c r="HD507" s="9"/>
      <c r="HE507" s="9"/>
      <c r="HF507" s="9"/>
      <c r="HG507" s="9"/>
      <c r="HH507" s="9"/>
      <c r="HI507" s="9"/>
      <c r="HJ507" s="9"/>
      <c r="HK507" s="9"/>
      <c r="HL507" s="9"/>
      <c r="HX507" s="58"/>
      <c r="HY507" t="s">
        <v>1783</v>
      </c>
      <c r="HZ507" t="s">
        <v>1813</v>
      </c>
      <c r="IU507" t="s">
        <v>1783</v>
      </c>
      <c r="IV507" s="84" t="s">
        <v>1811</v>
      </c>
      <c r="IW507" s="12" t="s">
        <v>1786</v>
      </c>
      <c r="IX507" s="54" t="s">
        <v>1797</v>
      </c>
      <c r="IY507">
        <v>7.5</v>
      </c>
      <c r="IZ507">
        <v>37</v>
      </c>
      <c r="MS507" t="s">
        <v>1824</v>
      </c>
      <c r="MT507">
        <v>1963</v>
      </c>
      <c r="MU507" t="s">
        <v>1802</v>
      </c>
      <c r="MW507" t="s">
        <v>1764</v>
      </c>
      <c r="NB507" t="s">
        <v>1805</v>
      </c>
      <c r="NC507" t="s">
        <v>711</v>
      </c>
      <c r="NE507" t="s">
        <v>1770</v>
      </c>
      <c r="NG507" t="s">
        <v>1770</v>
      </c>
      <c r="NQ507" t="s">
        <v>6</v>
      </c>
      <c r="NR507">
        <v>2.2999999999999998</v>
      </c>
      <c r="NS507" t="s">
        <v>1456</v>
      </c>
      <c r="NT507">
        <v>1.4</v>
      </c>
      <c r="NW507">
        <v>5</v>
      </c>
      <c r="OH507" t="s">
        <v>1594</v>
      </c>
      <c r="OJ507">
        <v>2010</v>
      </c>
      <c r="OO507" t="s">
        <v>1178</v>
      </c>
      <c r="OP507" s="58">
        <v>46108</v>
      </c>
    </row>
    <row r="508" spans="1:406" ht="15.75" thickBot="1">
      <c r="A508" t="s">
        <v>36</v>
      </c>
      <c r="B508" t="s">
        <v>1758</v>
      </c>
      <c r="C508" t="s">
        <v>1759</v>
      </c>
      <c r="D508" s="4" t="s">
        <v>245</v>
      </c>
      <c r="E508" t="s">
        <v>1825</v>
      </c>
      <c r="F508" s="4" t="s">
        <v>1823</v>
      </c>
      <c r="G508" t="s">
        <v>254</v>
      </c>
      <c r="H508" t="s">
        <v>30</v>
      </c>
      <c r="I508">
        <v>-23.748532000000001</v>
      </c>
      <c r="J508">
        <v>-62.056702000000001</v>
      </c>
      <c r="K508" s="87" t="s">
        <v>29</v>
      </c>
      <c r="AV508" t="s">
        <v>1785</v>
      </c>
      <c r="AW508" t="s">
        <v>234</v>
      </c>
      <c r="AX508" t="s">
        <v>234</v>
      </c>
      <c r="AY508" s="5">
        <v>5.5555555555555558E-3</v>
      </c>
      <c r="AZ508" t="s">
        <v>1822</v>
      </c>
      <c r="BA508">
        <v>2010</v>
      </c>
      <c r="BD508" t="s">
        <v>1766</v>
      </c>
      <c r="BE508" t="s">
        <v>1767</v>
      </c>
      <c r="BF508" t="s">
        <v>24</v>
      </c>
      <c r="BG508" t="s">
        <v>1798</v>
      </c>
      <c r="BH508" t="s">
        <v>1800</v>
      </c>
      <c r="BI508" t="s">
        <v>29</v>
      </c>
      <c r="BJ508" t="s">
        <v>29</v>
      </c>
      <c r="BK508" t="s">
        <v>29</v>
      </c>
      <c r="GM508" t="s">
        <v>1794</v>
      </c>
      <c r="GN508" s="9" t="s">
        <v>29</v>
      </c>
      <c r="GO508" s="9" t="s">
        <v>29</v>
      </c>
      <c r="GP508" s="9" t="s">
        <v>29</v>
      </c>
      <c r="HY508" t="s">
        <v>1767</v>
      </c>
      <c r="HZ508" t="s">
        <v>1813</v>
      </c>
      <c r="IU508" t="s">
        <v>1767</v>
      </c>
      <c r="IV508" s="54" t="s">
        <v>1812</v>
      </c>
      <c r="IW508" s="54" t="s">
        <v>1812</v>
      </c>
      <c r="IX508" s="54" t="s">
        <v>1799</v>
      </c>
      <c r="IY508">
        <v>1</v>
      </c>
      <c r="IZ508">
        <v>6</v>
      </c>
      <c r="MS508" t="s">
        <v>1824</v>
      </c>
      <c r="MT508">
        <v>1963</v>
      </c>
      <c r="MU508" t="s">
        <v>1802</v>
      </c>
      <c r="MW508" t="s">
        <v>1764</v>
      </c>
      <c r="NB508" t="s">
        <v>1805</v>
      </c>
      <c r="NC508" t="s">
        <v>711</v>
      </c>
      <c r="NE508" t="s">
        <v>1770</v>
      </c>
      <c r="NG508" t="s">
        <v>1770</v>
      </c>
      <c r="NP508" t="s">
        <v>1847</v>
      </c>
      <c r="NQ508" t="s">
        <v>6</v>
      </c>
      <c r="NR508">
        <v>0</v>
      </c>
      <c r="NS508" t="s">
        <v>1456</v>
      </c>
      <c r="NT508">
        <v>0</v>
      </c>
      <c r="NW508">
        <v>7</v>
      </c>
      <c r="OH508" t="s">
        <v>1594</v>
      </c>
      <c r="OJ508">
        <v>2010</v>
      </c>
      <c r="OO508" t="s">
        <v>1178</v>
      </c>
      <c r="OP508" s="58">
        <v>46108</v>
      </c>
    </row>
    <row r="509" spans="1:406" ht="15.75" thickBot="1">
      <c r="A509" t="s">
        <v>36</v>
      </c>
      <c r="B509" t="s">
        <v>1758</v>
      </c>
      <c r="C509" t="s">
        <v>1759</v>
      </c>
      <c r="D509" s="4" t="s">
        <v>245</v>
      </c>
      <c r="E509" t="s">
        <v>1825</v>
      </c>
      <c r="F509" s="4" t="s">
        <v>1823</v>
      </c>
      <c r="G509" t="s">
        <v>254</v>
      </c>
      <c r="H509" t="s">
        <v>30</v>
      </c>
      <c r="I509">
        <v>-23.748532000000001</v>
      </c>
      <c r="J509">
        <v>-62.056702000000001</v>
      </c>
      <c r="K509" s="87" t="s">
        <v>29</v>
      </c>
      <c r="AV509" t="s">
        <v>1785</v>
      </c>
      <c r="AW509" t="s">
        <v>234</v>
      </c>
      <c r="AX509">
        <v>1000</v>
      </c>
      <c r="AY509" s="5">
        <v>5.5555555555555558E-3</v>
      </c>
      <c r="AZ509" t="s">
        <v>1822</v>
      </c>
      <c r="BA509">
        <v>2010</v>
      </c>
      <c r="BD509" t="s">
        <v>1844</v>
      </c>
      <c r="BE509" t="s">
        <v>1761</v>
      </c>
      <c r="BF509" t="s">
        <v>39</v>
      </c>
      <c r="BG509" t="s">
        <v>1762</v>
      </c>
      <c r="EE509" t="s">
        <v>1793</v>
      </c>
      <c r="EF509" t="s">
        <v>29</v>
      </c>
      <c r="EG509" t="s">
        <v>29</v>
      </c>
      <c r="EH509" t="s">
        <v>29</v>
      </c>
      <c r="EI509" t="s">
        <v>1792</v>
      </c>
      <c r="EJ509" t="s">
        <v>29</v>
      </c>
      <c r="EK509" t="s">
        <v>29</v>
      </c>
      <c r="EL509" t="s">
        <v>29</v>
      </c>
      <c r="EM509" t="s">
        <v>1787</v>
      </c>
      <c r="EN509" t="s">
        <v>29</v>
      </c>
      <c r="EO509" t="s">
        <v>29</v>
      </c>
      <c r="EP509" t="s">
        <v>29</v>
      </c>
      <c r="EQ509" t="s">
        <v>1788</v>
      </c>
      <c r="ER509" t="s">
        <v>29</v>
      </c>
      <c r="ES509" t="s">
        <v>29</v>
      </c>
      <c r="ET509" t="s">
        <v>29</v>
      </c>
      <c r="EU509" t="s">
        <v>1789</v>
      </c>
      <c r="EV509" t="s">
        <v>29</v>
      </c>
      <c r="EW509" t="s">
        <v>29</v>
      </c>
      <c r="EX509" t="s">
        <v>29</v>
      </c>
      <c r="EY509" t="s">
        <v>1790</v>
      </c>
      <c r="EZ509" t="s">
        <v>29</v>
      </c>
      <c r="FA509" t="s">
        <v>29</v>
      </c>
      <c r="FB509" t="s">
        <v>29</v>
      </c>
      <c r="FC509" t="s">
        <v>1791</v>
      </c>
      <c r="FD509" t="s">
        <v>29</v>
      </c>
      <c r="FE509" t="s">
        <v>29</v>
      </c>
      <c r="FF509" t="s">
        <v>29</v>
      </c>
      <c r="HY509" t="s">
        <v>1761</v>
      </c>
      <c r="IU509" t="s">
        <v>1761</v>
      </c>
      <c r="IV509" t="s">
        <v>1810</v>
      </c>
      <c r="IW509" t="s">
        <v>1810</v>
      </c>
      <c r="IX509" t="s">
        <v>1810</v>
      </c>
      <c r="IY509">
        <v>5</v>
      </c>
      <c r="IZ509">
        <v>70</v>
      </c>
      <c r="MS509" t="s">
        <v>1824</v>
      </c>
      <c r="MT509">
        <v>1963</v>
      </c>
      <c r="MU509" t="s">
        <v>1803</v>
      </c>
      <c r="MW509" t="s">
        <v>1764</v>
      </c>
      <c r="NB509" t="s">
        <v>1806</v>
      </c>
      <c r="NC509" t="s">
        <v>711</v>
      </c>
      <c r="NE509" t="s">
        <v>1770</v>
      </c>
      <c r="NG509" t="s">
        <v>1770</v>
      </c>
      <c r="NP509" t="s">
        <v>1846</v>
      </c>
      <c r="NQ509" t="s">
        <v>6</v>
      </c>
      <c r="NR509">
        <v>3.4</v>
      </c>
      <c r="NS509" t="s">
        <v>1456</v>
      </c>
      <c r="NT509">
        <v>1.6</v>
      </c>
      <c r="NW509">
        <v>6</v>
      </c>
      <c r="OH509" t="s">
        <v>1594</v>
      </c>
      <c r="OJ509">
        <v>2010</v>
      </c>
      <c r="OO509" t="s">
        <v>1178</v>
      </c>
      <c r="OP509" s="58">
        <v>46108</v>
      </c>
    </row>
    <row r="510" spans="1:406" ht="15.75" thickBot="1">
      <c r="A510" t="s">
        <v>36</v>
      </c>
      <c r="B510" t="s">
        <v>1758</v>
      </c>
      <c r="C510" t="s">
        <v>1759</v>
      </c>
      <c r="D510" s="4" t="s">
        <v>245</v>
      </c>
      <c r="E510" t="s">
        <v>1825</v>
      </c>
      <c r="F510" s="4" t="s">
        <v>1823</v>
      </c>
      <c r="G510" t="s">
        <v>254</v>
      </c>
      <c r="H510" t="s">
        <v>30</v>
      </c>
      <c r="I510">
        <v>-23.748532000000001</v>
      </c>
      <c r="J510">
        <v>-62.056702000000001</v>
      </c>
      <c r="K510" s="87" t="s">
        <v>29</v>
      </c>
      <c r="AV510" t="s">
        <v>1785</v>
      </c>
      <c r="AW510" t="s">
        <v>234</v>
      </c>
      <c r="AX510" t="s">
        <v>234</v>
      </c>
      <c r="AY510" s="5">
        <v>5.5555555555555558E-3</v>
      </c>
      <c r="AZ510" t="s">
        <v>1822</v>
      </c>
      <c r="BA510">
        <v>2010</v>
      </c>
      <c r="BD510" t="s">
        <v>1778</v>
      </c>
      <c r="BE510" t="s">
        <v>1779</v>
      </c>
      <c r="BF510" t="s">
        <v>64</v>
      </c>
      <c r="BG510" t="s">
        <v>1798</v>
      </c>
      <c r="BH510" t="s">
        <v>1796</v>
      </c>
      <c r="BI510" t="s">
        <v>1801</v>
      </c>
      <c r="BJ510" t="s">
        <v>29</v>
      </c>
      <c r="BK510" t="s">
        <v>29</v>
      </c>
      <c r="EE510" t="s">
        <v>1793</v>
      </c>
      <c r="EF510" t="s">
        <v>29</v>
      </c>
      <c r="EG510" t="s">
        <v>29</v>
      </c>
      <c r="EH510" t="s">
        <v>29</v>
      </c>
      <c r="EI510" t="s">
        <v>1792</v>
      </c>
      <c r="EJ510" t="s">
        <v>29</v>
      </c>
      <c r="EK510" t="s">
        <v>29</v>
      </c>
      <c r="EL510" t="s">
        <v>29</v>
      </c>
      <c r="EM510" t="s">
        <v>1787</v>
      </c>
      <c r="EN510" t="s">
        <v>29</v>
      </c>
      <c r="EO510" t="s">
        <v>29</v>
      </c>
      <c r="EP510" t="s">
        <v>29</v>
      </c>
      <c r="EQ510" t="s">
        <v>1788</v>
      </c>
      <c r="ER510" t="s">
        <v>29</v>
      </c>
      <c r="ES510" t="s">
        <v>29</v>
      </c>
      <c r="ET510" t="s">
        <v>29</v>
      </c>
      <c r="EU510" t="s">
        <v>1789</v>
      </c>
      <c r="EV510" t="s">
        <v>29</v>
      </c>
      <c r="EW510" t="s">
        <v>29</v>
      </c>
      <c r="EX510" t="s">
        <v>29</v>
      </c>
      <c r="EY510" t="s">
        <v>1790</v>
      </c>
      <c r="EZ510" t="s">
        <v>29</v>
      </c>
      <c r="FA510" t="s">
        <v>29</v>
      </c>
      <c r="FB510" t="s">
        <v>29</v>
      </c>
      <c r="FC510" t="s">
        <v>1791</v>
      </c>
      <c r="FD510" t="s">
        <v>29</v>
      </c>
      <c r="FE510" t="s">
        <v>29</v>
      </c>
      <c r="FF510" t="s">
        <v>29</v>
      </c>
      <c r="GM510" t="s">
        <v>1794</v>
      </c>
      <c r="GN510" s="9" t="s">
        <v>29</v>
      </c>
      <c r="GO510" s="9" t="s">
        <v>29</v>
      </c>
      <c r="GP510" s="9" t="s">
        <v>29</v>
      </c>
      <c r="GQ510" s="9"/>
      <c r="GR510" s="9"/>
      <c r="GS510" s="9"/>
      <c r="GT510" s="9"/>
      <c r="GU510" s="9"/>
      <c r="GV510" s="9"/>
      <c r="GW510" s="9"/>
      <c r="GX510" s="9"/>
      <c r="GY510" s="9"/>
      <c r="GZ510" s="9"/>
      <c r="HA510" s="9"/>
      <c r="HB510" s="9"/>
      <c r="HC510" s="9"/>
      <c r="HD510" s="9"/>
      <c r="HE510" s="9"/>
      <c r="HF510" s="9"/>
      <c r="HG510" s="9"/>
      <c r="HH510" s="9"/>
      <c r="HI510" s="9"/>
      <c r="HJ510" s="9"/>
      <c r="HK510" s="9"/>
      <c r="HL510" s="9"/>
      <c r="HX510" s="58"/>
      <c r="HY510" t="s">
        <v>1779</v>
      </c>
      <c r="HZ510" t="s">
        <v>1814</v>
      </c>
      <c r="IU510" t="s">
        <v>1779</v>
      </c>
      <c r="IV510" s="84" t="s">
        <v>1811</v>
      </c>
      <c r="IW510" t="s">
        <v>1786</v>
      </c>
      <c r="IX510" s="54" t="s">
        <v>1795</v>
      </c>
      <c r="IY510">
        <v>1</v>
      </c>
      <c r="IZ510">
        <v>81</v>
      </c>
      <c r="MS510" t="s">
        <v>1824</v>
      </c>
      <c r="MT510">
        <v>1963</v>
      </c>
      <c r="MU510" t="s">
        <v>1803</v>
      </c>
      <c r="MW510" t="s">
        <v>1764</v>
      </c>
      <c r="NB510" t="s">
        <v>1806</v>
      </c>
      <c r="NC510" t="s">
        <v>711</v>
      </c>
      <c r="NE510" t="s">
        <v>1770</v>
      </c>
      <c r="NG510" t="s">
        <v>1770</v>
      </c>
      <c r="NQ510" t="s">
        <v>6</v>
      </c>
      <c r="NR510">
        <v>3.6</v>
      </c>
      <c r="NS510" t="s">
        <v>1456</v>
      </c>
      <c r="NT510">
        <v>1.9</v>
      </c>
      <c r="NW510">
        <v>8</v>
      </c>
      <c r="OH510" t="s">
        <v>1594</v>
      </c>
      <c r="OJ510">
        <v>2010</v>
      </c>
      <c r="OO510" t="s">
        <v>1178</v>
      </c>
      <c r="OP510" s="58">
        <v>46108</v>
      </c>
    </row>
    <row r="511" spans="1:406" ht="15.75" thickBot="1">
      <c r="A511" t="s">
        <v>36</v>
      </c>
      <c r="B511" t="s">
        <v>1758</v>
      </c>
      <c r="C511" t="s">
        <v>1759</v>
      </c>
      <c r="D511" s="4" t="s">
        <v>245</v>
      </c>
      <c r="E511" t="s">
        <v>1825</v>
      </c>
      <c r="F511" s="4" t="s">
        <v>1823</v>
      </c>
      <c r="G511" t="s">
        <v>254</v>
      </c>
      <c r="H511" t="s">
        <v>30</v>
      </c>
      <c r="I511">
        <v>-23.748532000000001</v>
      </c>
      <c r="J511">
        <v>-62.056702000000001</v>
      </c>
      <c r="K511" s="87" t="s">
        <v>29</v>
      </c>
      <c r="AV511" t="s">
        <v>1785</v>
      </c>
      <c r="AW511" t="s">
        <v>234</v>
      </c>
      <c r="AX511">
        <v>3600</v>
      </c>
      <c r="AY511" s="5">
        <v>5.5555555555555558E-3</v>
      </c>
      <c r="AZ511" t="s">
        <v>1822</v>
      </c>
      <c r="BA511">
        <v>2010</v>
      </c>
      <c r="BD511" t="s">
        <v>1778</v>
      </c>
      <c r="BE511" t="s">
        <v>1781</v>
      </c>
      <c r="BF511" t="s">
        <v>57</v>
      </c>
      <c r="BG511" t="s">
        <v>1798</v>
      </c>
      <c r="BH511" t="s">
        <v>1796</v>
      </c>
      <c r="BI511" t="s">
        <v>29</v>
      </c>
      <c r="BJ511" t="s">
        <v>29</v>
      </c>
      <c r="BK511" t="s">
        <v>29</v>
      </c>
      <c r="EE511" t="s">
        <v>1793</v>
      </c>
      <c r="EF511" t="s">
        <v>29</v>
      </c>
      <c r="EG511" t="s">
        <v>29</v>
      </c>
      <c r="EH511" t="s">
        <v>29</v>
      </c>
      <c r="EI511" t="s">
        <v>1792</v>
      </c>
      <c r="EJ511" t="s">
        <v>29</v>
      </c>
      <c r="EK511" t="s">
        <v>29</v>
      </c>
      <c r="EL511" t="s">
        <v>29</v>
      </c>
      <c r="EM511" t="s">
        <v>1787</v>
      </c>
      <c r="EN511" t="s">
        <v>29</v>
      </c>
      <c r="EO511" t="s">
        <v>29</v>
      </c>
      <c r="EP511" t="s">
        <v>29</v>
      </c>
      <c r="EQ511" t="s">
        <v>1788</v>
      </c>
      <c r="ER511" t="s">
        <v>29</v>
      </c>
      <c r="ES511" t="s">
        <v>29</v>
      </c>
      <c r="ET511" t="s">
        <v>29</v>
      </c>
      <c r="EU511" t="s">
        <v>1789</v>
      </c>
      <c r="EV511" t="s">
        <v>29</v>
      </c>
      <c r="EW511" t="s">
        <v>29</v>
      </c>
      <c r="EX511" t="s">
        <v>29</v>
      </c>
      <c r="EY511" t="s">
        <v>1790</v>
      </c>
      <c r="EZ511" t="s">
        <v>29</v>
      </c>
      <c r="FA511" t="s">
        <v>29</v>
      </c>
      <c r="FB511" t="s">
        <v>29</v>
      </c>
      <c r="FC511" t="s">
        <v>1791</v>
      </c>
      <c r="FD511" t="s">
        <v>29</v>
      </c>
      <c r="FE511" t="s">
        <v>29</v>
      </c>
      <c r="FF511" t="s">
        <v>29</v>
      </c>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c r="GM511" s="9" t="s">
        <v>1794</v>
      </c>
      <c r="GN511" s="9" t="s">
        <v>29</v>
      </c>
      <c r="GO511" s="9" t="s">
        <v>29</v>
      </c>
      <c r="GP511" s="9" t="s">
        <v>29</v>
      </c>
      <c r="GQ511" s="9"/>
      <c r="GR511" s="9"/>
      <c r="GS511" s="9"/>
      <c r="GT511" s="9"/>
      <c r="GU511" s="9"/>
      <c r="GV511" s="9"/>
      <c r="GW511" s="9"/>
      <c r="GX511" s="9"/>
      <c r="GY511" s="9"/>
      <c r="GZ511" s="9"/>
      <c r="HA511" s="9"/>
      <c r="HB511" s="9"/>
      <c r="HC511" s="9"/>
      <c r="HD511" s="9"/>
      <c r="HE511" s="9"/>
      <c r="HF511" s="9"/>
      <c r="HG511" s="9"/>
      <c r="HH511" s="9"/>
      <c r="HI511" s="9"/>
      <c r="HJ511" s="9"/>
      <c r="HK511" s="9"/>
      <c r="HL511" s="9"/>
      <c r="HX511" s="58"/>
      <c r="HY511" t="s">
        <v>1781</v>
      </c>
      <c r="HZ511" t="s">
        <v>1814</v>
      </c>
      <c r="IU511" t="s">
        <v>1781</v>
      </c>
      <c r="IV511" s="84" t="s">
        <v>1811</v>
      </c>
      <c r="IW511" s="12" t="s">
        <v>1786</v>
      </c>
      <c r="IX511" s="54" t="s">
        <v>1797</v>
      </c>
      <c r="IY511">
        <v>7.5</v>
      </c>
      <c r="IZ511">
        <v>56</v>
      </c>
      <c r="MS511" t="s">
        <v>1824</v>
      </c>
      <c r="MT511">
        <v>1963</v>
      </c>
      <c r="MU511" t="s">
        <v>1803</v>
      </c>
      <c r="MW511" t="s">
        <v>1764</v>
      </c>
      <c r="NB511" t="s">
        <v>1806</v>
      </c>
      <c r="NC511" t="s">
        <v>711</v>
      </c>
      <c r="NE511" t="s">
        <v>1770</v>
      </c>
      <c r="NG511" t="s">
        <v>1770</v>
      </c>
      <c r="NQ511" t="s">
        <v>6</v>
      </c>
      <c r="NR511">
        <v>4.2</v>
      </c>
      <c r="NS511" t="s">
        <v>1456</v>
      </c>
      <c r="NT511">
        <v>2.1</v>
      </c>
      <c r="NW511">
        <v>7</v>
      </c>
      <c r="OH511" t="s">
        <v>1594</v>
      </c>
      <c r="OJ511">
        <v>2010</v>
      </c>
      <c r="OO511" t="s">
        <v>1178</v>
      </c>
      <c r="OP511" s="58">
        <v>46108</v>
      </c>
    </row>
    <row r="512" spans="1:406" ht="15.75" thickBot="1">
      <c r="A512" t="s">
        <v>36</v>
      </c>
      <c r="B512" t="s">
        <v>1758</v>
      </c>
      <c r="C512" t="s">
        <v>1759</v>
      </c>
      <c r="D512" s="4" t="s">
        <v>245</v>
      </c>
      <c r="E512" t="s">
        <v>1825</v>
      </c>
      <c r="F512" s="4" t="s">
        <v>1823</v>
      </c>
      <c r="G512" t="s">
        <v>254</v>
      </c>
      <c r="H512" t="s">
        <v>30</v>
      </c>
      <c r="I512">
        <v>-23.748532000000001</v>
      </c>
      <c r="J512">
        <v>-62.056702000000001</v>
      </c>
      <c r="K512" s="87" t="s">
        <v>29</v>
      </c>
      <c r="AV512" t="s">
        <v>1785</v>
      </c>
      <c r="AW512" t="s">
        <v>234</v>
      </c>
      <c r="AX512">
        <v>3600</v>
      </c>
      <c r="AY512" s="5">
        <v>5.5555555555555558E-3</v>
      </c>
      <c r="AZ512" t="s">
        <v>1822</v>
      </c>
      <c r="BA512">
        <v>2010</v>
      </c>
      <c r="BD512" t="s">
        <v>1778</v>
      </c>
      <c r="BE512" t="s">
        <v>1783</v>
      </c>
      <c r="BF512" t="s">
        <v>48</v>
      </c>
      <c r="BG512" t="s">
        <v>1798</v>
      </c>
      <c r="BH512" t="s">
        <v>1800</v>
      </c>
      <c r="BI512" t="s">
        <v>29</v>
      </c>
      <c r="BJ512" t="s">
        <v>29</v>
      </c>
      <c r="BK512" t="s">
        <v>29</v>
      </c>
      <c r="EE512" t="s">
        <v>1793</v>
      </c>
      <c r="EF512" t="s">
        <v>29</v>
      </c>
      <c r="EG512" t="s">
        <v>29</v>
      </c>
      <c r="EH512" t="s">
        <v>29</v>
      </c>
      <c r="EI512" t="s">
        <v>1792</v>
      </c>
      <c r="EJ512" t="s">
        <v>29</v>
      </c>
      <c r="EK512" t="s">
        <v>29</v>
      </c>
      <c r="EL512" t="s">
        <v>29</v>
      </c>
      <c r="EM512" t="s">
        <v>1787</v>
      </c>
      <c r="EN512" t="s">
        <v>29</v>
      </c>
      <c r="EO512" t="s">
        <v>29</v>
      </c>
      <c r="EP512" t="s">
        <v>29</v>
      </c>
      <c r="EQ512" t="s">
        <v>1788</v>
      </c>
      <c r="ER512" t="s">
        <v>29</v>
      </c>
      <c r="ES512" t="s">
        <v>29</v>
      </c>
      <c r="ET512" t="s">
        <v>29</v>
      </c>
      <c r="EU512" t="s">
        <v>1789</v>
      </c>
      <c r="EV512" t="s">
        <v>29</v>
      </c>
      <c r="EW512" t="s">
        <v>29</v>
      </c>
      <c r="EX512" t="s">
        <v>29</v>
      </c>
      <c r="EY512" t="s">
        <v>1790</v>
      </c>
      <c r="EZ512" t="s">
        <v>29</v>
      </c>
      <c r="FA512" t="s">
        <v>29</v>
      </c>
      <c r="FB512" t="s">
        <v>29</v>
      </c>
      <c r="FC512" t="s">
        <v>1791</v>
      </c>
      <c r="FD512" t="s">
        <v>29</v>
      </c>
      <c r="FE512" t="s">
        <v>29</v>
      </c>
      <c r="FF512" t="s">
        <v>29</v>
      </c>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c r="GM512" s="9" t="s">
        <v>1794</v>
      </c>
      <c r="GN512" s="9" t="s">
        <v>29</v>
      </c>
      <c r="GO512" s="9" t="s">
        <v>29</v>
      </c>
      <c r="GP512" s="9" t="s">
        <v>29</v>
      </c>
      <c r="GQ512" s="9"/>
      <c r="GR512" s="9"/>
      <c r="GS512" s="9"/>
      <c r="GT512" s="9"/>
      <c r="GU512" s="9"/>
      <c r="GV512" s="9"/>
      <c r="GW512" s="9"/>
      <c r="GX512" s="9"/>
      <c r="GY512" s="9"/>
      <c r="GZ512" s="9"/>
      <c r="HA512" s="9"/>
      <c r="HB512" s="9"/>
      <c r="HC512" s="9"/>
      <c r="HD512" s="9"/>
      <c r="HE512" s="9"/>
      <c r="HF512" s="9"/>
      <c r="HG512" s="9"/>
      <c r="HH512" s="9"/>
      <c r="HI512" s="9"/>
      <c r="HJ512" s="9"/>
      <c r="HK512" s="9"/>
      <c r="HL512" s="9"/>
      <c r="HX512" s="58"/>
      <c r="HY512" t="s">
        <v>1783</v>
      </c>
      <c r="HZ512" t="s">
        <v>1813</v>
      </c>
      <c r="IU512" t="s">
        <v>1783</v>
      </c>
      <c r="IV512" s="84" t="s">
        <v>1811</v>
      </c>
      <c r="IW512" s="12" t="s">
        <v>1786</v>
      </c>
      <c r="IX512" s="54" t="s">
        <v>1797</v>
      </c>
      <c r="IY512">
        <v>7.5</v>
      </c>
      <c r="IZ512">
        <v>37</v>
      </c>
      <c r="MS512" t="s">
        <v>1824</v>
      </c>
      <c r="MT512">
        <v>1963</v>
      </c>
      <c r="MU512" t="s">
        <v>1803</v>
      </c>
      <c r="MW512" t="s">
        <v>1764</v>
      </c>
      <c r="NB512" t="s">
        <v>1806</v>
      </c>
      <c r="NC512" t="s">
        <v>711</v>
      </c>
      <c r="NE512" t="s">
        <v>1770</v>
      </c>
      <c r="NG512" t="s">
        <v>1770</v>
      </c>
      <c r="NQ512" t="s">
        <v>6</v>
      </c>
      <c r="NR512">
        <v>5.2</v>
      </c>
      <c r="NS512" t="s">
        <v>1456</v>
      </c>
      <c r="NT512">
        <v>2.1</v>
      </c>
      <c r="NW512">
        <v>5</v>
      </c>
      <c r="OH512" t="s">
        <v>1594</v>
      </c>
      <c r="OJ512">
        <v>2010</v>
      </c>
      <c r="OO512" t="s">
        <v>1178</v>
      </c>
      <c r="OP512" s="58">
        <v>46108</v>
      </c>
    </row>
    <row r="513" spans="1:406" ht="15.75" thickBot="1">
      <c r="A513" t="s">
        <v>36</v>
      </c>
      <c r="B513" t="s">
        <v>1758</v>
      </c>
      <c r="C513" t="s">
        <v>1759</v>
      </c>
      <c r="D513" s="4" t="s">
        <v>245</v>
      </c>
      <c r="E513" t="s">
        <v>1825</v>
      </c>
      <c r="F513" s="4" t="s">
        <v>1823</v>
      </c>
      <c r="G513" t="s">
        <v>254</v>
      </c>
      <c r="H513" t="s">
        <v>30</v>
      </c>
      <c r="I513">
        <v>-23.748532000000001</v>
      </c>
      <c r="J513">
        <v>-62.056702000000001</v>
      </c>
      <c r="K513" s="87" t="s">
        <v>29</v>
      </c>
      <c r="AV513" t="s">
        <v>1785</v>
      </c>
      <c r="AW513" t="s">
        <v>234</v>
      </c>
      <c r="AX513" t="s">
        <v>234</v>
      </c>
      <c r="AY513" s="5">
        <v>5.5555555555555558E-3</v>
      </c>
      <c r="AZ513" t="s">
        <v>1822</v>
      </c>
      <c r="BA513">
        <v>2010</v>
      </c>
      <c r="BD513" t="s">
        <v>1766</v>
      </c>
      <c r="BE513" t="s">
        <v>1767</v>
      </c>
      <c r="BF513" t="s">
        <v>24</v>
      </c>
      <c r="BG513" t="s">
        <v>1798</v>
      </c>
      <c r="BH513" t="s">
        <v>1800</v>
      </c>
      <c r="BI513" t="s">
        <v>29</v>
      </c>
      <c r="BJ513" t="s">
        <v>29</v>
      </c>
      <c r="BK513" t="s">
        <v>29</v>
      </c>
      <c r="GM513" t="s">
        <v>1794</v>
      </c>
      <c r="GN513" s="9" t="s">
        <v>29</v>
      </c>
      <c r="GO513" s="9" t="s">
        <v>29</v>
      </c>
      <c r="GP513" s="9" t="s">
        <v>29</v>
      </c>
      <c r="HY513" t="s">
        <v>1767</v>
      </c>
      <c r="HZ513" t="s">
        <v>1813</v>
      </c>
      <c r="IU513" t="s">
        <v>1767</v>
      </c>
      <c r="IV513" s="54" t="s">
        <v>1812</v>
      </c>
      <c r="IW513" s="54" t="s">
        <v>1812</v>
      </c>
      <c r="IX513" s="54" t="s">
        <v>1799</v>
      </c>
      <c r="IY513">
        <v>1</v>
      </c>
      <c r="IZ513">
        <v>6</v>
      </c>
      <c r="MS513" t="s">
        <v>1824</v>
      </c>
      <c r="MT513">
        <v>1963</v>
      </c>
      <c r="MU513" t="s">
        <v>1803</v>
      </c>
      <c r="MW513" t="s">
        <v>1764</v>
      </c>
      <c r="NB513" t="s">
        <v>1806</v>
      </c>
      <c r="NC513" t="s">
        <v>711</v>
      </c>
      <c r="NE513" t="s">
        <v>1770</v>
      </c>
      <c r="NG513" t="s">
        <v>1770</v>
      </c>
      <c r="NP513" t="s">
        <v>1847</v>
      </c>
      <c r="NQ513" t="s">
        <v>6</v>
      </c>
      <c r="NR513">
        <v>2.7</v>
      </c>
      <c r="NS513" t="s">
        <v>1456</v>
      </c>
      <c r="NT513">
        <v>1.8</v>
      </c>
      <c r="NW513">
        <v>7</v>
      </c>
      <c r="OH513" t="s">
        <v>1594</v>
      </c>
      <c r="OJ513">
        <v>2010</v>
      </c>
      <c r="OO513" t="s">
        <v>1178</v>
      </c>
      <c r="OP513" s="58">
        <v>46108</v>
      </c>
    </row>
    <row r="514" spans="1:406" ht="15.75" thickBot="1">
      <c r="A514" t="s">
        <v>36</v>
      </c>
      <c r="B514" t="s">
        <v>1758</v>
      </c>
      <c r="C514" t="s">
        <v>1759</v>
      </c>
      <c r="D514" s="4" t="s">
        <v>245</v>
      </c>
      <c r="E514" t="s">
        <v>1825</v>
      </c>
      <c r="F514" s="4" t="s">
        <v>1823</v>
      </c>
      <c r="G514" t="s">
        <v>254</v>
      </c>
      <c r="H514" t="s">
        <v>30</v>
      </c>
      <c r="I514">
        <v>-23.748532000000001</v>
      </c>
      <c r="J514">
        <v>-62.056702000000001</v>
      </c>
      <c r="K514" s="87" t="s">
        <v>29</v>
      </c>
      <c r="AV514" t="s">
        <v>1785</v>
      </c>
      <c r="AW514" t="s">
        <v>234</v>
      </c>
      <c r="AX514">
        <v>1000</v>
      </c>
      <c r="AY514" s="5">
        <v>5.5555555555555558E-3</v>
      </c>
      <c r="AZ514" t="s">
        <v>1822</v>
      </c>
      <c r="BA514">
        <v>2010</v>
      </c>
      <c r="BD514" t="s">
        <v>1844</v>
      </c>
      <c r="BE514" t="s">
        <v>1761</v>
      </c>
      <c r="BF514" t="s">
        <v>39</v>
      </c>
      <c r="BG514" t="s">
        <v>1762</v>
      </c>
      <c r="EE514" t="s">
        <v>1793</v>
      </c>
      <c r="EF514" t="s">
        <v>29</v>
      </c>
      <c r="EG514" t="s">
        <v>29</v>
      </c>
      <c r="EH514" t="s">
        <v>29</v>
      </c>
      <c r="EI514" t="s">
        <v>1792</v>
      </c>
      <c r="EJ514" t="s">
        <v>29</v>
      </c>
      <c r="EK514" t="s">
        <v>29</v>
      </c>
      <c r="EL514" t="s">
        <v>29</v>
      </c>
      <c r="EM514" t="s">
        <v>1787</v>
      </c>
      <c r="EN514" t="s">
        <v>29</v>
      </c>
      <c r="EO514" t="s">
        <v>29</v>
      </c>
      <c r="EP514" t="s">
        <v>29</v>
      </c>
      <c r="EQ514" t="s">
        <v>1788</v>
      </c>
      <c r="ER514" t="s">
        <v>29</v>
      </c>
      <c r="ES514" t="s">
        <v>29</v>
      </c>
      <c r="ET514" t="s">
        <v>29</v>
      </c>
      <c r="EU514" t="s">
        <v>1789</v>
      </c>
      <c r="EV514" t="s">
        <v>29</v>
      </c>
      <c r="EW514" t="s">
        <v>29</v>
      </c>
      <c r="EX514" t="s">
        <v>29</v>
      </c>
      <c r="EY514" t="s">
        <v>1790</v>
      </c>
      <c r="EZ514" t="s">
        <v>29</v>
      </c>
      <c r="FA514" t="s">
        <v>29</v>
      </c>
      <c r="FB514" t="s">
        <v>29</v>
      </c>
      <c r="FC514" t="s">
        <v>1791</v>
      </c>
      <c r="FD514" t="s">
        <v>29</v>
      </c>
      <c r="FE514" t="s">
        <v>29</v>
      </c>
      <c r="FF514" t="s">
        <v>29</v>
      </c>
      <c r="HY514" t="s">
        <v>1761</v>
      </c>
      <c r="IU514" t="s">
        <v>1761</v>
      </c>
      <c r="IV514" t="s">
        <v>1810</v>
      </c>
      <c r="IW514" t="s">
        <v>1810</v>
      </c>
      <c r="IX514" t="s">
        <v>1810</v>
      </c>
      <c r="IY514">
        <v>5</v>
      </c>
      <c r="IZ514">
        <v>70</v>
      </c>
      <c r="MS514" t="s">
        <v>1824</v>
      </c>
      <c r="MT514">
        <v>1963</v>
      </c>
      <c r="MU514" t="s">
        <v>1804</v>
      </c>
      <c r="MW514" t="s">
        <v>1764</v>
      </c>
      <c r="NB514" t="s">
        <v>1807</v>
      </c>
      <c r="NC514" t="s">
        <v>711</v>
      </c>
      <c r="NE514" t="s">
        <v>1770</v>
      </c>
      <c r="NG514" t="s">
        <v>1770</v>
      </c>
      <c r="NP514" t="s">
        <v>1846</v>
      </c>
      <c r="NQ514" t="s">
        <v>6</v>
      </c>
      <c r="NR514">
        <v>0.6</v>
      </c>
      <c r="NS514" t="s">
        <v>1456</v>
      </c>
      <c r="NT514">
        <v>0.9</v>
      </c>
      <c r="NW514">
        <v>6</v>
      </c>
      <c r="OH514" t="s">
        <v>1594</v>
      </c>
      <c r="OJ514">
        <v>2010</v>
      </c>
      <c r="OO514" t="s">
        <v>1178</v>
      </c>
      <c r="OP514" s="58">
        <v>46108</v>
      </c>
    </row>
    <row r="515" spans="1:406" ht="15.75" thickBot="1">
      <c r="A515" t="s">
        <v>36</v>
      </c>
      <c r="B515" t="s">
        <v>1758</v>
      </c>
      <c r="C515" t="s">
        <v>1759</v>
      </c>
      <c r="D515" s="4" t="s">
        <v>245</v>
      </c>
      <c r="E515" t="s">
        <v>1825</v>
      </c>
      <c r="F515" s="4" t="s">
        <v>1823</v>
      </c>
      <c r="G515" t="s">
        <v>254</v>
      </c>
      <c r="H515" t="s">
        <v>30</v>
      </c>
      <c r="I515">
        <v>-23.748532000000001</v>
      </c>
      <c r="J515">
        <v>-62.056702000000001</v>
      </c>
      <c r="K515" s="87" t="s">
        <v>29</v>
      </c>
      <c r="AV515" t="s">
        <v>1785</v>
      </c>
      <c r="AW515" t="s">
        <v>234</v>
      </c>
      <c r="AX515" t="s">
        <v>234</v>
      </c>
      <c r="AY515" s="5">
        <v>5.5555555555555558E-3</v>
      </c>
      <c r="AZ515" t="s">
        <v>1822</v>
      </c>
      <c r="BA515">
        <v>2010</v>
      </c>
      <c r="BD515" t="s">
        <v>1778</v>
      </c>
      <c r="BE515" t="s">
        <v>1779</v>
      </c>
      <c r="BF515" t="s">
        <v>64</v>
      </c>
      <c r="BG515" t="s">
        <v>1798</v>
      </c>
      <c r="BH515" t="s">
        <v>1796</v>
      </c>
      <c r="BI515" t="s">
        <v>1801</v>
      </c>
      <c r="BJ515" t="s">
        <v>29</v>
      </c>
      <c r="BK515" t="s">
        <v>29</v>
      </c>
      <c r="EE515" t="s">
        <v>1793</v>
      </c>
      <c r="EF515" t="s">
        <v>29</v>
      </c>
      <c r="EG515" t="s">
        <v>29</v>
      </c>
      <c r="EH515" t="s">
        <v>29</v>
      </c>
      <c r="EI515" t="s">
        <v>1792</v>
      </c>
      <c r="EJ515" t="s">
        <v>29</v>
      </c>
      <c r="EK515" t="s">
        <v>29</v>
      </c>
      <c r="EL515" t="s">
        <v>29</v>
      </c>
      <c r="EM515" t="s">
        <v>1787</v>
      </c>
      <c r="EN515" t="s">
        <v>29</v>
      </c>
      <c r="EO515" t="s">
        <v>29</v>
      </c>
      <c r="EP515" t="s">
        <v>29</v>
      </c>
      <c r="EQ515" t="s">
        <v>1788</v>
      </c>
      <c r="ER515" t="s">
        <v>29</v>
      </c>
      <c r="ES515" t="s">
        <v>29</v>
      </c>
      <c r="ET515" t="s">
        <v>29</v>
      </c>
      <c r="EU515" t="s">
        <v>1789</v>
      </c>
      <c r="EV515" t="s">
        <v>29</v>
      </c>
      <c r="EW515" t="s">
        <v>29</v>
      </c>
      <c r="EX515" t="s">
        <v>29</v>
      </c>
      <c r="EY515" t="s">
        <v>1790</v>
      </c>
      <c r="EZ515" t="s">
        <v>29</v>
      </c>
      <c r="FA515" t="s">
        <v>29</v>
      </c>
      <c r="FB515" t="s">
        <v>29</v>
      </c>
      <c r="FC515" t="s">
        <v>1791</v>
      </c>
      <c r="FD515" t="s">
        <v>29</v>
      </c>
      <c r="FE515" t="s">
        <v>29</v>
      </c>
      <c r="FF515" t="s">
        <v>29</v>
      </c>
      <c r="GM515" t="s">
        <v>1794</v>
      </c>
      <c r="GN515" s="9" t="s">
        <v>29</v>
      </c>
      <c r="GO515" s="9" t="s">
        <v>29</v>
      </c>
      <c r="GP515" s="9" t="s">
        <v>29</v>
      </c>
      <c r="GQ515" s="9"/>
      <c r="GR515" s="9"/>
      <c r="GS515" s="9"/>
      <c r="GT515" s="9"/>
      <c r="GU515" s="9"/>
      <c r="GV515" s="9"/>
      <c r="GW515" s="9"/>
      <c r="GX515" s="9"/>
      <c r="GY515" s="9"/>
      <c r="GZ515" s="9"/>
      <c r="HA515" s="9"/>
      <c r="HB515" s="9"/>
      <c r="HC515" s="9"/>
      <c r="HD515" s="9"/>
      <c r="HE515" s="9"/>
      <c r="HF515" s="9"/>
      <c r="HG515" s="9"/>
      <c r="HH515" s="9"/>
      <c r="HI515" s="9"/>
      <c r="HJ515" s="9"/>
      <c r="HK515" s="9"/>
      <c r="HL515" s="9"/>
      <c r="HX515" s="58"/>
      <c r="HY515" t="s">
        <v>1779</v>
      </c>
      <c r="HZ515" t="s">
        <v>1814</v>
      </c>
      <c r="IU515" t="s">
        <v>1779</v>
      </c>
      <c r="IV515" s="84" t="s">
        <v>1811</v>
      </c>
      <c r="IW515" t="s">
        <v>1786</v>
      </c>
      <c r="IX515" s="54" t="s">
        <v>1795</v>
      </c>
      <c r="IY515">
        <v>1</v>
      </c>
      <c r="IZ515">
        <v>81</v>
      </c>
      <c r="MS515" t="s">
        <v>1824</v>
      </c>
      <c r="MT515">
        <v>1963</v>
      </c>
      <c r="MU515" t="s">
        <v>1804</v>
      </c>
      <c r="MW515" t="s">
        <v>1764</v>
      </c>
      <c r="NB515" t="s">
        <v>1807</v>
      </c>
      <c r="NC515" t="s">
        <v>711</v>
      </c>
      <c r="NE515" t="s">
        <v>1770</v>
      </c>
      <c r="NG515" t="s">
        <v>1770</v>
      </c>
      <c r="NQ515" t="s">
        <v>6</v>
      </c>
      <c r="NR515">
        <v>0.5</v>
      </c>
      <c r="NS515" t="s">
        <v>1456</v>
      </c>
      <c r="NT515">
        <v>0.8</v>
      </c>
      <c r="NW515">
        <v>8</v>
      </c>
      <c r="OH515" t="s">
        <v>1594</v>
      </c>
      <c r="OJ515">
        <v>2010</v>
      </c>
      <c r="OO515" t="s">
        <v>1178</v>
      </c>
      <c r="OP515" s="58">
        <v>46108</v>
      </c>
    </row>
    <row r="516" spans="1:406" ht="15.75" thickBot="1">
      <c r="A516" t="s">
        <v>36</v>
      </c>
      <c r="B516" t="s">
        <v>1758</v>
      </c>
      <c r="C516" t="s">
        <v>1759</v>
      </c>
      <c r="D516" s="4" t="s">
        <v>245</v>
      </c>
      <c r="E516" t="s">
        <v>1825</v>
      </c>
      <c r="F516" s="4" t="s">
        <v>1823</v>
      </c>
      <c r="G516" t="s">
        <v>254</v>
      </c>
      <c r="H516" t="s">
        <v>30</v>
      </c>
      <c r="I516">
        <v>-23.748532000000001</v>
      </c>
      <c r="J516">
        <v>-62.056702000000001</v>
      </c>
      <c r="K516" s="87" t="s">
        <v>29</v>
      </c>
      <c r="AV516" t="s">
        <v>1785</v>
      </c>
      <c r="AW516" t="s">
        <v>234</v>
      </c>
      <c r="AX516">
        <v>3600</v>
      </c>
      <c r="AY516" s="5">
        <v>5.5555555555555558E-3</v>
      </c>
      <c r="AZ516" t="s">
        <v>1822</v>
      </c>
      <c r="BA516">
        <v>2010</v>
      </c>
      <c r="BD516" t="s">
        <v>1778</v>
      </c>
      <c r="BE516" t="s">
        <v>1781</v>
      </c>
      <c r="BF516" t="s">
        <v>57</v>
      </c>
      <c r="BG516" t="s">
        <v>1798</v>
      </c>
      <c r="BH516" t="s">
        <v>1796</v>
      </c>
      <c r="BI516" t="s">
        <v>29</v>
      </c>
      <c r="BJ516" t="s">
        <v>29</v>
      </c>
      <c r="BK516" t="s">
        <v>29</v>
      </c>
      <c r="EE516" t="s">
        <v>1793</v>
      </c>
      <c r="EF516" t="s">
        <v>29</v>
      </c>
      <c r="EG516" t="s">
        <v>29</v>
      </c>
      <c r="EH516" t="s">
        <v>29</v>
      </c>
      <c r="EI516" t="s">
        <v>1792</v>
      </c>
      <c r="EJ516" t="s">
        <v>29</v>
      </c>
      <c r="EK516" t="s">
        <v>29</v>
      </c>
      <c r="EL516" t="s">
        <v>29</v>
      </c>
      <c r="EM516" t="s">
        <v>1787</v>
      </c>
      <c r="EN516" t="s">
        <v>29</v>
      </c>
      <c r="EO516" t="s">
        <v>29</v>
      </c>
      <c r="EP516" t="s">
        <v>29</v>
      </c>
      <c r="EQ516" t="s">
        <v>1788</v>
      </c>
      <c r="ER516" t="s">
        <v>29</v>
      </c>
      <c r="ES516" t="s">
        <v>29</v>
      </c>
      <c r="ET516" t="s">
        <v>29</v>
      </c>
      <c r="EU516" t="s">
        <v>1789</v>
      </c>
      <c r="EV516" t="s">
        <v>29</v>
      </c>
      <c r="EW516" t="s">
        <v>29</v>
      </c>
      <c r="EX516" t="s">
        <v>29</v>
      </c>
      <c r="EY516" t="s">
        <v>1790</v>
      </c>
      <c r="EZ516" t="s">
        <v>29</v>
      </c>
      <c r="FA516" t="s">
        <v>29</v>
      </c>
      <c r="FB516" t="s">
        <v>29</v>
      </c>
      <c r="FC516" t="s">
        <v>1791</v>
      </c>
      <c r="FD516" t="s">
        <v>29</v>
      </c>
      <c r="FE516" t="s">
        <v>29</v>
      </c>
      <c r="FF516" t="s">
        <v>29</v>
      </c>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c r="GM516" s="9" t="s">
        <v>1794</v>
      </c>
      <c r="GN516" s="9" t="s">
        <v>29</v>
      </c>
      <c r="GO516" s="9" t="s">
        <v>29</v>
      </c>
      <c r="GP516" s="9" t="s">
        <v>29</v>
      </c>
      <c r="GQ516" s="9"/>
      <c r="GR516" s="9"/>
      <c r="GS516" s="9"/>
      <c r="GT516" s="9"/>
      <c r="GU516" s="9"/>
      <c r="GV516" s="9"/>
      <c r="GW516" s="9"/>
      <c r="GX516" s="9"/>
      <c r="GY516" s="9"/>
      <c r="GZ516" s="9"/>
      <c r="HA516" s="9"/>
      <c r="HB516" s="9"/>
      <c r="HC516" s="9"/>
      <c r="HD516" s="9"/>
      <c r="HE516" s="9"/>
      <c r="HF516" s="9"/>
      <c r="HG516" s="9"/>
      <c r="HH516" s="9"/>
      <c r="HI516" s="9"/>
      <c r="HJ516" s="9"/>
      <c r="HK516" s="9"/>
      <c r="HL516" s="9"/>
      <c r="HX516" s="58"/>
      <c r="HY516" t="s">
        <v>1781</v>
      </c>
      <c r="HZ516" t="s">
        <v>1814</v>
      </c>
      <c r="IU516" t="s">
        <v>1781</v>
      </c>
      <c r="IV516" s="84" t="s">
        <v>1811</v>
      </c>
      <c r="IW516" s="12" t="s">
        <v>1786</v>
      </c>
      <c r="IX516" s="54" t="s">
        <v>1797</v>
      </c>
      <c r="IY516">
        <v>7.5</v>
      </c>
      <c r="IZ516">
        <v>56</v>
      </c>
      <c r="MS516" t="s">
        <v>1824</v>
      </c>
      <c r="MT516">
        <v>1963</v>
      </c>
      <c r="MU516" t="s">
        <v>1804</v>
      </c>
      <c r="MW516" t="s">
        <v>1764</v>
      </c>
      <c r="NB516" t="s">
        <v>1807</v>
      </c>
      <c r="NC516" t="s">
        <v>711</v>
      </c>
      <c r="NE516" t="s">
        <v>1770</v>
      </c>
      <c r="NG516" t="s">
        <v>1770</v>
      </c>
      <c r="NQ516" t="s">
        <v>6</v>
      </c>
      <c r="NR516">
        <v>1.3</v>
      </c>
      <c r="NS516" t="s">
        <v>1456</v>
      </c>
      <c r="NT516">
        <v>1.3</v>
      </c>
      <c r="NW516">
        <v>7</v>
      </c>
      <c r="OH516" t="s">
        <v>1594</v>
      </c>
      <c r="OJ516">
        <v>2010</v>
      </c>
      <c r="OO516" t="s">
        <v>1178</v>
      </c>
      <c r="OP516" s="58">
        <v>46108</v>
      </c>
    </row>
    <row r="517" spans="1:406" ht="15.75" thickBot="1">
      <c r="A517" t="s">
        <v>36</v>
      </c>
      <c r="B517" t="s">
        <v>1758</v>
      </c>
      <c r="C517" t="s">
        <v>1759</v>
      </c>
      <c r="D517" s="4" t="s">
        <v>245</v>
      </c>
      <c r="E517" t="s">
        <v>1825</v>
      </c>
      <c r="F517" s="4" t="s">
        <v>1823</v>
      </c>
      <c r="G517" t="s">
        <v>254</v>
      </c>
      <c r="H517" t="s">
        <v>30</v>
      </c>
      <c r="I517">
        <v>-23.748532000000001</v>
      </c>
      <c r="J517">
        <v>-62.056702000000001</v>
      </c>
      <c r="K517" s="87" t="s">
        <v>29</v>
      </c>
      <c r="AV517" t="s">
        <v>1785</v>
      </c>
      <c r="AW517" t="s">
        <v>234</v>
      </c>
      <c r="AX517">
        <v>3600</v>
      </c>
      <c r="AY517" s="5">
        <v>5.5555555555555558E-3</v>
      </c>
      <c r="AZ517" t="s">
        <v>1822</v>
      </c>
      <c r="BA517">
        <v>2010</v>
      </c>
      <c r="BD517" t="s">
        <v>1778</v>
      </c>
      <c r="BE517" t="s">
        <v>1783</v>
      </c>
      <c r="BF517" t="s">
        <v>48</v>
      </c>
      <c r="BG517" t="s">
        <v>1798</v>
      </c>
      <c r="BH517" t="s">
        <v>1800</v>
      </c>
      <c r="BI517" t="s">
        <v>29</v>
      </c>
      <c r="BJ517" t="s">
        <v>29</v>
      </c>
      <c r="BK517" t="s">
        <v>29</v>
      </c>
      <c r="EE517" t="s">
        <v>1793</v>
      </c>
      <c r="EF517" t="s">
        <v>29</v>
      </c>
      <c r="EG517" t="s">
        <v>29</v>
      </c>
      <c r="EH517" t="s">
        <v>29</v>
      </c>
      <c r="EI517" t="s">
        <v>1792</v>
      </c>
      <c r="EJ517" t="s">
        <v>29</v>
      </c>
      <c r="EK517" t="s">
        <v>29</v>
      </c>
      <c r="EL517" t="s">
        <v>29</v>
      </c>
      <c r="EM517" t="s">
        <v>1787</v>
      </c>
      <c r="EN517" t="s">
        <v>29</v>
      </c>
      <c r="EO517" t="s">
        <v>29</v>
      </c>
      <c r="EP517" t="s">
        <v>29</v>
      </c>
      <c r="EQ517" t="s">
        <v>1788</v>
      </c>
      <c r="ER517" t="s">
        <v>29</v>
      </c>
      <c r="ES517" t="s">
        <v>29</v>
      </c>
      <c r="ET517" t="s">
        <v>29</v>
      </c>
      <c r="EU517" t="s">
        <v>1789</v>
      </c>
      <c r="EV517" t="s">
        <v>29</v>
      </c>
      <c r="EW517" t="s">
        <v>29</v>
      </c>
      <c r="EX517" t="s">
        <v>29</v>
      </c>
      <c r="EY517" t="s">
        <v>1790</v>
      </c>
      <c r="EZ517" t="s">
        <v>29</v>
      </c>
      <c r="FA517" t="s">
        <v>29</v>
      </c>
      <c r="FB517" t="s">
        <v>29</v>
      </c>
      <c r="FC517" t="s">
        <v>1791</v>
      </c>
      <c r="FD517" t="s">
        <v>29</v>
      </c>
      <c r="FE517" t="s">
        <v>29</v>
      </c>
      <c r="FF517" t="s">
        <v>29</v>
      </c>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c r="GM517" s="9" t="s">
        <v>1794</v>
      </c>
      <c r="GN517" s="9" t="s">
        <v>29</v>
      </c>
      <c r="GO517" s="9" t="s">
        <v>29</v>
      </c>
      <c r="GP517" s="9" t="s">
        <v>29</v>
      </c>
      <c r="GQ517" s="9"/>
      <c r="GR517" s="9"/>
      <c r="GS517" s="9"/>
      <c r="GT517" s="9"/>
      <c r="GU517" s="9"/>
      <c r="GV517" s="9"/>
      <c r="GW517" s="9"/>
      <c r="GX517" s="9"/>
      <c r="GY517" s="9"/>
      <c r="GZ517" s="9"/>
      <c r="HA517" s="9"/>
      <c r="HB517" s="9"/>
      <c r="HC517" s="9"/>
      <c r="HD517" s="9"/>
      <c r="HE517" s="9"/>
      <c r="HF517" s="9"/>
      <c r="HG517" s="9"/>
      <c r="HH517" s="9"/>
      <c r="HI517" s="9"/>
      <c r="HJ517" s="9"/>
      <c r="HK517" s="9"/>
      <c r="HL517" s="9"/>
      <c r="HX517" s="58"/>
      <c r="HY517" t="s">
        <v>1783</v>
      </c>
      <c r="HZ517" t="s">
        <v>1813</v>
      </c>
      <c r="IU517" t="s">
        <v>1783</v>
      </c>
      <c r="IV517" s="84" t="s">
        <v>1811</v>
      </c>
      <c r="IW517" s="12" t="s">
        <v>1786</v>
      </c>
      <c r="IX517" s="54" t="s">
        <v>1797</v>
      </c>
      <c r="IY517">
        <v>7.5</v>
      </c>
      <c r="IZ517">
        <v>37</v>
      </c>
      <c r="MS517" t="s">
        <v>1824</v>
      </c>
      <c r="MT517">
        <v>1963</v>
      </c>
      <c r="MU517" t="s">
        <v>1804</v>
      </c>
      <c r="MW517" t="s">
        <v>1764</v>
      </c>
      <c r="NB517" t="s">
        <v>1807</v>
      </c>
      <c r="NC517" t="s">
        <v>711</v>
      </c>
      <c r="NE517" t="s">
        <v>1770</v>
      </c>
      <c r="NG517" t="s">
        <v>1770</v>
      </c>
      <c r="NQ517" t="s">
        <v>6</v>
      </c>
      <c r="NR517">
        <v>2.4</v>
      </c>
      <c r="NS517" t="s">
        <v>1456</v>
      </c>
      <c r="NT517">
        <v>1.4</v>
      </c>
      <c r="NW517">
        <v>5</v>
      </c>
      <c r="OH517" t="s">
        <v>1594</v>
      </c>
      <c r="OJ517">
        <v>2010</v>
      </c>
      <c r="OO517" t="s">
        <v>1178</v>
      </c>
      <c r="OP517" s="58">
        <v>46108</v>
      </c>
    </row>
    <row r="518" spans="1:406" ht="15.75" thickBot="1">
      <c r="A518" t="s">
        <v>36</v>
      </c>
      <c r="B518" t="s">
        <v>1758</v>
      </c>
      <c r="C518" t="s">
        <v>1759</v>
      </c>
      <c r="D518" s="4" t="s">
        <v>245</v>
      </c>
      <c r="E518" t="s">
        <v>1825</v>
      </c>
      <c r="F518" s="4" t="s">
        <v>1823</v>
      </c>
      <c r="G518" t="s">
        <v>254</v>
      </c>
      <c r="H518" t="s">
        <v>30</v>
      </c>
      <c r="I518">
        <v>-23.748532000000001</v>
      </c>
      <c r="J518">
        <v>-62.056702000000001</v>
      </c>
      <c r="K518" s="87" t="s">
        <v>29</v>
      </c>
      <c r="AV518" t="s">
        <v>1785</v>
      </c>
      <c r="AW518" t="s">
        <v>234</v>
      </c>
      <c r="AX518" t="s">
        <v>234</v>
      </c>
      <c r="AY518" s="5">
        <v>5.5555555555555558E-3</v>
      </c>
      <c r="AZ518" t="s">
        <v>1822</v>
      </c>
      <c r="BA518">
        <v>2010</v>
      </c>
      <c r="BD518" t="s">
        <v>1766</v>
      </c>
      <c r="BE518" t="s">
        <v>1767</v>
      </c>
      <c r="BF518" t="s">
        <v>24</v>
      </c>
      <c r="BG518" t="s">
        <v>1798</v>
      </c>
      <c r="BH518" t="s">
        <v>1800</v>
      </c>
      <c r="BI518" t="s">
        <v>29</v>
      </c>
      <c r="BJ518" t="s">
        <v>29</v>
      </c>
      <c r="BK518" t="s">
        <v>29</v>
      </c>
      <c r="GM518" t="s">
        <v>1794</v>
      </c>
      <c r="GN518" s="9" t="s">
        <v>29</v>
      </c>
      <c r="GO518" s="9" t="s">
        <v>29</v>
      </c>
      <c r="GP518" s="9" t="s">
        <v>29</v>
      </c>
      <c r="HY518" t="s">
        <v>1767</v>
      </c>
      <c r="HZ518" t="s">
        <v>1813</v>
      </c>
      <c r="IU518" t="s">
        <v>1767</v>
      </c>
      <c r="IV518" s="54" t="s">
        <v>1812</v>
      </c>
      <c r="IW518" s="54" t="s">
        <v>1812</v>
      </c>
      <c r="IX518" s="54" t="s">
        <v>1799</v>
      </c>
      <c r="IY518">
        <v>1</v>
      </c>
      <c r="IZ518">
        <v>6</v>
      </c>
      <c r="MS518" t="s">
        <v>1824</v>
      </c>
      <c r="MT518">
        <v>1963</v>
      </c>
      <c r="MU518" t="s">
        <v>1804</v>
      </c>
      <c r="MW518" t="s">
        <v>1764</v>
      </c>
      <c r="NB518" t="s">
        <v>1807</v>
      </c>
      <c r="NC518" t="s">
        <v>711</v>
      </c>
      <c r="NE518" t="s">
        <v>1770</v>
      </c>
      <c r="NG518" t="s">
        <v>1770</v>
      </c>
      <c r="NP518" t="s">
        <v>1847</v>
      </c>
      <c r="NQ518" t="s">
        <v>6</v>
      </c>
      <c r="NR518">
        <v>2.8</v>
      </c>
      <c r="NS518" t="s">
        <v>1456</v>
      </c>
      <c r="NT518">
        <v>1.3</v>
      </c>
      <c r="NW518">
        <v>7</v>
      </c>
      <c r="OH518" t="s">
        <v>1594</v>
      </c>
      <c r="OJ518">
        <v>2010</v>
      </c>
      <c r="OO518" t="s">
        <v>1178</v>
      </c>
      <c r="OP518" s="58">
        <v>46108</v>
      </c>
    </row>
    <row r="519" spans="1:406" ht="15.75" thickBot="1">
      <c r="A519" t="s">
        <v>36</v>
      </c>
      <c r="B519" t="s">
        <v>1758</v>
      </c>
      <c r="C519" t="s">
        <v>1759</v>
      </c>
      <c r="D519" s="4" t="s">
        <v>245</v>
      </c>
      <c r="E519" t="s">
        <v>1825</v>
      </c>
      <c r="F519" s="4" t="s">
        <v>1823</v>
      </c>
      <c r="G519" t="s">
        <v>254</v>
      </c>
      <c r="H519" t="s">
        <v>30</v>
      </c>
      <c r="I519">
        <v>-23.748532000000001</v>
      </c>
      <c r="J519">
        <v>-62.056702000000001</v>
      </c>
      <c r="K519" s="87" t="s">
        <v>29</v>
      </c>
      <c r="AV519" t="s">
        <v>1785</v>
      </c>
      <c r="AW519" t="s">
        <v>234</v>
      </c>
      <c r="AX519">
        <v>1000</v>
      </c>
      <c r="AY519" s="5">
        <v>5.5555555555555558E-3</v>
      </c>
      <c r="AZ519" t="s">
        <v>1822</v>
      </c>
      <c r="BA519">
        <v>2010</v>
      </c>
      <c r="BD519" t="s">
        <v>1844</v>
      </c>
      <c r="BE519" t="s">
        <v>1761</v>
      </c>
      <c r="BF519" t="s">
        <v>39</v>
      </c>
      <c r="BG519" t="s">
        <v>1762</v>
      </c>
      <c r="EE519" t="s">
        <v>1793</v>
      </c>
      <c r="EF519" t="s">
        <v>29</v>
      </c>
      <c r="EG519" t="s">
        <v>29</v>
      </c>
      <c r="EH519" t="s">
        <v>29</v>
      </c>
      <c r="EI519" t="s">
        <v>1792</v>
      </c>
      <c r="EJ519" t="s">
        <v>29</v>
      </c>
      <c r="EK519" t="s">
        <v>29</v>
      </c>
      <c r="EL519" t="s">
        <v>29</v>
      </c>
      <c r="EM519" t="s">
        <v>1787</v>
      </c>
      <c r="EN519" t="s">
        <v>29</v>
      </c>
      <c r="EO519" t="s">
        <v>29</v>
      </c>
      <c r="EP519" t="s">
        <v>29</v>
      </c>
      <c r="EQ519" t="s">
        <v>1788</v>
      </c>
      <c r="ER519" t="s">
        <v>29</v>
      </c>
      <c r="ES519" t="s">
        <v>29</v>
      </c>
      <c r="ET519" t="s">
        <v>29</v>
      </c>
      <c r="EU519" t="s">
        <v>1789</v>
      </c>
      <c r="EV519" t="s">
        <v>29</v>
      </c>
      <c r="EW519" t="s">
        <v>29</v>
      </c>
      <c r="EX519" t="s">
        <v>29</v>
      </c>
      <c r="EY519" t="s">
        <v>1790</v>
      </c>
      <c r="EZ519" t="s">
        <v>29</v>
      </c>
      <c r="FA519" t="s">
        <v>29</v>
      </c>
      <c r="FB519" t="s">
        <v>29</v>
      </c>
      <c r="FC519" t="s">
        <v>1791</v>
      </c>
      <c r="FD519" t="s">
        <v>29</v>
      </c>
      <c r="FE519" t="s">
        <v>29</v>
      </c>
      <c r="FF519" t="s">
        <v>29</v>
      </c>
      <c r="HY519" t="s">
        <v>1761</v>
      </c>
      <c r="IU519" t="s">
        <v>1761</v>
      </c>
      <c r="IV519" t="s">
        <v>1810</v>
      </c>
      <c r="IW519" t="s">
        <v>1810</v>
      </c>
      <c r="IX519" t="s">
        <v>1810</v>
      </c>
      <c r="IY519">
        <v>5</v>
      </c>
      <c r="IZ519">
        <v>70</v>
      </c>
      <c r="MS519" t="s">
        <v>1824</v>
      </c>
      <c r="MT519">
        <v>1963</v>
      </c>
      <c r="MU519" t="s">
        <v>1769</v>
      </c>
      <c r="MW519" t="s">
        <v>1764</v>
      </c>
      <c r="NB519" t="s">
        <v>1808</v>
      </c>
      <c r="NC519" t="s">
        <v>711</v>
      </c>
      <c r="NE519" t="s">
        <v>203</v>
      </c>
      <c r="NG519" t="s">
        <v>203</v>
      </c>
      <c r="NH519" s="6" t="s">
        <v>1820</v>
      </c>
      <c r="NP519" t="s">
        <v>1846</v>
      </c>
      <c r="NQ519" t="s">
        <v>6</v>
      </c>
      <c r="NR519">
        <v>0.8</v>
      </c>
      <c r="NS519" t="s">
        <v>1456</v>
      </c>
      <c r="NT519">
        <v>1.2</v>
      </c>
      <c r="NW519">
        <v>6</v>
      </c>
      <c r="OH519" t="s">
        <v>1594</v>
      </c>
      <c r="OJ519">
        <v>2010</v>
      </c>
      <c r="OO519" t="s">
        <v>1178</v>
      </c>
      <c r="OP519" s="58">
        <v>46108</v>
      </c>
    </row>
    <row r="520" spans="1:406" ht="15.75" thickBot="1">
      <c r="A520" t="s">
        <v>36</v>
      </c>
      <c r="B520" t="s">
        <v>1758</v>
      </c>
      <c r="C520" t="s">
        <v>1759</v>
      </c>
      <c r="D520" s="4" t="s">
        <v>245</v>
      </c>
      <c r="E520" t="s">
        <v>1825</v>
      </c>
      <c r="F520" s="4" t="s">
        <v>1823</v>
      </c>
      <c r="G520" t="s">
        <v>254</v>
      </c>
      <c r="H520" t="s">
        <v>30</v>
      </c>
      <c r="I520">
        <v>-23.748532000000001</v>
      </c>
      <c r="J520">
        <v>-62.056702000000001</v>
      </c>
      <c r="K520" s="87" t="s">
        <v>29</v>
      </c>
      <c r="AV520" t="s">
        <v>1785</v>
      </c>
      <c r="AW520" t="s">
        <v>234</v>
      </c>
      <c r="AX520" t="s">
        <v>234</v>
      </c>
      <c r="AY520" s="5">
        <v>5.5555555555555558E-3</v>
      </c>
      <c r="AZ520" t="s">
        <v>1822</v>
      </c>
      <c r="BA520">
        <v>2010</v>
      </c>
      <c r="BD520" t="s">
        <v>1778</v>
      </c>
      <c r="BE520" t="s">
        <v>1779</v>
      </c>
      <c r="BF520" t="s">
        <v>64</v>
      </c>
      <c r="BG520" t="s">
        <v>1798</v>
      </c>
      <c r="BH520" t="s">
        <v>1796</v>
      </c>
      <c r="BI520" t="s">
        <v>1801</v>
      </c>
      <c r="BJ520" t="s">
        <v>29</v>
      </c>
      <c r="BK520" t="s">
        <v>29</v>
      </c>
      <c r="EE520" t="s">
        <v>1793</v>
      </c>
      <c r="EF520" t="s">
        <v>29</v>
      </c>
      <c r="EG520" t="s">
        <v>29</v>
      </c>
      <c r="EH520" t="s">
        <v>29</v>
      </c>
      <c r="EI520" t="s">
        <v>1792</v>
      </c>
      <c r="EJ520" t="s">
        <v>29</v>
      </c>
      <c r="EK520" t="s">
        <v>29</v>
      </c>
      <c r="EL520" t="s">
        <v>29</v>
      </c>
      <c r="EM520" t="s">
        <v>1787</v>
      </c>
      <c r="EN520" t="s">
        <v>29</v>
      </c>
      <c r="EO520" t="s">
        <v>29</v>
      </c>
      <c r="EP520" t="s">
        <v>29</v>
      </c>
      <c r="EQ520" t="s">
        <v>1788</v>
      </c>
      <c r="ER520" t="s">
        <v>29</v>
      </c>
      <c r="ES520" t="s">
        <v>29</v>
      </c>
      <c r="ET520" t="s">
        <v>29</v>
      </c>
      <c r="EU520" t="s">
        <v>1789</v>
      </c>
      <c r="EV520" t="s">
        <v>29</v>
      </c>
      <c r="EW520" t="s">
        <v>29</v>
      </c>
      <c r="EX520" t="s">
        <v>29</v>
      </c>
      <c r="EY520" t="s">
        <v>1790</v>
      </c>
      <c r="EZ520" t="s">
        <v>29</v>
      </c>
      <c r="FA520" t="s">
        <v>29</v>
      </c>
      <c r="FB520" t="s">
        <v>29</v>
      </c>
      <c r="FC520" t="s">
        <v>1791</v>
      </c>
      <c r="FD520" t="s">
        <v>29</v>
      </c>
      <c r="FE520" t="s">
        <v>29</v>
      </c>
      <c r="FF520" t="s">
        <v>29</v>
      </c>
      <c r="GM520" t="s">
        <v>1794</v>
      </c>
      <c r="GN520" s="9" t="s">
        <v>29</v>
      </c>
      <c r="GO520" s="9" t="s">
        <v>29</v>
      </c>
      <c r="GP520" s="9" t="s">
        <v>29</v>
      </c>
      <c r="GQ520" s="9"/>
      <c r="GR520" s="9"/>
      <c r="GS520" s="9"/>
      <c r="GT520" s="9"/>
      <c r="GU520" s="9"/>
      <c r="GV520" s="9"/>
      <c r="GW520" s="9"/>
      <c r="GX520" s="9"/>
      <c r="GY520" s="9"/>
      <c r="GZ520" s="9"/>
      <c r="HA520" s="9"/>
      <c r="HB520" s="9"/>
      <c r="HC520" s="9"/>
      <c r="HD520" s="9"/>
      <c r="HE520" s="9"/>
      <c r="HF520" s="9"/>
      <c r="HG520" s="9"/>
      <c r="HH520" s="9"/>
      <c r="HI520" s="9"/>
      <c r="HJ520" s="9"/>
      <c r="HK520" s="9"/>
      <c r="HL520" s="9"/>
      <c r="HX520" s="58"/>
      <c r="HY520" t="s">
        <v>1779</v>
      </c>
      <c r="HZ520" t="s">
        <v>1814</v>
      </c>
      <c r="IU520" t="s">
        <v>1779</v>
      </c>
      <c r="IV520" s="84" t="s">
        <v>1811</v>
      </c>
      <c r="IW520" t="s">
        <v>1786</v>
      </c>
      <c r="IX520" s="54" t="s">
        <v>1795</v>
      </c>
      <c r="IY520">
        <v>1</v>
      </c>
      <c r="IZ520">
        <v>81</v>
      </c>
      <c r="MS520" t="s">
        <v>1824</v>
      </c>
      <c r="MT520">
        <v>1963</v>
      </c>
      <c r="MU520" t="s">
        <v>1769</v>
      </c>
      <c r="MW520" t="s">
        <v>1764</v>
      </c>
      <c r="NB520" t="s">
        <v>1808</v>
      </c>
      <c r="NC520" t="s">
        <v>711</v>
      </c>
      <c r="NE520" t="s">
        <v>203</v>
      </c>
      <c r="NG520" t="s">
        <v>203</v>
      </c>
      <c r="NH520" s="6" t="s">
        <v>1820</v>
      </c>
      <c r="NQ520" t="s">
        <v>6</v>
      </c>
      <c r="NR520">
        <v>0.3</v>
      </c>
      <c r="NS520" t="s">
        <v>1456</v>
      </c>
      <c r="NT520">
        <v>0.5</v>
      </c>
      <c r="NW520">
        <v>8</v>
      </c>
      <c r="OH520" t="s">
        <v>1594</v>
      </c>
      <c r="OJ520">
        <v>2010</v>
      </c>
      <c r="OO520" t="s">
        <v>1178</v>
      </c>
      <c r="OP520" s="58">
        <v>46108</v>
      </c>
    </row>
    <row r="521" spans="1:406" ht="15.75" thickBot="1">
      <c r="A521" t="s">
        <v>36</v>
      </c>
      <c r="B521" t="s">
        <v>1758</v>
      </c>
      <c r="C521" t="s">
        <v>1759</v>
      </c>
      <c r="D521" s="4" t="s">
        <v>245</v>
      </c>
      <c r="E521" t="s">
        <v>1825</v>
      </c>
      <c r="F521" s="4" t="s">
        <v>1823</v>
      </c>
      <c r="G521" t="s">
        <v>254</v>
      </c>
      <c r="H521" t="s">
        <v>30</v>
      </c>
      <c r="I521">
        <v>-23.748532000000001</v>
      </c>
      <c r="J521">
        <v>-62.056702000000001</v>
      </c>
      <c r="K521" s="87" t="s">
        <v>29</v>
      </c>
      <c r="AV521" t="s">
        <v>1785</v>
      </c>
      <c r="AW521" t="s">
        <v>234</v>
      </c>
      <c r="AX521">
        <v>3600</v>
      </c>
      <c r="AY521" s="5">
        <v>5.5555555555555558E-3</v>
      </c>
      <c r="AZ521" t="s">
        <v>1822</v>
      </c>
      <c r="BA521">
        <v>2010</v>
      </c>
      <c r="BD521" t="s">
        <v>1778</v>
      </c>
      <c r="BE521" t="s">
        <v>1781</v>
      </c>
      <c r="BF521" t="s">
        <v>57</v>
      </c>
      <c r="BG521" t="s">
        <v>1798</v>
      </c>
      <c r="BH521" t="s">
        <v>1796</v>
      </c>
      <c r="BI521" t="s">
        <v>29</v>
      </c>
      <c r="BJ521" t="s">
        <v>29</v>
      </c>
      <c r="BK521" t="s">
        <v>29</v>
      </c>
      <c r="EE521" t="s">
        <v>1793</v>
      </c>
      <c r="EF521" t="s">
        <v>29</v>
      </c>
      <c r="EG521" t="s">
        <v>29</v>
      </c>
      <c r="EH521" t="s">
        <v>29</v>
      </c>
      <c r="EI521" t="s">
        <v>1792</v>
      </c>
      <c r="EJ521" t="s">
        <v>29</v>
      </c>
      <c r="EK521" t="s">
        <v>29</v>
      </c>
      <c r="EL521" t="s">
        <v>29</v>
      </c>
      <c r="EM521" t="s">
        <v>1787</v>
      </c>
      <c r="EN521" t="s">
        <v>29</v>
      </c>
      <c r="EO521" t="s">
        <v>29</v>
      </c>
      <c r="EP521" t="s">
        <v>29</v>
      </c>
      <c r="EQ521" t="s">
        <v>1788</v>
      </c>
      <c r="ER521" t="s">
        <v>29</v>
      </c>
      <c r="ES521" t="s">
        <v>29</v>
      </c>
      <c r="ET521" t="s">
        <v>29</v>
      </c>
      <c r="EU521" t="s">
        <v>1789</v>
      </c>
      <c r="EV521" t="s">
        <v>29</v>
      </c>
      <c r="EW521" t="s">
        <v>29</v>
      </c>
      <c r="EX521" t="s">
        <v>29</v>
      </c>
      <c r="EY521" t="s">
        <v>1790</v>
      </c>
      <c r="EZ521" t="s">
        <v>29</v>
      </c>
      <c r="FA521" t="s">
        <v>29</v>
      </c>
      <c r="FB521" t="s">
        <v>29</v>
      </c>
      <c r="FC521" t="s">
        <v>1791</v>
      </c>
      <c r="FD521" t="s">
        <v>29</v>
      </c>
      <c r="FE521" t="s">
        <v>29</v>
      </c>
      <c r="FF521" t="s">
        <v>29</v>
      </c>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c r="GM521" s="9" t="s">
        <v>1794</v>
      </c>
      <c r="GN521" s="9" t="s">
        <v>29</v>
      </c>
      <c r="GO521" s="9" t="s">
        <v>29</v>
      </c>
      <c r="GP521" s="9" t="s">
        <v>29</v>
      </c>
      <c r="GQ521" s="9"/>
      <c r="GR521" s="9"/>
      <c r="GS521" s="9"/>
      <c r="GT521" s="9"/>
      <c r="GU521" s="9"/>
      <c r="GV521" s="9"/>
      <c r="GW521" s="9"/>
      <c r="GX521" s="9"/>
      <c r="GY521" s="9"/>
      <c r="GZ521" s="9"/>
      <c r="HA521" s="9"/>
      <c r="HB521" s="9"/>
      <c r="HC521" s="9"/>
      <c r="HD521" s="9"/>
      <c r="HE521" s="9"/>
      <c r="HF521" s="9"/>
      <c r="HG521" s="9"/>
      <c r="HH521" s="9"/>
      <c r="HI521" s="9"/>
      <c r="HJ521" s="9"/>
      <c r="HK521" s="9"/>
      <c r="HL521" s="9"/>
      <c r="HX521" s="58"/>
      <c r="HY521" t="s">
        <v>1781</v>
      </c>
      <c r="HZ521" t="s">
        <v>1814</v>
      </c>
      <c r="IU521" t="s">
        <v>1781</v>
      </c>
      <c r="IV521" s="84" t="s">
        <v>1811</v>
      </c>
      <c r="IW521" s="12" t="s">
        <v>1786</v>
      </c>
      <c r="IX521" s="54" t="s">
        <v>1797</v>
      </c>
      <c r="IY521">
        <v>7.5</v>
      </c>
      <c r="IZ521">
        <v>56</v>
      </c>
      <c r="MS521" t="s">
        <v>1824</v>
      </c>
      <c r="MT521">
        <v>1963</v>
      </c>
      <c r="MU521" t="s">
        <v>1769</v>
      </c>
      <c r="MW521" t="s">
        <v>1764</v>
      </c>
      <c r="NB521" t="s">
        <v>1808</v>
      </c>
      <c r="NC521" t="s">
        <v>711</v>
      </c>
      <c r="NE521" t="s">
        <v>203</v>
      </c>
      <c r="NG521" t="s">
        <v>203</v>
      </c>
      <c r="NH521" s="6" t="s">
        <v>1820</v>
      </c>
      <c r="NQ521" t="s">
        <v>6</v>
      </c>
      <c r="NR521">
        <v>0.9</v>
      </c>
      <c r="NS521" t="s">
        <v>1456</v>
      </c>
      <c r="NT521">
        <v>1.4</v>
      </c>
      <c r="NW521">
        <v>7</v>
      </c>
      <c r="OH521" t="s">
        <v>1594</v>
      </c>
      <c r="OJ521">
        <v>2010</v>
      </c>
      <c r="OO521" t="s">
        <v>1178</v>
      </c>
      <c r="OP521" s="58">
        <v>46108</v>
      </c>
    </row>
    <row r="522" spans="1:406" ht="15.75" thickBot="1">
      <c r="A522" t="s">
        <v>36</v>
      </c>
      <c r="B522" t="s">
        <v>1758</v>
      </c>
      <c r="C522" t="s">
        <v>1759</v>
      </c>
      <c r="D522" s="4" t="s">
        <v>245</v>
      </c>
      <c r="E522" t="s">
        <v>1825</v>
      </c>
      <c r="F522" s="4" t="s">
        <v>1823</v>
      </c>
      <c r="G522" t="s">
        <v>254</v>
      </c>
      <c r="H522" t="s">
        <v>30</v>
      </c>
      <c r="I522">
        <v>-23.748532000000001</v>
      </c>
      <c r="J522">
        <v>-62.056702000000001</v>
      </c>
      <c r="K522" s="87" t="s">
        <v>29</v>
      </c>
      <c r="AV522" t="s">
        <v>1785</v>
      </c>
      <c r="AW522" t="s">
        <v>234</v>
      </c>
      <c r="AX522">
        <v>3600</v>
      </c>
      <c r="AY522" s="5">
        <v>5.5555555555555558E-3</v>
      </c>
      <c r="AZ522" t="s">
        <v>1822</v>
      </c>
      <c r="BA522">
        <v>2010</v>
      </c>
      <c r="BD522" t="s">
        <v>1778</v>
      </c>
      <c r="BE522" t="s">
        <v>1783</v>
      </c>
      <c r="BF522" t="s">
        <v>48</v>
      </c>
      <c r="BG522" t="s">
        <v>1798</v>
      </c>
      <c r="BH522" t="s">
        <v>1800</v>
      </c>
      <c r="BI522" t="s">
        <v>29</v>
      </c>
      <c r="BJ522" t="s">
        <v>29</v>
      </c>
      <c r="BK522" t="s">
        <v>29</v>
      </c>
      <c r="EE522" t="s">
        <v>1793</v>
      </c>
      <c r="EF522" t="s">
        <v>29</v>
      </c>
      <c r="EG522" t="s">
        <v>29</v>
      </c>
      <c r="EH522" t="s">
        <v>29</v>
      </c>
      <c r="EI522" t="s">
        <v>1792</v>
      </c>
      <c r="EJ522" t="s">
        <v>29</v>
      </c>
      <c r="EK522" t="s">
        <v>29</v>
      </c>
      <c r="EL522" t="s">
        <v>29</v>
      </c>
      <c r="EM522" t="s">
        <v>1787</v>
      </c>
      <c r="EN522" t="s">
        <v>29</v>
      </c>
      <c r="EO522" t="s">
        <v>29</v>
      </c>
      <c r="EP522" t="s">
        <v>29</v>
      </c>
      <c r="EQ522" t="s">
        <v>1788</v>
      </c>
      <c r="ER522" t="s">
        <v>29</v>
      </c>
      <c r="ES522" t="s">
        <v>29</v>
      </c>
      <c r="ET522" t="s">
        <v>29</v>
      </c>
      <c r="EU522" t="s">
        <v>1789</v>
      </c>
      <c r="EV522" t="s">
        <v>29</v>
      </c>
      <c r="EW522" t="s">
        <v>29</v>
      </c>
      <c r="EX522" t="s">
        <v>29</v>
      </c>
      <c r="EY522" t="s">
        <v>1790</v>
      </c>
      <c r="EZ522" t="s">
        <v>29</v>
      </c>
      <c r="FA522" t="s">
        <v>29</v>
      </c>
      <c r="FB522" t="s">
        <v>29</v>
      </c>
      <c r="FC522" t="s">
        <v>1791</v>
      </c>
      <c r="FD522" t="s">
        <v>29</v>
      </c>
      <c r="FE522" t="s">
        <v>29</v>
      </c>
      <c r="FF522" t="s">
        <v>29</v>
      </c>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c r="GM522" s="9" t="s">
        <v>1794</v>
      </c>
      <c r="GN522" s="9" t="s">
        <v>29</v>
      </c>
      <c r="GO522" s="9" t="s">
        <v>29</v>
      </c>
      <c r="GP522" s="9" t="s">
        <v>29</v>
      </c>
      <c r="GQ522" s="9"/>
      <c r="GR522" s="9"/>
      <c r="GS522" s="9"/>
      <c r="GT522" s="9"/>
      <c r="GU522" s="9"/>
      <c r="GV522" s="9"/>
      <c r="GW522" s="9"/>
      <c r="GX522" s="9"/>
      <c r="GY522" s="9"/>
      <c r="GZ522" s="9"/>
      <c r="HA522" s="9"/>
      <c r="HB522" s="9"/>
      <c r="HC522" s="9"/>
      <c r="HD522" s="9"/>
      <c r="HE522" s="9"/>
      <c r="HF522" s="9"/>
      <c r="HG522" s="9"/>
      <c r="HH522" s="9"/>
      <c r="HI522" s="9"/>
      <c r="HJ522" s="9"/>
      <c r="HK522" s="9"/>
      <c r="HL522" s="9"/>
      <c r="HX522" s="58"/>
      <c r="HY522" t="s">
        <v>1783</v>
      </c>
      <c r="HZ522" t="s">
        <v>1813</v>
      </c>
      <c r="IU522" t="s">
        <v>1783</v>
      </c>
      <c r="IV522" s="84" t="s">
        <v>1811</v>
      </c>
      <c r="IW522" s="12" t="s">
        <v>1786</v>
      </c>
      <c r="IX522" s="54" t="s">
        <v>1797</v>
      </c>
      <c r="IY522">
        <v>7.5</v>
      </c>
      <c r="IZ522">
        <v>37</v>
      </c>
      <c r="MS522" t="s">
        <v>1824</v>
      </c>
      <c r="MT522">
        <v>1963</v>
      </c>
      <c r="MU522" t="s">
        <v>1769</v>
      </c>
      <c r="MW522" t="s">
        <v>1764</v>
      </c>
      <c r="NB522" t="s">
        <v>1808</v>
      </c>
      <c r="NC522" t="s">
        <v>711</v>
      </c>
      <c r="NE522" t="s">
        <v>203</v>
      </c>
      <c r="NG522" t="s">
        <v>203</v>
      </c>
      <c r="NH522" s="6" t="s">
        <v>1820</v>
      </c>
      <c r="NQ522" t="s">
        <v>6</v>
      </c>
      <c r="NR522">
        <v>1.1000000000000001</v>
      </c>
      <c r="NS522" t="s">
        <v>1456</v>
      </c>
      <c r="NT522">
        <v>1.2</v>
      </c>
      <c r="NW522">
        <v>5</v>
      </c>
      <c r="OH522" t="s">
        <v>1594</v>
      </c>
      <c r="OJ522">
        <v>2010</v>
      </c>
      <c r="OO522" t="s">
        <v>1178</v>
      </c>
      <c r="OP522" s="58">
        <v>46108</v>
      </c>
    </row>
    <row r="523" spans="1:406" ht="15.75" thickBot="1">
      <c r="A523" t="s">
        <v>36</v>
      </c>
      <c r="B523" t="s">
        <v>1758</v>
      </c>
      <c r="C523" t="s">
        <v>1759</v>
      </c>
      <c r="D523" s="4" t="s">
        <v>245</v>
      </c>
      <c r="E523" t="s">
        <v>1825</v>
      </c>
      <c r="F523" s="4" t="s">
        <v>1823</v>
      </c>
      <c r="G523" t="s">
        <v>254</v>
      </c>
      <c r="H523" t="s">
        <v>30</v>
      </c>
      <c r="I523">
        <v>-23.748532000000001</v>
      </c>
      <c r="J523">
        <v>-62.056702000000001</v>
      </c>
      <c r="K523" s="87" t="s">
        <v>29</v>
      </c>
      <c r="AV523" t="s">
        <v>1785</v>
      </c>
      <c r="AW523" t="s">
        <v>234</v>
      </c>
      <c r="AX523" t="s">
        <v>234</v>
      </c>
      <c r="AY523" s="5">
        <v>5.5555555555555558E-3</v>
      </c>
      <c r="AZ523" t="s">
        <v>1822</v>
      </c>
      <c r="BA523">
        <v>2010</v>
      </c>
      <c r="BD523" t="s">
        <v>1766</v>
      </c>
      <c r="BE523" t="s">
        <v>1767</v>
      </c>
      <c r="BF523" t="s">
        <v>24</v>
      </c>
      <c r="BG523" t="s">
        <v>1798</v>
      </c>
      <c r="BH523" t="s">
        <v>1800</v>
      </c>
      <c r="BI523" t="s">
        <v>29</v>
      </c>
      <c r="BJ523" t="s">
        <v>29</v>
      </c>
      <c r="BK523" t="s">
        <v>29</v>
      </c>
      <c r="GM523" t="s">
        <v>1794</v>
      </c>
      <c r="GN523" s="9" t="s">
        <v>29</v>
      </c>
      <c r="GO523" s="9" t="s">
        <v>29</v>
      </c>
      <c r="GP523" s="9" t="s">
        <v>29</v>
      </c>
      <c r="HY523" t="s">
        <v>1767</v>
      </c>
      <c r="HZ523" t="s">
        <v>1813</v>
      </c>
      <c r="IU523" t="s">
        <v>1767</v>
      </c>
      <c r="IV523" s="54" t="s">
        <v>1812</v>
      </c>
      <c r="IW523" s="54" t="s">
        <v>1812</v>
      </c>
      <c r="IX523" s="54" t="s">
        <v>1799</v>
      </c>
      <c r="IY523">
        <v>1</v>
      </c>
      <c r="IZ523">
        <v>6</v>
      </c>
      <c r="MS523" t="s">
        <v>1824</v>
      </c>
      <c r="MT523">
        <v>1963</v>
      </c>
      <c r="MU523" t="s">
        <v>1769</v>
      </c>
      <c r="MW523" t="s">
        <v>1764</v>
      </c>
      <c r="NB523" t="s">
        <v>1808</v>
      </c>
      <c r="NC523" t="s">
        <v>711</v>
      </c>
      <c r="NE523" t="s">
        <v>203</v>
      </c>
      <c r="NG523" t="s">
        <v>203</v>
      </c>
      <c r="NH523" s="6" t="s">
        <v>1820</v>
      </c>
      <c r="NP523" t="s">
        <v>1847</v>
      </c>
      <c r="NQ523" t="s">
        <v>6</v>
      </c>
      <c r="NR523">
        <v>1.2</v>
      </c>
      <c r="NS523" t="s">
        <v>1456</v>
      </c>
      <c r="NT523">
        <v>1.4</v>
      </c>
      <c r="NW523">
        <v>7</v>
      </c>
      <c r="OH523" t="s">
        <v>1594</v>
      </c>
      <c r="OJ523">
        <v>2010</v>
      </c>
      <c r="OO523" t="s">
        <v>1178</v>
      </c>
      <c r="OP523" s="58">
        <v>46108</v>
      </c>
    </row>
    <row r="524" spans="1:406" ht="15.75" thickBot="1">
      <c r="A524" t="s">
        <v>36</v>
      </c>
      <c r="B524" t="s">
        <v>1758</v>
      </c>
      <c r="C524" t="s">
        <v>1759</v>
      </c>
      <c r="D524" s="4" t="s">
        <v>245</v>
      </c>
      <c r="E524" t="s">
        <v>1825</v>
      </c>
      <c r="F524" s="4" t="s">
        <v>1823</v>
      </c>
      <c r="G524" t="s">
        <v>254</v>
      </c>
      <c r="H524" t="s">
        <v>30</v>
      </c>
      <c r="I524">
        <v>-23.748532000000001</v>
      </c>
      <c r="J524">
        <v>-62.056702000000001</v>
      </c>
      <c r="K524" s="87" t="s">
        <v>29</v>
      </c>
      <c r="AV524" t="s">
        <v>1785</v>
      </c>
      <c r="AW524" t="s">
        <v>234</v>
      </c>
      <c r="AX524">
        <v>1000</v>
      </c>
      <c r="AY524" s="5">
        <v>5.5555555555555558E-3</v>
      </c>
      <c r="AZ524" t="s">
        <v>1822</v>
      </c>
      <c r="BA524">
        <v>2010</v>
      </c>
      <c r="BD524" t="s">
        <v>1844</v>
      </c>
      <c r="BE524" t="s">
        <v>1761</v>
      </c>
      <c r="BF524" t="s">
        <v>39</v>
      </c>
      <c r="BG524" t="s">
        <v>1762</v>
      </c>
      <c r="EE524" t="s">
        <v>1793</v>
      </c>
      <c r="EF524" t="s">
        <v>29</v>
      </c>
      <c r="EG524" t="s">
        <v>29</v>
      </c>
      <c r="EH524" t="s">
        <v>29</v>
      </c>
      <c r="EI524" t="s">
        <v>1792</v>
      </c>
      <c r="EJ524" t="s">
        <v>29</v>
      </c>
      <c r="EK524" t="s">
        <v>29</v>
      </c>
      <c r="EL524" t="s">
        <v>29</v>
      </c>
      <c r="EM524" t="s">
        <v>1787</v>
      </c>
      <c r="EN524" t="s">
        <v>29</v>
      </c>
      <c r="EO524" t="s">
        <v>29</v>
      </c>
      <c r="EP524" t="s">
        <v>29</v>
      </c>
      <c r="EQ524" t="s">
        <v>1788</v>
      </c>
      <c r="ER524" t="s">
        <v>29</v>
      </c>
      <c r="ES524" t="s">
        <v>29</v>
      </c>
      <c r="ET524" t="s">
        <v>29</v>
      </c>
      <c r="EU524" t="s">
        <v>1789</v>
      </c>
      <c r="EV524" t="s">
        <v>29</v>
      </c>
      <c r="EW524" t="s">
        <v>29</v>
      </c>
      <c r="EX524" t="s">
        <v>29</v>
      </c>
      <c r="EY524" t="s">
        <v>1790</v>
      </c>
      <c r="EZ524" t="s">
        <v>29</v>
      </c>
      <c r="FA524" t="s">
        <v>29</v>
      </c>
      <c r="FB524" t="s">
        <v>29</v>
      </c>
      <c r="FC524" t="s">
        <v>1791</v>
      </c>
      <c r="FD524" t="s">
        <v>29</v>
      </c>
      <c r="FE524" t="s">
        <v>29</v>
      </c>
      <c r="FF524" t="s">
        <v>29</v>
      </c>
      <c r="HY524" t="s">
        <v>1761</v>
      </c>
      <c r="IU524" t="s">
        <v>1761</v>
      </c>
      <c r="IV524" t="s">
        <v>1810</v>
      </c>
      <c r="IW524" t="s">
        <v>1810</v>
      </c>
      <c r="IX524" t="s">
        <v>1810</v>
      </c>
      <c r="IY524">
        <v>5</v>
      </c>
      <c r="IZ524">
        <v>70</v>
      </c>
      <c r="MS524" t="s">
        <v>1824</v>
      </c>
      <c r="MT524">
        <v>1963</v>
      </c>
      <c r="MU524" t="s">
        <v>1771</v>
      </c>
      <c r="MW524" t="s">
        <v>1764</v>
      </c>
      <c r="NB524" t="s">
        <v>1772</v>
      </c>
      <c r="NC524" t="s">
        <v>711</v>
      </c>
      <c r="NE524" t="s">
        <v>203</v>
      </c>
      <c r="NG524" t="s">
        <v>203</v>
      </c>
      <c r="NH524" s="6" t="s">
        <v>1820</v>
      </c>
      <c r="NP524" t="s">
        <v>1846</v>
      </c>
      <c r="NQ524" t="s">
        <v>6</v>
      </c>
      <c r="NR524">
        <v>2.7</v>
      </c>
      <c r="NS524" t="s">
        <v>1456</v>
      </c>
      <c r="NT524">
        <v>1.8</v>
      </c>
      <c r="NW524">
        <v>6</v>
      </c>
      <c r="OH524" t="s">
        <v>1594</v>
      </c>
      <c r="OJ524">
        <v>2010</v>
      </c>
      <c r="OO524" t="s">
        <v>1178</v>
      </c>
      <c r="OP524" s="58">
        <v>46108</v>
      </c>
    </row>
    <row r="525" spans="1:406" ht="15.75" thickBot="1">
      <c r="A525" t="s">
        <v>36</v>
      </c>
      <c r="B525" t="s">
        <v>1758</v>
      </c>
      <c r="C525" t="s">
        <v>1759</v>
      </c>
      <c r="D525" s="4" t="s">
        <v>245</v>
      </c>
      <c r="E525" t="s">
        <v>1825</v>
      </c>
      <c r="F525" s="4" t="s">
        <v>1823</v>
      </c>
      <c r="G525" t="s">
        <v>254</v>
      </c>
      <c r="H525" t="s">
        <v>30</v>
      </c>
      <c r="I525">
        <v>-23.748532000000001</v>
      </c>
      <c r="J525">
        <v>-62.056702000000001</v>
      </c>
      <c r="K525" s="87" t="s">
        <v>29</v>
      </c>
      <c r="AV525" t="s">
        <v>1785</v>
      </c>
      <c r="AW525" t="s">
        <v>234</v>
      </c>
      <c r="AX525" t="s">
        <v>234</v>
      </c>
      <c r="AY525" s="5">
        <v>5.5555555555555558E-3</v>
      </c>
      <c r="AZ525" t="s">
        <v>1822</v>
      </c>
      <c r="BA525">
        <v>2010</v>
      </c>
      <c r="BD525" t="s">
        <v>1778</v>
      </c>
      <c r="BE525" t="s">
        <v>1779</v>
      </c>
      <c r="BF525" t="s">
        <v>64</v>
      </c>
      <c r="BG525" t="s">
        <v>1798</v>
      </c>
      <c r="BH525" t="s">
        <v>1796</v>
      </c>
      <c r="BI525" t="s">
        <v>1801</v>
      </c>
      <c r="BJ525" t="s">
        <v>29</v>
      </c>
      <c r="BK525" t="s">
        <v>29</v>
      </c>
      <c r="EE525" t="s">
        <v>1793</v>
      </c>
      <c r="EF525" t="s">
        <v>29</v>
      </c>
      <c r="EG525" t="s">
        <v>29</v>
      </c>
      <c r="EH525" t="s">
        <v>29</v>
      </c>
      <c r="EI525" t="s">
        <v>1792</v>
      </c>
      <c r="EJ525" t="s">
        <v>29</v>
      </c>
      <c r="EK525" t="s">
        <v>29</v>
      </c>
      <c r="EL525" t="s">
        <v>29</v>
      </c>
      <c r="EM525" t="s">
        <v>1787</v>
      </c>
      <c r="EN525" t="s">
        <v>29</v>
      </c>
      <c r="EO525" t="s">
        <v>29</v>
      </c>
      <c r="EP525" t="s">
        <v>29</v>
      </c>
      <c r="EQ525" t="s">
        <v>1788</v>
      </c>
      <c r="ER525" t="s">
        <v>29</v>
      </c>
      <c r="ES525" t="s">
        <v>29</v>
      </c>
      <c r="ET525" t="s">
        <v>29</v>
      </c>
      <c r="EU525" t="s">
        <v>1789</v>
      </c>
      <c r="EV525" t="s">
        <v>29</v>
      </c>
      <c r="EW525" t="s">
        <v>29</v>
      </c>
      <c r="EX525" t="s">
        <v>29</v>
      </c>
      <c r="EY525" t="s">
        <v>1790</v>
      </c>
      <c r="EZ525" t="s">
        <v>29</v>
      </c>
      <c r="FA525" t="s">
        <v>29</v>
      </c>
      <c r="FB525" t="s">
        <v>29</v>
      </c>
      <c r="FC525" t="s">
        <v>1791</v>
      </c>
      <c r="FD525" t="s">
        <v>29</v>
      </c>
      <c r="FE525" t="s">
        <v>29</v>
      </c>
      <c r="FF525" t="s">
        <v>29</v>
      </c>
      <c r="GM525" t="s">
        <v>1794</v>
      </c>
      <c r="GN525" s="9" t="s">
        <v>29</v>
      </c>
      <c r="GO525" s="9" t="s">
        <v>29</v>
      </c>
      <c r="GP525" s="9" t="s">
        <v>29</v>
      </c>
      <c r="GQ525" s="9"/>
      <c r="GR525" s="9"/>
      <c r="GS525" s="9"/>
      <c r="GT525" s="9"/>
      <c r="GU525" s="9"/>
      <c r="GV525" s="9"/>
      <c r="GW525" s="9"/>
      <c r="GX525" s="9"/>
      <c r="GY525" s="9"/>
      <c r="GZ525" s="9"/>
      <c r="HA525" s="9"/>
      <c r="HB525" s="9"/>
      <c r="HC525" s="9"/>
      <c r="HD525" s="9"/>
      <c r="HE525" s="9"/>
      <c r="HF525" s="9"/>
      <c r="HG525" s="9"/>
      <c r="HH525" s="9"/>
      <c r="HI525" s="9"/>
      <c r="HJ525" s="9"/>
      <c r="HK525" s="9"/>
      <c r="HL525" s="9"/>
      <c r="HX525" s="58"/>
      <c r="HY525" t="s">
        <v>1779</v>
      </c>
      <c r="HZ525" t="s">
        <v>1814</v>
      </c>
      <c r="IU525" t="s">
        <v>1779</v>
      </c>
      <c r="IV525" s="84" t="s">
        <v>1811</v>
      </c>
      <c r="IW525" t="s">
        <v>1786</v>
      </c>
      <c r="IX525" s="54" t="s">
        <v>1795</v>
      </c>
      <c r="IY525">
        <v>1</v>
      </c>
      <c r="IZ525">
        <v>81</v>
      </c>
      <c r="MS525" t="s">
        <v>1824</v>
      </c>
      <c r="MT525">
        <v>1963</v>
      </c>
      <c r="MU525" t="s">
        <v>1771</v>
      </c>
      <c r="MW525" t="s">
        <v>1764</v>
      </c>
      <c r="NB525" t="s">
        <v>1772</v>
      </c>
      <c r="NC525" t="s">
        <v>711</v>
      </c>
      <c r="NE525" t="s">
        <v>203</v>
      </c>
      <c r="NG525" t="s">
        <v>203</v>
      </c>
      <c r="NH525" s="6" t="s">
        <v>1820</v>
      </c>
      <c r="NQ525" t="s">
        <v>6</v>
      </c>
      <c r="NR525">
        <v>2.2999999999999998</v>
      </c>
      <c r="NS525" t="s">
        <v>1456</v>
      </c>
      <c r="NT525">
        <v>2.5</v>
      </c>
      <c r="NW525">
        <v>8</v>
      </c>
      <c r="OH525" t="s">
        <v>1594</v>
      </c>
      <c r="OJ525">
        <v>2010</v>
      </c>
      <c r="OO525" t="s">
        <v>1178</v>
      </c>
      <c r="OP525" s="58">
        <v>46108</v>
      </c>
    </row>
    <row r="526" spans="1:406" ht="15.75" thickBot="1">
      <c r="A526" t="s">
        <v>36</v>
      </c>
      <c r="B526" t="s">
        <v>1758</v>
      </c>
      <c r="C526" t="s">
        <v>1759</v>
      </c>
      <c r="D526" s="4" t="s">
        <v>245</v>
      </c>
      <c r="E526" t="s">
        <v>1825</v>
      </c>
      <c r="F526" s="4" t="s">
        <v>1823</v>
      </c>
      <c r="G526" t="s">
        <v>254</v>
      </c>
      <c r="H526" t="s">
        <v>30</v>
      </c>
      <c r="I526">
        <v>-23.748532000000001</v>
      </c>
      <c r="J526">
        <v>-62.056702000000001</v>
      </c>
      <c r="K526" s="87" t="s">
        <v>29</v>
      </c>
      <c r="AV526" t="s">
        <v>1785</v>
      </c>
      <c r="AW526" t="s">
        <v>234</v>
      </c>
      <c r="AX526">
        <v>3600</v>
      </c>
      <c r="AY526" s="5">
        <v>5.5555555555555558E-3</v>
      </c>
      <c r="AZ526" t="s">
        <v>1822</v>
      </c>
      <c r="BA526">
        <v>2010</v>
      </c>
      <c r="BD526" t="s">
        <v>1778</v>
      </c>
      <c r="BE526" t="s">
        <v>1781</v>
      </c>
      <c r="BF526" t="s">
        <v>57</v>
      </c>
      <c r="BG526" t="s">
        <v>1798</v>
      </c>
      <c r="BH526" t="s">
        <v>1796</v>
      </c>
      <c r="BI526" t="s">
        <v>29</v>
      </c>
      <c r="BJ526" t="s">
        <v>29</v>
      </c>
      <c r="BK526" t="s">
        <v>29</v>
      </c>
      <c r="EE526" t="s">
        <v>1793</v>
      </c>
      <c r="EF526" t="s">
        <v>29</v>
      </c>
      <c r="EG526" t="s">
        <v>29</v>
      </c>
      <c r="EH526" t="s">
        <v>29</v>
      </c>
      <c r="EI526" t="s">
        <v>1792</v>
      </c>
      <c r="EJ526" t="s">
        <v>29</v>
      </c>
      <c r="EK526" t="s">
        <v>29</v>
      </c>
      <c r="EL526" t="s">
        <v>29</v>
      </c>
      <c r="EM526" t="s">
        <v>1787</v>
      </c>
      <c r="EN526" t="s">
        <v>29</v>
      </c>
      <c r="EO526" t="s">
        <v>29</v>
      </c>
      <c r="EP526" t="s">
        <v>29</v>
      </c>
      <c r="EQ526" t="s">
        <v>1788</v>
      </c>
      <c r="ER526" t="s">
        <v>29</v>
      </c>
      <c r="ES526" t="s">
        <v>29</v>
      </c>
      <c r="ET526" t="s">
        <v>29</v>
      </c>
      <c r="EU526" t="s">
        <v>1789</v>
      </c>
      <c r="EV526" t="s">
        <v>29</v>
      </c>
      <c r="EW526" t="s">
        <v>29</v>
      </c>
      <c r="EX526" t="s">
        <v>29</v>
      </c>
      <c r="EY526" t="s">
        <v>1790</v>
      </c>
      <c r="EZ526" t="s">
        <v>29</v>
      </c>
      <c r="FA526" t="s">
        <v>29</v>
      </c>
      <c r="FB526" t="s">
        <v>29</v>
      </c>
      <c r="FC526" t="s">
        <v>1791</v>
      </c>
      <c r="FD526" t="s">
        <v>29</v>
      </c>
      <c r="FE526" t="s">
        <v>29</v>
      </c>
      <c r="FF526" t="s">
        <v>29</v>
      </c>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t="s">
        <v>1794</v>
      </c>
      <c r="GN526" s="9" t="s">
        <v>29</v>
      </c>
      <c r="GO526" s="9" t="s">
        <v>29</v>
      </c>
      <c r="GP526" s="9" t="s">
        <v>29</v>
      </c>
      <c r="GQ526" s="9"/>
      <c r="GR526" s="9"/>
      <c r="GS526" s="9"/>
      <c r="GT526" s="9"/>
      <c r="GU526" s="9"/>
      <c r="GV526" s="9"/>
      <c r="GW526" s="9"/>
      <c r="GX526" s="9"/>
      <c r="GY526" s="9"/>
      <c r="GZ526" s="9"/>
      <c r="HA526" s="9"/>
      <c r="HB526" s="9"/>
      <c r="HC526" s="9"/>
      <c r="HD526" s="9"/>
      <c r="HE526" s="9"/>
      <c r="HF526" s="9"/>
      <c r="HG526" s="9"/>
      <c r="HH526" s="9"/>
      <c r="HI526" s="9"/>
      <c r="HJ526" s="9"/>
      <c r="HK526" s="9"/>
      <c r="HL526" s="9"/>
      <c r="HX526" s="58"/>
      <c r="HY526" t="s">
        <v>1781</v>
      </c>
      <c r="HZ526" t="s">
        <v>1814</v>
      </c>
      <c r="IU526" t="s">
        <v>1781</v>
      </c>
      <c r="IV526" s="84" t="s">
        <v>1811</v>
      </c>
      <c r="IW526" s="12" t="s">
        <v>1786</v>
      </c>
      <c r="IX526" s="54" t="s">
        <v>1797</v>
      </c>
      <c r="IY526">
        <v>7.5</v>
      </c>
      <c r="IZ526">
        <v>56</v>
      </c>
      <c r="MS526" t="s">
        <v>1824</v>
      </c>
      <c r="MT526">
        <v>1963</v>
      </c>
      <c r="MU526" t="s">
        <v>1771</v>
      </c>
      <c r="MW526" t="s">
        <v>1764</v>
      </c>
      <c r="NB526" t="s">
        <v>1772</v>
      </c>
      <c r="NC526" t="s">
        <v>711</v>
      </c>
      <c r="NE526" t="s">
        <v>203</v>
      </c>
      <c r="NG526" t="s">
        <v>203</v>
      </c>
      <c r="NH526" s="6" t="s">
        <v>1820</v>
      </c>
      <c r="NQ526" t="s">
        <v>6</v>
      </c>
      <c r="NR526">
        <v>0.8</v>
      </c>
      <c r="NS526" t="s">
        <v>1456</v>
      </c>
      <c r="NT526">
        <v>1.1000000000000001</v>
      </c>
      <c r="NW526">
        <v>7</v>
      </c>
      <c r="OH526" t="s">
        <v>1594</v>
      </c>
      <c r="OJ526">
        <v>2010</v>
      </c>
      <c r="OO526" t="s">
        <v>1178</v>
      </c>
      <c r="OP526" s="58">
        <v>46108</v>
      </c>
    </row>
    <row r="527" spans="1:406" ht="15.75" thickBot="1">
      <c r="A527" t="s">
        <v>36</v>
      </c>
      <c r="B527" t="s">
        <v>1758</v>
      </c>
      <c r="C527" t="s">
        <v>1759</v>
      </c>
      <c r="D527" s="4" t="s">
        <v>245</v>
      </c>
      <c r="E527" t="s">
        <v>1825</v>
      </c>
      <c r="F527" s="4" t="s">
        <v>1823</v>
      </c>
      <c r="G527" t="s">
        <v>254</v>
      </c>
      <c r="H527" t="s">
        <v>30</v>
      </c>
      <c r="I527">
        <v>-23.748532000000001</v>
      </c>
      <c r="J527">
        <v>-62.056702000000001</v>
      </c>
      <c r="K527" s="87" t="s">
        <v>29</v>
      </c>
      <c r="AV527" t="s">
        <v>1785</v>
      </c>
      <c r="AW527" t="s">
        <v>234</v>
      </c>
      <c r="AX527">
        <v>3600</v>
      </c>
      <c r="AY527" s="5">
        <v>5.5555555555555558E-3</v>
      </c>
      <c r="AZ527" t="s">
        <v>1822</v>
      </c>
      <c r="BA527">
        <v>2010</v>
      </c>
      <c r="BD527" t="s">
        <v>1778</v>
      </c>
      <c r="BE527" t="s">
        <v>1783</v>
      </c>
      <c r="BF527" t="s">
        <v>48</v>
      </c>
      <c r="BG527" t="s">
        <v>1798</v>
      </c>
      <c r="BH527" t="s">
        <v>1800</v>
      </c>
      <c r="BI527" t="s">
        <v>29</v>
      </c>
      <c r="BJ527" t="s">
        <v>29</v>
      </c>
      <c r="BK527" t="s">
        <v>29</v>
      </c>
      <c r="EE527" t="s">
        <v>1793</v>
      </c>
      <c r="EF527" t="s">
        <v>29</v>
      </c>
      <c r="EG527" t="s">
        <v>29</v>
      </c>
      <c r="EH527" t="s">
        <v>29</v>
      </c>
      <c r="EI527" t="s">
        <v>1792</v>
      </c>
      <c r="EJ527" t="s">
        <v>29</v>
      </c>
      <c r="EK527" t="s">
        <v>29</v>
      </c>
      <c r="EL527" t="s">
        <v>29</v>
      </c>
      <c r="EM527" t="s">
        <v>1787</v>
      </c>
      <c r="EN527" t="s">
        <v>29</v>
      </c>
      <c r="EO527" t="s">
        <v>29</v>
      </c>
      <c r="EP527" t="s">
        <v>29</v>
      </c>
      <c r="EQ527" t="s">
        <v>1788</v>
      </c>
      <c r="ER527" t="s">
        <v>29</v>
      </c>
      <c r="ES527" t="s">
        <v>29</v>
      </c>
      <c r="ET527" t="s">
        <v>29</v>
      </c>
      <c r="EU527" t="s">
        <v>1789</v>
      </c>
      <c r="EV527" t="s">
        <v>29</v>
      </c>
      <c r="EW527" t="s">
        <v>29</v>
      </c>
      <c r="EX527" t="s">
        <v>29</v>
      </c>
      <c r="EY527" t="s">
        <v>1790</v>
      </c>
      <c r="EZ527" t="s">
        <v>29</v>
      </c>
      <c r="FA527" t="s">
        <v>29</v>
      </c>
      <c r="FB527" t="s">
        <v>29</v>
      </c>
      <c r="FC527" t="s">
        <v>1791</v>
      </c>
      <c r="FD527" t="s">
        <v>29</v>
      </c>
      <c r="FE527" t="s">
        <v>29</v>
      </c>
      <c r="FF527" t="s">
        <v>29</v>
      </c>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t="s">
        <v>1794</v>
      </c>
      <c r="GN527" s="9" t="s">
        <v>29</v>
      </c>
      <c r="GO527" s="9" t="s">
        <v>29</v>
      </c>
      <c r="GP527" s="9" t="s">
        <v>29</v>
      </c>
      <c r="GQ527" s="9"/>
      <c r="GR527" s="9"/>
      <c r="GS527" s="9"/>
      <c r="GT527" s="9"/>
      <c r="GU527" s="9"/>
      <c r="GV527" s="9"/>
      <c r="GW527" s="9"/>
      <c r="GX527" s="9"/>
      <c r="GY527" s="9"/>
      <c r="GZ527" s="9"/>
      <c r="HA527" s="9"/>
      <c r="HB527" s="9"/>
      <c r="HC527" s="9"/>
      <c r="HD527" s="9"/>
      <c r="HE527" s="9"/>
      <c r="HF527" s="9"/>
      <c r="HG527" s="9"/>
      <c r="HH527" s="9"/>
      <c r="HI527" s="9"/>
      <c r="HJ527" s="9"/>
      <c r="HK527" s="9"/>
      <c r="HL527" s="9"/>
      <c r="HX527" s="58"/>
      <c r="HY527" t="s">
        <v>1783</v>
      </c>
      <c r="HZ527" t="s">
        <v>1813</v>
      </c>
      <c r="IU527" t="s">
        <v>1783</v>
      </c>
      <c r="IV527" s="84" t="s">
        <v>1811</v>
      </c>
      <c r="IW527" s="12" t="s">
        <v>1786</v>
      </c>
      <c r="IX527" s="54" t="s">
        <v>1797</v>
      </c>
      <c r="IY527">
        <v>7.5</v>
      </c>
      <c r="IZ527">
        <v>37</v>
      </c>
      <c r="MS527" t="s">
        <v>1824</v>
      </c>
      <c r="MT527">
        <v>1963</v>
      </c>
      <c r="MU527" t="s">
        <v>1771</v>
      </c>
      <c r="MW527" t="s">
        <v>1764</v>
      </c>
      <c r="NB527" t="s">
        <v>1772</v>
      </c>
      <c r="NC527" t="s">
        <v>711</v>
      </c>
      <c r="NE527" t="s">
        <v>203</v>
      </c>
      <c r="NG527" t="s">
        <v>203</v>
      </c>
      <c r="NH527" s="6" t="s">
        <v>1820</v>
      </c>
      <c r="NQ527" t="s">
        <v>6</v>
      </c>
      <c r="NR527">
        <v>0.5</v>
      </c>
      <c r="NS527" t="s">
        <v>1456</v>
      </c>
      <c r="NT527">
        <v>0.9</v>
      </c>
      <c r="NW527">
        <v>5</v>
      </c>
      <c r="OH527" t="s">
        <v>1594</v>
      </c>
      <c r="OJ527">
        <v>2010</v>
      </c>
      <c r="OO527" t="s">
        <v>1178</v>
      </c>
      <c r="OP527" s="58">
        <v>46108</v>
      </c>
    </row>
    <row r="528" spans="1:406" ht="15.75" thickBot="1">
      <c r="A528" t="s">
        <v>36</v>
      </c>
      <c r="B528" t="s">
        <v>1758</v>
      </c>
      <c r="C528" t="s">
        <v>1759</v>
      </c>
      <c r="D528" s="4" t="s">
        <v>245</v>
      </c>
      <c r="E528" t="s">
        <v>1825</v>
      </c>
      <c r="F528" s="4" t="s">
        <v>1823</v>
      </c>
      <c r="G528" t="s">
        <v>254</v>
      </c>
      <c r="H528" t="s">
        <v>30</v>
      </c>
      <c r="I528">
        <v>-23.748532000000001</v>
      </c>
      <c r="J528">
        <v>-62.056702000000001</v>
      </c>
      <c r="K528" s="87" t="s">
        <v>29</v>
      </c>
      <c r="AV528" t="s">
        <v>1785</v>
      </c>
      <c r="AW528" t="s">
        <v>234</v>
      </c>
      <c r="AX528" t="s">
        <v>234</v>
      </c>
      <c r="AY528" s="5">
        <v>5.5555555555555558E-3</v>
      </c>
      <c r="AZ528" t="s">
        <v>1822</v>
      </c>
      <c r="BA528">
        <v>2010</v>
      </c>
      <c r="BD528" t="s">
        <v>1766</v>
      </c>
      <c r="BE528" t="s">
        <v>1767</v>
      </c>
      <c r="BF528" t="s">
        <v>24</v>
      </c>
      <c r="BG528" t="s">
        <v>1798</v>
      </c>
      <c r="BH528" t="s">
        <v>1800</v>
      </c>
      <c r="BI528" t="s">
        <v>29</v>
      </c>
      <c r="BJ528" t="s">
        <v>29</v>
      </c>
      <c r="BK528" t="s">
        <v>29</v>
      </c>
      <c r="GM528" t="s">
        <v>1794</v>
      </c>
      <c r="GN528" s="9" t="s">
        <v>29</v>
      </c>
      <c r="GO528" s="9" t="s">
        <v>29</v>
      </c>
      <c r="GP528" s="9" t="s">
        <v>29</v>
      </c>
      <c r="HY528" t="s">
        <v>1767</v>
      </c>
      <c r="HZ528" t="s">
        <v>1813</v>
      </c>
      <c r="IU528" t="s">
        <v>1767</v>
      </c>
      <c r="IV528" s="54" t="s">
        <v>1812</v>
      </c>
      <c r="IW528" s="54" t="s">
        <v>1812</v>
      </c>
      <c r="IX528" s="54" t="s">
        <v>1799</v>
      </c>
      <c r="IY528">
        <v>1</v>
      </c>
      <c r="IZ528">
        <v>6</v>
      </c>
      <c r="MS528" t="s">
        <v>1824</v>
      </c>
      <c r="MT528">
        <v>1963</v>
      </c>
      <c r="MU528" t="s">
        <v>1771</v>
      </c>
      <c r="MW528" t="s">
        <v>1764</v>
      </c>
      <c r="NB528" t="s">
        <v>1772</v>
      </c>
      <c r="NC528" t="s">
        <v>711</v>
      </c>
      <c r="NE528" t="s">
        <v>203</v>
      </c>
      <c r="NG528" t="s">
        <v>203</v>
      </c>
      <c r="NH528" s="6" t="s">
        <v>1820</v>
      </c>
      <c r="NP528" t="s">
        <v>1847</v>
      </c>
      <c r="NQ528" t="s">
        <v>6</v>
      </c>
      <c r="NR528">
        <v>0</v>
      </c>
      <c r="NS528" t="s">
        <v>1456</v>
      </c>
      <c r="NT528">
        <v>0</v>
      </c>
      <c r="NW528">
        <v>7</v>
      </c>
      <c r="OH528" t="s">
        <v>1594</v>
      </c>
      <c r="OJ528">
        <v>2010</v>
      </c>
      <c r="OO528" t="s">
        <v>1178</v>
      </c>
      <c r="OP528" s="58">
        <v>46108</v>
      </c>
    </row>
    <row r="529" spans="1:406" ht="15.75" thickBot="1">
      <c r="A529" t="s">
        <v>36</v>
      </c>
      <c r="B529" t="s">
        <v>1758</v>
      </c>
      <c r="C529" t="s">
        <v>1759</v>
      </c>
      <c r="D529" s="4" t="s">
        <v>245</v>
      </c>
      <c r="E529" t="s">
        <v>1825</v>
      </c>
      <c r="F529" s="4" t="s">
        <v>1823</v>
      </c>
      <c r="G529" t="s">
        <v>254</v>
      </c>
      <c r="H529" t="s">
        <v>30</v>
      </c>
      <c r="I529">
        <v>-23.748532000000001</v>
      </c>
      <c r="J529">
        <v>-62.056702000000001</v>
      </c>
      <c r="K529" s="87" t="s">
        <v>29</v>
      </c>
      <c r="AV529" t="s">
        <v>1785</v>
      </c>
      <c r="AW529" t="s">
        <v>234</v>
      </c>
      <c r="AX529">
        <v>1000</v>
      </c>
      <c r="AY529" s="5">
        <v>5.5555555555555558E-3</v>
      </c>
      <c r="AZ529" t="s">
        <v>1822</v>
      </c>
      <c r="BA529">
        <v>2010</v>
      </c>
      <c r="BD529" t="s">
        <v>1844</v>
      </c>
      <c r="BE529" t="s">
        <v>1761</v>
      </c>
      <c r="BF529" t="s">
        <v>39</v>
      </c>
      <c r="BG529" t="s">
        <v>1762</v>
      </c>
      <c r="EE529" t="s">
        <v>1793</v>
      </c>
      <c r="EF529" t="s">
        <v>29</v>
      </c>
      <c r="EG529" t="s">
        <v>29</v>
      </c>
      <c r="EH529" t="s">
        <v>29</v>
      </c>
      <c r="EI529" t="s">
        <v>1792</v>
      </c>
      <c r="EJ529" t="s">
        <v>29</v>
      </c>
      <c r="EK529" t="s">
        <v>29</v>
      </c>
      <c r="EL529" t="s">
        <v>29</v>
      </c>
      <c r="EM529" t="s">
        <v>1787</v>
      </c>
      <c r="EN529" t="s">
        <v>29</v>
      </c>
      <c r="EO529" t="s">
        <v>29</v>
      </c>
      <c r="EP529" t="s">
        <v>29</v>
      </c>
      <c r="EQ529" t="s">
        <v>1788</v>
      </c>
      <c r="ER529" t="s">
        <v>29</v>
      </c>
      <c r="ES529" t="s">
        <v>29</v>
      </c>
      <c r="ET529" t="s">
        <v>29</v>
      </c>
      <c r="EU529" t="s">
        <v>1789</v>
      </c>
      <c r="EV529" t="s">
        <v>29</v>
      </c>
      <c r="EW529" t="s">
        <v>29</v>
      </c>
      <c r="EX529" t="s">
        <v>29</v>
      </c>
      <c r="EY529" t="s">
        <v>1790</v>
      </c>
      <c r="EZ529" t="s">
        <v>29</v>
      </c>
      <c r="FA529" t="s">
        <v>29</v>
      </c>
      <c r="FB529" t="s">
        <v>29</v>
      </c>
      <c r="FC529" t="s">
        <v>1791</v>
      </c>
      <c r="FD529" t="s">
        <v>29</v>
      </c>
      <c r="FE529" t="s">
        <v>29</v>
      </c>
      <c r="FF529" t="s">
        <v>29</v>
      </c>
      <c r="HY529" t="s">
        <v>1761</v>
      </c>
      <c r="IU529" t="s">
        <v>1761</v>
      </c>
      <c r="IV529" t="s">
        <v>1810</v>
      </c>
      <c r="IW529" t="s">
        <v>1810</v>
      </c>
      <c r="IX529" t="s">
        <v>1810</v>
      </c>
      <c r="IY529">
        <v>5</v>
      </c>
      <c r="IZ529">
        <v>70</v>
      </c>
      <c r="MS529" t="s">
        <v>1824</v>
      </c>
      <c r="MT529">
        <v>1963</v>
      </c>
      <c r="MU529" t="s">
        <v>1773</v>
      </c>
      <c r="MW529" t="s">
        <v>1764</v>
      </c>
      <c r="NB529" t="s">
        <v>1774</v>
      </c>
      <c r="NC529" t="s">
        <v>711</v>
      </c>
      <c r="NE529" t="s">
        <v>203</v>
      </c>
      <c r="NG529" t="s">
        <v>203</v>
      </c>
      <c r="NH529" s="6" t="s">
        <v>1820</v>
      </c>
      <c r="NP529" t="s">
        <v>1846</v>
      </c>
      <c r="NQ529" t="s">
        <v>6</v>
      </c>
      <c r="NR529">
        <v>5.2</v>
      </c>
      <c r="NS529" t="s">
        <v>1456</v>
      </c>
      <c r="NT529">
        <v>5.2</v>
      </c>
      <c r="NW529">
        <v>6</v>
      </c>
      <c r="OH529" t="s">
        <v>1594</v>
      </c>
      <c r="OJ529">
        <v>2010</v>
      </c>
      <c r="OO529" t="s">
        <v>1178</v>
      </c>
      <c r="OP529" s="58">
        <v>46108</v>
      </c>
    </row>
    <row r="530" spans="1:406" ht="15.75" thickBot="1">
      <c r="A530" t="s">
        <v>36</v>
      </c>
      <c r="B530" t="s">
        <v>1758</v>
      </c>
      <c r="C530" t="s">
        <v>1759</v>
      </c>
      <c r="D530" s="4" t="s">
        <v>245</v>
      </c>
      <c r="E530" t="s">
        <v>1825</v>
      </c>
      <c r="F530" s="4" t="s">
        <v>1823</v>
      </c>
      <c r="G530" t="s">
        <v>254</v>
      </c>
      <c r="H530" t="s">
        <v>30</v>
      </c>
      <c r="I530">
        <v>-23.748532000000001</v>
      </c>
      <c r="J530">
        <v>-62.056702000000001</v>
      </c>
      <c r="K530" s="87" t="s">
        <v>29</v>
      </c>
      <c r="AV530" t="s">
        <v>1785</v>
      </c>
      <c r="AW530" t="s">
        <v>234</v>
      </c>
      <c r="AX530" t="s">
        <v>234</v>
      </c>
      <c r="AY530" s="5">
        <v>5.5555555555555558E-3</v>
      </c>
      <c r="AZ530" t="s">
        <v>1822</v>
      </c>
      <c r="BA530">
        <v>2010</v>
      </c>
      <c r="BD530" t="s">
        <v>1778</v>
      </c>
      <c r="BE530" t="s">
        <v>1779</v>
      </c>
      <c r="BF530" t="s">
        <v>64</v>
      </c>
      <c r="BG530" t="s">
        <v>1798</v>
      </c>
      <c r="BH530" t="s">
        <v>1796</v>
      </c>
      <c r="BI530" t="s">
        <v>1801</v>
      </c>
      <c r="BJ530" t="s">
        <v>29</v>
      </c>
      <c r="BK530" t="s">
        <v>29</v>
      </c>
      <c r="EE530" t="s">
        <v>1793</v>
      </c>
      <c r="EF530" t="s">
        <v>29</v>
      </c>
      <c r="EG530" t="s">
        <v>29</v>
      </c>
      <c r="EH530" t="s">
        <v>29</v>
      </c>
      <c r="EI530" t="s">
        <v>1792</v>
      </c>
      <c r="EJ530" t="s">
        <v>29</v>
      </c>
      <c r="EK530" t="s">
        <v>29</v>
      </c>
      <c r="EL530" t="s">
        <v>29</v>
      </c>
      <c r="EM530" t="s">
        <v>1787</v>
      </c>
      <c r="EN530" t="s">
        <v>29</v>
      </c>
      <c r="EO530" t="s">
        <v>29</v>
      </c>
      <c r="EP530" t="s">
        <v>29</v>
      </c>
      <c r="EQ530" t="s">
        <v>1788</v>
      </c>
      <c r="ER530" t="s">
        <v>29</v>
      </c>
      <c r="ES530" t="s">
        <v>29</v>
      </c>
      <c r="ET530" t="s">
        <v>29</v>
      </c>
      <c r="EU530" t="s">
        <v>1789</v>
      </c>
      <c r="EV530" t="s">
        <v>29</v>
      </c>
      <c r="EW530" t="s">
        <v>29</v>
      </c>
      <c r="EX530" t="s">
        <v>29</v>
      </c>
      <c r="EY530" t="s">
        <v>1790</v>
      </c>
      <c r="EZ530" t="s">
        <v>29</v>
      </c>
      <c r="FA530" t="s">
        <v>29</v>
      </c>
      <c r="FB530" t="s">
        <v>29</v>
      </c>
      <c r="FC530" t="s">
        <v>1791</v>
      </c>
      <c r="FD530" t="s">
        <v>29</v>
      </c>
      <c r="FE530" t="s">
        <v>29</v>
      </c>
      <c r="FF530" t="s">
        <v>29</v>
      </c>
      <c r="GM530" t="s">
        <v>1794</v>
      </c>
      <c r="GN530" s="9" t="s">
        <v>29</v>
      </c>
      <c r="GO530" s="9" t="s">
        <v>29</v>
      </c>
      <c r="GP530" s="9" t="s">
        <v>29</v>
      </c>
      <c r="GQ530" s="9"/>
      <c r="GR530" s="9"/>
      <c r="GS530" s="9"/>
      <c r="GT530" s="9"/>
      <c r="GU530" s="9"/>
      <c r="GV530" s="9"/>
      <c r="GW530" s="9"/>
      <c r="GX530" s="9"/>
      <c r="GY530" s="9"/>
      <c r="GZ530" s="9"/>
      <c r="HA530" s="9"/>
      <c r="HB530" s="9"/>
      <c r="HC530" s="9"/>
      <c r="HD530" s="9"/>
      <c r="HE530" s="9"/>
      <c r="HF530" s="9"/>
      <c r="HG530" s="9"/>
      <c r="HH530" s="9"/>
      <c r="HI530" s="9"/>
      <c r="HJ530" s="9"/>
      <c r="HK530" s="9"/>
      <c r="HL530" s="9"/>
      <c r="HX530" s="58"/>
      <c r="HY530" t="s">
        <v>1779</v>
      </c>
      <c r="HZ530" t="s">
        <v>1814</v>
      </c>
      <c r="IU530" t="s">
        <v>1779</v>
      </c>
      <c r="IV530" s="84" t="s">
        <v>1811</v>
      </c>
      <c r="IW530" t="s">
        <v>1786</v>
      </c>
      <c r="IX530" s="54" t="s">
        <v>1795</v>
      </c>
      <c r="IY530">
        <v>1</v>
      </c>
      <c r="IZ530">
        <v>81</v>
      </c>
      <c r="MS530" t="s">
        <v>1824</v>
      </c>
      <c r="MT530">
        <v>1963</v>
      </c>
      <c r="MU530" t="s">
        <v>1773</v>
      </c>
      <c r="MW530" t="s">
        <v>1764</v>
      </c>
      <c r="NB530" t="s">
        <v>1774</v>
      </c>
      <c r="NC530" t="s">
        <v>711</v>
      </c>
      <c r="NE530" t="s">
        <v>203</v>
      </c>
      <c r="NG530" t="s">
        <v>203</v>
      </c>
      <c r="NH530" s="6" t="s">
        <v>1820</v>
      </c>
      <c r="NQ530" t="s">
        <v>6</v>
      </c>
      <c r="NR530">
        <v>9.4</v>
      </c>
      <c r="NS530" t="s">
        <v>1456</v>
      </c>
      <c r="NT530">
        <v>15.7</v>
      </c>
      <c r="NW530">
        <v>8</v>
      </c>
      <c r="OH530" t="s">
        <v>1594</v>
      </c>
      <c r="OJ530">
        <v>2010</v>
      </c>
      <c r="OO530" t="s">
        <v>1178</v>
      </c>
      <c r="OP530" s="58">
        <v>46108</v>
      </c>
    </row>
    <row r="531" spans="1:406" ht="15.75" thickBot="1">
      <c r="A531" t="s">
        <v>36</v>
      </c>
      <c r="B531" t="s">
        <v>1758</v>
      </c>
      <c r="C531" t="s">
        <v>1759</v>
      </c>
      <c r="D531" s="4" t="s">
        <v>245</v>
      </c>
      <c r="E531" t="s">
        <v>1825</v>
      </c>
      <c r="F531" s="4" t="s">
        <v>1823</v>
      </c>
      <c r="G531" t="s">
        <v>254</v>
      </c>
      <c r="H531" t="s">
        <v>30</v>
      </c>
      <c r="I531">
        <v>-23.748532000000001</v>
      </c>
      <c r="J531">
        <v>-62.056702000000001</v>
      </c>
      <c r="K531" s="87" t="s">
        <v>29</v>
      </c>
      <c r="AV531" t="s">
        <v>1785</v>
      </c>
      <c r="AW531" t="s">
        <v>234</v>
      </c>
      <c r="AX531">
        <v>3600</v>
      </c>
      <c r="AY531" s="5">
        <v>5.5555555555555558E-3</v>
      </c>
      <c r="AZ531" t="s">
        <v>1822</v>
      </c>
      <c r="BA531">
        <v>2010</v>
      </c>
      <c r="BD531" t="s">
        <v>1778</v>
      </c>
      <c r="BE531" t="s">
        <v>1781</v>
      </c>
      <c r="BF531" t="s">
        <v>57</v>
      </c>
      <c r="BG531" t="s">
        <v>1798</v>
      </c>
      <c r="BH531" t="s">
        <v>1796</v>
      </c>
      <c r="BI531" t="s">
        <v>29</v>
      </c>
      <c r="BJ531" t="s">
        <v>29</v>
      </c>
      <c r="BK531" t="s">
        <v>29</v>
      </c>
      <c r="EE531" t="s">
        <v>1793</v>
      </c>
      <c r="EF531" t="s">
        <v>29</v>
      </c>
      <c r="EG531" t="s">
        <v>29</v>
      </c>
      <c r="EH531" t="s">
        <v>29</v>
      </c>
      <c r="EI531" t="s">
        <v>1792</v>
      </c>
      <c r="EJ531" t="s">
        <v>29</v>
      </c>
      <c r="EK531" t="s">
        <v>29</v>
      </c>
      <c r="EL531" t="s">
        <v>29</v>
      </c>
      <c r="EM531" t="s">
        <v>1787</v>
      </c>
      <c r="EN531" t="s">
        <v>29</v>
      </c>
      <c r="EO531" t="s">
        <v>29</v>
      </c>
      <c r="EP531" t="s">
        <v>29</v>
      </c>
      <c r="EQ531" t="s">
        <v>1788</v>
      </c>
      <c r="ER531" t="s">
        <v>29</v>
      </c>
      <c r="ES531" t="s">
        <v>29</v>
      </c>
      <c r="ET531" t="s">
        <v>29</v>
      </c>
      <c r="EU531" t="s">
        <v>1789</v>
      </c>
      <c r="EV531" t="s">
        <v>29</v>
      </c>
      <c r="EW531" t="s">
        <v>29</v>
      </c>
      <c r="EX531" t="s">
        <v>29</v>
      </c>
      <c r="EY531" t="s">
        <v>1790</v>
      </c>
      <c r="EZ531" t="s">
        <v>29</v>
      </c>
      <c r="FA531" t="s">
        <v>29</v>
      </c>
      <c r="FB531" t="s">
        <v>29</v>
      </c>
      <c r="FC531" t="s">
        <v>1791</v>
      </c>
      <c r="FD531" t="s">
        <v>29</v>
      </c>
      <c r="FE531" t="s">
        <v>29</v>
      </c>
      <c r="FF531" t="s">
        <v>29</v>
      </c>
      <c r="FG531" s="9"/>
      <c r="FH531" s="9"/>
      <c r="FI531" s="9"/>
      <c r="FJ531" s="9"/>
      <c r="FK531" s="9"/>
      <c r="FL531" s="9"/>
      <c r="FM531" s="9"/>
      <c r="FN531" s="9"/>
      <c r="FO531" s="9"/>
      <c r="FP531" s="9"/>
      <c r="FQ531" s="9"/>
      <c r="FR531" s="9"/>
      <c r="FS531" s="9"/>
      <c r="FT531" s="9"/>
      <c r="FU531" s="9"/>
      <c r="FV531" s="9"/>
      <c r="FW531" s="9"/>
      <c r="FX531" s="9"/>
      <c r="FY531" s="9"/>
      <c r="FZ531" s="9"/>
      <c r="GA531" s="9"/>
      <c r="GB531" s="9"/>
      <c r="GC531" s="9"/>
      <c r="GD531" s="9"/>
      <c r="GE531" s="9"/>
      <c r="GF531" s="9"/>
      <c r="GG531" s="9"/>
      <c r="GH531" s="9"/>
      <c r="GI531" s="9"/>
      <c r="GJ531" s="9"/>
      <c r="GK531" s="9"/>
      <c r="GL531" s="9"/>
      <c r="GM531" s="9" t="s">
        <v>1794</v>
      </c>
      <c r="GN531" s="9" t="s">
        <v>29</v>
      </c>
      <c r="GO531" s="9" t="s">
        <v>29</v>
      </c>
      <c r="GP531" s="9" t="s">
        <v>29</v>
      </c>
      <c r="GQ531" s="9"/>
      <c r="GR531" s="9"/>
      <c r="GS531" s="9"/>
      <c r="GT531" s="9"/>
      <c r="GU531" s="9"/>
      <c r="GV531" s="9"/>
      <c r="GW531" s="9"/>
      <c r="GX531" s="9"/>
      <c r="GY531" s="9"/>
      <c r="GZ531" s="9"/>
      <c r="HA531" s="9"/>
      <c r="HB531" s="9"/>
      <c r="HC531" s="9"/>
      <c r="HD531" s="9"/>
      <c r="HE531" s="9"/>
      <c r="HF531" s="9"/>
      <c r="HG531" s="9"/>
      <c r="HH531" s="9"/>
      <c r="HI531" s="9"/>
      <c r="HJ531" s="9"/>
      <c r="HK531" s="9"/>
      <c r="HL531" s="9"/>
      <c r="HX531" s="58"/>
      <c r="HY531" t="s">
        <v>1781</v>
      </c>
      <c r="HZ531" t="s">
        <v>1814</v>
      </c>
      <c r="IU531" t="s">
        <v>1781</v>
      </c>
      <c r="IV531" s="84" t="s">
        <v>1811</v>
      </c>
      <c r="IW531" s="12" t="s">
        <v>1786</v>
      </c>
      <c r="IX531" s="54" t="s">
        <v>1797</v>
      </c>
      <c r="IY531">
        <v>7.5</v>
      </c>
      <c r="IZ531">
        <v>56</v>
      </c>
      <c r="MS531" t="s">
        <v>1824</v>
      </c>
      <c r="MT531">
        <v>1963</v>
      </c>
      <c r="MU531" t="s">
        <v>1773</v>
      </c>
      <c r="MW531" t="s">
        <v>1764</v>
      </c>
      <c r="NB531" t="s">
        <v>1774</v>
      </c>
      <c r="NC531" t="s">
        <v>711</v>
      </c>
      <c r="NE531" t="s">
        <v>203</v>
      </c>
      <c r="NG531" t="s">
        <v>203</v>
      </c>
      <c r="NH531" s="6" t="s">
        <v>1820</v>
      </c>
      <c r="NQ531" t="s">
        <v>6</v>
      </c>
      <c r="NR531">
        <v>10.1</v>
      </c>
      <c r="NS531" t="s">
        <v>1456</v>
      </c>
      <c r="NT531">
        <v>9</v>
      </c>
      <c r="NW531">
        <v>7</v>
      </c>
      <c r="OH531" t="s">
        <v>1594</v>
      </c>
      <c r="OJ531">
        <v>2010</v>
      </c>
      <c r="OO531" t="s">
        <v>1178</v>
      </c>
      <c r="OP531" s="58">
        <v>46108</v>
      </c>
    </row>
    <row r="532" spans="1:406" ht="15.75" thickBot="1">
      <c r="A532" t="s">
        <v>36</v>
      </c>
      <c r="B532" t="s">
        <v>1758</v>
      </c>
      <c r="C532" t="s">
        <v>1759</v>
      </c>
      <c r="D532" s="4" t="s">
        <v>245</v>
      </c>
      <c r="E532" t="s">
        <v>1825</v>
      </c>
      <c r="F532" s="4" t="s">
        <v>1823</v>
      </c>
      <c r="G532" t="s">
        <v>254</v>
      </c>
      <c r="H532" t="s">
        <v>30</v>
      </c>
      <c r="I532">
        <v>-23.748532000000001</v>
      </c>
      <c r="J532">
        <v>-62.056702000000001</v>
      </c>
      <c r="K532" s="87" t="s">
        <v>29</v>
      </c>
      <c r="AV532" t="s">
        <v>1785</v>
      </c>
      <c r="AW532" t="s">
        <v>234</v>
      </c>
      <c r="AX532">
        <v>3600</v>
      </c>
      <c r="AY532" s="5">
        <v>5.5555555555555558E-3</v>
      </c>
      <c r="AZ532" t="s">
        <v>1822</v>
      </c>
      <c r="BA532">
        <v>2010</v>
      </c>
      <c r="BD532" t="s">
        <v>1778</v>
      </c>
      <c r="BE532" t="s">
        <v>1783</v>
      </c>
      <c r="BF532" t="s">
        <v>48</v>
      </c>
      <c r="BG532" t="s">
        <v>1798</v>
      </c>
      <c r="BH532" t="s">
        <v>1800</v>
      </c>
      <c r="BI532" t="s">
        <v>29</v>
      </c>
      <c r="BJ532" t="s">
        <v>29</v>
      </c>
      <c r="BK532" t="s">
        <v>29</v>
      </c>
      <c r="EE532" t="s">
        <v>1793</v>
      </c>
      <c r="EF532" t="s">
        <v>29</v>
      </c>
      <c r="EG532" t="s">
        <v>29</v>
      </c>
      <c r="EH532" t="s">
        <v>29</v>
      </c>
      <c r="EI532" t="s">
        <v>1792</v>
      </c>
      <c r="EJ532" t="s">
        <v>29</v>
      </c>
      <c r="EK532" t="s">
        <v>29</v>
      </c>
      <c r="EL532" t="s">
        <v>29</v>
      </c>
      <c r="EM532" t="s">
        <v>1787</v>
      </c>
      <c r="EN532" t="s">
        <v>29</v>
      </c>
      <c r="EO532" t="s">
        <v>29</v>
      </c>
      <c r="EP532" t="s">
        <v>29</v>
      </c>
      <c r="EQ532" t="s">
        <v>1788</v>
      </c>
      <c r="ER532" t="s">
        <v>29</v>
      </c>
      <c r="ES532" t="s">
        <v>29</v>
      </c>
      <c r="ET532" t="s">
        <v>29</v>
      </c>
      <c r="EU532" t="s">
        <v>1789</v>
      </c>
      <c r="EV532" t="s">
        <v>29</v>
      </c>
      <c r="EW532" t="s">
        <v>29</v>
      </c>
      <c r="EX532" t="s">
        <v>29</v>
      </c>
      <c r="EY532" t="s">
        <v>1790</v>
      </c>
      <c r="EZ532" t="s">
        <v>29</v>
      </c>
      <c r="FA532" t="s">
        <v>29</v>
      </c>
      <c r="FB532" t="s">
        <v>29</v>
      </c>
      <c r="FC532" t="s">
        <v>1791</v>
      </c>
      <c r="FD532" t="s">
        <v>29</v>
      </c>
      <c r="FE532" t="s">
        <v>29</v>
      </c>
      <c r="FF532" t="s">
        <v>29</v>
      </c>
      <c r="FG532" s="9"/>
      <c r="FH532" s="9"/>
      <c r="FI532" s="9"/>
      <c r="FJ532" s="9"/>
      <c r="FK532" s="9"/>
      <c r="FL532" s="9"/>
      <c r="FM532" s="9"/>
      <c r="FN532" s="9"/>
      <c r="FO532" s="9"/>
      <c r="FP532" s="9"/>
      <c r="FQ532" s="9"/>
      <c r="FR532" s="9"/>
      <c r="FS532" s="9"/>
      <c r="FT532" s="9"/>
      <c r="FU532" s="9"/>
      <c r="FV532" s="9"/>
      <c r="FW532" s="9"/>
      <c r="FX532" s="9"/>
      <c r="FY532" s="9"/>
      <c r="FZ532" s="9"/>
      <c r="GA532" s="9"/>
      <c r="GB532" s="9"/>
      <c r="GC532" s="9"/>
      <c r="GD532" s="9"/>
      <c r="GE532" s="9"/>
      <c r="GF532" s="9"/>
      <c r="GG532" s="9"/>
      <c r="GH532" s="9"/>
      <c r="GI532" s="9"/>
      <c r="GJ532" s="9"/>
      <c r="GK532" s="9"/>
      <c r="GL532" s="9"/>
      <c r="GM532" s="9" t="s">
        <v>1794</v>
      </c>
      <c r="GN532" s="9" t="s">
        <v>29</v>
      </c>
      <c r="GO532" s="9" t="s">
        <v>29</v>
      </c>
      <c r="GP532" s="9" t="s">
        <v>29</v>
      </c>
      <c r="GQ532" s="9"/>
      <c r="GR532" s="9"/>
      <c r="GS532" s="9"/>
      <c r="GT532" s="9"/>
      <c r="GU532" s="9"/>
      <c r="GV532" s="9"/>
      <c r="GW532" s="9"/>
      <c r="GX532" s="9"/>
      <c r="GY532" s="9"/>
      <c r="GZ532" s="9"/>
      <c r="HA532" s="9"/>
      <c r="HB532" s="9"/>
      <c r="HC532" s="9"/>
      <c r="HD532" s="9"/>
      <c r="HE532" s="9"/>
      <c r="HF532" s="9"/>
      <c r="HG532" s="9"/>
      <c r="HH532" s="9"/>
      <c r="HI532" s="9"/>
      <c r="HJ532" s="9"/>
      <c r="HK532" s="9"/>
      <c r="HL532" s="9"/>
      <c r="HX532" s="58"/>
      <c r="HY532" t="s">
        <v>1783</v>
      </c>
      <c r="HZ532" t="s">
        <v>1813</v>
      </c>
      <c r="IU532" t="s">
        <v>1783</v>
      </c>
      <c r="IV532" s="84" t="s">
        <v>1811</v>
      </c>
      <c r="IW532" s="12" t="s">
        <v>1786</v>
      </c>
      <c r="IX532" s="54" t="s">
        <v>1797</v>
      </c>
      <c r="IY532">
        <v>7.5</v>
      </c>
      <c r="IZ532">
        <v>37</v>
      </c>
      <c r="MS532" t="s">
        <v>1824</v>
      </c>
      <c r="MT532">
        <v>1963</v>
      </c>
      <c r="MU532" t="s">
        <v>1773</v>
      </c>
      <c r="MW532" t="s">
        <v>1764</v>
      </c>
      <c r="NB532" t="s">
        <v>1774</v>
      </c>
      <c r="NC532" t="s">
        <v>711</v>
      </c>
      <c r="NE532" t="s">
        <v>203</v>
      </c>
      <c r="NG532" t="s">
        <v>203</v>
      </c>
      <c r="NH532" s="6" t="s">
        <v>1820</v>
      </c>
      <c r="NQ532" t="s">
        <v>6</v>
      </c>
      <c r="NR532">
        <v>19.3</v>
      </c>
      <c r="NS532" t="s">
        <v>1456</v>
      </c>
      <c r="NT532">
        <v>16.399999999999999</v>
      </c>
      <c r="NW532">
        <v>5</v>
      </c>
      <c r="OH532" t="s">
        <v>1594</v>
      </c>
      <c r="OJ532">
        <v>2010</v>
      </c>
      <c r="OO532" t="s">
        <v>1178</v>
      </c>
      <c r="OP532" s="58">
        <v>46108</v>
      </c>
    </row>
    <row r="533" spans="1:406" ht="15.75" thickBot="1">
      <c r="A533" t="s">
        <v>36</v>
      </c>
      <c r="B533" t="s">
        <v>1758</v>
      </c>
      <c r="C533" t="s">
        <v>1759</v>
      </c>
      <c r="D533" s="4" t="s">
        <v>245</v>
      </c>
      <c r="E533" t="s">
        <v>1825</v>
      </c>
      <c r="F533" s="4" t="s">
        <v>1823</v>
      </c>
      <c r="G533" t="s">
        <v>254</v>
      </c>
      <c r="H533" t="s">
        <v>30</v>
      </c>
      <c r="I533">
        <v>-23.748532000000001</v>
      </c>
      <c r="J533">
        <v>-62.056702000000001</v>
      </c>
      <c r="K533" s="87" t="s">
        <v>29</v>
      </c>
      <c r="AV533" t="s">
        <v>1785</v>
      </c>
      <c r="AW533" t="s">
        <v>234</v>
      </c>
      <c r="AX533" t="s">
        <v>234</v>
      </c>
      <c r="AY533" s="5">
        <v>5.5555555555555558E-3</v>
      </c>
      <c r="AZ533" t="s">
        <v>1822</v>
      </c>
      <c r="BA533">
        <v>2010</v>
      </c>
      <c r="BD533" t="s">
        <v>1766</v>
      </c>
      <c r="BE533" t="s">
        <v>1767</v>
      </c>
      <c r="BF533" t="s">
        <v>24</v>
      </c>
      <c r="BG533" t="s">
        <v>1798</v>
      </c>
      <c r="BH533" t="s">
        <v>1800</v>
      </c>
      <c r="BI533" t="s">
        <v>29</v>
      </c>
      <c r="BJ533" t="s">
        <v>29</v>
      </c>
      <c r="BK533" t="s">
        <v>29</v>
      </c>
      <c r="GM533" t="s">
        <v>1794</v>
      </c>
      <c r="GN533" s="9" t="s">
        <v>29</v>
      </c>
      <c r="GO533" s="9" t="s">
        <v>29</v>
      </c>
      <c r="GP533" s="9" t="s">
        <v>29</v>
      </c>
      <c r="HY533" t="s">
        <v>1767</v>
      </c>
      <c r="HZ533" t="s">
        <v>1813</v>
      </c>
      <c r="IU533" t="s">
        <v>1767</v>
      </c>
      <c r="IV533" s="54" t="s">
        <v>1812</v>
      </c>
      <c r="IW533" s="54" t="s">
        <v>1812</v>
      </c>
      <c r="IX533" s="54" t="s">
        <v>1799</v>
      </c>
      <c r="IY533">
        <v>1</v>
      </c>
      <c r="IZ533">
        <v>6</v>
      </c>
      <c r="MS533" t="s">
        <v>1824</v>
      </c>
      <c r="MT533">
        <v>1963</v>
      </c>
      <c r="MU533" t="s">
        <v>1773</v>
      </c>
      <c r="MW533" t="s">
        <v>1764</v>
      </c>
      <c r="NB533" t="s">
        <v>1774</v>
      </c>
      <c r="NC533" t="s">
        <v>711</v>
      </c>
      <c r="NE533" t="s">
        <v>203</v>
      </c>
      <c r="NG533" t="s">
        <v>203</v>
      </c>
      <c r="NH533" s="6" t="s">
        <v>1820</v>
      </c>
      <c r="NP533" t="s">
        <v>1847</v>
      </c>
      <c r="NQ533" t="s">
        <v>6</v>
      </c>
      <c r="NR533">
        <v>41.1</v>
      </c>
      <c r="NS533" t="s">
        <v>1456</v>
      </c>
      <c r="NT533">
        <v>66.7</v>
      </c>
      <c r="NW533">
        <v>7</v>
      </c>
      <c r="OH533" t="s">
        <v>1594</v>
      </c>
      <c r="OJ533">
        <v>2010</v>
      </c>
      <c r="OO533" t="s">
        <v>1178</v>
      </c>
      <c r="OP533" s="58">
        <v>46108</v>
      </c>
    </row>
    <row r="534" spans="1:406" ht="15.75" thickBot="1">
      <c r="A534" t="s">
        <v>36</v>
      </c>
      <c r="B534" t="s">
        <v>1758</v>
      </c>
      <c r="C534" t="s">
        <v>1759</v>
      </c>
      <c r="D534" s="4" t="s">
        <v>245</v>
      </c>
      <c r="E534" t="s">
        <v>1825</v>
      </c>
      <c r="F534" s="4" t="s">
        <v>1823</v>
      </c>
      <c r="G534" t="s">
        <v>254</v>
      </c>
      <c r="H534" t="s">
        <v>30</v>
      </c>
      <c r="I534">
        <v>-23.748532000000001</v>
      </c>
      <c r="J534">
        <v>-62.056702000000001</v>
      </c>
      <c r="K534" s="87" t="s">
        <v>29</v>
      </c>
      <c r="AV534" t="s">
        <v>1785</v>
      </c>
      <c r="AW534" t="s">
        <v>234</v>
      </c>
      <c r="AX534">
        <v>1000</v>
      </c>
      <c r="AY534" s="5">
        <v>5.5555555555555558E-3</v>
      </c>
      <c r="AZ534" t="s">
        <v>1822</v>
      </c>
      <c r="BA534">
        <v>2010</v>
      </c>
      <c r="BD534" t="s">
        <v>1844</v>
      </c>
      <c r="BE534" t="s">
        <v>1761</v>
      </c>
      <c r="BF534" t="s">
        <v>39</v>
      </c>
      <c r="BG534" t="s">
        <v>1762</v>
      </c>
      <c r="EE534" t="s">
        <v>1793</v>
      </c>
      <c r="EF534" t="s">
        <v>29</v>
      </c>
      <c r="EG534" t="s">
        <v>29</v>
      </c>
      <c r="EH534" t="s">
        <v>29</v>
      </c>
      <c r="EI534" t="s">
        <v>1792</v>
      </c>
      <c r="EJ534" t="s">
        <v>29</v>
      </c>
      <c r="EK534" t="s">
        <v>29</v>
      </c>
      <c r="EL534" t="s">
        <v>29</v>
      </c>
      <c r="EM534" t="s">
        <v>1787</v>
      </c>
      <c r="EN534" t="s">
        <v>29</v>
      </c>
      <c r="EO534" t="s">
        <v>29</v>
      </c>
      <c r="EP534" t="s">
        <v>29</v>
      </c>
      <c r="EQ534" t="s">
        <v>1788</v>
      </c>
      <c r="ER534" t="s">
        <v>29</v>
      </c>
      <c r="ES534" t="s">
        <v>29</v>
      </c>
      <c r="ET534" t="s">
        <v>29</v>
      </c>
      <c r="EU534" t="s">
        <v>1789</v>
      </c>
      <c r="EV534" t="s">
        <v>29</v>
      </c>
      <c r="EW534" t="s">
        <v>29</v>
      </c>
      <c r="EX534" t="s">
        <v>29</v>
      </c>
      <c r="EY534" t="s">
        <v>1790</v>
      </c>
      <c r="EZ534" t="s">
        <v>29</v>
      </c>
      <c r="FA534" t="s">
        <v>29</v>
      </c>
      <c r="FB534" t="s">
        <v>29</v>
      </c>
      <c r="FC534" t="s">
        <v>1791</v>
      </c>
      <c r="FD534" t="s">
        <v>29</v>
      </c>
      <c r="FE534" t="s">
        <v>29</v>
      </c>
      <c r="FF534" t="s">
        <v>29</v>
      </c>
      <c r="HY534" t="s">
        <v>1761</v>
      </c>
      <c r="IU534" t="s">
        <v>1761</v>
      </c>
      <c r="IV534" t="s">
        <v>1810</v>
      </c>
      <c r="IW534" t="s">
        <v>1810</v>
      </c>
      <c r="IX534" t="s">
        <v>1810</v>
      </c>
      <c r="IY534">
        <v>5</v>
      </c>
      <c r="IZ534">
        <v>70</v>
      </c>
      <c r="MS534" t="s">
        <v>1824</v>
      </c>
      <c r="MT534">
        <v>1963</v>
      </c>
      <c r="MU534" t="s">
        <v>1776</v>
      </c>
      <c r="MW534" t="s">
        <v>1764</v>
      </c>
      <c r="NB534" t="s">
        <v>1777</v>
      </c>
      <c r="NC534" t="s">
        <v>711</v>
      </c>
      <c r="NE534" t="s">
        <v>203</v>
      </c>
      <c r="NG534" t="s">
        <v>203</v>
      </c>
      <c r="NH534" s="6" t="s">
        <v>1820</v>
      </c>
      <c r="NP534" t="s">
        <v>1846</v>
      </c>
      <c r="NQ534" t="s">
        <v>6</v>
      </c>
      <c r="NR534">
        <v>1.7</v>
      </c>
      <c r="NS534" t="s">
        <v>1456</v>
      </c>
      <c r="NT534">
        <v>1.9</v>
      </c>
      <c r="NW534">
        <v>6</v>
      </c>
      <c r="OH534" t="s">
        <v>1594</v>
      </c>
      <c r="OJ534">
        <v>2010</v>
      </c>
      <c r="OO534" t="s">
        <v>1178</v>
      </c>
      <c r="OP534" s="58">
        <v>46108</v>
      </c>
    </row>
    <row r="535" spans="1:406" ht="15.75" thickBot="1">
      <c r="A535" t="s">
        <v>36</v>
      </c>
      <c r="B535" t="s">
        <v>1758</v>
      </c>
      <c r="C535" t="s">
        <v>1759</v>
      </c>
      <c r="D535" s="4" t="s">
        <v>245</v>
      </c>
      <c r="E535" t="s">
        <v>1825</v>
      </c>
      <c r="F535" s="4" t="s">
        <v>1823</v>
      </c>
      <c r="G535" t="s">
        <v>254</v>
      </c>
      <c r="H535" t="s">
        <v>30</v>
      </c>
      <c r="I535">
        <v>-23.748532000000001</v>
      </c>
      <c r="J535">
        <v>-62.056702000000001</v>
      </c>
      <c r="K535" s="87" t="s">
        <v>29</v>
      </c>
      <c r="AV535" t="s">
        <v>1785</v>
      </c>
      <c r="AW535" t="s">
        <v>234</v>
      </c>
      <c r="AX535" t="s">
        <v>234</v>
      </c>
      <c r="AY535" s="5">
        <v>5.5555555555555558E-3</v>
      </c>
      <c r="AZ535" t="s">
        <v>1822</v>
      </c>
      <c r="BA535">
        <v>2010</v>
      </c>
      <c r="BD535" t="s">
        <v>1778</v>
      </c>
      <c r="BE535" t="s">
        <v>1779</v>
      </c>
      <c r="BF535" t="s">
        <v>64</v>
      </c>
      <c r="BG535" t="s">
        <v>1798</v>
      </c>
      <c r="BH535" t="s">
        <v>1796</v>
      </c>
      <c r="BI535" t="s">
        <v>1801</v>
      </c>
      <c r="BJ535" t="s">
        <v>29</v>
      </c>
      <c r="BK535" t="s">
        <v>29</v>
      </c>
      <c r="EE535" t="s">
        <v>1793</v>
      </c>
      <c r="EF535" t="s">
        <v>29</v>
      </c>
      <c r="EG535" t="s">
        <v>29</v>
      </c>
      <c r="EH535" t="s">
        <v>29</v>
      </c>
      <c r="EI535" t="s">
        <v>1792</v>
      </c>
      <c r="EJ535" t="s">
        <v>29</v>
      </c>
      <c r="EK535" t="s">
        <v>29</v>
      </c>
      <c r="EL535" t="s">
        <v>29</v>
      </c>
      <c r="EM535" t="s">
        <v>1787</v>
      </c>
      <c r="EN535" t="s">
        <v>29</v>
      </c>
      <c r="EO535" t="s">
        <v>29</v>
      </c>
      <c r="EP535" t="s">
        <v>29</v>
      </c>
      <c r="EQ535" t="s">
        <v>1788</v>
      </c>
      <c r="ER535" t="s">
        <v>29</v>
      </c>
      <c r="ES535" t="s">
        <v>29</v>
      </c>
      <c r="ET535" t="s">
        <v>29</v>
      </c>
      <c r="EU535" t="s">
        <v>1789</v>
      </c>
      <c r="EV535" t="s">
        <v>29</v>
      </c>
      <c r="EW535" t="s">
        <v>29</v>
      </c>
      <c r="EX535" t="s">
        <v>29</v>
      </c>
      <c r="EY535" t="s">
        <v>1790</v>
      </c>
      <c r="EZ535" t="s">
        <v>29</v>
      </c>
      <c r="FA535" t="s">
        <v>29</v>
      </c>
      <c r="FB535" t="s">
        <v>29</v>
      </c>
      <c r="FC535" t="s">
        <v>1791</v>
      </c>
      <c r="FD535" t="s">
        <v>29</v>
      </c>
      <c r="FE535" t="s">
        <v>29</v>
      </c>
      <c r="FF535" t="s">
        <v>29</v>
      </c>
      <c r="GM535" t="s">
        <v>1794</v>
      </c>
      <c r="GN535" s="9" t="s">
        <v>29</v>
      </c>
      <c r="GO535" s="9" t="s">
        <v>29</v>
      </c>
      <c r="GP535" s="9" t="s">
        <v>29</v>
      </c>
      <c r="GQ535" s="9"/>
      <c r="GR535" s="9"/>
      <c r="GS535" s="9"/>
      <c r="GT535" s="9"/>
      <c r="GU535" s="9"/>
      <c r="GV535" s="9"/>
      <c r="GW535" s="9"/>
      <c r="GX535" s="9"/>
      <c r="GY535" s="9"/>
      <c r="GZ535" s="9"/>
      <c r="HA535" s="9"/>
      <c r="HB535" s="9"/>
      <c r="HC535" s="9"/>
      <c r="HD535" s="9"/>
      <c r="HE535" s="9"/>
      <c r="HF535" s="9"/>
      <c r="HG535" s="9"/>
      <c r="HH535" s="9"/>
      <c r="HI535" s="9"/>
      <c r="HJ535" s="9"/>
      <c r="HK535" s="9"/>
      <c r="HL535" s="9"/>
      <c r="HX535" s="58"/>
      <c r="HY535" t="s">
        <v>1779</v>
      </c>
      <c r="HZ535" t="s">
        <v>1814</v>
      </c>
      <c r="IU535" t="s">
        <v>1779</v>
      </c>
      <c r="IV535" s="84" t="s">
        <v>1811</v>
      </c>
      <c r="IW535" t="s">
        <v>1786</v>
      </c>
      <c r="IX535" s="54" t="s">
        <v>1795</v>
      </c>
      <c r="IY535">
        <v>1</v>
      </c>
      <c r="IZ535">
        <v>81</v>
      </c>
      <c r="MS535" t="s">
        <v>1824</v>
      </c>
      <c r="MT535">
        <v>1963</v>
      </c>
      <c r="MU535" t="s">
        <v>1776</v>
      </c>
      <c r="MW535" t="s">
        <v>1764</v>
      </c>
      <c r="NB535" t="s">
        <v>1777</v>
      </c>
      <c r="NC535" t="s">
        <v>711</v>
      </c>
      <c r="NE535" t="s">
        <v>203</v>
      </c>
      <c r="NG535" t="s">
        <v>203</v>
      </c>
      <c r="NH535" s="6" t="s">
        <v>1820</v>
      </c>
      <c r="NQ535" t="s">
        <v>6</v>
      </c>
      <c r="NR535">
        <v>0.8</v>
      </c>
      <c r="NS535" t="s">
        <v>1456</v>
      </c>
      <c r="NT535">
        <v>1.3</v>
      </c>
      <c r="NW535">
        <v>8</v>
      </c>
      <c r="OH535" t="s">
        <v>1594</v>
      </c>
      <c r="OJ535">
        <v>2010</v>
      </c>
      <c r="OO535" t="s">
        <v>1178</v>
      </c>
      <c r="OP535" s="58">
        <v>46108</v>
      </c>
    </row>
    <row r="536" spans="1:406" ht="15.75" thickBot="1">
      <c r="A536" t="s">
        <v>36</v>
      </c>
      <c r="B536" t="s">
        <v>1758</v>
      </c>
      <c r="C536" t="s">
        <v>1759</v>
      </c>
      <c r="D536" s="4" t="s">
        <v>245</v>
      </c>
      <c r="E536" t="s">
        <v>1825</v>
      </c>
      <c r="F536" s="4" t="s">
        <v>1823</v>
      </c>
      <c r="G536" t="s">
        <v>254</v>
      </c>
      <c r="H536" t="s">
        <v>30</v>
      </c>
      <c r="I536">
        <v>-23.748532000000001</v>
      </c>
      <c r="J536">
        <v>-62.056702000000001</v>
      </c>
      <c r="K536" s="87" t="s">
        <v>29</v>
      </c>
      <c r="AV536" t="s">
        <v>1785</v>
      </c>
      <c r="AW536" t="s">
        <v>234</v>
      </c>
      <c r="AX536">
        <v>3600</v>
      </c>
      <c r="AY536" s="5">
        <v>5.5555555555555558E-3</v>
      </c>
      <c r="AZ536" t="s">
        <v>1822</v>
      </c>
      <c r="BA536">
        <v>2010</v>
      </c>
      <c r="BD536" t="s">
        <v>1778</v>
      </c>
      <c r="BE536" t="s">
        <v>1781</v>
      </c>
      <c r="BF536" t="s">
        <v>57</v>
      </c>
      <c r="BG536" t="s">
        <v>1798</v>
      </c>
      <c r="BH536" t="s">
        <v>1796</v>
      </c>
      <c r="BI536" t="s">
        <v>29</v>
      </c>
      <c r="BJ536" t="s">
        <v>29</v>
      </c>
      <c r="BK536" t="s">
        <v>29</v>
      </c>
      <c r="EE536" t="s">
        <v>1793</v>
      </c>
      <c r="EF536" t="s">
        <v>29</v>
      </c>
      <c r="EG536" t="s">
        <v>29</v>
      </c>
      <c r="EH536" t="s">
        <v>29</v>
      </c>
      <c r="EI536" t="s">
        <v>1792</v>
      </c>
      <c r="EJ536" t="s">
        <v>29</v>
      </c>
      <c r="EK536" t="s">
        <v>29</v>
      </c>
      <c r="EL536" t="s">
        <v>29</v>
      </c>
      <c r="EM536" t="s">
        <v>1787</v>
      </c>
      <c r="EN536" t="s">
        <v>29</v>
      </c>
      <c r="EO536" t="s">
        <v>29</v>
      </c>
      <c r="EP536" t="s">
        <v>29</v>
      </c>
      <c r="EQ536" t="s">
        <v>1788</v>
      </c>
      <c r="ER536" t="s">
        <v>29</v>
      </c>
      <c r="ES536" t="s">
        <v>29</v>
      </c>
      <c r="ET536" t="s">
        <v>29</v>
      </c>
      <c r="EU536" t="s">
        <v>1789</v>
      </c>
      <c r="EV536" t="s">
        <v>29</v>
      </c>
      <c r="EW536" t="s">
        <v>29</v>
      </c>
      <c r="EX536" t="s">
        <v>29</v>
      </c>
      <c r="EY536" t="s">
        <v>1790</v>
      </c>
      <c r="EZ536" t="s">
        <v>29</v>
      </c>
      <c r="FA536" t="s">
        <v>29</v>
      </c>
      <c r="FB536" t="s">
        <v>29</v>
      </c>
      <c r="FC536" t="s">
        <v>1791</v>
      </c>
      <c r="FD536" t="s">
        <v>29</v>
      </c>
      <c r="FE536" t="s">
        <v>29</v>
      </c>
      <c r="FF536" t="s">
        <v>29</v>
      </c>
      <c r="FG536" s="9"/>
      <c r="FH536" s="9"/>
      <c r="FI536" s="9"/>
      <c r="FJ536" s="9"/>
      <c r="FK536" s="9"/>
      <c r="FL536" s="9"/>
      <c r="FM536" s="9"/>
      <c r="FN536" s="9"/>
      <c r="FO536" s="9"/>
      <c r="FP536" s="9"/>
      <c r="FQ536" s="9"/>
      <c r="FR536" s="9"/>
      <c r="FS536" s="9"/>
      <c r="FT536" s="9"/>
      <c r="FU536" s="9"/>
      <c r="FV536" s="9"/>
      <c r="FW536" s="9"/>
      <c r="FX536" s="9"/>
      <c r="FY536" s="9"/>
      <c r="FZ536" s="9"/>
      <c r="GA536" s="9"/>
      <c r="GB536" s="9"/>
      <c r="GC536" s="9"/>
      <c r="GD536" s="9"/>
      <c r="GE536" s="9"/>
      <c r="GF536" s="9"/>
      <c r="GG536" s="9"/>
      <c r="GH536" s="9"/>
      <c r="GI536" s="9"/>
      <c r="GJ536" s="9"/>
      <c r="GK536" s="9"/>
      <c r="GL536" s="9"/>
      <c r="GM536" s="9" t="s">
        <v>1794</v>
      </c>
      <c r="GN536" s="9" t="s">
        <v>29</v>
      </c>
      <c r="GO536" s="9" t="s">
        <v>29</v>
      </c>
      <c r="GP536" s="9" t="s">
        <v>29</v>
      </c>
      <c r="GQ536" s="9"/>
      <c r="GR536" s="9"/>
      <c r="GS536" s="9"/>
      <c r="GT536" s="9"/>
      <c r="GU536" s="9"/>
      <c r="GV536" s="9"/>
      <c r="GW536" s="9"/>
      <c r="GX536" s="9"/>
      <c r="GY536" s="9"/>
      <c r="GZ536" s="9"/>
      <c r="HA536" s="9"/>
      <c r="HB536" s="9"/>
      <c r="HC536" s="9"/>
      <c r="HD536" s="9"/>
      <c r="HE536" s="9"/>
      <c r="HF536" s="9"/>
      <c r="HG536" s="9"/>
      <c r="HH536" s="9"/>
      <c r="HI536" s="9"/>
      <c r="HJ536" s="9"/>
      <c r="HK536" s="9"/>
      <c r="HL536" s="9"/>
      <c r="HX536" s="58"/>
      <c r="HY536" t="s">
        <v>1781</v>
      </c>
      <c r="HZ536" t="s">
        <v>1814</v>
      </c>
      <c r="IU536" t="s">
        <v>1781</v>
      </c>
      <c r="IV536" s="84" t="s">
        <v>1811</v>
      </c>
      <c r="IW536" s="12" t="s">
        <v>1786</v>
      </c>
      <c r="IX536" s="54" t="s">
        <v>1797</v>
      </c>
      <c r="IY536">
        <v>7.5</v>
      </c>
      <c r="IZ536">
        <v>56</v>
      </c>
      <c r="MS536" t="s">
        <v>1824</v>
      </c>
      <c r="MT536">
        <v>1963</v>
      </c>
      <c r="MU536" t="s">
        <v>1776</v>
      </c>
      <c r="MW536" t="s">
        <v>1764</v>
      </c>
      <c r="NB536" t="s">
        <v>1777</v>
      </c>
      <c r="NC536" t="s">
        <v>711</v>
      </c>
      <c r="NE536" t="s">
        <v>203</v>
      </c>
      <c r="NG536" t="s">
        <v>203</v>
      </c>
      <c r="NH536" s="6" t="s">
        <v>1820</v>
      </c>
      <c r="NQ536" t="s">
        <v>6</v>
      </c>
      <c r="NR536">
        <v>0.9</v>
      </c>
      <c r="NS536" t="s">
        <v>1456</v>
      </c>
      <c r="NT536">
        <v>2</v>
      </c>
      <c r="NW536">
        <v>7</v>
      </c>
      <c r="OH536" t="s">
        <v>1594</v>
      </c>
      <c r="OJ536">
        <v>2010</v>
      </c>
      <c r="OO536" t="s">
        <v>1178</v>
      </c>
      <c r="OP536" s="58">
        <v>46108</v>
      </c>
    </row>
    <row r="537" spans="1:406" ht="15.75" thickBot="1">
      <c r="A537" t="s">
        <v>36</v>
      </c>
      <c r="B537" t="s">
        <v>1758</v>
      </c>
      <c r="C537" t="s">
        <v>1759</v>
      </c>
      <c r="D537" s="4" t="s">
        <v>245</v>
      </c>
      <c r="E537" t="s">
        <v>1825</v>
      </c>
      <c r="F537" s="4" t="s">
        <v>1823</v>
      </c>
      <c r="G537" t="s">
        <v>254</v>
      </c>
      <c r="H537" t="s">
        <v>30</v>
      </c>
      <c r="I537">
        <v>-23.748532000000001</v>
      </c>
      <c r="J537">
        <v>-62.056702000000001</v>
      </c>
      <c r="K537" s="87" t="s">
        <v>29</v>
      </c>
      <c r="AV537" t="s">
        <v>1785</v>
      </c>
      <c r="AW537" t="s">
        <v>234</v>
      </c>
      <c r="AX537">
        <v>3600</v>
      </c>
      <c r="AY537" s="5">
        <v>5.5555555555555558E-3</v>
      </c>
      <c r="AZ537" t="s">
        <v>1822</v>
      </c>
      <c r="BA537">
        <v>2010</v>
      </c>
      <c r="BD537" t="s">
        <v>1778</v>
      </c>
      <c r="BE537" t="s">
        <v>1783</v>
      </c>
      <c r="BF537" t="s">
        <v>48</v>
      </c>
      <c r="BG537" t="s">
        <v>1798</v>
      </c>
      <c r="BH537" t="s">
        <v>1800</v>
      </c>
      <c r="BI537" t="s">
        <v>29</v>
      </c>
      <c r="BJ537" t="s">
        <v>29</v>
      </c>
      <c r="BK537" t="s">
        <v>29</v>
      </c>
      <c r="EE537" t="s">
        <v>1793</v>
      </c>
      <c r="EF537" t="s">
        <v>29</v>
      </c>
      <c r="EG537" t="s">
        <v>29</v>
      </c>
      <c r="EH537" t="s">
        <v>29</v>
      </c>
      <c r="EI537" t="s">
        <v>1792</v>
      </c>
      <c r="EJ537" t="s">
        <v>29</v>
      </c>
      <c r="EK537" t="s">
        <v>29</v>
      </c>
      <c r="EL537" t="s">
        <v>29</v>
      </c>
      <c r="EM537" t="s">
        <v>1787</v>
      </c>
      <c r="EN537" t="s">
        <v>29</v>
      </c>
      <c r="EO537" t="s">
        <v>29</v>
      </c>
      <c r="EP537" t="s">
        <v>29</v>
      </c>
      <c r="EQ537" t="s">
        <v>1788</v>
      </c>
      <c r="ER537" t="s">
        <v>29</v>
      </c>
      <c r="ES537" t="s">
        <v>29</v>
      </c>
      <c r="ET537" t="s">
        <v>29</v>
      </c>
      <c r="EU537" t="s">
        <v>1789</v>
      </c>
      <c r="EV537" t="s">
        <v>29</v>
      </c>
      <c r="EW537" t="s">
        <v>29</v>
      </c>
      <c r="EX537" t="s">
        <v>29</v>
      </c>
      <c r="EY537" t="s">
        <v>1790</v>
      </c>
      <c r="EZ537" t="s">
        <v>29</v>
      </c>
      <c r="FA537" t="s">
        <v>29</v>
      </c>
      <c r="FB537" t="s">
        <v>29</v>
      </c>
      <c r="FC537" t="s">
        <v>1791</v>
      </c>
      <c r="FD537" t="s">
        <v>29</v>
      </c>
      <c r="FE537" t="s">
        <v>29</v>
      </c>
      <c r="FF537" t="s">
        <v>29</v>
      </c>
      <c r="FG537" s="9"/>
      <c r="FH537" s="9"/>
      <c r="FI537" s="9"/>
      <c r="FJ537" s="9"/>
      <c r="FK537" s="9"/>
      <c r="FL537" s="9"/>
      <c r="FM537" s="9"/>
      <c r="FN537" s="9"/>
      <c r="FO537" s="9"/>
      <c r="FP537" s="9"/>
      <c r="FQ537" s="9"/>
      <c r="FR537" s="9"/>
      <c r="FS537" s="9"/>
      <c r="FT537" s="9"/>
      <c r="FU537" s="9"/>
      <c r="FV537" s="9"/>
      <c r="FW537" s="9"/>
      <c r="FX537" s="9"/>
      <c r="FY537" s="9"/>
      <c r="FZ537" s="9"/>
      <c r="GA537" s="9"/>
      <c r="GB537" s="9"/>
      <c r="GC537" s="9"/>
      <c r="GD537" s="9"/>
      <c r="GE537" s="9"/>
      <c r="GF537" s="9"/>
      <c r="GG537" s="9"/>
      <c r="GH537" s="9"/>
      <c r="GI537" s="9"/>
      <c r="GJ537" s="9"/>
      <c r="GK537" s="9"/>
      <c r="GL537" s="9"/>
      <c r="GM537" s="9" t="s">
        <v>1794</v>
      </c>
      <c r="GN537" s="9" t="s">
        <v>29</v>
      </c>
      <c r="GO537" s="9" t="s">
        <v>29</v>
      </c>
      <c r="GP537" s="9" t="s">
        <v>29</v>
      </c>
      <c r="GQ537" s="9"/>
      <c r="GR537" s="9"/>
      <c r="GS537" s="9"/>
      <c r="GT537" s="9"/>
      <c r="GU537" s="9"/>
      <c r="GV537" s="9"/>
      <c r="GW537" s="9"/>
      <c r="GX537" s="9"/>
      <c r="GY537" s="9"/>
      <c r="GZ537" s="9"/>
      <c r="HA537" s="9"/>
      <c r="HB537" s="9"/>
      <c r="HC537" s="9"/>
      <c r="HD537" s="9"/>
      <c r="HE537" s="9"/>
      <c r="HF537" s="9"/>
      <c r="HG537" s="9"/>
      <c r="HH537" s="9"/>
      <c r="HI537" s="9"/>
      <c r="HJ537" s="9"/>
      <c r="HK537" s="9"/>
      <c r="HL537" s="9"/>
      <c r="HX537" s="58"/>
      <c r="HY537" t="s">
        <v>1783</v>
      </c>
      <c r="HZ537" t="s">
        <v>1813</v>
      </c>
      <c r="IU537" t="s">
        <v>1783</v>
      </c>
      <c r="IV537" s="84" t="s">
        <v>1811</v>
      </c>
      <c r="IW537" s="12" t="s">
        <v>1786</v>
      </c>
      <c r="IX537" s="54" t="s">
        <v>1797</v>
      </c>
      <c r="IY537">
        <v>7.5</v>
      </c>
      <c r="IZ537">
        <v>37</v>
      </c>
      <c r="MS537" t="s">
        <v>1824</v>
      </c>
      <c r="MT537">
        <v>1963</v>
      </c>
      <c r="MU537" t="s">
        <v>1776</v>
      </c>
      <c r="MW537" t="s">
        <v>1764</v>
      </c>
      <c r="NB537" t="s">
        <v>1777</v>
      </c>
      <c r="NC537" t="s">
        <v>711</v>
      </c>
      <c r="NE537" t="s">
        <v>203</v>
      </c>
      <c r="NG537" t="s">
        <v>203</v>
      </c>
      <c r="NH537" s="6" t="s">
        <v>1820</v>
      </c>
      <c r="NQ537" t="s">
        <v>6</v>
      </c>
      <c r="NR537">
        <v>0.7</v>
      </c>
      <c r="NS537" t="s">
        <v>1456</v>
      </c>
      <c r="NT537">
        <v>1.5</v>
      </c>
      <c r="NW537">
        <v>5</v>
      </c>
      <c r="OH537" t="s">
        <v>1594</v>
      </c>
      <c r="OJ537">
        <v>2010</v>
      </c>
      <c r="OO537" t="s">
        <v>1178</v>
      </c>
      <c r="OP537" s="58">
        <v>46108</v>
      </c>
    </row>
    <row r="538" spans="1:406" ht="15.75" thickBot="1">
      <c r="A538" t="s">
        <v>36</v>
      </c>
      <c r="B538" t="s">
        <v>1758</v>
      </c>
      <c r="C538" t="s">
        <v>1759</v>
      </c>
      <c r="D538" s="4" t="s">
        <v>245</v>
      </c>
      <c r="E538" t="s">
        <v>1825</v>
      </c>
      <c r="F538" s="4" t="s">
        <v>1823</v>
      </c>
      <c r="G538" t="s">
        <v>254</v>
      </c>
      <c r="H538" t="s">
        <v>30</v>
      </c>
      <c r="I538">
        <v>-23.748532000000001</v>
      </c>
      <c r="J538">
        <v>-62.056702000000001</v>
      </c>
      <c r="K538" s="87" t="s">
        <v>29</v>
      </c>
      <c r="AV538" t="s">
        <v>1785</v>
      </c>
      <c r="AW538" t="s">
        <v>234</v>
      </c>
      <c r="AX538" t="s">
        <v>234</v>
      </c>
      <c r="AY538" s="5">
        <v>5.5555555555555558E-3</v>
      </c>
      <c r="AZ538" t="s">
        <v>1822</v>
      </c>
      <c r="BA538">
        <v>2010</v>
      </c>
      <c r="BD538" t="s">
        <v>1766</v>
      </c>
      <c r="BE538" t="s">
        <v>1767</v>
      </c>
      <c r="BF538" t="s">
        <v>24</v>
      </c>
      <c r="BG538" t="s">
        <v>1798</v>
      </c>
      <c r="BH538" t="s">
        <v>1800</v>
      </c>
      <c r="BI538" t="s">
        <v>29</v>
      </c>
      <c r="BJ538" t="s">
        <v>29</v>
      </c>
      <c r="BK538" t="s">
        <v>29</v>
      </c>
      <c r="GM538" t="s">
        <v>1794</v>
      </c>
      <c r="GN538" s="9" t="s">
        <v>29</v>
      </c>
      <c r="GO538" s="9" t="s">
        <v>29</v>
      </c>
      <c r="GP538" s="9" t="s">
        <v>29</v>
      </c>
      <c r="HY538" t="s">
        <v>1767</v>
      </c>
      <c r="HZ538" t="s">
        <v>1813</v>
      </c>
      <c r="IU538" t="s">
        <v>1767</v>
      </c>
      <c r="IV538" s="54" t="s">
        <v>1812</v>
      </c>
      <c r="IW538" s="54" t="s">
        <v>1812</v>
      </c>
      <c r="IX538" s="54" t="s">
        <v>1799</v>
      </c>
      <c r="IY538">
        <v>1</v>
      </c>
      <c r="IZ538">
        <v>6</v>
      </c>
      <c r="MS538" t="s">
        <v>1824</v>
      </c>
      <c r="MT538">
        <v>1963</v>
      </c>
      <c r="MU538" t="s">
        <v>1776</v>
      </c>
      <c r="MW538" t="s">
        <v>1764</v>
      </c>
      <c r="NB538" t="s">
        <v>1777</v>
      </c>
      <c r="NC538" t="s">
        <v>711</v>
      </c>
      <c r="NE538" t="s">
        <v>203</v>
      </c>
      <c r="NG538" t="s">
        <v>203</v>
      </c>
      <c r="NH538" s="6" t="s">
        <v>1820</v>
      </c>
      <c r="NP538" t="s">
        <v>1847</v>
      </c>
      <c r="NQ538" t="s">
        <v>6</v>
      </c>
      <c r="NR538">
        <v>1.4</v>
      </c>
      <c r="NS538" t="s">
        <v>1456</v>
      </c>
      <c r="NT538">
        <v>3.4</v>
      </c>
      <c r="NW538">
        <v>7</v>
      </c>
      <c r="OH538" t="s">
        <v>1594</v>
      </c>
      <c r="OJ538">
        <v>2010</v>
      </c>
      <c r="OO538" t="s">
        <v>1178</v>
      </c>
      <c r="OP538" s="58">
        <v>46108</v>
      </c>
    </row>
    <row r="539" spans="1:406" ht="15.75" thickBot="1">
      <c r="A539" t="s">
        <v>36</v>
      </c>
      <c r="B539" t="s">
        <v>1758</v>
      </c>
      <c r="C539" t="s">
        <v>1759</v>
      </c>
      <c r="D539" s="4" t="s">
        <v>245</v>
      </c>
      <c r="E539" t="s">
        <v>1825</v>
      </c>
      <c r="F539" s="4" t="s">
        <v>1823</v>
      </c>
      <c r="G539" t="s">
        <v>254</v>
      </c>
      <c r="H539" t="s">
        <v>30</v>
      </c>
      <c r="I539">
        <v>-23.748532000000001</v>
      </c>
      <c r="J539">
        <v>-62.056702000000001</v>
      </c>
      <c r="K539" s="87" t="s">
        <v>29</v>
      </c>
      <c r="AV539" t="s">
        <v>1785</v>
      </c>
      <c r="AW539" t="s">
        <v>234</v>
      </c>
      <c r="AX539">
        <v>1000</v>
      </c>
      <c r="AY539" s="5">
        <v>5.5555555555555558E-3</v>
      </c>
      <c r="AZ539" t="s">
        <v>1822</v>
      </c>
      <c r="BA539">
        <v>2010</v>
      </c>
      <c r="BD539" t="s">
        <v>1844</v>
      </c>
      <c r="BE539" t="s">
        <v>1761</v>
      </c>
      <c r="BF539" t="s">
        <v>39</v>
      </c>
      <c r="BG539" t="s">
        <v>1762</v>
      </c>
      <c r="EE539" t="s">
        <v>1793</v>
      </c>
      <c r="EF539" t="s">
        <v>29</v>
      </c>
      <c r="EG539" t="s">
        <v>29</v>
      </c>
      <c r="EH539" t="s">
        <v>29</v>
      </c>
      <c r="EI539" t="s">
        <v>1792</v>
      </c>
      <c r="EJ539" t="s">
        <v>29</v>
      </c>
      <c r="EK539" t="s">
        <v>29</v>
      </c>
      <c r="EL539" t="s">
        <v>29</v>
      </c>
      <c r="EM539" t="s">
        <v>1787</v>
      </c>
      <c r="EN539" t="s">
        <v>29</v>
      </c>
      <c r="EO539" t="s">
        <v>29</v>
      </c>
      <c r="EP539" t="s">
        <v>29</v>
      </c>
      <c r="EQ539" t="s">
        <v>1788</v>
      </c>
      <c r="ER539" t="s">
        <v>29</v>
      </c>
      <c r="ES539" t="s">
        <v>29</v>
      </c>
      <c r="ET539" t="s">
        <v>29</v>
      </c>
      <c r="EU539" t="s">
        <v>1789</v>
      </c>
      <c r="EV539" t="s">
        <v>29</v>
      </c>
      <c r="EW539" t="s">
        <v>29</v>
      </c>
      <c r="EX539" t="s">
        <v>29</v>
      </c>
      <c r="EY539" t="s">
        <v>1790</v>
      </c>
      <c r="EZ539" t="s">
        <v>29</v>
      </c>
      <c r="FA539" t="s">
        <v>29</v>
      </c>
      <c r="FB539" t="s">
        <v>29</v>
      </c>
      <c r="FC539" t="s">
        <v>1791</v>
      </c>
      <c r="FD539" t="s">
        <v>29</v>
      </c>
      <c r="FE539" t="s">
        <v>29</v>
      </c>
      <c r="FF539" t="s">
        <v>29</v>
      </c>
      <c r="HY539" t="s">
        <v>1761</v>
      </c>
      <c r="IU539" t="s">
        <v>1761</v>
      </c>
      <c r="IV539" t="s">
        <v>1810</v>
      </c>
      <c r="IW539" t="s">
        <v>1810</v>
      </c>
      <c r="IX539" t="s">
        <v>1810</v>
      </c>
      <c r="IY539">
        <v>5</v>
      </c>
      <c r="IZ539">
        <v>70</v>
      </c>
      <c r="MS539" t="s">
        <v>1824</v>
      </c>
      <c r="MT539">
        <v>1963</v>
      </c>
      <c r="MU539" t="s">
        <v>1775</v>
      </c>
      <c r="MW539" t="s">
        <v>1764</v>
      </c>
      <c r="NB539" t="s">
        <v>1809</v>
      </c>
      <c r="NC539" t="s">
        <v>711</v>
      </c>
      <c r="NE539" t="s">
        <v>203</v>
      </c>
      <c r="NG539" t="s">
        <v>203</v>
      </c>
      <c r="NH539" s="6" t="s">
        <v>1820</v>
      </c>
      <c r="NP539" t="s">
        <v>1846</v>
      </c>
      <c r="NQ539" t="s">
        <v>6</v>
      </c>
      <c r="NR539">
        <v>9.3000000000000007</v>
      </c>
      <c r="NS539" t="s">
        <v>1456</v>
      </c>
      <c r="NT539">
        <v>4.7</v>
      </c>
      <c r="NW539">
        <v>6</v>
      </c>
      <c r="OH539" t="s">
        <v>1594</v>
      </c>
      <c r="OJ539">
        <v>2010</v>
      </c>
      <c r="OO539" t="s">
        <v>1178</v>
      </c>
      <c r="OP539" s="58">
        <v>46108</v>
      </c>
    </row>
    <row r="540" spans="1:406" ht="15.75" thickBot="1">
      <c r="A540" t="s">
        <v>36</v>
      </c>
      <c r="B540" t="s">
        <v>1758</v>
      </c>
      <c r="C540" t="s">
        <v>1759</v>
      </c>
      <c r="D540" s="4" t="s">
        <v>245</v>
      </c>
      <c r="E540" t="s">
        <v>1825</v>
      </c>
      <c r="F540" s="4" t="s">
        <v>1823</v>
      </c>
      <c r="G540" t="s">
        <v>254</v>
      </c>
      <c r="H540" t="s">
        <v>30</v>
      </c>
      <c r="I540">
        <v>-23.748532000000001</v>
      </c>
      <c r="J540">
        <v>-62.056702000000001</v>
      </c>
      <c r="K540" s="87" t="s">
        <v>29</v>
      </c>
      <c r="AV540" t="s">
        <v>1785</v>
      </c>
      <c r="AW540" t="s">
        <v>234</v>
      </c>
      <c r="AX540" t="s">
        <v>234</v>
      </c>
      <c r="AY540" s="5">
        <v>5.5555555555555558E-3</v>
      </c>
      <c r="AZ540" t="s">
        <v>1822</v>
      </c>
      <c r="BA540">
        <v>2010</v>
      </c>
      <c r="BD540" t="s">
        <v>1778</v>
      </c>
      <c r="BE540" t="s">
        <v>1779</v>
      </c>
      <c r="BF540" t="s">
        <v>64</v>
      </c>
      <c r="BG540" t="s">
        <v>1798</v>
      </c>
      <c r="BH540" t="s">
        <v>1796</v>
      </c>
      <c r="BI540" t="s">
        <v>1801</v>
      </c>
      <c r="BJ540" t="s">
        <v>29</v>
      </c>
      <c r="BK540" t="s">
        <v>29</v>
      </c>
      <c r="EE540" t="s">
        <v>1793</v>
      </c>
      <c r="EF540" t="s">
        <v>29</v>
      </c>
      <c r="EG540" t="s">
        <v>29</v>
      </c>
      <c r="EH540" t="s">
        <v>29</v>
      </c>
      <c r="EI540" t="s">
        <v>1792</v>
      </c>
      <c r="EJ540" t="s">
        <v>29</v>
      </c>
      <c r="EK540" t="s">
        <v>29</v>
      </c>
      <c r="EL540" t="s">
        <v>29</v>
      </c>
      <c r="EM540" t="s">
        <v>1787</v>
      </c>
      <c r="EN540" t="s">
        <v>29</v>
      </c>
      <c r="EO540" t="s">
        <v>29</v>
      </c>
      <c r="EP540" t="s">
        <v>29</v>
      </c>
      <c r="EQ540" t="s">
        <v>1788</v>
      </c>
      <c r="ER540" t="s">
        <v>29</v>
      </c>
      <c r="ES540" t="s">
        <v>29</v>
      </c>
      <c r="ET540" t="s">
        <v>29</v>
      </c>
      <c r="EU540" t="s">
        <v>1789</v>
      </c>
      <c r="EV540" t="s">
        <v>29</v>
      </c>
      <c r="EW540" t="s">
        <v>29</v>
      </c>
      <c r="EX540" t="s">
        <v>29</v>
      </c>
      <c r="EY540" t="s">
        <v>1790</v>
      </c>
      <c r="EZ540" t="s">
        <v>29</v>
      </c>
      <c r="FA540" t="s">
        <v>29</v>
      </c>
      <c r="FB540" t="s">
        <v>29</v>
      </c>
      <c r="FC540" t="s">
        <v>1791</v>
      </c>
      <c r="FD540" t="s">
        <v>29</v>
      </c>
      <c r="FE540" t="s">
        <v>29</v>
      </c>
      <c r="FF540" t="s">
        <v>29</v>
      </c>
      <c r="GM540" t="s">
        <v>1794</v>
      </c>
      <c r="GN540" s="9" t="s">
        <v>29</v>
      </c>
      <c r="GO540" s="9" t="s">
        <v>29</v>
      </c>
      <c r="GP540" s="9" t="s">
        <v>29</v>
      </c>
      <c r="GQ540" s="9"/>
      <c r="GR540" s="9"/>
      <c r="GS540" s="9"/>
      <c r="GT540" s="9"/>
      <c r="GU540" s="9"/>
      <c r="GV540" s="9"/>
      <c r="GW540" s="9"/>
      <c r="GX540" s="9"/>
      <c r="GY540" s="9"/>
      <c r="GZ540" s="9"/>
      <c r="HA540" s="9"/>
      <c r="HB540" s="9"/>
      <c r="HC540" s="9"/>
      <c r="HD540" s="9"/>
      <c r="HE540" s="9"/>
      <c r="HF540" s="9"/>
      <c r="HG540" s="9"/>
      <c r="HH540" s="9"/>
      <c r="HI540" s="9"/>
      <c r="HJ540" s="9"/>
      <c r="HK540" s="9"/>
      <c r="HL540" s="9"/>
      <c r="HX540" s="58"/>
      <c r="HY540" t="s">
        <v>1779</v>
      </c>
      <c r="HZ540" t="s">
        <v>1814</v>
      </c>
      <c r="IU540" t="s">
        <v>1779</v>
      </c>
      <c r="IV540" s="84" t="s">
        <v>1811</v>
      </c>
      <c r="IW540" t="s">
        <v>1786</v>
      </c>
      <c r="IX540" s="54" t="s">
        <v>1795</v>
      </c>
      <c r="IY540">
        <v>1</v>
      </c>
      <c r="IZ540">
        <v>81</v>
      </c>
      <c r="MS540" t="s">
        <v>1824</v>
      </c>
      <c r="MT540">
        <v>1963</v>
      </c>
      <c r="MU540" t="s">
        <v>1775</v>
      </c>
      <c r="MW540" t="s">
        <v>1764</v>
      </c>
      <c r="NB540" t="s">
        <v>1809</v>
      </c>
      <c r="NC540" t="s">
        <v>711</v>
      </c>
      <c r="NE540" t="s">
        <v>203</v>
      </c>
      <c r="NG540" t="s">
        <v>203</v>
      </c>
      <c r="NH540" s="6" t="s">
        <v>1820</v>
      </c>
      <c r="NQ540" t="s">
        <v>6</v>
      </c>
      <c r="NR540">
        <v>8.9</v>
      </c>
      <c r="NS540" t="s">
        <v>1456</v>
      </c>
      <c r="NT540">
        <v>5</v>
      </c>
      <c r="NW540">
        <v>8</v>
      </c>
      <c r="OH540" t="s">
        <v>1594</v>
      </c>
      <c r="OJ540">
        <v>2010</v>
      </c>
      <c r="OO540" t="s">
        <v>1178</v>
      </c>
      <c r="OP540" s="58">
        <v>46108</v>
      </c>
    </row>
    <row r="541" spans="1:406" ht="15.75" thickBot="1">
      <c r="A541" t="s">
        <v>36</v>
      </c>
      <c r="B541" t="s">
        <v>1758</v>
      </c>
      <c r="C541" t="s">
        <v>1759</v>
      </c>
      <c r="D541" s="4" t="s">
        <v>245</v>
      </c>
      <c r="E541" t="s">
        <v>1825</v>
      </c>
      <c r="F541" s="4" t="s">
        <v>1823</v>
      </c>
      <c r="G541" t="s">
        <v>254</v>
      </c>
      <c r="H541" t="s">
        <v>30</v>
      </c>
      <c r="I541">
        <v>-23.748532000000001</v>
      </c>
      <c r="J541">
        <v>-62.056702000000001</v>
      </c>
      <c r="K541" s="87" t="s">
        <v>29</v>
      </c>
      <c r="AV541" t="s">
        <v>1785</v>
      </c>
      <c r="AW541" t="s">
        <v>234</v>
      </c>
      <c r="AX541">
        <v>3600</v>
      </c>
      <c r="AY541" s="5">
        <v>5.5555555555555558E-3</v>
      </c>
      <c r="AZ541" t="s">
        <v>1822</v>
      </c>
      <c r="BA541">
        <v>2010</v>
      </c>
      <c r="BD541" t="s">
        <v>1778</v>
      </c>
      <c r="BE541" t="s">
        <v>1781</v>
      </c>
      <c r="BF541" t="s">
        <v>57</v>
      </c>
      <c r="BG541" t="s">
        <v>1798</v>
      </c>
      <c r="BH541" t="s">
        <v>1796</v>
      </c>
      <c r="BI541" t="s">
        <v>29</v>
      </c>
      <c r="BJ541" t="s">
        <v>29</v>
      </c>
      <c r="BK541" t="s">
        <v>29</v>
      </c>
      <c r="EE541" t="s">
        <v>1793</v>
      </c>
      <c r="EF541" t="s">
        <v>29</v>
      </c>
      <c r="EG541" t="s">
        <v>29</v>
      </c>
      <c r="EH541" t="s">
        <v>29</v>
      </c>
      <c r="EI541" t="s">
        <v>1792</v>
      </c>
      <c r="EJ541" t="s">
        <v>29</v>
      </c>
      <c r="EK541" t="s">
        <v>29</v>
      </c>
      <c r="EL541" t="s">
        <v>29</v>
      </c>
      <c r="EM541" t="s">
        <v>1787</v>
      </c>
      <c r="EN541" t="s">
        <v>29</v>
      </c>
      <c r="EO541" t="s">
        <v>29</v>
      </c>
      <c r="EP541" t="s">
        <v>29</v>
      </c>
      <c r="EQ541" t="s">
        <v>1788</v>
      </c>
      <c r="ER541" t="s">
        <v>29</v>
      </c>
      <c r="ES541" t="s">
        <v>29</v>
      </c>
      <c r="ET541" t="s">
        <v>29</v>
      </c>
      <c r="EU541" t="s">
        <v>1789</v>
      </c>
      <c r="EV541" t="s">
        <v>29</v>
      </c>
      <c r="EW541" t="s">
        <v>29</v>
      </c>
      <c r="EX541" t="s">
        <v>29</v>
      </c>
      <c r="EY541" t="s">
        <v>1790</v>
      </c>
      <c r="EZ541" t="s">
        <v>29</v>
      </c>
      <c r="FA541" t="s">
        <v>29</v>
      </c>
      <c r="FB541" t="s">
        <v>29</v>
      </c>
      <c r="FC541" t="s">
        <v>1791</v>
      </c>
      <c r="FD541" t="s">
        <v>29</v>
      </c>
      <c r="FE541" t="s">
        <v>29</v>
      </c>
      <c r="FF541" t="s">
        <v>29</v>
      </c>
      <c r="FG541" s="9"/>
      <c r="FH541" s="9"/>
      <c r="FI541" s="9"/>
      <c r="FJ541" s="9"/>
      <c r="FK541" s="9"/>
      <c r="FL541" s="9"/>
      <c r="FM541" s="9"/>
      <c r="FN541" s="9"/>
      <c r="FO541" s="9"/>
      <c r="FP541" s="9"/>
      <c r="FQ541" s="9"/>
      <c r="FR541" s="9"/>
      <c r="FS541" s="9"/>
      <c r="FT541" s="9"/>
      <c r="FU541" s="9"/>
      <c r="FV541" s="9"/>
      <c r="FW541" s="9"/>
      <c r="FX541" s="9"/>
      <c r="FY541" s="9"/>
      <c r="FZ541" s="9"/>
      <c r="GA541" s="9"/>
      <c r="GB541" s="9"/>
      <c r="GC541" s="9"/>
      <c r="GD541" s="9"/>
      <c r="GE541" s="9"/>
      <c r="GF541" s="9"/>
      <c r="GG541" s="9"/>
      <c r="GH541" s="9"/>
      <c r="GI541" s="9"/>
      <c r="GJ541" s="9"/>
      <c r="GK541" s="9"/>
      <c r="GL541" s="9"/>
      <c r="GM541" s="9" t="s">
        <v>1794</v>
      </c>
      <c r="GN541" s="9" t="s">
        <v>29</v>
      </c>
      <c r="GO541" s="9" t="s">
        <v>29</v>
      </c>
      <c r="GP541" s="9" t="s">
        <v>29</v>
      </c>
      <c r="GQ541" s="9"/>
      <c r="GR541" s="9"/>
      <c r="GS541" s="9"/>
      <c r="GT541" s="9"/>
      <c r="GU541" s="9"/>
      <c r="GV541" s="9"/>
      <c r="GW541" s="9"/>
      <c r="GX541" s="9"/>
      <c r="GY541" s="9"/>
      <c r="GZ541" s="9"/>
      <c r="HA541" s="9"/>
      <c r="HB541" s="9"/>
      <c r="HC541" s="9"/>
      <c r="HD541" s="9"/>
      <c r="HE541" s="9"/>
      <c r="HF541" s="9"/>
      <c r="HG541" s="9"/>
      <c r="HH541" s="9"/>
      <c r="HI541" s="9"/>
      <c r="HJ541" s="9"/>
      <c r="HK541" s="9"/>
      <c r="HL541" s="9"/>
      <c r="HX541" s="58"/>
      <c r="HY541" t="s">
        <v>1781</v>
      </c>
      <c r="HZ541" t="s">
        <v>1814</v>
      </c>
      <c r="IU541" t="s">
        <v>1781</v>
      </c>
      <c r="IV541" s="84" t="s">
        <v>1811</v>
      </c>
      <c r="IW541" s="12" t="s">
        <v>1786</v>
      </c>
      <c r="IX541" s="54" t="s">
        <v>1797</v>
      </c>
      <c r="IY541">
        <v>7.5</v>
      </c>
      <c r="IZ541">
        <v>56</v>
      </c>
      <c r="MS541" t="s">
        <v>1824</v>
      </c>
      <c r="MT541">
        <v>1963</v>
      </c>
      <c r="MU541" t="s">
        <v>1775</v>
      </c>
      <c r="MW541" t="s">
        <v>1764</v>
      </c>
      <c r="NB541" t="s">
        <v>1809</v>
      </c>
      <c r="NC541" t="s">
        <v>711</v>
      </c>
      <c r="NE541" t="s">
        <v>203</v>
      </c>
      <c r="NG541" t="s">
        <v>203</v>
      </c>
      <c r="NH541" s="6" t="s">
        <v>1820</v>
      </c>
      <c r="NQ541" t="s">
        <v>6</v>
      </c>
      <c r="NR541">
        <v>10</v>
      </c>
      <c r="NS541" t="s">
        <v>1456</v>
      </c>
      <c r="NT541">
        <v>6.2</v>
      </c>
      <c r="NW541">
        <v>7</v>
      </c>
      <c r="OH541" t="s">
        <v>1594</v>
      </c>
      <c r="OJ541">
        <v>2010</v>
      </c>
      <c r="OO541" t="s">
        <v>1178</v>
      </c>
      <c r="OP541" s="58">
        <v>46108</v>
      </c>
    </row>
    <row r="542" spans="1:406" ht="15.75" thickBot="1">
      <c r="A542" t="s">
        <v>36</v>
      </c>
      <c r="B542" t="s">
        <v>1758</v>
      </c>
      <c r="C542" t="s">
        <v>1759</v>
      </c>
      <c r="D542" s="4" t="s">
        <v>245</v>
      </c>
      <c r="E542" t="s">
        <v>1825</v>
      </c>
      <c r="F542" s="4" t="s">
        <v>1823</v>
      </c>
      <c r="G542" t="s">
        <v>254</v>
      </c>
      <c r="H542" t="s">
        <v>30</v>
      </c>
      <c r="I542">
        <v>-23.748532000000001</v>
      </c>
      <c r="J542">
        <v>-62.056702000000001</v>
      </c>
      <c r="K542" s="87" t="s">
        <v>29</v>
      </c>
      <c r="AV542" t="s">
        <v>1785</v>
      </c>
      <c r="AW542" t="s">
        <v>234</v>
      </c>
      <c r="AX542">
        <v>3600</v>
      </c>
      <c r="AY542" s="5">
        <v>5.5555555555555558E-3</v>
      </c>
      <c r="AZ542" t="s">
        <v>1822</v>
      </c>
      <c r="BA542">
        <v>2010</v>
      </c>
      <c r="BD542" t="s">
        <v>1778</v>
      </c>
      <c r="BE542" t="s">
        <v>1783</v>
      </c>
      <c r="BF542" t="s">
        <v>48</v>
      </c>
      <c r="BG542" t="s">
        <v>1798</v>
      </c>
      <c r="BH542" t="s">
        <v>1800</v>
      </c>
      <c r="BI542" t="s">
        <v>29</v>
      </c>
      <c r="BJ542" t="s">
        <v>29</v>
      </c>
      <c r="BK542" t="s">
        <v>29</v>
      </c>
      <c r="EE542" t="s">
        <v>1793</v>
      </c>
      <c r="EF542" t="s">
        <v>29</v>
      </c>
      <c r="EG542" t="s">
        <v>29</v>
      </c>
      <c r="EH542" t="s">
        <v>29</v>
      </c>
      <c r="EI542" t="s">
        <v>1792</v>
      </c>
      <c r="EJ542" t="s">
        <v>29</v>
      </c>
      <c r="EK542" t="s">
        <v>29</v>
      </c>
      <c r="EL542" t="s">
        <v>29</v>
      </c>
      <c r="EM542" t="s">
        <v>1787</v>
      </c>
      <c r="EN542" t="s">
        <v>29</v>
      </c>
      <c r="EO542" t="s">
        <v>29</v>
      </c>
      <c r="EP542" t="s">
        <v>29</v>
      </c>
      <c r="EQ542" t="s">
        <v>1788</v>
      </c>
      <c r="ER542" t="s">
        <v>29</v>
      </c>
      <c r="ES542" t="s">
        <v>29</v>
      </c>
      <c r="ET542" t="s">
        <v>29</v>
      </c>
      <c r="EU542" t="s">
        <v>1789</v>
      </c>
      <c r="EV542" t="s">
        <v>29</v>
      </c>
      <c r="EW542" t="s">
        <v>29</v>
      </c>
      <c r="EX542" t="s">
        <v>29</v>
      </c>
      <c r="EY542" t="s">
        <v>1790</v>
      </c>
      <c r="EZ542" t="s">
        <v>29</v>
      </c>
      <c r="FA542" t="s">
        <v>29</v>
      </c>
      <c r="FB542" t="s">
        <v>29</v>
      </c>
      <c r="FC542" t="s">
        <v>1791</v>
      </c>
      <c r="FD542" t="s">
        <v>29</v>
      </c>
      <c r="FE542" t="s">
        <v>29</v>
      </c>
      <c r="FF542" t="s">
        <v>29</v>
      </c>
      <c r="FG542" s="9"/>
      <c r="FH542" s="9"/>
      <c r="FI542" s="9"/>
      <c r="FJ542" s="9"/>
      <c r="FK542" s="9"/>
      <c r="FL542" s="9"/>
      <c r="FM542" s="9"/>
      <c r="FN542" s="9"/>
      <c r="FO542" s="9"/>
      <c r="FP542" s="9"/>
      <c r="FQ542" s="9"/>
      <c r="FR542" s="9"/>
      <c r="FS542" s="9"/>
      <c r="FT542" s="9"/>
      <c r="FU542" s="9"/>
      <c r="FV542" s="9"/>
      <c r="FW542" s="9"/>
      <c r="FX542" s="9"/>
      <c r="FY542" s="9"/>
      <c r="FZ542" s="9"/>
      <c r="GA542" s="9"/>
      <c r="GB542" s="9"/>
      <c r="GC542" s="9"/>
      <c r="GD542" s="9"/>
      <c r="GE542" s="9"/>
      <c r="GF542" s="9"/>
      <c r="GG542" s="9"/>
      <c r="GH542" s="9"/>
      <c r="GI542" s="9"/>
      <c r="GJ542" s="9"/>
      <c r="GK542" s="9"/>
      <c r="GL542" s="9"/>
      <c r="GM542" s="9" t="s">
        <v>1794</v>
      </c>
      <c r="GN542" s="9" t="s">
        <v>29</v>
      </c>
      <c r="GO542" s="9" t="s">
        <v>29</v>
      </c>
      <c r="GP542" s="9" t="s">
        <v>29</v>
      </c>
      <c r="GQ542" s="9"/>
      <c r="GR542" s="9"/>
      <c r="GS542" s="9"/>
      <c r="GT542" s="9"/>
      <c r="GU542" s="9"/>
      <c r="GV542" s="9"/>
      <c r="GW542" s="9"/>
      <c r="GX542" s="9"/>
      <c r="GY542" s="9"/>
      <c r="GZ542" s="9"/>
      <c r="HA542" s="9"/>
      <c r="HB542" s="9"/>
      <c r="HC542" s="9"/>
      <c r="HD542" s="9"/>
      <c r="HE542" s="9"/>
      <c r="HF542" s="9"/>
      <c r="HG542" s="9"/>
      <c r="HH542" s="9"/>
      <c r="HI542" s="9"/>
      <c r="HJ542" s="9"/>
      <c r="HK542" s="9"/>
      <c r="HL542" s="9"/>
      <c r="HX542" s="58"/>
      <c r="HY542" t="s">
        <v>1783</v>
      </c>
      <c r="HZ542" t="s">
        <v>1813</v>
      </c>
      <c r="IU542" t="s">
        <v>1783</v>
      </c>
      <c r="IV542" s="84" t="s">
        <v>1811</v>
      </c>
      <c r="IW542" s="12" t="s">
        <v>1786</v>
      </c>
      <c r="IX542" s="54" t="s">
        <v>1797</v>
      </c>
      <c r="IY542">
        <v>7.5</v>
      </c>
      <c r="IZ542">
        <v>37</v>
      </c>
      <c r="MS542" t="s">
        <v>1824</v>
      </c>
      <c r="MT542">
        <v>1963</v>
      </c>
      <c r="MU542" t="s">
        <v>1775</v>
      </c>
      <c r="MW542" t="s">
        <v>1764</v>
      </c>
      <c r="NB542" t="s">
        <v>1809</v>
      </c>
      <c r="NC542" t="s">
        <v>711</v>
      </c>
      <c r="NE542" t="s">
        <v>203</v>
      </c>
      <c r="NG542" t="s">
        <v>203</v>
      </c>
      <c r="NH542" s="6" t="s">
        <v>1820</v>
      </c>
      <c r="NQ542" t="s">
        <v>6</v>
      </c>
      <c r="NR542">
        <v>8.6999999999999993</v>
      </c>
      <c r="NS542" t="s">
        <v>1456</v>
      </c>
      <c r="NT542">
        <v>6.6</v>
      </c>
      <c r="NW542">
        <v>5</v>
      </c>
      <c r="OH542" t="s">
        <v>1594</v>
      </c>
      <c r="OJ542">
        <v>2010</v>
      </c>
      <c r="OO542" t="s">
        <v>1178</v>
      </c>
      <c r="OP542" s="58">
        <v>46108</v>
      </c>
    </row>
    <row r="543" spans="1:406" ht="15.75" thickBot="1">
      <c r="A543" t="s">
        <v>36</v>
      </c>
      <c r="B543" t="s">
        <v>1758</v>
      </c>
      <c r="C543" t="s">
        <v>1759</v>
      </c>
      <c r="D543" s="4" t="s">
        <v>245</v>
      </c>
      <c r="E543" t="s">
        <v>1825</v>
      </c>
      <c r="F543" s="4" t="s">
        <v>1823</v>
      </c>
      <c r="G543" t="s">
        <v>254</v>
      </c>
      <c r="H543" t="s">
        <v>30</v>
      </c>
      <c r="I543">
        <v>-23.748532000000001</v>
      </c>
      <c r="J543">
        <v>-62.056702000000001</v>
      </c>
      <c r="K543" s="87" t="s">
        <v>29</v>
      </c>
      <c r="AV543" t="s">
        <v>1785</v>
      </c>
      <c r="AW543" t="s">
        <v>234</v>
      </c>
      <c r="AX543" t="s">
        <v>234</v>
      </c>
      <c r="AY543" s="5">
        <v>5.5555555555555558E-3</v>
      </c>
      <c r="AZ543" t="s">
        <v>1822</v>
      </c>
      <c r="BA543">
        <v>2010</v>
      </c>
      <c r="BD543" t="s">
        <v>1766</v>
      </c>
      <c r="BE543" t="s">
        <v>1767</v>
      </c>
      <c r="BF543" t="s">
        <v>24</v>
      </c>
      <c r="BG543" t="s">
        <v>1798</v>
      </c>
      <c r="BH543" t="s">
        <v>1800</v>
      </c>
      <c r="BI543" t="s">
        <v>29</v>
      </c>
      <c r="BJ543" t="s">
        <v>29</v>
      </c>
      <c r="BK543" t="s">
        <v>29</v>
      </c>
      <c r="GM543" t="s">
        <v>1794</v>
      </c>
      <c r="GN543" s="9" t="s">
        <v>29</v>
      </c>
      <c r="GO543" s="9" t="s">
        <v>29</v>
      </c>
      <c r="GP543" s="9" t="s">
        <v>29</v>
      </c>
      <c r="HY543" t="s">
        <v>1767</v>
      </c>
      <c r="HZ543" t="s">
        <v>1813</v>
      </c>
      <c r="IU543" t="s">
        <v>1767</v>
      </c>
      <c r="IV543" s="54" t="s">
        <v>1812</v>
      </c>
      <c r="IW543" s="54" t="s">
        <v>1812</v>
      </c>
      <c r="IX543" s="54" t="s">
        <v>1799</v>
      </c>
      <c r="IY543">
        <v>1</v>
      </c>
      <c r="IZ543">
        <v>6</v>
      </c>
      <c r="MS543" t="s">
        <v>1824</v>
      </c>
      <c r="MT543">
        <v>1963</v>
      </c>
      <c r="MU543" t="s">
        <v>1775</v>
      </c>
      <c r="MW543" t="s">
        <v>1764</v>
      </c>
      <c r="NB543" t="s">
        <v>1809</v>
      </c>
      <c r="NC543" t="s">
        <v>711</v>
      </c>
      <c r="NE543" t="s">
        <v>203</v>
      </c>
      <c r="NG543" t="s">
        <v>203</v>
      </c>
      <c r="NH543" s="6" t="s">
        <v>1820</v>
      </c>
      <c r="NP543" t="s">
        <v>1847</v>
      </c>
      <c r="NQ543" t="s">
        <v>6</v>
      </c>
      <c r="NR543">
        <v>4.5999999999999996</v>
      </c>
      <c r="NS543" t="s">
        <v>1456</v>
      </c>
      <c r="NT543">
        <v>3.4</v>
      </c>
      <c r="NW543">
        <v>7</v>
      </c>
      <c r="OH543" t="s">
        <v>1594</v>
      </c>
      <c r="OJ543">
        <v>2010</v>
      </c>
      <c r="OO543" t="s">
        <v>1178</v>
      </c>
      <c r="OP543" s="58">
        <v>46108</v>
      </c>
    </row>
    <row r="544" spans="1:406" ht="15.75" thickBot="1">
      <c r="A544" t="s">
        <v>36</v>
      </c>
      <c r="B544" t="s">
        <v>1758</v>
      </c>
      <c r="C544" t="s">
        <v>1759</v>
      </c>
      <c r="D544" s="4" t="s">
        <v>245</v>
      </c>
      <c r="E544" t="s">
        <v>1825</v>
      </c>
      <c r="F544" s="4" t="s">
        <v>1823</v>
      </c>
      <c r="G544" t="s">
        <v>254</v>
      </c>
      <c r="H544" t="s">
        <v>30</v>
      </c>
      <c r="I544">
        <v>-23.748532000000001</v>
      </c>
      <c r="J544">
        <v>-62.056702000000001</v>
      </c>
      <c r="K544" s="87" t="s">
        <v>29</v>
      </c>
      <c r="AV544" t="s">
        <v>1785</v>
      </c>
      <c r="AW544" t="s">
        <v>234</v>
      </c>
      <c r="AX544">
        <v>1000</v>
      </c>
      <c r="AY544" s="5">
        <v>5.5555555555555558E-3</v>
      </c>
      <c r="AZ544" t="s">
        <v>1822</v>
      </c>
      <c r="BA544">
        <v>2010</v>
      </c>
      <c r="BD544" t="s">
        <v>1844</v>
      </c>
      <c r="BE544" t="s">
        <v>1761</v>
      </c>
      <c r="BF544" t="s">
        <v>39</v>
      </c>
      <c r="BG544" t="s">
        <v>1762</v>
      </c>
      <c r="EE544" t="s">
        <v>1793</v>
      </c>
      <c r="EF544" t="s">
        <v>29</v>
      </c>
      <c r="EG544" t="s">
        <v>29</v>
      </c>
      <c r="EH544" t="s">
        <v>29</v>
      </c>
      <c r="EI544" t="s">
        <v>1792</v>
      </c>
      <c r="EJ544" t="s">
        <v>29</v>
      </c>
      <c r="EK544" t="s">
        <v>29</v>
      </c>
      <c r="EL544" t="s">
        <v>29</v>
      </c>
      <c r="EM544" t="s">
        <v>1787</v>
      </c>
      <c r="EN544" t="s">
        <v>29</v>
      </c>
      <c r="EO544" t="s">
        <v>29</v>
      </c>
      <c r="EP544" t="s">
        <v>29</v>
      </c>
      <c r="EQ544" t="s">
        <v>1788</v>
      </c>
      <c r="ER544" t="s">
        <v>29</v>
      </c>
      <c r="ES544" t="s">
        <v>29</v>
      </c>
      <c r="ET544" t="s">
        <v>29</v>
      </c>
      <c r="EU544" t="s">
        <v>1789</v>
      </c>
      <c r="EV544" t="s">
        <v>29</v>
      </c>
      <c r="EW544" t="s">
        <v>29</v>
      </c>
      <c r="EX544" t="s">
        <v>29</v>
      </c>
      <c r="EY544" t="s">
        <v>1790</v>
      </c>
      <c r="EZ544" t="s">
        <v>29</v>
      </c>
      <c r="FA544" t="s">
        <v>29</v>
      </c>
      <c r="FB544" t="s">
        <v>29</v>
      </c>
      <c r="FC544" t="s">
        <v>1791</v>
      </c>
      <c r="FD544" t="s">
        <v>29</v>
      </c>
      <c r="FE544" t="s">
        <v>29</v>
      </c>
      <c r="FF544" t="s">
        <v>29</v>
      </c>
      <c r="HY544" t="s">
        <v>1761</v>
      </c>
      <c r="IU544" t="s">
        <v>1761</v>
      </c>
      <c r="IV544" t="s">
        <v>1810</v>
      </c>
      <c r="IW544" t="s">
        <v>1810</v>
      </c>
      <c r="IX544" t="s">
        <v>1810</v>
      </c>
      <c r="IY544">
        <v>5</v>
      </c>
      <c r="IZ544">
        <v>70</v>
      </c>
      <c r="MS544" t="s">
        <v>1824</v>
      </c>
      <c r="MT544">
        <v>1963</v>
      </c>
      <c r="MU544" t="s">
        <v>1802</v>
      </c>
      <c r="MW544" t="s">
        <v>1764</v>
      </c>
      <c r="NB544" t="s">
        <v>1805</v>
      </c>
      <c r="NC544" t="s">
        <v>711</v>
      </c>
      <c r="NE544" t="s">
        <v>203</v>
      </c>
      <c r="NG544" t="s">
        <v>203</v>
      </c>
      <c r="NH544" s="6" t="s">
        <v>1820</v>
      </c>
      <c r="NP544" t="s">
        <v>1846</v>
      </c>
      <c r="NQ544" t="s">
        <v>6</v>
      </c>
      <c r="NR544">
        <v>12.3</v>
      </c>
      <c r="NS544" t="s">
        <v>1456</v>
      </c>
      <c r="NT544">
        <v>5.0999999999999996</v>
      </c>
      <c r="NW544">
        <v>6</v>
      </c>
      <c r="OH544" t="s">
        <v>1594</v>
      </c>
      <c r="OJ544">
        <v>2010</v>
      </c>
      <c r="OO544" t="s">
        <v>1178</v>
      </c>
      <c r="OP544" s="58">
        <v>46108</v>
      </c>
    </row>
    <row r="545" spans="1:406" ht="15.75" thickBot="1">
      <c r="A545" t="s">
        <v>36</v>
      </c>
      <c r="B545" t="s">
        <v>1758</v>
      </c>
      <c r="C545" t="s">
        <v>1759</v>
      </c>
      <c r="D545" s="4" t="s">
        <v>245</v>
      </c>
      <c r="E545" t="s">
        <v>1825</v>
      </c>
      <c r="F545" s="4" t="s">
        <v>1823</v>
      </c>
      <c r="G545" t="s">
        <v>254</v>
      </c>
      <c r="H545" t="s">
        <v>30</v>
      </c>
      <c r="I545">
        <v>-23.748532000000001</v>
      </c>
      <c r="J545">
        <v>-62.056702000000001</v>
      </c>
      <c r="K545" s="87" t="s">
        <v>29</v>
      </c>
      <c r="AV545" t="s">
        <v>1785</v>
      </c>
      <c r="AW545" t="s">
        <v>234</v>
      </c>
      <c r="AX545" t="s">
        <v>234</v>
      </c>
      <c r="AY545" s="5">
        <v>5.5555555555555558E-3</v>
      </c>
      <c r="AZ545" t="s">
        <v>1822</v>
      </c>
      <c r="BA545">
        <v>2010</v>
      </c>
      <c r="BD545" t="s">
        <v>1778</v>
      </c>
      <c r="BE545" t="s">
        <v>1779</v>
      </c>
      <c r="BF545" t="s">
        <v>64</v>
      </c>
      <c r="BG545" t="s">
        <v>1798</v>
      </c>
      <c r="BH545" t="s">
        <v>1796</v>
      </c>
      <c r="BI545" t="s">
        <v>1801</v>
      </c>
      <c r="BJ545" t="s">
        <v>29</v>
      </c>
      <c r="BK545" t="s">
        <v>29</v>
      </c>
      <c r="EE545" t="s">
        <v>1793</v>
      </c>
      <c r="EF545" t="s">
        <v>29</v>
      </c>
      <c r="EG545" t="s">
        <v>29</v>
      </c>
      <c r="EH545" t="s">
        <v>29</v>
      </c>
      <c r="EI545" t="s">
        <v>1792</v>
      </c>
      <c r="EJ545" t="s">
        <v>29</v>
      </c>
      <c r="EK545" t="s">
        <v>29</v>
      </c>
      <c r="EL545" t="s">
        <v>29</v>
      </c>
      <c r="EM545" t="s">
        <v>1787</v>
      </c>
      <c r="EN545" t="s">
        <v>29</v>
      </c>
      <c r="EO545" t="s">
        <v>29</v>
      </c>
      <c r="EP545" t="s">
        <v>29</v>
      </c>
      <c r="EQ545" t="s">
        <v>1788</v>
      </c>
      <c r="ER545" t="s">
        <v>29</v>
      </c>
      <c r="ES545" t="s">
        <v>29</v>
      </c>
      <c r="ET545" t="s">
        <v>29</v>
      </c>
      <c r="EU545" t="s">
        <v>1789</v>
      </c>
      <c r="EV545" t="s">
        <v>29</v>
      </c>
      <c r="EW545" t="s">
        <v>29</v>
      </c>
      <c r="EX545" t="s">
        <v>29</v>
      </c>
      <c r="EY545" t="s">
        <v>1790</v>
      </c>
      <c r="EZ545" t="s">
        <v>29</v>
      </c>
      <c r="FA545" t="s">
        <v>29</v>
      </c>
      <c r="FB545" t="s">
        <v>29</v>
      </c>
      <c r="FC545" t="s">
        <v>1791</v>
      </c>
      <c r="FD545" t="s">
        <v>29</v>
      </c>
      <c r="FE545" t="s">
        <v>29</v>
      </c>
      <c r="FF545" t="s">
        <v>29</v>
      </c>
      <c r="GM545" t="s">
        <v>1794</v>
      </c>
      <c r="GN545" s="9" t="s">
        <v>29</v>
      </c>
      <c r="GO545" s="9" t="s">
        <v>29</v>
      </c>
      <c r="GP545" s="9" t="s">
        <v>29</v>
      </c>
      <c r="GQ545" s="9"/>
      <c r="GR545" s="9"/>
      <c r="GS545" s="9"/>
      <c r="GT545" s="9"/>
      <c r="GU545" s="9"/>
      <c r="GV545" s="9"/>
      <c r="GW545" s="9"/>
      <c r="GX545" s="9"/>
      <c r="GY545" s="9"/>
      <c r="GZ545" s="9"/>
      <c r="HA545" s="9"/>
      <c r="HB545" s="9"/>
      <c r="HC545" s="9"/>
      <c r="HD545" s="9"/>
      <c r="HE545" s="9"/>
      <c r="HF545" s="9"/>
      <c r="HG545" s="9"/>
      <c r="HH545" s="9"/>
      <c r="HI545" s="9"/>
      <c r="HJ545" s="9"/>
      <c r="HK545" s="9"/>
      <c r="HL545" s="9"/>
      <c r="HX545" s="58"/>
      <c r="HY545" t="s">
        <v>1779</v>
      </c>
      <c r="HZ545" t="s">
        <v>1814</v>
      </c>
      <c r="IU545" t="s">
        <v>1779</v>
      </c>
      <c r="IV545" s="84" t="s">
        <v>1811</v>
      </c>
      <c r="IW545" t="s">
        <v>1786</v>
      </c>
      <c r="IX545" s="54" t="s">
        <v>1795</v>
      </c>
      <c r="IY545">
        <v>1</v>
      </c>
      <c r="IZ545">
        <v>81</v>
      </c>
      <c r="MS545" t="s">
        <v>1824</v>
      </c>
      <c r="MT545">
        <v>1963</v>
      </c>
      <c r="MU545" t="s">
        <v>1802</v>
      </c>
      <c r="MW545" t="s">
        <v>1764</v>
      </c>
      <c r="NB545" t="s">
        <v>1805</v>
      </c>
      <c r="NC545" t="s">
        <v>711</v>
      </c>
      <c r="NE545" t="s">
        <v>203</v>
      </c>
      <c r="NG545" t="s">
        <v>203</v>
      </c>
      <c r="NH545" s="6" t="s">
        <v>1820</v>
      </c>
      <c r="NQ545" t="s">
        <v>6</v>
      </c>
      <c r="NR545">
        <v>12.3</v>
      </c>
      <c r="NS545" t="s">
        <v>1456</v>
      </c>
      <c r="NT545">
        <v>11.4</v>
      </c>
      <c r="NW545">
        <v>8</v>
      </c>
      <c r="OH545" t="s">
        <v>1594</v>
      </c>
      <c r="OJ545">
        <v>2010</v>
      </c>
      <c r="OO545" t="s">
        <v>1178</v>
      </c>
      <c r="OP545" s="58">
        <v>46108</v>
      </c>
    </row>
    <row r="546" spans="1:406" ht="15.75" thickBot="1">
      <c r="A546" t="s">
        <v>36</v>
      </c>
      <c r="B546" t="s">
        <v>1758</v>
      </c>
      <c r="C546" t="s">
        <v>1759</v>
      </c>
      <c r="D546" s="4" t="s">
        <v>245</v>
      </c>
      <c r="E546" t="s">
        <v>1825</v>
      </c>
      <c r="F546" s="4" t="s">
        <v>1823</v>
      </c>
      <c r="G546" t="s">
        <v>254</v>
      </c>
      <c r="H546" t="s">
        <v>30</v>
      </c>
      <c r="I546">
        <v>-23.748532000000001</v>
      </c>
      <c r="J546">
        <v>-62.056702000000001</v>
      </c>
      <c r="K546" s="87" t="s">
        <v>29</v>
      </c>
      <c r="AV546" t="s">
        <v>1785</v>
      </c>
      <c r="AW546" t="s">
        <v>234</v>
      </c>
      <c r="AX546">
        <v>3600</v>
      </c>
      <c r="AY546" s="5">
        <v>5.5555555555555558E-3</v>
      </c>
      <c r="AZ546" t="s">
        <v>1822</v>
      </c>
      <c r="BA546">
        <v>2010</v>
      </c>
      <c r="BD546" t="s">
        <v>1778</v>
      </c>
      <c r="BE546" t="s">
        <v>1781</v>
      </c>
      <c r="BF546" t="s">
        <v>57</v>
      </c>
      <c r="BG546" t="s">
        <v>1798</v>
      </c>
      <c r="BH546" t="s">
        <v>1796</v>
      </c>
      <c r="BI546" t="s">
        <v>29</v>
      </c>
      <c r="BJ546" t="s">
        <v>29</v>
      </c>
      <c r="BK546" t="s">
        <v>29</v>
      </c>
      <c r="EE546" t="s">
        <v>1793</v>
      </c>
      <c r="EF546" t="s">
        <v>29</v>
      </c>
      <c r="EG546" t="s">
        <v>29</v>
      </c>
      <c r="EH546" t="s">
        <v>29</v>
      </c>
      <c r="EI546" t="s">
        <v>1792</v>
      </c>
      <c r="EJ546" t="s">
        <v>29</v>
      </c>
      <c r="EK546" t="s">
        <v>29</v>
      </c>
      <c r="EL546" t="s">
        <v>29</v>
      </c>
      <c r="EM546" t="s">
        <v>1787</v>
      </c>
      <c r="EN546" t="s">
        <v>29</v>
      </c>
      <c r="EO546" t="s">
        <v>29</v>
      </c>
      <c r="EP546" t="s">
        <v>29</v>
      </c>
      <c r="EQ546" t="s">
        <v>1788</v>
      </c>
      <c r="ER546" t="s">
        <v>29</v>
      </c>
      <c r="ES546" t="s">
        <v>29</v>
      </c>
      <c r="ET546" t="s">
        <v>29</v>
      </c>
      <c r="EU546" t="s">
        <v>1789</v>
      </c>
      <c r="EV546" t="s">
        <v>29</v>
      </c>
      <c r="EW546" t="s">
        <v>29</v>
      </c>
      <c r="EX546" t="s">
        <v>29</v>
      </c>
      <c r="EY546" t="s">
        <v>1790</v>
      </c>
      <c r="EZ546" t="s">
        <v>29</v>
      </c>
      <c r="FA546" t="s">
        <v>29</v>
      </c>
      <c r="FB546" t="s">
        <v>29</v>
      </c>
      <c r="FC546" t="s">
        <v>1791</v>
      </c>
      <c r="FD546" t="s">
        <v>29</v>
      </c>
      <c r="FE546" t="s">
        <v>29</v>
      </c>
      <c r="FF546" t="s">
        <v>29</v>
      </c>
      <c r="FG546" s="9"/>
      <c r="FH546" s="9"/>
      <c r="FI546" s="9"/>
      <c r="FJ546" s="9"/>
      <c r="FK546" s="9"/>
      <c r="FL546" s="9"/>
      <c r="FM546" s="9"/>
      <c r="FN546" s="9"/>
      <c r="FO546" s="9"/>
      <c r="FP546" s="9"/>
      <c r="FQ546" s="9"/>
      <c r="FR546" s="9"/>
      <c r="FS546" s="9"/>
      <c r="FT546" s="9"/>
      <c r="FU546" s="9"/>
      <c r="FV546" s="9"/>
      <c r="FW546" s="9"/>
      <c r="FX546" s="9"/>
      <c r="FY546" s="9"/>
      <c r="FZ546" s="9"/>
      <c r="GA546" s="9"/>
      <c r="GB546" s="9"/>
      <c r="GC546" s="9"/>
      <c r="GD546" s="9"/>
      <c r="GE546" s="9"/>
      <c r="GF546" s="9"/>
      <c r="GG546" s="9"/>
      <c r="GH546" s="9"/>
      <c r="GI546" s="9"/>
      <c r="GJ546" s="9"/>
      <c r="GK546" s="9"/>
      <c r="GL546" s="9"/>
      <c r="GM546" s="9" t="s">
        <v>1794</v>
      </c>
      <c r="GN546" s="9" t="s">
        <v>29</v>
      </c>
      <c r="GO546" s="9" t="s">
        <v>29</v>
      </c>
      <c r="GP546" s="9" t="s">
        <v>29</v>
      </c>
      <c r="GQ546" s="9"/>
      <c r="GR546" s="9"/>
      <c r="GS546" s="9"/>
      <c r="GT546" s="9"/>
      <c r="GU546" s="9"/>
      <c r="GV546" s="9"/>
      <c r="GW546" s="9"/>
      <c r="GX546" s="9"/>
      <c r="GY546" s="9"/>
      <c r="GZ546" s="9"/>
      <c r="HA546" s="9"/>
      <c r="HB546" s="9"/>
      <c r="HC546" s="9"/>
      <c r="HD546" s="9"/>
      <c r="HE546" s="9"/>
      <c r="HF546" s="9"/>
      <c r="HG546" s="9"/>
      <c r="HH546" s="9"/>
      <c r="HI546" s="9"/>
      <c r="HJ546" s="9"/>
      <c r="HK546" s="9"/>
      <c r="HL546" s="9"/>
      <c r="HX546" s="58"/>
      <c r="HY546" t="s">
        <v>1781</v>
      </c>
      <c r="HZ546" t="s">
        <v>1814</v>
      </c>
      <c r="IU546" t="s">
        <v>1781</v>
      </c>
      <c r="IV546" s="84" t="s">
        <v>1811</v>
      </c>
      <c r="IW546" s="12" t="s">
        <v>1786</v>
      </c>
      <c r="IX546" s="54" t="s">
        <v>1797</v>
      </c>
      <c r="IY546">
        <v>7.5</v>
      </c>
      <c r="IZ546">
        <v>56</v>
      </c>
      <c r="MS546" t="s">
        <v>1824</v>
      </c>
      <c r="MT546">
        <v>1963</v>
      </c>
      <c r="MU546" t="s">
        <v>1802</v>
      </c>
      <c r="MW546" t="s">
        <v>1764</v>
      </c>
      <c r="NB546" t="s">
        <v>1805</v>
      </c>
      <c r="NC546" t="s">
        <v>711</v>
      </c>
      <c r="NE546" t="s">
        <v>203</v>
      </c>
      <c r="NG546" t="s">
        <v>203</v>
      </c>
      <c r="NH546" s="6" t="s">
        <v>1820</v>
      </c>
      <c r="NQ546" t="s">
        <v>6</v>
      </c>
      <c r="NR546">
        <v>7.8</v>
      </c>
      <c r="NS546" t="s">
        <v>1456</v>
      </c>
      <c r="NT546">
        <v>5.0999999999999996</v>
      </c>
      <c r="NW546">
        <v>7</v>
      </c>
      <c r="OH546" t="s">
        <v>1594</v>
      </c>
      <c r="OJ546">
        <v>2010</v>
      </c>
      <c r="OO546" t="s">
        <v>1178</v>
      </c>
      <c r="OP546" s="58">
        <v>46108</v>
      </c>
    </row>
    <row r="547" spans="1:406" ht="15.75" thickBot="1">
      <c r="A547" t="s">
        <v>36</v>
      </c>
      <c r="B547" t="s">
        <v>1758</v>
      </c>
      <c r="C547" t="s">
        <v>1759</v>
      </c>
      <c r="D547" s="4" t="s">
        <v>245</v>
      </c>
      <c r="E547" t="s">
        <v>1825</v>
      </c>
      <c r="F547" s="4" t="s">
        <v>1823</v>
      </c>
      <c r="G547" t="s">
        <v>254</v>
      </c>
      <c r="H547" t="s">
        <v>30</v>
      </c>
      <c r="I547">
        <v>-23.748532000000001</v>
      </c>
      <c r="J547">
        <v>-62.056702000000001</v>
      </c>
      <c r="K547" s="87" t="s">
        <v>29</v>
      </c>
      <c r="AV547" t="s">
        <v>1785</v>
      </c>
      <c r="AW547" t="s">
        <v>234</v>
      </c>
      <c r="AX547">
        <v>3600</v>
      </c>
      <c r="AY547" s="5">
        <v>5.5555555555555558E-3</v>
      </c>
      <c r="AZ547" t="s">
        <v>1822</v>
      </c>
      <c r="BA547">
        <v>2010</v>
      </c>
      <c r="BD547" t="s">
        <v>1778</v>
      </c>
      <c r="BE547" t="s">
        <v>1783</v>
      </c>
      <c r="BF547" t="s">
        <v>48</v>
      </c>
      <c r="BG547" t="s">
        <v>1798</v>
      </c>
      <c r="BH547" t="s">
        <v>1800</v>
      </c>
      <c r="BI547" t="s">
        <v>29</v>
      </c>
      <c r="BJ547" t="s">
        <v>29</v>
      </c>
      <c r="BK547" t="s">
        <v>29</v>
      </c>
      <c r="EE547" t="s">
        <v>1793</v>
      </c>
      <c r="EF547" t="s">
        <v>29</v>
      </c>
      <c r="EG547" t="s">
        <v>29</v>
      </c>
      <c r="EH547" t="s">
        <v>29</v>
      </c>
      <c r="EI547" t="s">
        <v>1792</v>
      </c>
      <c r="EJ547" t="s">
        <v>29</v>
      </c>
      <c r="EK547" t="s">
        <v>29</v>
      </c>
      <c r="EL547" t="s">
        <v>29</v>
      </c>
      <c r="EM547" t="s">
        <v>1787</v>
      </c>
      <c r="EN547" t="s">
        <v>29</v>
      </c>
      <c r="EO547" t="s">
        <v>29</v>
      </c>
      <c r="EP547" t="s">
        <v>29</v>
      </c>
      <c r="EQ547" t="s">
        <v>1788</v>
      </c>
      <c r="ER547" t="s">
        <v>29</v>
      </c>
      <c r="ES547" t="s">
        <v>29</v>
      </c>
      <c r="ET547" t="s">
        <v>29</v>
      </c>
      <c r="EU547" t="s">
        <v>1789</v>
      </c>
      <c r="EV547" t="s">
        <v>29</v>
      </c>
      <c r="EW547" t="s">
        <v>29</v>
      </c>
      <c r="EX547" t="s">
        <v>29</v>
      </c>
      <c r="EY547" t="s">
        <v>1790</v>
      </c>
      <c r="EZ547" t="s">
        <v>29</v>
      </c>
      <c r="FA547" t="s">
        <v>29</v>
      </c>
      <c r="FB547" t="s">
        <v>29</v>
      </c>
      <c r="FC547" t="s">
        <v>1791</v>
      </c>
      <c r="FD547" t="s">
        <v>29</v>
      </c>
      <c r="FE547" t="s">
        <v>29</v>
      </c>
      <c r="FF547" t="s">
        <v>29</v>
      </c>
      <c r="FG547" s="9"/>
      <c r="FH547" s="9"/>
      <c r="FI547" s="9"/>
      <c r="FJ547" s="9"/>
      <c r="FK547" s="9"/>
      <c r="FL547" s="9"/>
      <c r="FM547" s="9"/>
      <c r="FN547" s="9"/>
      <c r="FO547" s="9"/>
      <c r="FP547" s="9"/>
      <c r="FQ547" s="9"/>
      <c r="FR547" s="9"/>
      <c r="FS547" s="9"/>
      <c r="FT547" s="9"/>
      <c r="FU547" s="9"/>
      <c r="FV547" s="9"/>
      <c r="FW547" s="9"/>
      <c r="FX547" s="9"/>
      <c r="FY547" s="9"/>
      <c r="FZ547" s="9"/>
      <c r="GA547" s="9"/>
      <c r="GB547" s="9"/>
      <c r="GC547" s="9"/>
      <c r="GD547" s="9"/>
      <c r="GE547" s="9"/>
      <c r="GF547" s="9"/>
      <c r="GG547" s="9"/>
      <c r="GH547" s="9"/>
      <c r="GI547" s="9"/>
      <c r="GJ547" s="9"/>
      <c r="GK547" s="9"/>
      <c r="GL547" s="9"/>
      <c r="GM547" s="9" t="s">
        <v>1794</v>
      </c>
      <c r="GN547" s="9" t="s">
        <v>29</v>
      </c>
      <c r="GO547" s="9" t="s">
        <v>29</v>
      </c>
      <c r="GP547" s="9" t="s">
        <v>29</v>
      </c>
      <c r="GQ547" s="9"/>
      <c r="GR547" s="9"/>
      <c r="GS547" s="9"/>
      <c r="GT547" s="9"/>
      <c r="GU547" s="9"/>
      <c r="GV547" s="9"/>
      <c r="GW547" s="9"/>
      <c r="GX547" s="9"/>
      <c r="GY547" s="9"/>
      <c r="GZ547" s="9"/>
      <c r="HA547" s="9"/>
      <c r="HB547" s="9"/>
      <c r="HC547" s="9"/>
      <c r="HD547" s="9"/>
      <c r="HE547" s="9"/>
      <c r="HF547" s="9"/>
      <c r="HG547" s="9"/>
      <c r="HH547" s="9"/>
      <c r="HI547" s="9"/>
      <c r="HJ547" s="9"/>
      <c r="HK547" s="9"/>
      <c r="HL547" s="9"/>
      <c r="HX547" s="58"/>
      <c r="HY547" t="s">
        <v>1783</v>
      </c>
      <c r="HZ547" t="s">
        <v>1813</v>
      </c>
      <c r="IU547" t="s">
        <v>1783</v>
      </c>
      <c r="IV547" s="84" t="s">
        <v>1811</v>
      </c>
      <c r="IW547" s="12" t="s">
        <v>1786</v>
      </c>
      <c r="IX547" s="54" t="s">
        <v>1797</v>
      </c>
      <c r="IY547">
        <v>7.5</v>
      </c>
      <c r="IZ547">
        <v>37</v>
      </c>
      <c r="MS547" t="s">
        <v>1824</v>
      </c>
      <c r="MT547">
        <v>1963</v>
      </c>
      <c r="MU547" t="s">
        <v>1802</v>
      </c>
      <c r="MW547" t="s">
        <v>1764</v>
      </c>
      <c r="NB547" t="s">
        <v>1805</v>
      </c>
      <c r="NC547" t="s">
        <v>711</v>
      </c>
      <c r="NE547" t="s">
        <v>203</v>
      </c>
      <c r="NG547" t="s">
        <v>203</v>
      </c>
      <c r="NH547" s="6" t="s">
        <v>1820</v>
      </c>
      <c r="NQ547" t="s">
        <v>6</v>
      </c>
      <c r="NR547">
        <v>5.2</v>
      </c>
      <c r="NS547" t="s">
        <v>1456</v>
      </c>
      <c r="NT547">
        <v>4.7</v>
      </c>
      <c r="NW547">
        <v>5</v>
      </c>
      <c r="OH547" t="s">
        <v>1594</v>
      </c>
      <c r="OJ547">
        <v>2010</v>
      </c>
      <c r="OO547" t="s">
        <v>1178</v>
      </c>
      <c r="OP547" s="58">
        <v>46108</v>
      </c>
    </row>
    <row r="548" spans="1:406" ht="15.75" thickBot="1">
      <c r="A548" t="s">
        <v>36</v>
      </c>
      <c r="B548" t="s">
        <v>1758</v>
      </c>
      <c r="C548" t="s">
        <v>1759</v>
      </c>
      <c r="D548" s="4" t="s">
        <v>245</v>
      </c>
      <c r="E548" t="s">
        <v>1825</v>
      </c>
      <c r="F548" s="4" t="s">
        <v>1823</v>
      </c>
      <c r="G548" t="s">
        <v>254</v>
      </c>
      <c r="H548" t="s">
        <v>30</v>
      </c>
      <c r="I548">
        <v>-23.748532000000001</v>
      </c>
      <c r="J548">
        <v>-62.056702000000001</v>
      </c>
      <c r="K548" s="87" t="s">
        <v>29</v>
      </c>
      <c r="AV548" t="s">
        <v>1785</v>
      </c>
      <c r="AW548" t="s">
        <v>234</v>
      </c>
      <c r="AX548" t="s">
        <v>234</v>
      </c>
      <c r="AY548" s="5">
        <v>5.5555555555555558E-3</v>
      </c>
      <c r="AZ548" t="s">
        <v>1822</v>
      </c>
      <c r="BA548">
        <v>2010</v>
      </c>
      <c r="BD548" t="s">
        <v>1766</v>
      </c>
      <c r="BE548" t="s">
        <v>1767</v>
      </c>
      <c r="BF548" t="s">
        <v>24</v>
      </c>
      <c r="BG548" t="s">
        <v>1798</v>
      </c>
      <c r="BH548" t="s">
        <v>1800</v>
      </c>
      <c r="BI548" t="s">
        <v>29</v>
      </c>
      <c r="BJ548" t="s">
        <v>29</v>
      </c>
      <c r="BK548" t="s">
        <v>29</v>
      </c>
      <c r="GM548" t="s">
        <v>1794</v>
      </c>
      <c r="GN548" s="9" t="s">
        <v>29</v>
      </c>
      <c r="GO548" s="9" t="s">
        <v>29</v>
      </c>
      <c r="GP548" s="9" t="s">
        <v>29</v>
      </c>
      <c r="HY548" t="s">
        <v>1767</v>
      </c>
      <c r="HZ548" t="s">
        <v>1813</v>
      </c>
      <c r="IU548" t="s">
        <v>1767</v>
      </c>
      <c r="IV548" s="54" t="s">
        <v>1812</v>
      </c>
      <c r="IW548" s="54" t="s">
        <v>1812</v>
      </c>
      <c r="IX548" s="54" t="s">
        <v>1799</v>
      </c>
      <c r="IY548">
        <v>1</v>
      </c>
      <c r="IZ548">
        <v>6</v>
      </c>
      <c r="MS548" t="s">
        <v>1824</v>
      </c>
      <c r="MT548">
        <v>1963</v>
      </c>
      <c r="MU548" t="s">
        <v>1802</v>
      </c>
      <c r="MW548" t="s">
        <v>1764</v>
      </c>
      <c r="NB548" t="s">
        <v>1805</v>
      </c>
      <c r="NC548" t="s">
        <v>711</v>
      </c>
      <c r="NE548" t="s">
        <v>203</v>
      </c>
      <c r="NG548" t="s">
        <v>203</v>
      </c>
      <c r="NH548" s="6" t="s">
        <v>1820</v>
      </c>
      <c r="NP548" t="s">
        <v>1847</v>
      </c>
      <c r="NQ548" t="s">
        <v>6</v>
      </c>
      <c r="NR548">
        <v>0</v>
      </c>
      <c r="NS548" t="s">
        <v>1456</v>
      </c>
      <c r="NT548">
        <v>0</v>
      </c>
      <c r="NW548">
        <v>7</v>
      </c>
      <c r="OH548" t="s">
        <v>1594</v>
      </c>
      <c r="OJ548">
        <v>2010</v>
      </c>
      <c r="OO548" t="s">
        <v>1178</v>
      </c>
      <c r="OP548" s="58">
        <v>46108</v>
      </c>
    </row>
    <row r="549" spans="1:406" ht="15.75" thickBot="1">
      <c r="A549" t="s">
        <v>36</v>
      </c>
      <c r="B549" t="s">
        <v>1758</v>
      </c>
      <c r="C549" t="s">
        <v>1759</v>
      </c>
      <c r="D549" s="4" t="s">
        <v>245</v>
      </c>
      <c r="E549" t="s">
        <v>1825</v>
      </c>
      <c r="F549" s="4" t="s">
        <v>1823</v>
      </c>
      <c r="G549" t="s">
        <v>254</v>
      </c>
      <c r="H549" t="s">
        <v>30</v>
      </c>
      <c r="I549">
        <v>-23.748532000000001</v>
      </c>
      <c r="J549">
        <v>-62.056702000000001</v>
      </c>
      <c r="K549" s="87" t="s">
        <v>29</v>
      </c>
      <c r="AV549" t="s">
        <v>1785</v>
      </c>
      <c r="AW549" t="s">
        <v>234</v>
      </c>
      <c r="AX549">
        <v>1000</v>
      </c>
      <c r="AY549" s="5">
        <v>5.5555555555555558E-3</v>
      </c>
      <c r="AZ549" t="s">
        <v>1822</v>
      </c>
      <c r="BA549">
        <v>2010</v>
      </c>
      <c r="BD549" t="s">
        <v>1844</v>
      </c>
      <c r="BE549" t="s">
        <v>1761</v>
      </c>
      <c r="BF549" t="s">
        <v>39</v>
      </c>
      <c r="BG549" t="s">
        <v>1762</v>
      </c>
      <c r="EE549" t="s">
        <v>1793</v>
      </c>
      <c r="EF549" t="s">
        <v>29</v>
      </c>
      <c r="EG549" t="s">
        <v>29</v>
      </c>
      <c r="EH549" t="s">
        <v>29</v>
      </c>
      <c r="EI549" t="s">
        <v>1792</v>
      </c>
      <c r="EJ549" t="s">
        <v>29</v>
      </c>
      <c r="EK549" t="s">
        <v>29</v>
      </c>
      <c r="EL549" t="s">
        <v>29</v>
      </c>
      <c r="EM549" t="s">
        <v>1787</v>
      </c>
      <c r="EN549" t="s">
        <v>29</v>
      </c>
      <c r="EO549" t="s">
        <v>29</v>
      </c>
      <c r="EP549" t="s">
        <v>29</v>
      </c>
      <c r="EQ549" t="s">
        <v>1788</v>
      </c>
      <c r="ER549" t="s">
        <v>29</v>
      </c>
      <c r="ES549" t="s">
        <v>29</v>
      </c>
      <c r="ET549" t="s">
        <v>29</v>
      </c>
      <c r="EU549" t="s">
        <v>1789</v>
      </c>
      <c r="EV549" t="s">
        <v>29</v>
      </c>
      <c r="EW549" t="s">
        <v>29</v>
      </c>
      <c r="EX549" t="s">
        <v>29</v>
      </c>
      <c r="EY549" t="s">
        <v>1790</v>
      </c>
      <c r="EZ549" t="s">
        <v>29</v>
      </c>
      <c r="FA549" t="s">
        <v>29</v>
      </c>
      <c r="FB549" t="s">
        <v>29</v>
      </c>
      <c r="FC549" t="s">
        <v>1791</v>
      </c>
      <c r="FD549" t="s">
        <v>29</v>
      </c>
      <c r="FE549" t="s">
        <v>29</v>
      </c>
      <c r="FF549" t="s">
        <v>29</v>
      </c>
      <c r="HY549" t="s">
        <v>1761</v>
      </c>
      <c r="IU549" t="s">
        <v>1761</v>
      </c>
      <c r="IV549" t="s">
        <v>1810</v>
      </c>
      <c r="IW549" t="s">
        <v>1810</v>
      </c>
      <c r="IX549" t="s">
        <v>1810</v>
      </c>
      <c r="IY549">
        <v>5</v>
      </c>
      <c r="IZ549">
        <v>70</v>
      </c>
      <c r="MS549" t="s">
        <v>1824</v>
      </c>
      <c r="MT549">
        <v>1963</v>
      </c>
      <c r="MU549" t="s">
        <v>1803</v>
      </c>
      <c r="MW549" t="s">
        <v>1764</v>
      </c>
      <c r="NB549" t="s">
        <v>1806</v>
      </c>
      <c r="NC549" t="s">
        <v>711</v>
      </c>
      <c r="NE549" t="s">
        <v>203</v>
      </c>
      <c r="NG549" t="s">
        <v>203</v>
      </c>
      <c r="NH549" s="6" t="s">
        <v>1820</v>
      </c>
      <c r="NP549" t="s">
        <v>1846</v>
      </c>
      <c r="NQ549" t="s">
        <v>6</v>
      </c>
      <c r="NR549">
        <v>6.2</v>
      </c>
      <c r="NS549" t="s">
        <v>1456</v>
      </c>
      <c r="NT549">
        <v>4.8</v>
      </c>
      <c r="NW549">
        <v>6</v>
      </c>
      <c r="OH549" t="s">
        <v>1594</v>
      </c>
      <c r="OJ549">
        <v>2010</v>
      </c>
      <c r="OO549" t="s">
        <v>1178</v>
      </c>
      <c r="OP549" s="58">
        <v>46108</v>
      </c>
    </row>
    <row r="550" spans="1:406" ht="15.75" thickBot="1">
      <c r="A550" t="s">
        <v>36</v>
      </c>
      <c r="B550" t="s">
        <v>1758</v>
      </c>
      <c r="C550" t="s">
        <v>1759</v>
      </c>
      <c r="D550" s="4" t="s">
        <v>245</v>
      </c>
      <c r="E550" t="s">
        <v>1825</v>
      </c>
      <c r="F550" s="4" t="s">
        <v>1823</v>
      </c>
      <c r="G550" t="s">
        <v>254</v>
      </c>
      <c r="H550" t="s">
        <v>30</v>
      </c>
      <c r="I550">
        <v>-23.748532000000001</v>
      </c>
      <c r="J550">
        <v>-62.056702000000001</v>
      </c>
      <c r="K550" s="87" t="s">
        <v>29</v>
      </c>
      <c r="AV550" t="s">
        <v>1785</v>
      </c>
      <c r="AW550" t="s">
        <v>234</v>
      </c>
      <c r="AX550" t="s">
        <v>234</v>
      </c>
      <c r="AY550" s="5">
        <v>5.5555555555555558E-3</v>
      </c>
      <c r="AZ550" t="s">
        <v>1822</v>
      </c>
      <c r="BA550">
        <v>2010</v>
      </c>
      <c r="BD550" t="s">
        <v>1778</v>
      </c>
      <c r="BE550" t="s">
        <v>1779</v>
      </c>
      <c r="BF550" t="s">
        <v>64</v>
      </c>
      <c r="BG550" t="s">
        <v>1798</v>
      </c>
      <c r="BH550" t="s">
        <v>1796</v>
      </c>
      <c r="BI550" t="s">
        <v>1801</v>
      </c>
      <c r="BJ550" t="s">
        <v>29</v>
      </c>
      <c r="BK550" t="s">
        <v>29</v>
      </c>
      <c r="EE550" t="s">
        <v>1793</v>
      </c>
      <c r="EF550" t="s">
        <v>29</v>
      </c>
      <c r="EG550" t="s">
        <v>29</v>
      </c>
      <c r="EH550" t="s">
        <v>29</v>
      </c>
      <c r="EI550" t="s">
        <v>1792</v>
      </c>
      <c r="EJ550" t="s">
        <v>29</v>
      </c>
      <c r="EK550" t="s">
        <v>29</v>
      </c>
      <c r="EL550" t="s">
        <v>29</v>
      </c>
      <c r="EM550" t="s">
        <v>1787</v>
      </c>
      <c r="EN550" t="s">
        <v>29</v>
      </c>
      <c r="EO550" t="s">
        <v>29</v>
      </c>
      <c r="EP550" t="s">
        <v>29</v>
      </c>
      <c r="EQ550" t="s">
        <v>1788</v>
      </c>
      <c r="ER550" t="s">
        <v>29</v>
      </c>
      <c r="ES550" t="s">
        <v>29</v>
      </c>
      <c r="ET550" t="s">
        <v>29</v>
      </c>
      <c r="EU550" t="s">
        <v>1789</v>
      </c>
      <c r="EV550" t="s">
        <v>29</v>
      </c>
      <c r="EW550" t="s">
        <v>29</v>
      </c>
      <c r="EX550" t="s">
        <v>29</v>
      </c>
      <c r="EY550" t="s">
        <v>1790</v>
      </c>
      <c r="EZ550" t="s">
        <v>29</v>
      </c>
      <c r="FA550" t="s">
        <v>29</v>
      </c>
      <c r="FB550" t="s">
        <v>29</v>
      </c>
      <c r="FC550" t="s">
        <v>1791</v>
      </c>
      <c r="FD550" t="s">
        <v>29</v>
      </c>
      <c r="FE550" t="s">
        <v>29</v>
      </c>
      <c r="FF550" t="s">
        <v>29</v>
      </c>
      <c r="GM550" t="s">
        <v>1794</v>
      </c>
      <c r="GN550" s="9" t="s">
        <v>29</v>
      </c>
      <c r="GO550" s="9" t="s">
        <v>29</v>
      </c>
      <c r="GP550" s="9" t="s">
        <v>29</v>
      </c>
      <c r="GQ550" s="9"/>
      <c r="GR550" s="9"/>
      <c r="GS550" s="9"/>
      <c r="GT550" s="9"/>
      <c r="GU550" s="9"/>
      <c r="GV550" s="9"/>
      <c r="GW550" s="9"/>
      <c r="GX550" s="9"/>
      <c r="GY550" s="9"/>
      <c r="GZ550" s="9"/>
      <c r="HA550" s="9"/>
      <c r="HB550" s="9"/>
      <c r="HC550" s="9"/>
      <c r="HD550" s="9"/>
      <c r="HE550" s="9"/>
      <c r="HF550" s="9"/>
      <c r="HG550" s="9"/>
      <c r="HH550" s="9"/>
      <c r="HI550" s="9"/>
      <c r="HJ550" s="9"/>
      <c r="HK550" s="9"/>
      <c r="HL550" s="9"/>
      <c r="HX550" s="58"/>
      <c r="HY550" t="s">
        <v>1779</v>
      </c>
      <c r="HZ550" t="s">
        <v>1814</v>
      </c>
      <c r="IU550" t="s">
        <v>1779</v>
      </c>
      <c r="IV550" s="84" t="s">
        <v>1811</v>
      </c>
      <c r="IW550" t="s">
        <v>1786</v>
      </c>
      <c r="IX550" s="54" t="s">
        <v>1795</v>
      </c>
      <c r="IY550">
        <v>1</v>
      </c>
      <c r="IZ550">
        <v>81</v>
      </c>
      <c r="MS550" t="s">
        <v>1824</v>
      </c>
      <c r="MT550">
        <v>1963</v>
      </c>
      <c r="MU550" t="s">
        <v>1803</v>
      </c>
      <c r="MW550" t="s">
        <v>1764</v>
      </c>
      <c r="NB550" t="s">
        <v>1806</v>
      </c>
      <c r="NC550" t="s">
        <v>711</v>
      </c>
      <c r="NE550" t="s">
        <v>203</v>
      </c>
      <c r="NG550" t="s">
        <v>203</v>
      </c>
      <c r="NH550" s="6" t="s">
        <v>1820</v>
      </c>
      <c r="NQ550" t="s">
        <v>6</v>
      </c>
      <c r="NR550">
        <v>8.5</v>
      </c>
      <c r="NS550" t="s">
        <v>1456</v>
      </c>
      <c r="NT550">
        <v>8.1</v>
      </c>
      <c r="NW550">
        <v>8</v>
      </c>
      <c r="OH550" t="s">
        <v>1594</v>
      </c>
      <c r="OJ550">
        <v>2010</v>
      </c>
      <c r="OO550" t="s">
        <v>1178</v>
      </c>
      <c r="OP550" s="58">
        <v>46108</v>
      </c>
    </row>
    <row r="551" spans="1:406" ht="15.75" thickBot="1">
      <c r="A551" t="s">
        <v>36</v>
      </c>
      <c r="B551" t="s">
        <v>1758</v>
      </c>
      <c r="C551" t="s">
        <v>1759</v>
      </c>
      <c r="D551" s="4" t="s">
        <v>245</v>
      </c>
      <c r="E551" t="s">
        <v>1825</v>
      </c>
      <c r="F551" s="4" t="s">
        <v>1823</v>
      </c>
      <c r="G551" t="s">
        <v>254</v>
      </c>
      <c r="H551" t="s">
        <v>30</v>
      </c>
      <c r="I551">
        <v>-23.748532000000001</v>
      </c>
      <c r="J551">
        <v>-62.056702000000001</v>
      </c>
      <c r="K551" s="87" t="s">
        <v>29</v>
      </c>
      <c r="AV551" t="s">
        <v>1785</v>
      </c>
      <c r="AW551" t="s">
        <v>234</v>
      </c>
      <c r="AX551">
        <v>3600</v>
      </c>
      <c r="AY551" s="5">
        <v>5.5555555555555558E-3</v>
      </c>
      <c r="AZ551" t="s">
        <v>1822</v>
      </c>
      <c r="BA551">
        <v>2010</v>
      </c>
      <c r="BD551" t="s">
        <v>1778</v>
      </c>
      <c r="BE551" t="s">
        <v>1781</v>
      </c>
      <c r="BF551" t="s">
        <v>57</v>
      </c>
      <c r="BG551" t="s">
        <v>1798</v>
      </c>
      <c r="BH551" t="s">
        <v>1796</v>
      </c>
      <c r="BI551" t="s">
        <v>29</v>
      </c>
      <c r="BJ551" t="s">
        <v>29</v>
      </c>
      <c r="BK551" t="s">
        <v>29</v>
      </c>
      <c r="EE551" t="s">
        <v>1793</v>
      </c>
      <c r="EF551" t="s">
        <v>29</v>
      </c>
      <c r="EG551" t="s">
        <v>29</v>
      </c>
      <c r="EH551" t="s">
        <v>29</v>
      </c>
      <c r="EI551" t="s">
        <v>1792</v>
      </c>
      <c r="EJ551" t="s">
        <v>29</v>
      </c>
      <c r="EK551" t="s">
        <v>29</v>
      </c>
      <c r="EL551" t="s">
        <v>29</v>
      </c>
      <c r="EM551" t="s">
        <v>1787</v>
      </c>
      <c r="EN551" t="s">
        <v>29</v>
      </c>
      <c r="EO551" t="s">
        <v>29</v>
      </c>
      <c r="EP551" t="s">
        <v>29</v>
      </c>
      <c r="EQ551" t="s">
        <v>1788</v>
      </c>
      <c r="ER551" t="s">
        <v>29</v>
      </c>
      <c r="ES551" t="s">
        <v>29</v>
      </c>
      <c r="ET551" t="s">
        <v>29</v>
      </c>
      <c r="EU551" t="s">
        <v>1789</v>
      </c>
      <c r="EV551" t="s">
        <v>29</v>
      </c>
      <c r="EW551" t="s">
        <v>29</v>
      </c>
      <c r="EX551" t="s">
        <v>29</v>
      </c>
      <c r="EY551" t="s">
        <v>1790</v>
      </c>
      <c r="EZ551" t="s">
        <v>29</v>
      </c>
      <c r="FA551" t="s">
        <v>29</v>
      </c>
      <c r="FB551" t="s">
        <v>29</v>
      </c>
      <c r="FC551" t="s">
        <v>1791</v>
      </c>
      <c r="FD551" t="s">
        <v>29</v>
      </c>
      <c r="FE551" t="s">
        <v>29</v>
      </c>
      <c r="FF551" t="s">
        <v>29</v>
      </c>
      <c r="FG551" s="9"/>
      <c r="FH551" s="9"/>
      <c r="FI551" s="9"/>
      <c r="FJ551" s="9"/>
      <c r="FK551" s="9"/>
      <c r="FL551" s="9"/>
      <c r="FM551" s="9"/>
      <c r="FN551" s="9"/>
      <c r="FO551" s="9"/>
      <c r="FP551" s="9"/>
      <c r="FQ551" s="9"/>
      <c r="FR551" s="9"/>
      <c r="FS551" s="9"/>
      <c r="FT551" s="9"/>
      <c r="FU551" s="9"/>
      <c r="FV551" s="9"/>
      <c r="FW551" s="9"/>
      <c r="FX551" s="9"/>
      <c r="FY551" s="9"/>
      <c r="FZ551" s="9"/>
      <c r="GA551" s="9"/>
      <c r="GB551" s="9"/>
      <c r="GC551" s="9"/>
      <c r="GD551" s="9"/>
      <c r="GE551" s="9"/>
      <c r="GF551" s="9"/>
      <c r="GG551" s="9"/>
      <c r="GH551" s="9"/>
      <c r="GI551" s="9"/>
      <c r="GJ551" s="9"/>
      <c r="GK551" s="9"/>
      <c r="GL551" s="9"/>
      <c r="GM551" s="9" t="s">
        <v>1794</v>
      </c>
      <c r="GN551" s="9" t="s">
        <v>29</v>
      </c>
      <c r="GO551" s="9" t="s">
        <v>29</v>
      </c>
      <c r="GP551" s="9" t="s">
        <v>29</v>
      </c>
      <c r="GQ551" s="9"/>
      <c r="GR551" s="9"/>
      <c r="GS551" s="9"/>
      <c r="GT551" s="9"/>
      <c r="GU551" s="9"/>
      <c r="GV551" s="9"/>
      <c r="GW551" s="9"/>
      <c r="GX551" s="9"/>
      <c r="GY551" s="9"/>
      <c r="GZ551" s="9"/>
      <c r="HA551" s="9"/>
      <c r="HB551" s="9"/>
      <c r="HC551" s="9"/>
      <c r="HD551" s="9"/>
      <c r="HE551" s="9"/>
      <c r="HF551" s="9"/>
      <c r="HG551" s="9"/>
      <c r="HH551" s="9"/>
      <c r="HI551" s="9"/>
      <c r="HJ551" s="9"/>
      <c r="HK551" s="9"/>
      <c r="HL551" s="9"/>
      <c r="HX551" s="58"/>
      <c r="HY551" t="s">
        <v>1781</v>
      </c>
      <c r="HZ551" t="s">
        <v>1814</v>
      </c>
      <c r="IU551" t="s">
        <v>1781</v>
      </c>
      <c r="IV551" s="84" t="s">
        <v>1811</v>
      </c>
      <c r="IW551" s="12" t="s">
        <v>1786</v>
      </c>
      <c r="IX551" s="54" t="s">
        <v>1797</v>
      </c>
      <c r="IY551">
        <v>7.5</v>
      </c>
      <c r="IZ551">
        <v>56</v>
      </c>
      <c r="MS551" t="s">
        <v>1824</v>
      </c>
      <c r="MT551">
        <v>1963</v>
      </c>
      <c r="MU551" t="s">
        <v>1803</v>
      </c>
      <c r="MW551" t="s">
        <v>1764</v>
      </c>
      <c r="NB551" t="s">
        <v>1806</v>
      </c>
      <c r="NC551" t="s">
        <v>711</v>
      </c>
      <c r="NE551" t="s">
        <v>203</v>
      </c>
      <c r="NG551" t="s">
        <v>203</v>
      </c>
      <c r="NH551" s="6" t="s">
        <v>1820</v>
      </c>
      <c r="NQ551" t="s">
        <v>6</v>
      </c>
      <c r="NR551">
        <v>11.3</v>
      </c>
      <c r="NS551" t="s">
        <v>1456</v>
      </c>
      <c r="NT551">
        <v>9.3000000000000007</v>
      </c>
      <c r="NW551">
        <v>7</v>
      </c>
      <c r="OH551" t="s">
        <v>1594</v>
      </c>
      <c r="OJ551">
        <v>2010</v>
      </c>
      <c r="OO551" t="s">
        <v>1178</v>
      </c>
      <c r="OP551" s="58">
        <v>46108</v>
      </c>
    </row>
    <row r="552" spans="1:406" ht="15.75" thickBot="1">
      <c r="A552" t="s">
        <v>36</v>
      </c>
      <c r="B552" t="s">
        <v>1758</v>
      </c>
      <c r="C552" t="s">
        <v>1759</v>
      </c>
      <c r="D552" s="4" t="s">
        <v>245</v>
      </c>
      <c r="E552" t="s">
        <v>1825</v>
      </c>
      <c r="F552" s="4" t="s">
        <v>1823</v>
      </c>
      <c r="G552" t="s">
        <v>254</v>
      </c>
      <c r="H552" t="s">
        <v>30</v>
      </c>
      <c r="I552">
        <v>-23.748532000000001</v>
      </c>
      <c r="J552">
        <v>-62.056702000000001</v>
      </c>
      <c r="K552" s="87" t="s">
        <v>29</v>
      </c>
      <c r="AV552" t="s">
        <v>1785</v>
      </c>
      <c r="AW552" t="s">
        <v>234</v>
      </c>
      <c r="AX552">
        <v>3600</v>
      </c>
      <c r="AY552" s="5">
        <v>5.5555555555555558E-3</v>
      </c>
      <c r="AZ552" t="s">
        <v>1822</v>
      </c>
      <c r="BA552">
        <v>2010</v>
      </c>
      <c r="BD552" t="s">
        <v>1778</v>
      </c>
      <c r="BE552" t="s">
        <v>1783</v>
      </c>
      <c r="BF552" t="s">
        <v>48</v>
      </c>
      <c r="BG552" t="s">
        <v>1798</v>
      </c>
      <c r="BH552" t="s">
        <v>1800</v>
      </c>
      <c r="BI552" t="s">
        <v>29</v>
      </c>
      <c r="BJ552" t="s">
        <v>29</v>
      </c>
      <c r="BK552" t="s">
        <v>29</v>
      </c>
      <c r="EE552" t="s">
        <v>1793</v>
      </c>
      <c r="EF552" t="s">
        <v>29</v>
      </c>
      <c r="EG552" t="s">
        <v>29</v>
      </c>
      <c r="EH552" t="s">
        <v>29</v>
      </c>
      <c r="EI552" t="s">
        <v>1792</v>
      </c>
      <c r="EJ552" t="s">
        <v>29</v>
      </c>
      <c r="EK552" t="s">
        <v>29</v>
      </c>
      <c r="EL552" t="s">
        <v>29</v>
      </c>
      <c r="EM552" t="s">
        <v>1787</v>
      </c>
      <c r="EN552" t="s">
        <v>29</v>
      </c>
      <c r="EO552" t="s">
        <v>29</v>
      </c>
      <c r="EP552" t="s">
        <v>29</v>
      </c>
      <c r="EQ552" t="s">
        <v>1788</v>
      </c>
      <c r="ER552" t="s">
        <v>29</v>
      </c>
      <c r="ES552" t="s">
        <v>29</v>
      </c>
      <c r="ET552" t="s">
        <v>29</v>
      </c>
      <c r="EU552" t="s">
        <v>1789</v>
      </c>
      <c r="EV552" t="s">
        <v>29</v>
      </c>
      <c r="EW552" t="s">
        <v>29</v>
      </c>
      <c r="EX552" t="s">
        <v>29</v>
      </c>
      <c r="EY552" t="s">
        <v>1790</v>
      </c>
      <c r="EZ552" t="s">
        <v>29</v>
      </c>
      <c r="FA552" t="s">
        <v>29</v>
      </c>
      <c r="FB552" t="s">
        <v>29</v>
      </c>
      <c r="FC552" t="s">
        <v>1791</v>
      </c>
      <c r="FD552" t="s">
        <v>29</v>
      </c>
      <c r="FE552" t="s">
        <v>29</v>
      </c>
      <c r="FF552" t="s">
        <v>29</v>
      </c>
      <c r="FG552" s="9"/>
      <c r="FH552" s="9"/>
      <c r="FI552" s="9"/>
      <c r="FJ552" s="9"/>
      <c r="FK552" s="9"/>
      <c r="FL552" s="9"/>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t="s">
        <v>1794</v>
      </c>
      <c r="GN552" s="9" t="s">
        <v>29</v>
      </c>
      <c r="GO552" s="9" t="s">
        <v>29</v>
      </c>
      <c r="GP552" s="9" t="s">
        <v>29</v>
      </c>
      <c r="GQ552" s="9"/>
      <c r="GR552" s="9"/>
      <c r="GS552" s="9"/>
      <c r="GT552" s="9"/>
      <c r="GU552" s="9"/>
      <c r="GV552" s="9"/>
      <c r="GW552" s="9"/>
      <c r="GX552" s="9"/>
      <c r="GY552" s="9"/>
      <c r="GZ552" s="9"/>
      <c r="HA552" s="9"/>
      <c r="HB552" s="9"/>
      <c r="HC552" s="9"/>
      <c r="HD552" s="9"/>
      <c r="HE552" s="9"/>
      <c r="HF552" s="9"/>
      <c r="HG552" s="9"/>
      <c r="HH552" s="9"/>
      <c r="HI552" s="9"/>
      <c r="HJ552" s="9"/>
      <c r="HK552" s="9"/>
      <c r="HL552" s="9"/>
      <c r="HX552" s="58"/>
      <c r="HY552" t="s">
        <v>1783</v>
      </c>
      <c r="HZ552" t="s">
        <v>1813</v>
      </c>
      <c r="IU552" t="s">
        <v>1783</v>
      </c>
      <c r="IV552" s="84" t="s">
        <v>1811</v>
      </c>
      <c r="IW552" s="12" t="s">
        <v>1786</v>
      </c>
      <c r="IX552" s="54" t="s">
        <v>1797</v>
      </c>
      <c r="IY552">
        <v>7.5</v>
      </c>
      <c r="IZ552">
        <v>37</v>
      </c>
      <c r="MS552" t="s">
        <v>1824</v>
      </c>
      <c r="MT552">
        <v>1963</v>
      </c>
      <c r="MU552" t="s">
        <v>1803</v>
      </c>
      <c r="MW552" t="s">
        <v>1764</v>
      </c>
      <c r="NB552" t="s">
        <v>1806</v>
      </c>
      <c r="NC552" t="s">
        <v>711</v>
      </c>
      <c r="NE552" t="s">
        <v>203</v>
      </c>
      <c r="NG552" t="s">
        <v>203</v>
      </c>
      <c r="NH552" s="6" t="s">
        <v>1820</v>
      </c>
      <c r="NQ552" t="s">
        <v>6</v>
      </c>
      <c r="NR552">
        <v>16.8</v>
      </c>
      <c r="NS552" t="s">
        <v>1456</v>
      </c>
      <c r="NT552">
        <v>13</v>
      </c>
      <c r="NW552">
        <v>5</v>
      </c>
      <c r="OH552" t="s">
        <v>1594</v>
      </c>
      <c r="OJ552">
        <v>2010</v>
      </c>
      <c r="OO552" t="s">
        <v>1178</v>
      </c>
      <c r="OP552" s="58">
        <v>46108</v>
      </c>
    </row>
    <row r="553" spans="1:406" ht="15.75" thickBot="1">
      <c r="A553" t="s">
        <v>36</v>
      </c>
      <c r="B553" t="s">
        <v>1758</v>
      </c>
      <c r="C553" t="s">
        <v>1759</v>
      </c>
      <c r="D553" s="4" t="s">
        <v>245</v>
      </c>
      <c r="E553" t="s">
        <v>1825</v>
      </c>
      <c r="F553" s="4" t="s">
        <v>1823</v>
      </c>
      <c r="G553" t="s">
        <v>254</v>
      </c>
      <c r="H553" t="s">
        <v>30</v>
      </c>
      <c r="I553">
        <v>-23.748532000000001</v>
      </c>
      <c r="J553">
        <v>-62.056702000000001</v>
      </c>
      <c r="K553" s="87" t="s">
        <v>29</v>
      </c>
      <c r="AV553" t="s">
        <v>1785</v>
      </c>
      <c r="AW553" t="s">
        <v>234</v>
      </c>
      <c r="AX553" t="s">
        <v>234</v>
      </c>
      <c r="AY553" s="5">
        <v>5.5555555555555558E-3</v>
      </c>
      <c r="AZ553" t="s">
        <v>1822</v>
      </c>
      <c r="BA553">
        <v>2010</v>
      </c>
      <c r="BD553" t="s">
        <v>1766</v>
      </c>
      <c r="BE553" t="s">
        <v>1767</v>
      </c>
      <c r="BF553" t="s">
        <v>24</v>
      </c>
      <c r="BG553" t="s">
        <v>1798</v>
      </c>
      <c r="BH553" t="s">
        <v>1800</v>
      </c>
      <c r="BI553" t="s">
        <v>29</v>
      </c>
      <c r="BJ553" t="s">
        <v>29</v>
      </c>
      <c r="BK553" t="s">
        <v>29</v>
      </c>
      <c r="GM553" t="s">
        <v>1794</v>
      </c>
      <c r="GN553" s="9" t="s">
        <v>29</v>
      </c>
      <c r="GO553" s="9" t="s">
        <v>29</v>
      </c>
      <c r="GP553" s="9" t="s">
        <v>29</v>
      </c>
      <c r="HY553" t="s">
        <v>1767</v>
      </c>
      <c r="HZ553" t="s">
        <v>1813</v>
      </c>
      <c r="IU553" t="s">
        <v>1767</v>
      </c>
      <c r="IV553" s="54" t="s">
        <v>1812</v>
      </c>
      <c r="IW553" s="54" t="s">
        <v>1812</v>
      </c>
      <c r="IX553" s="54" t="s">
        <v>1799</v>
      </c>
      <c r="IY553">
        <v>1</v>
      </c>
      <c r="IZ553">
        <v>6</v>
      </c>
      <c r="MS553" t="s">
        <v>1824</v>
      </c>
      <c r="MT553">
        <v>1963</v>
      </c>
      <c r="MU553" t="s">
        <v>1803</v>
      </c>
      <c r="MW553" t="s">
        <v>1764</v>
      </c>
      <c r="NB553" t="s">
        <v>1806</v>
      </c>
      <c r="NC553" t="s">
        <v>711</v>
      </c>
      <c r="NE553" t="s">
        <v>203</v>
      </c>
      <c r="NG553" t="s">
        <v>203</v>
      </c>
      <c r="NH553" s="6" t="s">
        <v>1820</v>
      </c>
      <c r="NP553" t="s">
        <v>1847</v>
      </c>
      <c r="NQ553" t="s">
        <v>6</v>
      </c>
      <c r="NR553">
        <v>8.6999999999999993</v>
      </c>
      <c r="NS553" t="s">
        <v>1456</v>
      </c>
      <c r="NT553">
        <v>7.6</v>
      </c>
      <c r="NW553">
        <v>7</v>
      </c>
      <c r="OH553" t="s">
        <v>1594</v>
      </c>
      <c r="OJ553">
        <v>2010</v>
      </c>
      <c r="OO553" t="s">
        <v>1178</v>
      </c>
      <c r="OP553" s="58">
        <v>46108</v>
      </c>
    </row>
    <row r="554" spans="1:406" ht="15.75" thickBot="1">
      <c r="A554" t="s">
        <v>36</v>
      </c>
      <c r="B554" t="s">
        <v>1758</v>
      </c>
      <c r="C554" t="s">
        <v>1759</v>
      </c>
      <c r="D554" s="4" t="s">
        <v>245</v>
      </c>
      <c r="E554" t="s">
        <v>1825</v>
      </c>
      <c r="F554" s="4" t="s">
        <v>1823</v>
      </c>
      <c r="G554" t="s">
        <v>254</v>
      </c>
      <c r="H554" t="s">
        <v>30</v>
      </c>
      <c r="I554">
        <v>-23.748532000000001</v>
      </c>
      <c r="J554">
        <v>-62.056702000000001</v>
      </c>
      <c r="K554" s="87" t="s">
        <v>29</v>
      </c>
      <c r="AV554" t="s">
        <v>1785</v>
      </c>
      <c r="AW554" t="s">
        <v>234</v>
      </c>
      <c r="AX554">
        <v>1000</v>
      </c>
      <c r="AY554" s="5">
        <v>5.5555555555555558E-3</v>
      </c>
      <c r="AZ554" t="s">
        <v>1822</v>
      </c>
      <c r="BA554">
        <v>2010</v>
      </c>
      <c r="BD554" t="s">
        <v>1844</v>
      </c>
      <c r="BE554" t="s">
        <v>1761</v>
      </c>
      <c r="BF554" t="s">
        <v>39</v>
      </c>
      <c r="BG554" t="s">
        <v>1762</v>
      </c>
      <c r="EE554" t="s">
        <v>1793</v>
      </c>
      <c r="EF554" t="s">
        <v>29</v>
      </c>
      <c r="EG554" t="s">
        <v>29</v>
      </c>
      <c r="EH554" t="s">
        <v>29</v>
      </c>
      <c r="EI554" t="s">
        <v>1792</v>
      </c>
      <c r="EJ554" t="s">
        <v>29</v>
      </c>
      <c r="EK554" t="s">
        <v>29</v>
      </c>
      <c r="EL554" t="s">
        <v>29</v>
      </c>
      <c r="EM554" t="s">
        <v>1787</v>
      </c>
      <c r="EN554" t="s">
        <v>29</v>
      </c>
      <c r="EO554" t="s">
        <v>29</v>
      </c>
      <c r="EP554" t="s">
        <v>29</v>
      </c>
      <c r="EQ554" t="s">
        <v>1788</v>
      </c>
      <c r="ER554" t="s">
        <v>29</v>
      </c>
      <c r="ES554" t="s">
        <v>29</v>
      </c>
      <c r="ET554" t="s">
        <v>29</v>
      </c>
      <c r="EU554" t="s">
        <v>1789</v>
      </c>
      <c r="EV554" t="s">
        <v>29</v>
      </c>
      <c r="EW554" t="s">
        <v>29</v>
      </c>
      <c r="EX554" t="s">
        <v>29</v>
      </c>
      <c r="EY554" t="s">
        <v>1790</v>
      </c>
      <c r="EZ554" t="s">
        <v>29</v>
      </c>
      <c r="FA554" t="s">
        <v>29</v>
      </c>
      <c r="FB554" t="s">
        <v>29</v>
      </c>
      <c r="FC554" t="s">
        <v>1791</v>
      </c>
      <c r="FD554" t="s">
        <v>29</v>
      </c>
      <c r="FE554" t="s">
        <v>29</v>
      </c>
      <c r="FF554" t="s">
        <v>29</v>
      </c>
      <c r="HY554" t="s">
        <v>1761</v>
      </c>
      <c r="IU554" t="s">
        <v>1761</v>
      </c>
      <c r="IV554" t="s">
        <v>1810</v>
      </c>
      <c r="IW554" t="s">
        <v>1810</v>
      </c>
      <c r="IX554" t="s">
        <v>1810</v>
      </c>
      <c r="IY554">
        <v>5</v>
      </c>
      <c r="IZ554">
        <v>70</v>
      </c>
      <c r="MS554" t="s">
        <v>1824</v>
      </c>
      <c r="MT554">
        <v>1963</v>
      </c>
      <c r="MU554" t="s">
        <v>1804</v>
      </c>
      <c r="MW554" t="s">
        <v>1764</v>
      </c>
      <c r="NB554" t="s">
        <v>1807</v>
      </c>
      <c r="NC554" t="s">
        <v>711</v>
      </c>
      <c r="NE554" t="s">
        <v>203</v>
      </c>
      <c r="NG554" t="s">
        <v>203</v>
      </c>
      <c r="NH554" s="6" t="s">
        <v>1820</v>
      </c>
      <c r="NP554" t="s">
        <v>1846</v>
      </c>
      <c r="NQ554" t="s">
        <v>6</v>
      </c>
      <c r="NR554">
        <v>1.5</v>
      </c>
      <c r="NS554" t="s">
        <v>1456</v>
      </c>
      <c r="NT554">
        <v>2</v>
      </c>
      <c r="NW554">
        <v>6</v>
      </c>
      <c r="OH554" t="s">
        <v>1594</v>
      </c>
      <c r="OJ554">
        <v>2010</v>
      </c>
      <c r="OO554" t="s">
        <v>1178</v>
      </c>
      <c r="OP554" s="58">
        <v>46108</v>
      </c>
    </row>
    <row r="555" spans="1:406" ht="15.75" thickBot="1">
      <c r="A555" t="s">
        <v>36</v>
      </c>
      <c r="B555" t="s">
        <v>1758</v>
      </c>
      <c r="C555" t="s">
        <v>1759</v>
      </c>
      <c r="D555" s="4" t="s">
        <v>245</v>
      </c>
      <c r="E555" t="s">
        <v>1825</v>
      </c>
      <c r="F555" s="4" t="s">
        <v>1823</v>
      </c>
      <c r="G555" t="s">
        <v>254</v>
      </c>
      <c r="H555" t="s">
        <v>30</v>
      </c>
      <c r="I555">
        <v>-23.748532000000001</v>
      </c>
      <c r="J555">
        <v>-62.056702000000001</v>
      </c>
      <c r="K555" s="87" t="s">
        <v>29</v>
      </c>
      <c r="AV555" t="s">
        <v>1785</v>
      </c>
      <c r="AW555" t="s">
        <v>234</v>
      </c>
      <c r="AX555" t="s">
        <v>234</v>
      </c>
      <c r="AY555" s="5">
        <v>5.5555555555555558E-3</v>
      </c>
      <c r="AZ555" t="s">
        <v>1822</v>
      </c>
      <c r="BA555">
        <v>2010</v>
      </c>
      <c r="BD555" t="s">
        <v>1778</v>
      </c>
      <c r="BE555" t="s">
        <v>1779</v>
      </c>
      <c r="BF555" t="s">
        <v>64</v>
      </c>
      <c r="BG555" t="s">
        <v>1798</v>
      </c>
      <c r="BH555" t="s">
        <v>1796</v>
      </c>
      <c r="BI555" t="s">
        <v>1801</v>
      </c>
      <c r="BJ555" t="s">
        <v>29</v>
      </c>
      <c r="BK555" t="s">
        <v>29</v>
      </c>
      <c r="EE555" t="s">
        <v>1793</v>
      </c>
      <c r="EF555" t="s">
        <v>29</v>
      </c>
      <c r="EG555" t="s">
        <v>29</v>
      </c>
      <c r="EH555" t="s">
        <v>29</v>
      </c>
      <c r="EI555" t="s">
        <v>1792</v>
      </c>
      <c r="EJ555" t="s">
        <v>29</v>
      </c>
      <c r="EK555" t="s">
        <v>29</v>
      </c>
      <c r="EL555" t="s">
        <v>29</v>
      </c>
      <c r="EM555" t="s">
        <v>1787</v>
      </c>
      <c r="EN555" t="s">
        <v>29</v>
      </c>
      <c r="EO555" t="s">
        <v>29</v>
      </c>
      <c r="EP555" t="s">
        <v>29</v>
      </c>
      <c r="EQ555" t="s">
        <v>1788</v>
      </c>
      <c r="ER555" t="s">
        <v>29</v>
      </c>
      <c r="ES555" t="s">
        <v>29</v>
      </c>
      <c r="ET555" t="s">
        <v>29</v>
      </c>
      <c r="EU555" t="s">
        <v>1789</v>
      </c>
      <c r="EV555" t="s">
        <v>29</v>
      </c>
      <c r="EW555" t="s">
        <v>29</v>
      </c>
      <c r="EX555" t="s">
        <v>29</v>
      </c>
      <c r="EY555" t="s">
        <v>1790</v>
      </c>
      <c r="EZ555" t="s">
        <v>29</v>
      </c>
      <c r="FA555" t="s">
        <v>29</v>
      </c>
      <c r="FB555" t="s">
        <v>29</v>
      </c>
      <c r="FC555" t="s">
        <v>1791</v>
      </c>
      <c r="FD555" t="s">
        <v>29</v>
      </c>
      <c r="FE555" t="s">
        <v>29</v>
      </c>
      <c r="FF555" t="s">
        <v>29</v>
      </c>
      <c r="GM555" t="s">
        <v>1794</v>
      </c>
      <c r="GN555" s="9" t="s">
        <v>29</v>
      </c>
      <c r="GO555" s="9" t="s">
        <v>29</v>
      </c>
      <c r="GP555" s="9" t="s">
        <v>29</v>
      </c>
      <c r="GQ555" s="9"/>
      <c r="GR555" s="9"/>
      <c r="GS555" s="9"/>
      <c r="GT555" s="9"/>
      <c r="GU555" s="9"/>
      <c r="GV555" s="9"/>
      <c r="GW555" s="9"/>
      <c r="GX555" s="9"/>
      <c r="GY555" s="9"/>
      <c r="GZ555" s="9"/>
      <c r="HA555" s="9"/>
      <c r="HB555" s="9"/>
      <c r="HC555" s="9"/>
      <c r="HD555" s="9"/>
      <c r="HE555" s="9"/>
      <c r="HF555" s="9"/>
      <c r="HG555" s="9"/>
      <c r="HH555" s="9"/>
      <c r="HI555" s="9"/>
      <c r="HJ555" s="9"/>
      <c r="HK555" s="9"/>
      <c r="HL555" s="9"/>
      <c r="HX555" s="58"/>
      <c r="HY555" t="s">
        <v>1779</v>
      </c>
      <c r="HZ555" t="s">
        <v>1814</v>
      </c>
      <c r="IU555" t="s">
        <v>1779</v>
      </c>
      <c r="IV555" s="84" t="s">
        <v>1811</v>
      </c>
      <c r="IW555" t="s">
        <v>1786</v>
      </c>
      <c r="IX555" s="54" t="s">
        <v>1795</v>
      </c>
      <c r="IY555">
        <v>1</v>
      </c>
      <c r="IZ555">
        <v>81</v>
      </c>
      <c r="MS555" t="s">
        <v>1824</v>
      </c>
      <c r="MT555">
        <v>1963</v>
      </c>
      <c r="MU555" t="s">
        <v>1804</v>
      </c>
      <c r="MW555" t="s">
        <v>1764</v>
      </c>
      <c r="NB555" t="s">
        <v>1807</v>
      </c>
      <c r="NC555" t="s">
        <v>711</v>
      </c>
      <c r="NE555" t="s">
        <v>203</v>
      </c>
      <c r="NG555" t="s">
        <v>203</v>
      </c>
      <c r="NH555" s="6" t="s">
        <v>1820</v>
      </c>
      <c r="NQ555" t="s">
        <v>6</v>
      </c>
      <c r="NR555">
        <v>1.1000000000000001</v>
      </c>
      <c r="NS555" t="s">
        <v>1456</v>
      </c>
      <c r="NT555">
        <v>1.8</v>
      </c>
      <c r="NW555">
        <v>8</v>
      </c>
      <c r="OH555" t="s">
        <v>1594</v>
      </c>
      <c r="OJ555">
        <v>2010</v>
      </c>
      <c r="OO555" t="s">
        <v>1178</v>
      </c>
      <c r="OP555" s="58">
        <v>46108</v>
      </c>
    </row>
    <row r="556" spans="1:406" ht="15.75" thickBot="1">
      <c r="A556" t="s">
        <v>36</v>
      </c>
      <c r="B556" t="s">
        <v>1758</v>
      </c>
      <c r="C556" t="s">
        <v>1759</v>
      </c>
      <c r="D556" s="4" t="s">
        <v>245</v>
      </c>
      <c r="E556" t="s">
        <v>1825</v>
      </c>
      <c r="F556" s="4" t="s">
        <v>1823</v>
      </c>
      <c r="G556" t="s">
        <v>254</v>
      </c>
      <c r="H556" t="s">
        <v>30</v>
      </c>
      <c r="I556">
        <v>-23.748532000000001</v>
      </c>
      <c r="J556">
        <v>-62.056702000000001</v>
      </c>
      <c r="K556" s="87" t="s">
        <v>29</v>
      </c>
      <c r="AV556" t="s">
        <v>1785</v>
      </c>
      <c r="AW556" t="s">
        <v>234</v>
      </c>
      <c r="AX556">
        <v>3600</v>
      </c>
      <c r="AY556" s="5">
        <v>5.5555555555555558E-3</v>
      </c>
      <c r="AZ556" t="s">
        <v>1822</v>
      </c>
      <c r="BA556">
        <v>2010</v>
      </c>
      <c r="BD556" t="s">
        <v>1778</v>
      </c>
      <c r="BE556" t="s">
        <v>1781</v>
      </c>
      <c r="BF556" t="s">
        <v>57</v>
      </c>
      <c r="BG556" t="s">
        <v>1798</v>
      </c>
      <c r="BH556" t="s">
        <v>1796</v>
      </c>
      <c r="BI556" t="s">
        <v>29</v>
      </c>
      <c r="BJ556" t="s">
        <v>29</v>
      </c>
      <c r="BK556" t="s">
        <v>29</v>
      </c>
      <c r="EE556" t="s">
        <v>1793</v>
      </c>
      <c r="EF556" t="s">
        <v>29</v>
      </c>
      <c r="EG556" t="s">
        <v>29</v>
      </c>
      <c r="EH556" t="s">
        <v>29</v>
      </c>
      <c r="EI556" t="s">
        <v>1792</v>
      </c>
      <c r="EJ556" t="s">
        <v>29</v>
      </c>
      <c r="EK556" t="s">
        <v>29</v>
      </c>
      <c r="EL556" t="s">
        <v>29</v>
      </c>
      <c r="EM556" t="s">
        <v>1787</v>
      </c>
      <c r="EN556" t="s">
        <v>29</v>
      </c>
      <c r="EO556" t="s">
        <v>29</v>
      </c>
      <c r="EP556" t="s">
        <v>29</v>
      </c>
      <c r="EQ556" t="s">
        <v>1788</v>
      </c>
      <c r="ER556" t="s">
        <v>29</v>
      </c>
      <c r="ES556" t="s">
        <v>29</v>
      </c>
      <c r="ET556" t="s">
        <v>29</v>
      </c>
      <c r="EU556" t="s">
        <v>1789</v>
      </c>
      <c r="EV556" t="s">
        <v>29</v>
      </c>
      <c r="EW556" t="s">
        <v>29</v>
      </c>
      <c r="EX556" t="s">
        <v>29</v>
      </c>
      <c r="EY556" t="s">
        <v>1790</v>
      </c>
      <c r="EZ556" t="s">
        <v>29</v>
      </c>
      <c r="FA556" t="s">
        <v>29</v>
      </c>
      <c r="FB556" t="s">
        <v>29</v>
      </c>
      <c r="FC556" t="s">
        <v>1791</v>
      </c>
      <c r="FD556" t="s">
        <v>29</v>
      </c>
      <c r="FE556" t="s">
        <v>29</v>
      </c>
      <c r="FF556" t="s">
        <v>29</v>
      </c>
      <c r="FG556" s="9"/>
      <c r="FH556" s="9"/>
      <c r="FI556" s="9"/>
      <c r="FJ556" s="9"/>
      <c r="FK556" s="9"/>
      <c r="FL556" s="9"/>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t="s">
        <v>1794</v>
      </c>
      <c r="GN556" s="9" t="s">
        <v>29</v>
      </c>
      <c r="GO556" s="9" t="s">
        <v>29</v>
      </c>
      <c r="GP556" s="9" t="s">
        <v>29</v>
      </c>
      <c r="GQ556" s="9"/>
      <c r="GR556" s="9"/>
      <c r="GS556" s="9"/>
      <c r="GT556" s="9"/>
      <c r="GU556" s="9"/>
      <c r="GV556" s="9"/>
      <c r="GW556" s="9"/>
      <c r="GX556" s="9"/>
      <c r="GY556" s="9"/>
      <c r="GZ556" s="9"/>
      <c r="HA556" s="9"/>
      <c r="HB556" s="9"/>
      <c r="HC556" s="9"/>
      <c r="HD556" s="9"/>
      <c r="HE556" s="9"/>
      <c r="HF556" s="9"/>
      <c r="HG556" s="9"/>
      <c r="HH556" s="9"/>
      <c r="HI556" s="9"/>
      <c r="HJ556" s="9"/>
      <c r="HK556" s="9"/>
      <c r="HL556" s="9"/>
      <c r="HX556" s="58"/>
      <c r="HY556" t="s">
        <v>1781</v>
      </c>
      <c r="HZ556" t="s">
        <v>1814</v>
      </c>
      <c r="IU556" t="s">
        <v>1781</v>
      </c>
      <c r="IV556" s="84" t="s">
        <v>1811</v>
      </c>
      <c r="IW556" s="12" t="s">
        <v>1786</v>
      </c>
      <c r="IX556" s="54" t="s">
        <v>1797</v>
      </c>
      <c r="IY556">
        <v>7.5</v>
      </c>
      <c r="IZ556">
        <v>56</v>
      </c>
      <c r="MS556" t="s">
        <v>1824</v>
      </c>
      <c r="MT556">
        <v>1963</v>
      </c>
      <c r="MU556" t="s">
        <v>1804</v>
      </c>
      <c r="MW556" t="s">
        <v>1764</v>
      </c>
      <c r="NB556" t="s">
        <v>1807</v>
      </c>
      <c r="NC556" t="s">
        <v>711</v>
      </c>
      <c r="NE556" t="s">
        <v>203</v>
      </c>
      <c r="NG556" t="s">
        <v>203</v>
      </c>
      <c r="NH556" s="6" t="s">
        <v>1820</v>
      </c>
      <c r="NQ556" t="s">
        <v>6</v>
      </c>
      <c r="NR556">
        <v>3.6</v>
      </c>
      <c r="NS556" t="s">
        <v>1456</v>
      </c>
      <c r="NT556">
        <v>4.3</v>
      </c>
      <c r="NW556">
        <v>7</v>
      </c>
      <c r="OH556" t="s">
        <v>1594</v>
      </c>
      <c r="OJ556">
        <v>2010</v>
      </c>
      <c r="OO556" t="s">
        <v>1178</v>
      </c>
      <c r="OP556" s="58">
        <v>46108</v>
      </c>
    </row>
    <row r="557" spans="1:406" ht="15.75" thickBot="1">
      <c r="A557" t="s">
        <v>36</v>
      </c>
      <c r="B557" t="s">
        <v>1758</v>
      </c>
      <c r="C557" t="s">
        <v>1759</v>
      </c>
      <c r="D557" s="4" t="s">
        <v>245</v>
      </c>
      <c r="E557" t="s">
        <v>1825</v>
      </c>
      <c r="F557" s="4" t="s">
        <v>1823</v>
      </c>
      <c r="G557" t="s">
        <v>254</v>
      </c>
      <c r="H557" t="s">
        <v>30</v>
      </c>
      <c r="I557">
        <v>-23.748532000000001</v>
      </c>
      <c r="J557">
        <v>-62.056702000000001</v>
      </c>
      <c r="K557" s="87" t="s">
        <v>29</v>
      </c>
      <c r="AV557" t="s">
        <v>1785</v>
      </c>
      <c r="AW557" t="s">
        <v>234</v>
      </c>
      <c r="AX557">
        <v>3600</v>
      </c>
      <c r="AY557" s="5">
        <v>5.5555555555555558E-3</v>
      </c>
      <c r="AZ557" t="s">
        <v>1822</v>
      </c>
      <c r="BA557">
        <v>2010</v>
      </c>
      <c r="BD557" t="s">
        <v>1778</v>
      </c>
      <c r="BE557" t="s">
        <v>1783</v>
      </c>
      <c r="BF557" t="s">
        <v>48</v>
      </c>
      <c r="BG557" t="s">
        <v>1798</v>
      </c>
      <c r="BH557" t="s">
        <v>1800</v>
      </c>
      <c r="BI557" t="s">
        <v>29</v>
      </c>
      <c r="BJ557" t="s">
        <v>29</v>
      </c>
      <c r="BK557" t="s">
        <v>29</v>
      </c>
      <c r="EE557" t="s">
        <v>1793</v>
      </c>
      <c r="EF557" t="s">
        <v>29</v>
      </c>
      <c r="EG557" t="s">
        <v>29</v>
      </c>
      <c r="EH557" t="s">
        <v>29</v>
      </c>
      <c r="EI557" t="s">
        <v>1792</v>
      </c>
      <c r="EJ557" t="s">
        <v>29</v>
      </c>
      <c r="EK557" t="s">
        <v>29</v>
      </c>
      <c r="EL557" t="s">
        <v>29</v>
      </c>
      <c r="EM557" t="s">
        <v>1787</v>
      </c>
      <c r="EN557" t="s">
        <v>29</v>
      </c>
      <c r="EO557" t="s">
        <v>29</v>
      </c>
      <c r="EP557" t="s">
        <v>29</v>
      </c>
      <c r="EQ557" t="s">
        <v>1788</v>
      </c>
      <c r="ER557" t="s">
        <v>29</v>
      </c>
      <c r="ES557" t="s">
        <v>29</v>
      </c>
      <c r="ET557" t="s">
        <v>29</v>
      </c>
      <c r="EU557" t="s">
        <v>1789</v>
      </c>
      <c r="EV557" t="s">
        <v>29</v>
      </c>
      <c r="EW557" t="s">
        <v>29</v>
      </c>
      <c r="EX557" t="s">
        <v>29</v>
      </c>
      <c r="EY557" t="s">
        <v>1790</v>
      </c>
      <c r="EZ557" t="s">
        <v>29</v>
      </c>
      <c r="FA557" t="s">
        <v>29</v>
      </c>
      <c r="FB557" t="s">
        <v>29</v>
      </c>
      <c r="FC557" t="s">
        <v>1791</v>
      </c>
      <c r="FD557" t="s">
        <v>29</v>
      </c>
      <c r="FE557" t="s">
        <v>29</v>
      </c>
      <c r="FF557" t="s">
        <v>29</v>
      </c>
      <c r="FG557" s="9"/>
      <c r="FH557" s="9"/>
      <c r="FI557" s="9"/>
      <c r="FJ557" s="9"/>
      <c r="FK557" s="9"/>
      <c r="FL557" s="9"/>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t="s">
        <v>1794</v>
      </c>
      <c r="GN557" s="9" t="s">
        <v>29</v>
      </c>
      <c r="GO557" s="9" t="s">
        <v>29</v>
      </c>
      <c r="GP557" s="9" t="s">
        <v>29</v>
      </c>
      <c r="GQ557" s="9"/>
      <c r="GR557" s="9"/>
      <c r="GS557" s="9"/>
      <c r="GT557" s="9"/>
      <c r="GU557" s="9"/>
      <c r="GV557" s="9"/>
      <c r="GW557" s="9"/>
      <c r="GX557" s="9"/>
      <c r="GY557" s="9"/>
      <c r="GZ557" s="9"/>
      <c r="HA557" s="9"/>
      <c r="HB557" s="9"/>
      <c r="HC557" s="9"/>
      <c r="HD557" s="9"/>
      <c r="HE557" s="9"/>
      <c r="HF557" s="9"/>
      <c r="HG557" s="9"/>
      <c r="HH557" s="9"/>
      <c r="HI557" s="9"/>
      <c r="HJ557" s="9"/>
      <c r="HK557" s="9"/>
      <c r="HL557" s="9"/>
      <c r="HX557" s="58"/>
      <c r="HY557" t="s">
        <v>1783</v>
      </c>
      <c r="HZ557" t="s">
        <v>1813</v>
      </c>
      <c r="IU557" t="s">
        <v>1783</v>
      </c>
      <c r="IV557" s="84" t="s">
        <v>1811</v>
      </c>
      <c r="IW557" s="12" t="s">
        <v>1786</v>
      </c>
      <c r="IX557" s="54" t="s">
        <v>1797</v>
      </c>
      <c r="IY557">
        <v>7.5</v>
      </c>
      <c r="IZ557">
        <v>37</v>
      </c>
      <c r="MS557" t="s">
        <v>1824</v>
      </c>
      <c r="MT557">
        <v>1963</v>
      </c>
      <c r="MU557" t="s">
        <v>1804</v>
      </c>
      <c r="MW557" t="s">
        <v>1764</v>
      </c>
      <c r="NB557" t="s">
        <v>1807</v>
      </c>
      <c r="NC557" t="s">
        <v>711</v>
      </c>
      <c r="NE557" t="s">
        <v>203</v>
      </c>
      <c r="NG557" t="s">
        <v>203</v>
      </c>
      <c r="NH557" s="6" t="s">
        <v>1820</v>
      </c>
      <c r="NQ557" t="s">
        <v>6</v>
      </c>
      <c r="NR557">
        <v>8.1999999999999993</v>
      </c>
      <c r="NS557" t="s">
        <v>1456</v>
      </c>
      <c r="NT557">
        <v>9.1999999999999993</v>
      </c>
      <c r="NW557">
        <v>5</v>
      </c>
      <c r="OH557" t="s">
        <v>1594</v>
      </c>
      <c r="OJ557">
        <v>2010</v>
      </c>
      <c r="OO557" t="s">
        <v>1178</v>
      </c>
      <c r="OP557" s="58">
        <v>46108</v>
      </c>
    </row>
    <row r="558" spans="1:406" ht="15.75" thickBot="1">
      <c r="A558" t="s">
        <v>36</v>
      </c>
      <c r="B558" t="s">
        <v>1758</v>
      </c>
      <c r="C558" t="s">
        <v>1759</v>
      </c>
      <c r="D558" s="4" t="s">
        <v>245</v>
      </c>
      <c r="E558" t="s">
        <v>1825</v>
      </c>
      <c r="F558" s="4" t="s">
        <v>1823</v>
      </c>
      <c r="G558" t="s">
        <v>254</v>
      </c>
      <c r="H558" t="s">
        <v>30</v>
      </c>
      <c r="I558">
        <v>-23.748532000000001</v>
      </c>
      <c r="J558">
        <v>-62.056702000000001</v>
      </c>
      <c r="K558" s="87" t="s">
        <v>29</v>
      </c>
      <c r="AV558" t="s">
        <v>1785</v>
      </c>
      <c r="AW558" t="s">
        <v>234</v>
      </c>
      <c r="AX558" t="s">
        <v>234</v>
      </c>
      <c r="AY558" s="5">
        <v>5.5555555555555558E-3</v>
      </c>
      <c r="AZ558" t="s">
        <v>1822</v>
      </c>
      <c r="BA558">
        <v>2010</v>
      </c>
      <c r="BD558" t="s">
        <v>1766</v>
      </c>
      <c r="BE558" t="s">
        <v>1767</v>
      </c>
      <c r="BF558" t="s">
        <v>24</v>
      </c>
      <c r="BG558" t="s">
        <v>1798</v>
      </c>
      <c r="BH558" t="s">
        <v>1800</v>
      </c>
      <c r="BI558" t="s">
        <v>29</v>
      </c>
      <c r="BJ558" t="s">
        <v>29</v>
      </c>
      <c r="BK558" t="s">
        <v>29</v>
      </c>
      <c r="GM558" t="s">
        <v>1794</v>
      </c>
      <c r="GN558" s="9" t="s">
        <v>29</v>
      </c>
      <c r="GO558" s="9" t="s">
        <v>29</v>
      </c>
      <c r="GP558" s="9" t="s">
        <v>29</v>
      </c>
      <c r="HY558" t="s">
        <v>1767</v>
      </c>
      <c r="HZ558" t="s">
        <v>1813</v>
      </c>
      <c r="IU558" t="s">
        <v>1767</v>
      </c>
      <c r="IV558" s="54" t="s">
        <v>1812</v>
      </c>
      <c r="IW558" s="54" t="s">
        <v>1812</v>
      </c>
      <c r="IX558" s="54" t="s">
        <v>1799</v>
      </c>
      <c r="IY558">
        <v>1</v>
      </c>
      <c r="IZ558">
        <v>6</v>
      </c>
      <c r="MS558" t="s">
        <v>1824</v>
      </c>
      <c r="MT558">
        <v>1963</v>
      </c>
      <c r="MU558" t="s">
        <v>1804</v>
      </c>
      <c r="MW558" t="s">
        <v>1764</v>
      </c>
      <c r="NB558" t="s">
        <v>1807</v>
      </c>
      <c r="NC558" t="s">
        <v>711</v>
      </c>
      <c r="NE558" t="s">
        <v>203</v>
      </c>
      <c r="NG558" t="s">
        <v>203</v>
      </c>
      <c r="NH558" s="6" t="s">
        <v>1820</v>
      </c>
      <c r="NP558" t="s">
        <v>1847</v>
      </c>
      <c r="NQ558" t="s">
        <v>6</v>
      </c>
      <c r="NR558">
        <v>39.6</v>
      </c>
      <c r="NS558" t="s">
        <v>1456</v>
      </c>
      <c r="NT558">
        <v>67.2</v>
      </c>
      <c r="NW558">
        <v>7</v>
      </c>
      <c r="OH558" t="s">
        <v>1594</v>
      </c>
      <c r="OJ558">
        <v>2010</v>
      </c>
      <c r="OO558" t="s">
        <v>1178</v>
      </c>
      <c r="OP558" s="58">
        <v>46108</v>
      </c>
    </row>
    <row r="559" spans="1:406" ht="15.75" thickBot="1">
      <c r="A559" t="s">
        <v>36</v>
      </c>
      <c r="B559" t="s">
        <v>1758</v>
      </c>
      <c r="C559" t="s">
        <v>1759</v>
      </c>
      <c r="D559" s="4" t="s">
        <v>245</v>
      </c>
      <c r="E559" t="s">
        <v>1825</v>
      </c>
      <c r="F559" s="4" t="s">
        <v>1823</v>
      </c>
      <c r="G559" t="s">
        <v>254</v>
      </c>
      <c r="H559" t="s">
        <v>30</v>
      </c>
      <c r="I559">
        <v>-23.748532000000001</v>
      </c>
      <c r="J559">
        <v>-62.056702000000001</v>
      </c>
      <c r="K559" s="87" t="s">
        <v>29</v>
      </c>
      <c r="AV559" t="s">
        <v>1785</v>
      </c>
      <c r="AW559" t="s">
        <v>234</v>
      </c>
      <c r="AX559">
        <v>1000</v>
      </c>
      <c r="AY559" s="5">
        <v>5.5555555555555558E-3</v>
      </c>
      <c r="AZ559" t="s">
        <v>1822</v>
      </c>
      <c r="BA559">
        <v>2010</v>
      </c>
      <c r="BD559" t="s">
        <v>1844</v>
      </c>
      <c r="BE559" t="s">
        <v>1761</v>
      </c>
      <c r="BF559" t="s">
        <v>39</v>
      </c>
      <c r="BG559" t="s">
        <v>1762</v>
      </c>
      <c r="EE559" t="s">
        <v>1793</v>
      </c>
      <c r="EF559" t="s">
        <v>29</v>
      </c>
      <c r="EG559" t="s">
        <v>29</v>
      </c>
      <c r="EH559" t="s">
        <v>29</v>
      </c>
      <c r="EI559" t="s">
        <v>1792</v>
      </c>
      <c r="EJ559" t="s">
        <v>29</v>
      </c>
      <c r="EK559" t="s">
        <v>29</v>
      </c>
      <c r="EL559" t="s">
        <v>29</v>
      </c>
      <c r="EM559" t="s">
        <v>1787</v>
      </c>
      <c r="EN559" t="s">
        <v>29</v>
      </c>
      <c r="EO559" t="s">
        <v>29</v>
      </c>
      <c r="EP559" t="s">
        <v>29</v>
      </c>
      <c r="EQ559" t="s">
        <v>1788</v>
      </c>
      <c r="ER559" t="s">
        <v>29</v>
      </c>
      <c r="ES559" t="s">
        <v>29</v>
      </c>
      <c r="ET559" t="s">
        <v>29</v>
      </c>
      <c r="EU559" t="s">
        <v>1789</v>
      </c>
      <c r="EV559" t="s">
        <v>29</v>
      </c>
      <c r="EW559" t="s">
        <v>29</v>
      </c>
      <c r="EX559" t="s">
        <v>29</v>
      </c>
      <c r="EY559" t="s">
        <v>1790</v>
      </c>
      <c r="EZ559" t="s">
        <v>29</v>
      </c>
      <c r="FA559" t="s">
        <v>29</v>
      </c>
      <c r="FB559" t="s">
        <v>29</v>
      </c>
      <c r="FC559" t="s">
        <v>1791</v>
      </c>
      <c r="FD559" t="s">
        <v>29</v>
      </c>
      <c r="FE559" t="s">
        <v>29</v>
      </c>
      <c r="FF559" t="s">
        <v>29</v>
      </c>
      <c r="HY559" t="s">
        <v>1761</v>
      </c>
      <c r="IU559" t="s">
        <v>1761</v>
      </c>
      <c r="IV559" t="s">
        <v>1810</v>
      </c>
      <c r="IW559" t="s">
        <v>1810</v>
      </c>
      <c r="IX559" t="s">
        <v>1810</v>
      </c>
      <c r="IY559">
        <v>5</v>
      </c>
      <c r="IZ559">
        <v>70</v>
      </c>
      <c r="MS559" t="s">
        <v>1824</v>
      </c>
      <c r="MT559">
        <v>1963</v>
      </c>
      <c r="MU559" t="s">
        <v>1763</v>
      </c>
      <c r="MW559" t="s">
        <v>1764</v>
      </c>
      <c r="NC559" t="s">
        <v>711</v>
      </c>
      <c r="NE559" t="s">
        <v>1765</v>
      </c>
      <c r="NG559" t="s">
        <v>1765</v>
      </c>
      <c r="NP559" t="s">
        <v>1846</v>
      </c>
      <c r="NQ559" t="s">
        <v>6</v>
      </c>
      <c r="NR559">
        <v>2.2000000000000002</v>
      </c>
      <c r="NS559" t="s">
        <v>1456</v>
      </c>
      <c r="NT559">
        <v>0.3</v>
      </c>
      <c r="NW559">
        <v>6</v>
      </c>
      <c r="OH559" t="s">
        <v>1594</v>
      </c>
      <c r="OJ559">
        <v>2010</v>
      </c>
      <c r="OO559" t="s">
        <v>1178</v>
      </c>
      <c r="OP559" s="58">
        <v>46108</v>
      </c>
    </row>
    <row r="560" spans="1:406" ht="15.75" thickBot="1">
      <c r="A560" t="s">
        <v>36</v>
      </c>
      <c r="B560" t="s">
        <v>1758</v>
      </c>
      <c r="C560" t="s">
        <v>1759</v>
      </c>
      <c r="D560" s="4" t="s">
        <v>245</v>
      </c>
      <c r="E560" t="s">
        <v>1825</v>
      </c>
      <c r="F560" s="4" t="s">
        <v>1823</v>
      </c>
      <c r="G560" t="s">
        <v>254</v>
      </c>
      <c r="H560" t="s">
        <v>30</v>
      </c>
      <c r="I560">
        <v>-23.748532000000001</v>
      </c>
      <c r="J560">
        <v>-62.056702000000001</v>
      </c>
      <c r="K560" s="87" t="s">
        <v>29</v>
      </c>
      <c r="AV560" t="s">
        <v>1785</v>
      </c>
      <c r="AW560" t="s">
        <v>234</v>
      </c>
      <c r="AX560" t="s">
        <v>234</v>
      </c>
      <c r="AY560" s="5">
        <v>5.5555555555555558E-3</v>
      </c>
      <c r="AZ560" t="s">
        <v>1822</v>
      </c>
      <c r="BA560">
        <v>2010</v>
      </c>
      <c r="BD560" t="s">
        <v>1778</v>
      </c>
      <c r="BE560" t="s">
        <v>1779</v>
      </c>
      <c r="BF560" t="s">
        <v>64</v>
      </c>
      <c r="BG560" t="s">
        <v>1798</v>
      </c>
      <c r="BH560" t="s">
        <v>1796</v>
      </c>
      <c r="BI560" t="s">
        <v>1801</v>
      </c>
      <c r="BJ560" t="s">
        <v>29</v>
      </c>
      <c r="BK560" t="s">
        <v>29</v>
      </c>
      <c r="EE560" t="s">
        <v>1793</v>
      </c>
      <c r="EF560" t="s">
        <v>29</v>
      </c>
      <c r="EG560" t="s">
        <v>29</v>
      </c>
      <c r="EH560" t="s">
        <v>29</v>
      </c>
      <c r="EI560" t="s">
        <v>1792</v>
      </c>
      <c r="EJ560" t="s">
        <v>29</v>
      </c>
      <c r="EK560" t="s">
        <v>29</v>
      </c>
      <c r="EL560" t="s">
        <v>29</v>
      </c>
      <c r="EM560" t="s">
        <v>1787</v>
      </c>
      <c r="EN560" t="s">
        <v>29</v>
      </c>
      <c r="EO560" t="s">
        <v>29</v>
      </c>
      <c r="EP560" t="s">
        <v>29</v>
      </c>
      <c r="EQ560" t="s">
        <v>1788</v>
      </c>
      <c r="ER560" t="s">
        <v>29</v>
      </c>
      <c r="ES560" t="s">
        <v>29</v>
      </c>
      <c r="ET560" t="s">
        <v>29</v>
      </c>
      <c r="EU560" t="s">
        <v>1789</v>
      </c>
      <c r="EV560" t="s">
        <v>29</v>
      </c>
      <c r="EW560" t="s">
        <v>29</v>
      </c>
      <c r="EX560" t="s">
        <v>29</v>
      </c>
      <c r="EY560" t="s">
        <v>1790</v>
      </c>
      <c r="EZ560" t="s">
        <v>29</v>
      </c>
      <c r="FA560" t="s">
        <v>29</v>
      </c>
      <c r="FB560" t="s">
        <v>29</v>
      </c>
      <c r="FC560" t="s">
        <v>1791</v>
      </c>
      <c r="FD560" t="s">
        <v>29</v>
      </c>
      <c r="FE560" t="s">
        <v>29</v>
      </c>
      <c r="FF560" t="s">
        <v>29</v>
      </c>
      <c r="GM560" t="s">
        <v>1794</v>
      </c>
      <c r="GN560" s="9" t="s">
        <v>29</v>
      </c>
      <c r="GO560" s="9" t="s">
        <v>29</v>
      </c>
      <c r="GP560" s="9" t="s">
        <v>29</v>
      </c>
      <c r="GQ560" s="9"/>
      <c r="GR560" s="9"/>
      <c r="GS560" s="9"/>
      <c r="GT560" s="9"/>
      <c r="GU560" s="9"/>
      <c r="GV560" s="9"/>
      <c r="GW560" s="9"/>
      <c r="GX560" s="9"/>
      <c r="GY560" s="9"/>
      <c r="GZ560" s="9"/>
      <c r="HA560" s="9"/>
      <c r="HB560" s="9"/>
      <c r="HC560" s="9"/>
      <c r="HD560" s="9"/>
      <c r="HE560" s="9"/>
      <c r="HF560" s="9"/>
      <c r="HG560" s="9"/>
      <c r="HH560" s="9"/>
      <c r="HI560" s="9"/>
      <c r="HJ560" s="9"/>
      <c r="HK560" s="9"/>
      <c r="HL560" s="9"/>
      <c r="HX560" s="58"/>
      <c r="HY560" t="s">
        <v>1779</v>
      </c>
      <c r="HZ560" t="s">
        <v>1814</v>
      </c>
      <c r="IU560" t="s">
        <v>1779</v>
      </c>
      <c r="IV560" s="84" t="s">
        <v>1811</v>
      </c>
      <c r="IW560" t="s">
        <v>1786</v>
      </c>
      <c r="IX560" s="54" t="s">
        <v>1795</v>
      </c>
      <c r="IY560">
        <v>1</v>
      </c>
      <c r="IZ560">
        <v>81</v>
      </c>
      <c r="MS560" t="s">
        <v>1824</v>
      </c>
      <c r="MT560">
        <v>1963</v>
      </c>
      <c r="MU560" t="s">
        <v>1763</v>
      </c>
      <c r="MW560" t="s">
        <v>1764</v>
      </c>
      <c r="NC560" t="s">
        <v>711</v>
      </c>
      <c r="NE560" t="s">
        <v>1765</v>
      </c>
      <c r="NG560" t="s">
        <v>1765</v>
      </c>
      <c r="NQ560" t="s">
        <v>6</v>
      </c>
      <c r="NR560">
        <v>2</v>
      </c>
      <c r="NS560" t="s">
        <v>1456</v>
      </c>
      <c r="NT560">
        <v>0.3</v>
      </c>
      <c r="NW560">
        <v>8</v>
      </c>
      <c r="OH560" t="s">
        <v>1594</v>
      </c>
      <c r="OJ560">
        <v>2010</v>
      </c>
      <c r="OO560" t="s">
        <v>1178</v>
      </c>
      <c r="OP560" s="58">
        <v>46108</v>
      </c>
    </row>
    <row r="561" spans="1:406" ht="15.75" thickBot="1">
      <c r="A561" t="s">
        <v>36</v>
      </c>
      <c r="B561" t="s">
        <v>1758</v>
      </c>
      <c r="C561" t="s">
        <v>1759</v>
      </c>
      <c r="D561" s="4" t="s">
        <v>245</v>
      </c>
      <c r="E561" t="s">
        <v>1825</v>
      </c>
      <c r="F561" s="4" t="s">
        <v>1823</v>
      </c>
      <c r="G561" t="s">
        <v>254</v>
      </c>
      <c r="H561" t="s">
        <v>30</v>
      </c>
      <c r="I561">
        <v>-23.748532000000001</v>
      </c>
      <c r="J561">
        <v>-62.056702000000001</v>
      </c>
      <c r="K561" s="87" t="s">
        <v>29</v>
      </c>
      <c r="AV561" t="s">
        <v>1785</v>
      </c>
      <c r="AW561" t="s">
        <v>234</v>
      </c>
      <c r="AX561">
        <v>3600</v>
      </c>
      <c r="AY561" s="5">
        <v>5.5555555555555558E-3</v>
      </c>
      <c r="AZ561" t="s">
        <v>1822</v>
      </c>
      <c r="BA561">
        <v>2010</v>
      </c>
      <c r="BD561" t="s">
        <v>1778</v>
      </c>
      <c r="BE561" t="s">
        <v>1781</v>
      </c>
      <c r="BF561" t="s">
        <v>57</v>
      </c>
      <c r="BG561" t="s">
        <v>1798</v>
      </c>
      <c r="BH561" t="s">
        <v>1796</v>
      </c>
      <c r="BI561" t="s">
        <v>29</v>
      </c>
      <c r="BJ561" t="s">
        <v>29</v>
      </c>
      <c r="BK561" t="s">
        <v>29</v>
      </c>
      <c r="EE561" t="s">
        <v>1793</v>
      </c>
      <c r="EF561" t="s">
        <v>29</v>
      </c>
      <c r="EG561" t="s">
        <v>29</v>
      </c>
      <c r="EH561" t="s">
        <v>29</v>
      </c>
      <c r="EI561" t="s">
        <v>1792</v>
      </c>
      <c r="EJ561" t="s">
        <v>29</v>
      </c>
      <c r="EK561" t="s">
        <v>29</v>
      </c>
      <c r="EL561" t="s">
        <v>29</v>
      </c>
      <c r="EM561" t="s">
        <v>1787</v>
      </c>
      <c r="EN561" t="s">
        <v>29</v>
      </c>
      <c r="EO561" t="s">
        <v>29</v>
      </c>
      <c r="EP561" t="s">
        <v>29</v>
      </c>
      <c r="EQ561" t="s">
        <v>1788</v>
      </c>
      <c r="ER561" t="s">
        <v>29</v>
      </c>
      <c r="ES561" t="s">
        <v>29</v>
      </c>
      <c r="ET561" t="s">
        <v>29</v>
      </c>
      <c r="EU561" t="s">
        <v>1789</v>
      </c>
      <c r="EV561" t="s">
        <v>29</v>
      </c>
      <c r="EW561" t="s">
        <v>29</v>
      </c>
      <c r="EX561" t="s">
        <v>29</v>
      </c>
      <c r="EY561" t="s">
        <v>1790</v>
      </c>
      <c r="EZ561" t="s">
        <v>29</v>
      </c>
      <c r="FA561" t="s">
        <v>29</v>
      </c>
      <c r="FB561" t="s">
        <v>29</v>
      </c>
      <c r="FC561" t="s">
        <v>1791</v>
      </c>
      <c r="FD561" t="s">
        <v>29</v>
      </c>
      <c r="FE561" t="s">
        <v>29</v>
      </c>
      <c r="FF561" t="s">
        <v>29</v>
      </c>
      <c r="FG561" s="9"/>
      <c r="FH561" s="9"/>
      <c r="FI561" s="9"/>
      <c r="FJ561" s="9"/>
      <c r="FK561" s="9"/>
      <c r="FL561" s="9"/>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t="s">
        <v>1794</v>
      </c>
      <c r="GN561" s="9" t="s">
        <v>29</v>
      </c>
      <c r="GO561" s="9" t="s">
        <v>29</v>
      </c>
      <c r="GP561" s="9" t="s">
        <v>29</v>
      </c>
      <c r="GQ561" s="9"/>
      <c r="GR561" s="9"/>
      <c r="GS561" s="9"/>
      <c r="GT561" s="9"/>
      <c r="GU561" s="9"/>
      <c r="GV561" s="9"/>
      <c r="GW561" s="9"/>
      <c r="GX561" s="9"/>
      <c r="GY561" s="9"/>
      <c r="GZ561" s="9"/>
      <c r="HA561" s="9"/>
      <c r="HB561" s="9"/>
      <c r="HC561" s="9"/>
      <c r="HD561" s="9"/>
      <c r="HE561" s="9"/>
      <c r="HF561" s="9"/>
      <c r="HG561" s="9"/>
      <c r="HH561" s="9"/>
      <c r="HI561" s="9"/>
      <c r="HJ561" s="9"/>
      <c r="HK561" s="9"/>
      <c r="HL561" s="9"/>
      <c r="HX561" s="58"/>
      <c r="HY561" t="s">
        <v>1781</v>
      </c>
      <c r="HZ561" t="s">
        <v>1814</v>
      </c>
      <c r="IU561" t="s">
        <v>1781</v>
      </c>
      <c r="IV561" s="84" t="s">
        <v>1811</v>
      </c>
      <c r="IW561" s="12" t="s">
        <v>1786</v>
      </c>
      <c r="IX561" s="54" t="s">
        <v>1797</v>
      </c>
      <c r="IY561">
        <v>7.5</v>
      </c>
      <c r="IZ561">
        <v>56</v>
      </c>
      <c r="MS561" t="s">
        <v>1824</v>
      </c>
      <c r="MT561">
        <v>1963</v>
      </c>
      <c r="MU561" t="s">
        <v>1763</v>
      </c>
      <c r="MW561" t="s">
        <v>1764</v>
      </c>
      <c r="NC561" t="s">
        <v>711</v>
      </c>
      <c r="NE561" t="s">
        <v>1765</v>
      </c>
      <c r="NG561" t="s">
        <v>1765</v>
      </c>
      <c r="NQ561" t="s">
        <v>6</v>
      </c>
      <c r="NR561">
        <v>2</v>
      </c>
      <c r="NS561" t="s">
        <v>1456</v>
      </c>
      <c r="NT561">
        <v>0.3</v>
      </c>
      <c r="NW561">
        <v>7</v>
      </c>
      <c r="OH561" t="s">
        <v>1594</v>
      </c>
      <c r="OJ561">
        <v>2010</v>
      </c>
      <c r="OO561" t="s">
        <v>1178</v>
      </c>
      <c r="OP561" s="58">
        <v>46108</v>
      </c>
    </row>
    <row r="562" spans="1:406" ht="15.75" thickBot="1">
      <c r="A562" t="s">
        <v>36</v>
      </c>
      <c r="B562" t="s">
        <v>1758</v>
      </c>
      <c r="C562" t="s">
        <v>1759</v>
      </c>
      <c r="D562" s="4" t="s">
        <v>245</v>
      </c>
      <c r="E562" t="s">
        <v>1825</v>
      </c>
      <c r="F562" s="4" t="s">
        <v>1823</v>
      </c>
      <c r="G562" t="s">
        <v>254</v>
      </c>
      <c r="H562" t="s">
        <v>30</v>
      </c>
      <c r="I562">
        <v>-23.748532000000001</v>
      </c>
      <c r="J562">
        <v>-62.056702000000001</v>
      </c>
      <c r="K562" s="87" t="s">
        <v>29</v>
      </c>
      <c r="AV562" t="s">
        <v>1785</v>
      </c>
      <c r="AW562" t="s">
        <v>234</v>
      </c>
      <c r="AX562">
        <v>3600</v>
      </c>
      <c r="AY562" s="5">
        <v>5.5555555555555558E-3</v>
      </c>
      <c r="AZ562" t="s">
        <v>1822</v>
      </c>
      <c r="BA562">
        <v>2010</v>
      </c>
      <c r="BD562" t="s">
        <v>1778</v>
      </c>
      <c r="BE562" t="s">
        <v>1783</v>
      </c>
      <c r="BF562" t="s">
        <v>48</v>
      </c>
      <c r="BG562" t="s">
        <v>1798</v>
      </c>
      <c r="BH562" t="s">
        <v>1800</v>
      </c>
      <c r="BI562" t="s">
        <v>29</v>
      </c>
      <c r="BJ562" t="s">
        <v>29</v>
      </c>
      <c r="BK562" t="s">
        <v>29</v>
      </c>
      <c r="EE562" t="s">
        <v>1793</v>
      </c>
      <c r="EF562" t="s">
        <v>29</v>
      </c>
      <c r="EG562" t="s">
        <v>29</v>
      </c>
      <c r="EH562" t="s">
        <v>29</v>
      </c>
      <c r="EI562" t="s">
        <v>1792</v>
      </c>
      <c r="EJ562" t="s">
        <v>29</v>
      </c>
      <c r="EK562" t="s">
        <v>29</v>
      </c>
      <c r="EL562" t="s">
        <v>29</v>
      </c>
      <c r="EM562" t="s">
        <v>1787</v>
      </c>
      <c r="EN562" t="s">
        <v>29</v>
      </c>
      <c r="EO562" t="s">
        <v>29</v>
      </c>
      <c r="EP562" t="s">
        <v>29</v>
      </c>
      <c r="EQ562" t="s">
        <v>1788</v>
      </c>
      <c r="ER562" t="s">
        <v>29</v>
      </c>
      <c r="ES562" t="s">
        <v>29</v>
      </c>
      <c r="ET562" t="s">
        <v>29</v>
      </c>
      <c r="EU562" t="s">
        <v>1789</v>
      </c>
      <c r="EV562" t="s">
        <v>29</v>
      </c>
      <c r="EW562" t="s">
        <v>29</v>
      </c>
      <c r="EX562" t="s">
        <v>29</v>
      </c>
      <c r="EY562" t="s">
        <v>1790</v>
      </c>
      <c r="EZ562" t="s">
        <v>29</v>
      </c>
      <c r="FA562" t="s">
        <v>29</v>
      </c>
      <c r="FB562" t="s">
        <v>29</v>
      </c>
      <c r="FC562" t="s">
        <v>1791</v>
      </c>
      <c r="FD562" t="s">
        <v>29</v>
      </c>
      <c r="FE562" t="s">
        <v>29</v>
      </c>
      <c r="FF562" t="s">
        <v>29</v>
      </c>
      <c r="FG562" s="9"/>
      <c r="FH562" s="9"/>
      <c r="FI562" s="9"/>
      <c r="FJ562" s="9"/>
      <c r="FK562" s="9"/>
      <c r="FL562" s="9"/>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t="s">
        <v>1794</v>
      </c>
      <c r="GN562" s="9" t="s">
        <v>29</v>
      </c>
      <c r="GO562" s="9" t="s">
        <v>29</v>
      </c>
      <c r="GP562" s="9" t="s">
        <v>29</v>
      </c>
      <c r="GQ562" s="9"/>
      <c r="GR562" s="9"/>
      <c r="GS562" s="9"/>
      <c r="GT562" s="9"/>
      <c r="GU562" s="9"/>
      <c r="GV562" s="9"/>
      <c r="GW562" s="9"/>
      <c r="GX562" s="9"/>
      <c r="GY562" s="9"/>
      <c r="GZ562" s="9"/>
      <c r="HA562" s="9"/>
      <c r="HB562" s="9"/>
      <c r="HC562" s="9"/>
      <c r="HD562" s="9"/>
      <c r="HE562" s="9"/>
      <c r="HF562" s="9"/>
      <c r="HG562" s="9"/>
      <c r="HH562" s="9"/>
      <c r="HI562" s="9"/>
      <c r="HJ562" s="9"/>
      <c r="HK562" s="9"/>
      <c r="HL562" s="9"/>
      <c r="HX562" s="58"/>
      <c r="HY562" t="s">
        <v>1783</v>
      </c>
      <c r="HZ562" t="s">
        <v>1813</v>
      </c>
      <c r="IU562" t="s">
        <v>1783</v>
      </c>
      <c r="IV562" s="84" t="s">
        <v>1811</v>
      </c>
      <c r="IW562" s="12" t="s">
        <v>1786</v>
      </c>
      <c r="IX562" s="54" t="s">
        <v>1797</v>
      </c>
      <c r="IY562">
        <v>7.5</v>
      </c>
      <c r="IZ562">
        <v>37</v>
      </c>
      <c r="MS562" t="s">
        <v>1824</v>
      </c>
      <c r="MT562">
        <v>1963</v>
      </c>
      <c r="MU562" t="s">
        <v>1763</v>
      </c>
      <c r="MW562" t="s">
        <v>1764</v>
      </c>
      <c r="NC562" t="s">
        <v>711</v>
      </c>
      <c r="NE562" t="s">
        <v>1765</v>
      </c>
      <c r="NG562" t="s">
        <v>1765</v>
      </c>
      <c r="NQ562" t="s">
        <v>6</v>
      </c>
      <c r="NR562">
        <v>2</v>
      </c>
      <c r="NS562" t="s">
        <v>1456</v>
      </c>
      <c r="NT562">
        <v>0.3</v>
      </c>
      <c r="NW562">
        <v>5</v>
      </c>
      <c r="OH562" t="s">
        <v>1594</v>
      </c>
      <c r="OJ562">
        <v>2010</v>
      </c>
      <c r="OO562" t="s">
        <v>1178</v>
      </c>
      <c r="OP562" s="58">
        <v>46108</v>
      </c>
    </row>
    <row r="563" spans="1:406" ht="15.75" thickBot="1">
      <c r="A563" t="s">
        <v>36</v>
      </c>
      <c r="B563" t="s">
        <v>1758</v>
      </c>
      <c r="C563" t="s">
        <v>1759</v>
      </c>
      <c r="D563" s="4" t="s">
        <v>245</v>
      </c>
      <c r="E563" t="s">
        <v>1825</v>
      </c>
      <c r="F563" s="4" t="s">
        <v>1823</v>
      </c>
      <c r="G563" t="s">
        <v>254</v>
      </c>
      <c r="H563" t="s">
        <v>30</v>
      </c>
      <c r="I563">
        <v>-23.748532000000001</v>
      </c>
      <c r="J563">
        <v>-62.056702000000001</v>
      </c>
      <c r="K563" s="87" t="s">
        <v>29</v>
      </c>
      <c r="AV563" t="s">
        <v>1785</v>
      </c>
      <c r="AW563" t="s">
        <v>234</v>
      </c>
      <c r="AX563" t="s">
        <v>234</v>
      </c>
      <c r="AY563" s="5">
        <v>5.5555555555555558E-3</v>
      </c>
      <c r="AZ563" t="s">
        <v>1822</v>
      </c>
      <c r="BA563">
        <v>2010</v>
      </c>
      <c r="BD563" t="s">
        <v>1766</v>
      </c>
      <c r="BE563" t="s">
        <v>1767</v>
      </c>
      <c r="BF563" t="s">
        <v>24</v>
      </c>
      <c r="BG563" t="s">
        <v>1798</v>
      </c>
      <c r="BH563" t="s">
        <v>1800</v>
      </c>
      <c r="BI563" t="s">
        <v>29</v>
      </c>
      <c r="BJ563" t="s">
        <v>29</v>
      </c>
      <c r="BK563" t="s">
        <v>29</v>
      </c>
      <c r="GM563" t="s">
        <v>1794</v>
      </c>
      <c r="GN563" s="9" t="s">
        <v>29</v>
      </c>
      <c r="GO563" s="9" t="s">
        <v>29</v>
      </c>
      <c r="GP563" s="9" t="s">
        <v>29</v>
      </c>
      <c r="HY563" t="s">
        <v>1767</v>
      </c>
      <c r="HZ563" t="s">
        <v>1813</v>
      </c>
      <c r="IU563" t="s">
        <v>1767</v>
      </c>
      <c r="IV563" s="54" t="s">
        <v>1812</v>
      </c>
      <c r="IW563" s="54" t="s">
        <v>1812</v>
      </c>
      <c r="IX563" s="54" t="s">
        <v>1799</v>
      </c>
      <c r="IY563">
        <v>1</v>
      </c>
      <c r="IZ563">
        <v>6</v>
      </c>
      <c r="MS563" t="s">
        <v>1824</v>
      </c>
      <c r="MT563">
        <v>1963</v>
      </c>
      <c r="MU563" t="s">
        <v>1763</v>
      </c>
      <c r="MW563" t="s">
        <v>1764</v>
      </c>
      <c r="NC563" t="s">
        <v>711</v>
      </c>
      <c r="NE563" t="s">
        <v>1765</v>
      </c>
      <c r="NG563" t="s">
        <v>1765</v>
      </c>
      <c r="NP563" t="s">
        <v>1847</v>
      </c>
      <c r="NQ563" t="s">
        <v>6</v>
      </c>
      <c r="NR563">
        <v>1.3</v>
      </c>
      <c r="NS563" t="s">
        <v>1456</v>
      </c>
      <c r="NT563">
        <v>0.5</v>
      </c>
      <c r="NW563">
        <v>7</v>
      </c>
      <c r="OH563" t="s">
        <v>1594</v>
      </c>
      <c r="OJ563">
        <v>2010</v>
      </c>
      <c r="OO563" t="s">
        <v>1178</v>
      </c>
      <c r="OP563" s="58">
        <v>46108</v>
      </c>
    </row>
    <row r="564" spans="1:406" ht="15.75" thickBot="1">
      <c r="A564" t="s">
        <v>36</v>
      </c>
      <c r="B564" t="s">
        <v>1758</v>
      </c>
      <c r="C564" t="s">
        <v>1759</v>
      </c>
      <c r="D564" s="4" t="s">
        <v>245</v>
      </c>
      <c r="E564" t="s">
        <v>1825</v>
      </c>
      <c r="F564" s="4" t="s">
        <v>1823</v>
      </c>
      <c r="G564" t="s">
        <v>254</v>
      </c>
      <c r="H564" t="s">
        <v>30</v>
      </c>
      <c r="I564">
        <v>-23.748532000000001</v>
      </c>
      <c r="J564">
        <v>-62.056702000000001</v>
      </c>
      <c r="K564" s="87" t="s">
        <v>29</v>
      </c>
      <c r="AV564" t="s">
        <v>1785</v>
      </c>
      <c r="AW564" t="s">
        <v>234</v>
      </c>
      <c r="AX564" t="s">
        <v>234</v>
      </c>
      <c r="AY564" s="5" t="s">
        <v>1760</v>
      </c>
      <c r="AZ564" t="s">
        <v>1848</v>
      </c>
      <c r="BA564">
        <v>2011</v>
      </c>
      <c r="BD564" t="s">
        <v>1778</v>
      </c>
      <c r="BE564" t="s">
        <v>1779</v>
      </c>
      <c r="BF564" t="s">
        <v>64</v>
      </c>
      <c r="BG564" t="s">
        <v>1798</v>
      </c>
      <c r="BH564" t="s">
        <v>1796</v>
      </c>
      <c r="BI564" t="s">
        <v>1801</v>
      </c>
      <c r="BJ564" t="s">
        <v>29</v>
      </c>
      <c r="BK564" t="s">
        <v>29</v>
      </c>
      <c r="EE564" t="s">
        <v>1793</v>
      </c>
      <c r="EF564" t="s">
        <v>29</v>
      </c>
      <c r="EG564" t="s">
        <v>29</v>
      </c>
      <c r="EH564" t="s">
        <v>29</v>
      </c>
      <c r="EI564" t="s">
        <v>1792</v>
      </c>
      <c r="EJ564" t="s">
        <v>29</v>
      </c>
      <c r="EK564" t="s">
        <v>29</v>
      </c>
      <c r="EL564" t="s">
        <v>29</v>
      </c>
      <c r="EM564" t="s">
        <v>1787</v>
      </c>
      <c r="EN564" t="s">
        <v>29</v>
      </c>
      <c r="EO564" t="s">
        <v>29</v>
      </c>
      <c r="EP564" t="s">
        <v>29</v>
      </c>
      <c r="EQ564" t="s">
        <v>1788</v>
      </c>
      <c r="ER564" t="s">
        <v>29</v>
      </c>
      <c r="ES564" t="s">
        <v>29</v>
      </c>
      <c r="ET564" t="s">
        <v>29</v>
      </c>
      <c r="EU564" t="s">
        <v>1789</v>
      </c>
      <c r="EV564" t="s">
        <v>29</v>
      </c>
      <c r="EW564" t="s">
        <v>29</v>
      </c>
      <c r="EX564" t="s">
        <v>29</v>
      </c>
      <c r="EY564" t="s">
        <v>1790</v>
      </c>
      <c r="EZ564" t="s">
        <v>29</v>
      </c>
      <c r="FA564" t="s">
        <v>29</v>
      </c>
      <c r="FB564" t="s">
        <v>29</v>
      </c>
      <c r="FC564" t="s">
        <v>1791</v>
      </c>
      <c r="FD564" t="s">
        <v>29</v>
      </c>
      <c r="FE564" t="s">
        <v>29</v>
      </c>
      <c r="FF564" t="s">
        <v>29</v>
      </c>
      <c r="GM564" t="s">
        <v>1794</v>
      </c>
      <c r="GN564" s="9" t="s">
        <v>29</v>
      </c>
      <c r="GO564" s="9" t="s">
        <v>29</v>
      </c>
      <c r="GP564" s="9" t="s">
        <v>29</v>
      </c>
      <c r="GQ564" s="9"/>
      <c r="GR564" s="9"/>
      <c r="GS564" s="9"/>
      <c r="GT564" s="9"/>
      <c r="GU564" s="9"/>
      <c r="GV564" s="9"/>
      <c r="GW564" s="9"/>
      <c r="GX564" s="9"/>
      <c r="GY564" s="9"/>
      <c r="GZ564" s="9"/>
      <c r="HA564" s="9"/>
      <c r="HB564" s="9"/>
      <c r="HC564" s="9"/>
      <c r="HD564" s="9"/>
      <c r="HE564" s="9"/>
      <c r="HF564" s="9"/>
      <c r="HG564" s="9"/>
      <c r="HH564" s="9"/>
      <c r="HI564" s="9"/>
      <c r="HJ564" s="9"/>
      <c r="HK564" s="9"/>
      <c r="HL564" s="9"/>
      <c r="HX564" s="58"/>
      <c r="HY564" t="s">
        <v>1779</v>
      </c>
      <c r="HZ564" t="s">
        <v>1814</v>
      </c>
      <c r="IU564" t="s">
        <v>1779</v>
      </c>
      <c r="IV564" s="84" t="s">
        <v>1811</v>
      </c>
      <c r="IW564" t="s">
        <v>1786</v>
      </c>
      <c r="IX564" s="54" t="s">
        <v>1795</v>
      </c>
      <c r="IY564">
        <v>1</v>
      </c>
      <c r="IZ564">
        <v>81</v>
      </c>
      <c r="MS564" t="s">
        <v>1780</v>
      </c>
      <c r="MU564" t="s">
        <v>1819</v>
      </c>
      <c r="MW564" s="4" t="s">
        <v>1794</v>
      </c>
      <c r="NE564" t="s">
        <v>1816</v>
      </c>
      <c r="NF564" t="s">
        <v>1818</v>
      </c>
      <c r="NG564" s="4" t="s">
        <v>1817</v>
      </c>
      <c r="NH564" s="6" t="s">
        <v>1815</v>
      </c>
      <c r="NQ564" t="s">
        <v>6</v>
      </c>
      <c r="NR564">
        <v>7</v>
      </c>
      <c r="NS564" t="s">
        <v>1456</v>
      </c>
      <c r="NT564">
        <v>2.7</v>
      </c>
      <c r="NW564">
        <v>8</v>
      </c>
      <c r="OH564" t="s">
        <v>1821</v>
      </c>
      <c r="OJ564">
        <v>2010</v>
      </c>
      <c r="OO564" t="s">
        <v>1178</v>
      </c>
      <c r="OP564" s="58">
        <v>46108</v>
      </c>
    </row>
    <row r="565" spans="1:406" ht="15.75" thickBot="1">
      <c r="A565" t="s">
        <v>36</v>
      </c>
      <c r="B565" t="s">
        <v>1758</v>
      </c>
      <c r="C565" t="s">
        <v>1759</v>
      </c>
      <c r="D565" s="4" t="s">
        <v>245</v>
      </c>
      <c r="E565" t="s">
        <v>1825</v>
      </c>
      <c r="F565" s="4" t="s">
        <v>1823</v>
      </c>
      <c r="G565" t="s">
        <v>254</v>
      </c>
      <c r="H565" t="s">
        <v>30</v>
      </c>
      <c r="I565">
        <v>-23.748532000000001</v>
      </c>
      <c r="J565">
        <v>-62.056702000000001</v>
      </c>
      <c r="K565" s="87" t="s">
        <v>29</v>
      </c>
      <c r="AV565" t="s">
        <v>1785</v>
      </c>
      <c r="AW565" t="s">
        <v>234</v>
      </c>
      <c r="AX565">
        <v>3600</v>
      </c>
      <c r="AY565" s="5" t="s">
        <v>1760</v>
      </c>
      <c r="AZ565" t="s">
        <v>1849</v>
      </c>
      <c r="BA565">
        <v>2012</v>
      </c>
      <c r="BD565" t="s">
        <v>1778</v>
      </c>
      <c r="BE565" t="s">
        <v>1781</v>
      </c>
      <c r="BF565" t="s">
        <v>57</v>
      </c>
      <c r="BG565" t="s">
        <v>1798</v>
      </c>
      <c r="BH565" t="s">
        <v>1796</v>
      </c>
      <c r="BI565" t="s">
        <v>29</v>
      </c>
      <c r="BJ565" t="s">
        <v>29</v>
      </c>
      <c r="BK565" t="s">
        <v>29</v>
      </c>
      <c r="EE565" t="s">
        <v>1793</v>
      </c>
      <c r="EF565" t="s">
        <v>29</v>
      </c>
      <c r="EG565" t="s">
        <v>29</v>
      </c>
      <c r="EH565" t="s">
        <v>29</v>
      </c>
      <c r="EI565" t="s">
        <v>1792</v>
      </c>
      <c r="EJ565" t="s">
        <v>29</v>
      </c>
      <c r="EK565" t="s">
        <v>29</v>
      </c>
      <c r="EL565" t="s">
        <v>29</v>
      </c>
      <c r="EM565" t="s">
        <v>1787</v>
      </c>
      <c r="EN565" t="s">
        <v>29</v>
      </c>
      <c r="EO565" t="s">
        <v>29</v>
      </c>
      <c r="EP565" t="s">
        <v>29</v>
      </c>
      <c r="EQ565" t="s">
        <v>1788</v>
      </c>
      <c r="ER565" t="s">
        <v>29</v>
      </c>
      <c r="ES565" t="s">
        <v>29</v>
      </c>
      <c r="ET565" t="s">
        <v>29</v>
      </c>
      <c r="EU565" t="s">
        <v>1789</v>
      </c>
      <c r="EV565" t="s">
        <v>29</v>
      </c>
      <c r="EW565" t="s">
        <v>29</v>
      </c>
      <c r="EX565" t="s">
        <v>29</v>
      </c>
      <c r="EY565" t="s">
        <v>1790</v>
      </c>
      <c r="EZ565" t="s">
        <v>29</v>
      </c>
      <c r="FA565" t="s">
        <v>29</v>
      </c>
      <c r="FB565" t="s">
        <v>29</v>
      </c>
      <c r="FC565" t="s">
        <v>1791</v>
      </c>
      <c r="FD565" t="s">
        <v>29</v>
      </c>
      <c r="FE565" t="s">
        <v>29</v>
      </c>
      <c r="FF565" t="s">
        <v>29</v>
      </c>
      <c r="FG565" s="9"/>
      <c r="FH565" s="9"/>
      <c r="FI565" s="9"/>
      <c r="FJ565" s="9"/>
      <c r="FK565" s="9"/>
      <c r="FL565" s="9"/>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t="s">
        <v>1794</v>
      </c>
      <c r="GN565" s="9" t="s">
        <v>29</v>
      </c>
      <c r="GO565" s="9" t="s">
        <v>29</v>
      </c>
      <c r="GP565" s="9" t="s">
        <v>29</v>
      </c>
      <c r="GQ565" s="9"/>
      <c r="GR565" s="9"/>
      <c r="GS565" s="9"/>
      <c r="GT565" s="9"/>
      <c r="GU565" s="9"/>
      <c r="GV565" s="9"/>
      <c r="GW565" s="9"/>
      <c r="GX565" s="9"/>
      <c r="GY565" s="9"/>
      <c r="GZ565" s="9"/>
      <c r="HA565" s="9"/>
      <c r="HB565" s="9"/>
      <c r="HC565" s="9"/>
      <c r="HD565" s="9"/>
      <c r="HE565" s="9"/>
      <c r="HF565" s="9"/>
      <c r="HG565" s="9"/>
      <c r="HH565" s="9"/>
      <c r="HI565" s="9"/>
      <c r="HJ565" s="9"/>
      <c r="HK565" s="9"/>
      <c r="HL565" s="9"/>
      <c r="HX565" s="58"/>
      <c r="HY565" t="s">
        <v>1781</v>
      </c>
      <c r="HZ565" t="s">
        <v>1814</v>
      </c>
      <c r="IU565" t="s">
        <v>1781</v>
      </c>
      <c r="IV565" s="84" t="s">
        <v>1811</v>
      </c>
      <c r="IW565" s="12" t="s">
        <v>1786</v>
      </c>
      <c r="IX565" s="54" t="s">
        <v>1797</v>
      </c>
      <c r="IY565">
        <v>7.5</v>
      </c>
      <c r="IZ565">
        <v>56</v>
      </c>
      <c r="MS565" t="s">
        <v>1782</v>
      </c>
      <c r="MU565" t="s">
        <v>1819</v>
      </c>
      <c r="MW565" s="4" t="s">
        <v>1794</v>
      </c>
      <c r="NE565" t="s">
        <v>1816</v>
      </c>
      <c r="NF565" t="s">
        <v>1818</v>
      </c>
      <c r="NG565" s="4" t="s">
        <v>1817</v>
      </c>
      <c r="NH565" s="6" t="s">
        <v>1815</v>
      </c>
      <c r="NQ565" t="s">
        <v>6</v>
      </c>
      <c r="NR565">
        <v>20</v>
      </c>
      <c r="NS565" t="s">
        <v>1456</v>
      </c>
      <c r="NT565">
        <v>6.6</v>
      </c>
      <c r="NW565">
        <v>7</v>
      </c>
      <c r="OH565" t="s">
        <v>1821</v>
      </c>
      <c r="OJ565">
        <v>2010</v>
      </c>
      <c r="OO565" t="s">
        <v>1178</v>
      </c>
      <c r="OP565" s="58">
        <v>46108</v>
      </c>
    </row>
    <row r="566" spans="1:406" ht="15.75" thickBot="1">
      <c r="A566" t="s">
        <v>36</v>
      </c>
      <c r="B566" t="s">
        <v>1758</v>
      </c>
      <c r="C566" t="s">
        <v>1759</v>
      </c>
      <c r="D566" s="4" t="s">
        <v>245</v>
      </c>
      <c r="E566" t="s">
        <v>1825</v>
      </c>
      <c r="F566" s="4" t="s">
        <v>1823</v>
      </c>
      <c r="G566" t="s">
        <v>254</v>
      </c>
      <c r="H566" t="s">
        <v>30</v>
      </c>
      <c r="I566">
        <v>-23.748532000000001</v>
      </c>
      <c r="J566">
        <v>-62.056702000000001</v>
      </c>
      <c r="K566" s="87" t="s">
        <v>29</v>
      </c>
      <c r="AV566" t="s">
        <v>1785</v>
      </c>
      <c r="AW566" t="s">
        <v>234</v>
      </c>
      <c r="AX566">
        <v>3600</v>
      </c>
      <c r="AY566" s="5" t="s">
        <v>1760</v>
      </c>
      <c r="AZ566" t="s">
        <v>1850</v>
      </c>
      <c r="BA566">
        <v>2013</v>
      </c>
      <c r="BD566" t="s">
        <v>1778</v>
      </c>
      <c r="BE566" t="s">
        <v>1783</v>
      </c>
      <c r="BF566" t="s">
        <v>48</v>
      </c>
      <c r="BG566" t="s">
        <v>1798</v>
      </c>
      <c r="BH566" t="s">
        <v>1800</v>
      </c>
      <c r="BI566" t="s">
        <v>29</v>
      </c>
      <c r="BJ566" t="s">
        <v>29</v>
      </c>
      <c r="BK566" t="s">
        <v>29</v>
      </c>
      <c r="EE566" t="s">
        <v>1793</v>
      </c>
      <c r="EF566" t="s">
        <v>29</v>
      </c>
      <c r="EG566" t="s">
        <v>29</v>
      </c>
      <c r="EH566" t="s">
        <v>29</v>
      </c>
      <c r="EI566" t="s">
        <v>1792</v>
      </c>
      <c r="EJ566" t="s">
        <v>29</v>
      </c>
      <c r="EK566" t="s">
        <v>29</v>
      </c>
      <c r="EL566" t="s">
        <v>29</v>
      </c>
      <c r="EM566" t="s">
        <v>1787</v>
      </c>
      <c r="EN566" t="s">
        <v>29</v>
      </c>
      <c r="EO566" t="s">
        <v>29</v>
      </c>
      <c r="EP566" t="s">
        <v>29</v>
      </c>
      <c r="EQ566" t="s">
        <v>1788</v>
      </c>
      <c r="ER566" t="s">
        <v>29</v>
      </c>
      <c r="ES566" t="s">
        <v>29</v>
      </c>
      <c r="ET566" t="s">
        <v>29</v>
      </c>
      <c r="EU566" t="s">
        <v>1789</v>
      </c>
      <c r="EV566" t="s">
        <v>29</v>
      </c>
      <c r="EW566" t="s">
        <v>29</v>
      </c>
      <c r="EX566" t="s">
        <v>29</v>
      </c>
      <c r="EY566" t="s">
        <v>1790</v>
      </c>
      <c r="EZ566" t="s">
        <v>29</v>
      </c>
      <c r="FA566" t="s">
        <v>29</v>
      </c>
      <c r="FB566" t="s">
        <v>29</v>
      </c>
      <c r="FC566" t="s">
        <v>1791</v>
      </c>
      <c r="FD566" t="s">
        <v>29</v>
      </c>
      <c r="FE566" t="s">
        <v>29</v>
      </c>
      <c r="FF566" t="s">
        <v>29</v>
      </c>
      <c r="FG566" s="9"/>
      <c r="FH566" s="9"/>
      <c r="FI566" s="9"/>
      <c r="FJ566" s="9"/>
      <c r="FK566" s="9"/>
      <c r="FL566" s="9"/>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t="s">
        <v>1794</v>
      </c>
      <c r="GN566" s="9" t="s">
        <v>29</v>
      </c>
      <c r="GO566" s="9" t="s">
        <v>29</v>
      </c>
      <c r="GP566" s="9" t="s">
        <v>29</v>
      </c>
      <c r="GQ566" s="9"/>
      <c r="GR566" s="9"/>
      <c r="GS566" s="9"/>
      <c r="GT566" s="9"/>
      <c r="GU566" s="9"/>
      <c r="GV566" s="9"/>
      <c r="GW566" s="9"/>
      <c r="GX566" s="9"/>
      <c r="GY566" s="9"/>
      <c r="GZ566" s="9"/>
      <c r="HA566" s="9"/>
      <c r="HB566" s="9"/>
      <c r="HC566" s="9"/>
      <c r="HD566" s="9"/>
      <c r="HE566" s="9"/>
      <c r="HF566" s="9"/>
      <c r="HG566" s="9"/>
      <c r="HH566" s="9"/>
      <c r="HI566" s="9"/>
      <c r="HJ566" s="9"/>
      <c r="HK566" s="9"/>
      <c r="HL566" s="9"/>
      <c r="HX566" s="58"/>
      <c r="HY566" t="s">
        <v>1783</v>
      </c>
      <c r="HZ566" t="s">
        <v>1813</v>
      </c>
      <c r="IU566" t="s">
        <v>1783</v>
      </c>
      <c r="IV566" s="84" t="s">
        <v>1811</v>
      </c>
      <c r="IW566" s="12" t="s">
        <v>1786</v>
      </c>
      <c r="IX566" s="54" t="s">
        <v>1797</v>
      </c>
      <c r="IY566">
        <v>7.5</v>
      </c>
      <c r="IZ566">
        <v>37</v>
      </c>
      <c r="MS566" t="s">
        <v>1784</v>
      </c>
      <c r="MU566" t="s">
        <v>1819</v>
      </c>
      <c r="MW566" s="4" t="s">
        <v>1794</v>
      </c>
      <c r="NE566" t="s">
        <v>1816</v>
      </c>
      <c r="NF566" t="s">
        <v>1818</v>
      </c>
      <c r="NG566" s="4" t="s">
        <v>1817</v>
      </c>
      <c r="NH566" s="6" t="s">
        <v>1815</v>
      </c>
      <c r="NQ566" t="s">
        <v>6</v>
      </c>
      <c r="NR566">
        <v>105</v>
      </c>
      <c r="NS566" t="s">
        <v>1456</v>
      </c>
      <c r="NT566">
        <v>16.7</v>
      </c>
      <c r="NW566">
        <v>5</v>
      </c>
      <c r="OH566" t="s">
        <v>1821</v>
      </c>
      <c r="OJ566">
        <v>2010</v>
      </c>
      <c r="OO566" t="s">
        <v>1178</v>
      </c>
      <c r="OP566" s="58">
        <v>46108</v>
      </c>
    </row>
    <row r="567" spans="1:406" ht="15.75" thickBot="1">
      <c r="A567" t="s">
        <v>36</v>
      </c>
      <c r="B567" t="s">
        <v>1758</v>
      </c>
      <c r="C567" t="s">
        <v>1759</v>
      </c>
      <c r="D567" s="4" t="s">
        <v>245</v>
      </c>
      <c r="E567" t="s">
        <v>1825</v>
      </c>
      <c r="F567" s="4" t="s">
        <v>1823</v>
      </c>
      <c r="G567" t="s">
        <v>254</v>
      </c>
      <c r="H567" t="s">
        <v>30</v>
      </c>
      <c r="I567">
        <v>-23.748532000000001</v>
      </c>
      <c r="J567">
        <v>-62.056702000000001</v>
      </c>
      <c r="K567" s="87" t="s">
        <v>29</v>
      </c>
      <c r="AV567" t="s">
        <v>1785</v>
      </c>
      <c r="AW567" t="s">
        <v>234</v>
      </c>
      <c r="AX567" t="s">
        <v>234</v>
      </c>
      <c r="AY567" s="5" t="s">
        <v>1760</v>
      </c>
      <c r="AZ567" t="s">
        <v>1851</v>
      </c>
      <c r="BA567">
        <v>2014</v>
      </c>
      <c r="BD567" t="s">
        <v>1766</v>
      </c>
      <c r="BE567" t="s">
        <v>1767</v>
      </c>
      <c r="BF567" t="s">
        <v>24</v>
      </c>
      <c r="BG567" t="s">
        <v>1798</v>
      </c>
      <c r="BH567" t="s">
        <v>1800</v>
      </c>
      <c r="BI567" t="s">
        <v>29</v>
      </c>
      <c r="BJ567" t="s">
        <v>29</v>
      </c>
      <c r="BK567" t="s">
        <v>29</v>
      </c>
      <c r="EI567" s="9"/>
      <c r="EJ567" s="9"/>
      <c r="EK567" s="9"/>
      <c r="EL567" s="9"/>
      <c r="EM567" s="9"/>
      <c r="EN567" s="9"/>
      <c r="EO567" s="9"/>
      <c r="EP567" s="9"/>
      <c r="EQ567" s="9"/>
      <c r="ER567" s="9"/>
      <c r="ES567" s="9"/>
      <c r="ET567" s="9"/>
      <c r="EU567" s="9"/>
      <c r="EV567" s="9"/>
      <c r="EW567" s="9"/>
      <c r="EX567" s="9"/>
      <c r="EY567" s="9"/>
      <c r="EZ567" s="9"/>
      <c r="FA567" s="9"/>
      <c r="FB567" s="9"/>
      <c r="FC567" s="9"/>
      <c r="FD567" s="9"/>
      <c r="FE567" s="9"/>
      <c r="FF567" s="9"/>
      <c r="FG567" s="9"/>
      <c r="FH567" s="9"/>
      <c r="FI567" s="9"/>
      <c r="FJ567" s="9"/>
      <c r="FK567" s="9"/>
      <c r="FL567" s="9"/>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t="s">
        <v>1794</v>
      </c>
      <c r="GN567" s="9" t="s">
        <v>29</v>
      </c>
      <c r="GO567" s="9" t="s">
        <v>29</v>
      </c>
      <c r="GP567" s="9" t="s">
        <v>29</v>
      </c>
      <c r="GQ567" s="9"/>
      <c r="GR567" s="9"/>
      <c r="GS567" s="9"/>
      <c r="GT567" s="9"/>
      <c r="GU567" s="9"/>
      <c r="GV567" s="9"/>
      <c r="GW567" s="9"/>
      <c r="GX567" s="9"/>
      <c r="GY567" s="9"/>
      <c r="GZ567" s="9"/>
      <c r="HA567" s="9"/>
      <c r="HB567" s="9"/>
      <c r="HC567" s="9"/>
      <c r="HD567" s="9"/>
      <c r="HE567" s="9"/>
      <c r="HF567" s="9"/>
      <c r="HG567" s="9"/>
      <c r="HH567" s="9"/>
      <c r="HI567" s="9"/>
      <c r="HJ567" s="9"/>
      <c r="HK567" s="9"/>
      <c r="HL567" s="9"/>
      <c r="HX567" s="58"/>
      <c r="HY567" t="s">
        <v>1767</v>
      </c>
      <c r="HZ567" t="s">
        <v>1813</v>
      </c>
      <c r="IU567" t="s">
        <v>1767</v>
      </c>
      <c r="IV567" s="54" t="s">
        <v>1812</v>
      </c>
      <c r="IW567" s="54" t="s">
        <v>1812</v>
      </c>
      <c r="IX567" s="54" t="s">
        <v>1799</v>
      </c>
      <c r="IY567">
        <v>1</v>
      </c>
      <c r="IZ567">
        <v>6</v>
      </c>
      <c r="MS567" t="s">
        <v>1768</v>
      </c>
      <c r="MU567" t="s">
        <v>1819</v>
      </c>
      <c r="MW567" s="4" t="s">
        <v>1794</v>
      </c>
      <c r="NE567" t="s">
        <v>1816</v>
      </c>
      <c r="NF567" t="s">
        <v>1818</v>
      </c>
      <c r="NG567" s="4" t="s">
        <v>1817</v>
      </c>
      <c r="NH567" s="6" t="s">
        <v>1815</v>
      </c>
      <c r="NP567" t="s">
        <v>1847</v>
      </c>
      <c r="NQ567" t="s">
        <v>6</v>
      </c>
      <c r="NR567">
        <v>130</v>
      </c>
      <c r="NS567" t="s">
        <v>1456</v>
      </c>
      <c r="NT567">
        <v>32.6</v>
      </c>
      <c r="NW567">
        <v>7</v>
      </c>
      <c r="OH567" t="s">
        <v>1821</v>
      </c>
      <c r="OJ567">
        <v>2010</v>
      </c>
      <c r="OO567" t="s">
        <v>1178</v>
      </c>
      <c r="OP567" s="58">
        <v>46108</v>
      </c>
    </row>
    <row r="568" spans="1:406" ht="15.75" thickBot="1">
      <c r="A568" t="s">
        <v>36</v>
      </c>
      <c r="B568" t="s">
        <v>1826</v>
      </c>
      <c r="C568" t="s">
        <v>1414</v>
      </c>
      <c r="D568" s="4" t="s">
        <v>245</v>
      </c>
      <c r="E568" t="s">
        <v>1853</v>
      </c>
      <c r="F568" t="s">
        <v>1852</v>
      </c>
      <c r="G568" t="s">
        <v>2</v>
      </c>
      <c r="H568" t="s">
        <v>30</v>
      </c>
      <c r="I568">
        <v>7.45</v>
      </c>
      <c r="J568">
        <v>36.450000000000003</v>
      </c>
      <c r="K568">
        <v>50000</v>
      </c>
      <c r="AV568" t="s">
        <v>1854</v>
      </c>
      <c r="AW568">
        <v>200</v>
      </c>
      <c r="AX568" t="s">
        <v>234</v>
      </c>
      <c r="AY568">
        <v>2.7397260273972599E-3</v>
      </c>
      <c r="AZ568" t="s">
        <v>1861</v>
      </c>
      <c r="BA568">
        <v>1996</v>
      </c>
      <c r="BC568" t="s">
        <v>64</v>
      </c>
      <c r="BD568" t="s">
        <v>1845</v>
      </c>
      <c r="BE568" t="s">
        <v>1827</v>
      </c>
      <c r="BF568" t="s">
        <v>24</v>
      </c>
      <c r="BG568" t="s">
        <v>1762</v>
      </c>
      <c r="EE568" t="s">
        <v>1830</v>
      </c>
      <c r="EF568" t="s">
        <v>29</v>
      </c>
      <c r="EG568" t="s">
        <v>29</v>
      </c>
      <c r="EH568" t="s">
        <v>29</v>
      </c>
      <c r="EI568" t="s">
        <v>1831</v>
      </c>
      <c r="EJ568" t="s">
        <v>29</v>
      </c>
      <c r="EK568" t="s">
        <v>29</v>
      </c>
      <c r="EL568" t="s">
        <v>29</v>
      </c>
      <c r="EM568" s="9" t="s">
        <v>1828</v>
      </c>
      <c r="EN568" t="s">
        <v>29</v>
      </c>
      <c r="EO568" t="s">
        <v>29</v>
      </c>
      <c r="EP568" t="s">
        <v>29</v>
      </c>
      <c r="EQ568" s="9" t="s">
        <v>1832</v>
      </c>
      <c r="ER568" t="s">
        <v>29</v>
      </c>
      <c r="ES568" t="s">
        <v>29</v>
      </c>
      <c r="ET568" t="s">
        <v>29</v>
      </c>
      <c r="EU568" s="9" t="s">
        <v>1829</v>
      </c>
      <c r="EV568" t="s">
        <v>29</v>
      </c>
      <c r="EW568" t="s">
        <v>29</v>
      </c>
      <c r="EX568" t="s">
        <v>29</v>
      </c>
      <c r="EY568" s="9"/>
      <c r="EZ568" s="9"/>
      <c r="FA568" s="9"/>
      <c r="FB568" s="9"/>
      <c r="FC568" s="9"/>
      <c r="FD568" s="9"/>
      <c r="FE568" s="9"/>
      <c r="FF568" s="9"/>
      <c r="FG568" s="9"/>
      <c r="FH568" s="9"/>
      <c r="FI568" s="9"/>
      <c r="FJ568" s="9"/>
      <c r="FK568" s="9"/>
      <c r="FL568" s="9"/>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M568" s="9"/>
      <c r="HY568" s="58"/>
      <c r="IU568" t="s">
        <v>1827</v>
      </c>
      <c r="IV568" s="126" t="s">
        <v>1855</v>
      </c>
      <c r="IY568">
        <v>18</v>
      </c>
      <c r="IZ568">
        <v>88</v>
      </c>
      <c r="JA568">
        <v>65</v>
      </c>
      <c r="JB568">
        <v>100</v>
      </c>
      <c r="JC568">
        <v>21.3</v>
      </c>
      <c r="JD568">
        <v>17</v>
      </c>
      <c r="JE568">
        <v>26</v>
      </c>
      <c r="JF568">
        <v>0.85</v>
      </c>
      <c r="JG568">
        <v>0.25</v>
      </c>
      <c r="JH568">
        <v>3.2</v>
      </c>
      <c r="MS568" t="s">
        <v>1833</v>
      </c>
      <c r="MT568">
        <v>200</v>
      </c>
      <c r="MU568" t="s">
        <v>1838</v>
      </c>
      <c r="MW568" t="s">
        <v>1856</v>
      </c>
      <c r="NC568" t="s">
        <v>711</v>
      </c>
      <c r="NE568" t="s">
        <v>1858</v>
      </c>
      <c r="NG568" t="s">
        <v>1770</v>
      </c>
      <c r="NP568" t="s">
        <v>64</v>
      </c>
      <c r="NQ568" t="s">
        <v>6</v>
      </c>
      <c r="NR568">
        <v>8.1999999999999993</v>
      </c>
      <c r="NS568" t="s">
        <v>1835</v>
      </c>
      <c r="NT568">
        <v>1.8</v>
      </c>
      <c r="NW568">
        <v>15</v>
      </c>
      <c r="OH568" t="s">
        <v>1836</v>
      </c>
      <c r="OO568" t="s">
        <v>1178</v>
      </c>
      <c r="OP568" s="58">
        <v>46108</v>
      </c>
    </row>
    <row r="569" spans="1:406" ht="15.75" thickBot="1">
      <c r="A569" t="s">
        <v>36</v>
      </c>
      <c r="B569" t="s">
        <v>1826</v>
      </c>
      <c r="C569" t="s">
        <v>1414</v>
      </c>
      <c r="D569" s="4" t="s">
        <v>245</v>
      </c>
      <c r="E569" t="s">
        <v>1853</v>
      </c>
      <c r="F569" t="s">
        <v>1852</v>
      </c>
      <c r="G569" t="s">
        <v>2</v>
      </c>
      <c r="H569" t="s">
        <v>30</v>
      </c>
      <c r="I569">
        <v>7.45</v>
      </c>
      <c r="J569">
        <v>36.450000000000003</v>
      </c>
      <c r="K569">
        <v>50000</v>
      </c>
      <c r="AV569" t="s">
        <v>1854</v>
      </c>
      <c r="AW569">
        <v>200</v>
      </c>
      <c r="AX569" t="s">
        <v>234</v>
      </c>
      <c r="AY569">
        <v>2.7397260273972599E-3</v>
      </c>
      <c r="AZ569" t="s">
        <v>1861</v>
      </c>
      <c r="BA569">
        <v>1996</v>
      </c>
      <c r="BD569" t="s">
        <v>1841</v>
      </c>
      <c r="BE569" t="s">
        <v>1842</v>
      </c>
      <c r="BF569" t="s">
        <v>64</v>
      </c>
      <c r="BG569" t="s">
        <v>1243</v>
      </c>
      <c r="BH569" t="s">
        <v>1840</v>
      </c>
      <c r="BI569" t="s">
        <v>29</v>
      </c>
      <c r="BJ569" t="s">
        <v>29</v>
      </c>
      <c r="BK569" t="s">
        <v>29</v>
      </c>
      <c r="EE569" t="s">
        <v>1830</v>
      </c>
      <c r="EF569" t="s">
        <v>29</v>
      </c>
      <c r="EG569" t="s">
        <v>29</v>
      </c>
      <c r="EH569" t="s">
        <v>29</v>
      </c>
      <c r="EI569" t="s">
        <v>1831</v>
      </c>
      <c r="EJ569" t="s">
        <v>29</v>
      </c>
      <c r="EK569" t="s">
        <v>29</v>
      </c>
      <c r="EL569" t="s">
        <v>29</v>
      </c>
      <c r="EM569" s="9" t="s">
        <v>1828</v>
      </c>
      <c r="EN569" t="s">
        <v>29</v>
      </c>
      <c r="EO569" t="s">
        <v>29</v>
      </c>
      <c r="EP569" t="s">
        <v>29</v>
      </c>
      <c r="EQ569" s="9" t="s">
        <v>1832</v>
      </c>
      <c r="ER569" t="s">
        <v>29</v>
      </c>
      <c r="ES569" t="s">
        <v>29</v>
      </c>
      <c r="ET569" t="s">
        <v>29</v>
      </c>
      <c r="EU569" s="9" t="s">
        <v>1829</v>
      </c>
      <c r="EV569" t="s">
        <v>29</v>
      </c>
      <c r="EW569" t="s">
        <v>29</v>
      </c>
      <c r="EX569" t="s">
        <v>29</v>
      </c>
      <c r="EY569" s="9"/>
      <c r="EZ569" s="9"/>
      <c r="FA569" s="9"/>
      <c r="FB569" s="9"/>
      <c r="FC569" s="9"/>
      <c r="FD569" s="9"/>
      <c r="FE569" s="9"/>
      <c r="FF569" s="9"/>
      <c r="FG569" s="9"/>
      <c r="FH569" s="9"/>
      <c r="FI569" s="9"/>
      <c r="FJ569" s="9"/>
      <c r="FK569" s="9"/>
      <c r="FL569" s="9"/>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M569" s="9"/>
      <c r="HY569" s="58"/>
      <c r="IU569" t="s">
        <v>1842</v>
      </c>
      <c r="IV569" s="54" t="s">
        <v>1843</v>
      </c>
      <c r="IY569">
        <v>18</v>
      </c>
      <c r="IZ569">
        <v>65</v>
      </c>
      <c r="JA569">
        <v>10</v>
      </c>
      <c r="JB569">
        <v>100</v>
      </c>
      <c r="JC569">
        <v>17.7</v>
      </c>
      <c r="JD569">
        <v>7</v>
      </c>
      <c r="JE569">
        <v>25</v>
      </c>
      <c r="JF569">
        <v>92</v>
      </c>
      <c r="JG569">
        <v>22</v>
      </c>
      <c r="JH569">
        <v>212</v>
      </c>
      <c r="MS569" t="s">
        <v>1833</v>
      </c>
      <c r="MT569">
        <v>200</v>
      </c>
      <c r="MU569" t="s">
        <v>1838</v>
      </c>
      <c r="MW569" t="s">
        <v>1856</v>
      </c>
      <c r="NC569" t="s">
        <v>711</v>
      </c>
      <c r="NE569" t="s">
        <v>1858</v>
      </c>
      <c r="NG569" t="s">
        <v>1770</v>
      </c>
      <c r="NQ569" t="s">
        <v>6</v>
      </c>
      <c r="NR569">
        <v>5.8</v>
      </c>
      <c r="NS569" t="s">
        <v>1835</v>
      </c>
      <c r="NT569">
        <v>1.3</v>
      </c>
      <c r="NW569">
        <v>14</v>
      </c>
      <c r="OH569" t="s">
        <v>1836</v>
      </c>
      <c r="OO569" t="s">
        <v>1178</v>
      </c>
      <c r="OP569" s="58">
        <v>46108</v>
      </c>
    </row>
    <row r="570" spans="1:406" ht="15.75" thickBot="1">
      <c r="A570" t="s">
        <v>36</v>
      </c>
      <c r="B570" t="s">
        <v>1826</v>
      </c>
      <c r="C570" t="s">
        <v>1414</v>
      </c>
      <c r="D570" s="4" t="s">
        <v>245</v>
      </c>
      <c r="E570" t="s">
        <v>1853</v>
      </c>
      <c r="F570" t="s">
        <v>1852</v>
      </c>
      <c r="G570" t="s">
        <v>2</v>
      </c>
      <c r="H570" t="s">
        <v>30</v>
      </c>
      <c r="I570">
        <v>7.45</v>
      </c>
      <c r="J570">
        <v>36.450000000000003</v>
      </c>
      <c r="K570">
        <v>50000</v>
      </c>
      <c r="AV570" t="s">
        <v>1854</v>
      </c>
      <c r="AW570">
        <v>200</v>
      </c>
      <c r="AX570" t="s">
        <v>234</v>
      </c>
      <c r="AY570">
        <v>2.7397260273972599E-3</v>
      </c>
      <c r="AZ570" t="s">
        <v>1861</v>
      </c>
      <c r="BA570">
        <v>1996</v>
      </c>
      <c r="BC570" t="s">
        <v>64</v>
      </c>
      <c r="BD570" t="s">
        <v>1845</v>
      </c>
      <c r="BE570" t="s">
        <v>1827</v>
      </c>
      <c r="BF570" t="s">
        <v>24</v>
      </c>
      <c r="BG570" t="s">
        <v>1762</v>
      </c>
      <c r="EE570" t="s">
        <v>1830</v>
      </c>
      <c r="EF570" t="s">
        <v>29</v>
      </c>
      <c r="EG570" t="s">
        <v>29</v>
      </c>
      <c r="EH570" t="s">
        <v>29</v>
      </c>
      <c r="EI570" t="s">
        <v>1831</v>
      </c>
      <c r="EJ570" t="s">
        <v>29</v>
      </c>
      <c r="EK570" t="s">
        <v>29</v>
      </c>
      <c r="EL570" t="s">
        <v>29</v>
      </c>
      <c r="EM570" s="9" t="s">
        <v>1828</v>
      </c>
      <c r="EN570" t="s">
        <v>29</v>
      </c>
      <c r="EO570" t="s">
        <v>29</v>
      </c>
      <c r="EP570" t="s">
        <v>29</v>
      </c>
      <c r="EQ570" s="9" t="s">
        <v>1832</v>
      </c>
      <c r="ER570" t="s">
        <v>29</v>
      </c>
      <c r="ES570" t="s">
        <v>29</v>
      </c>
      <c r="ET570" t="s">
        <v>29</v>
      </c>
      <c r="EU570" s="9" t="s">
        <v>1829</v>
      </c>
      <c r="EV570" t="s">
        <v>29</v>
      </c>
      <c r="EW570" t="s">
        <v>29</v>
      </c>
      <c r="EX570" t="s">
        <v>29</v>
      </c>
      <c r="EY570" s="9"/>
      <c r="EZ570" s="9"/>
      <c r="FA570" s="9"/>
      <c r="FB570" s="9"/>
      <c r="FC570" s="9"/>
      <c r="FD570" s="9"/>
      <c r="FE570" s="9"/>
      <c r="FF570" s="9"/>
      <c r="FG570" s="9"/>
      <c r="FH570" s="9"/>
      <c r="FI570" s="9"/>
      <c r="FJ570" s="9"/>
      <c r="FK570" s="9"/>
      <c r="FL570" s="9"/>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M570" s="9"/>
      <c r="HY570" s="58"/>
      <c r="IU570" t="s">
        <v>1827</v>
      </c>
      <c r="IV570" s="126" t="s">
        <v>1855</v>
      </c>
      <c r="IY570">
        <v>18</v>
      </c>
      <c r="IZ570">
        <v>88</v>
      </c>
      <c r="JA570">
        <v>65</v>
      </c>
      <c r="JB570">
        <v>100</v>
      </c>
      <c r="JC570">
        <v>21.3</v>
      </c>
      <c r="JD570">
        <v>17</v>
      </c>
      <c r="JE570">
        <v>26</v>
      </c>
      <c r="JF570">
        <v>0.85</v>
      </c>
      <c r="JG570">
        <v>0.25</v>
      </c>
      <c r="JH570">
        <v>3.2</v>
      </c>
      <c r="MS570" t="s">
        <v>1833</v>
      </c>
      <c r="MT570">
        <v>200</v>
      </c>
      <c r="MU570" t="s">
        <v>1839</v>
      </c>
      <c r="MW570" t="s">
        <v>1857</v>
      </c>
      <c r="NC570" t="s">
        <v>711</v>
      </c>
      <c r="NE570" t="s">
        <v>1858</v>
      </c>
      <c r="NG570" t="s">
        <v>1770</v>
      </c>
      <c r="NP570" t="s">
        <v>64</v>
      </c>
      <c r="NQ570" t="s">
        <v>6</v>
      </c>
      <c r="NR570">
        <v>8.3000000000000007</v>
      </c>
      <c r="NS570" t="s">
        <v>1835</v>
      </c>
      <c r="NT570">
        <v>1.9</v>
      </c>
      <c r="NW570">
        <v>15</v>
      </c>
      <c r="OH570" t="s">
        <v>1836</v>
      </c>
      <c r="OO570" t="s">
        <v>1178</v>
      </c>
      <c r="OP570" s="58">
        <v>46108</v>
      </c>
    </row>
    <row r="571" spans="1:406" ht="15.75" thickBot="1">
      <c r="A571" t="s">
        <v>36</v>
      </c>
      <c r="B571" t="s">
        <v>1826</v>
      </c>
      <c r="C571" t="s">
        <v>1414</v>
      </c>
      <c r="D571" s="4" t="s">
        <v>245</v>
      </c>
      <c r="E571" t="s">
        <v>1853</v>
      </c>
      <c r="F571" t="s">
        <v>1852</v>
      </c>
      <c r="G571" t="s">
        <v>2</v>
      </c>
      <c r="H571" t="s">
        <v>30</v>
      </c>
      <c r="I571">
        <v>7.45</v>
      </c>
      <c r="J571">
        <v>36.450000000000003</v>
      </c>
      <c r="K571">
        <v>50000</v>
      </c>
      <c r="AV571" t="s">
        <v>1854</v>
      </c>
      <c r="AW571">
        <v>200</v>
      </c>
      <c r="AX571" t="s">
        <v>234</v>
      </c>
      <c r="AY571">
        <v>2.7397260273972599E-3</v>
      </c>
      <c r="AZ571" t="s">
        <v>1861</v>
      </c>
      <c r="BA571">
        <v>1996</v>
      </c>
      <c r="BD571" t="s">
        <v>1841</v>
      </c>
      <c r="BE571" t="s">
        <v>1842</v>
      </c>
      <c r="BF571" t="s">
        <v>64</v>
      </c>
      <c r="BG571" t="s">
        <v>1243</v>
      </c>
      <c r="BH571" t="s">
        <v>1840</v>
      </c>
      <c r="BI571" t="s">
        <v>29</v>
      </c>
      <c r="BJ571" t="s">
        <v>29</v>
      </c>
      <c r="BK571" t="s">
        <v>29</v>
      </c>
      <c r="EE571" t="s">
        <v>1830</v>
      </c>
      <c r="EF571" t="s">
        <v>29</v>
      </c>
      <c r="EG571" t="s">
        <v>29</v>
      </c>
      <c r="EH571" t="s">
        <v>29</v>
      </c>
      <c r="EI571" t="s">
        <v>1831</v>
      </c>
      <c r="EJ571" t="s">
        <v>29</v>
      </c>
      <c r="EK571" t="s">
        <v>29</v>
      </c>
      <c r="EL571" t="s">
        <v>29</v>
      </c>
      <c r="EM571" s="9" t="s">
        <v>1828</v>
      </c>
      <c r="EN571" t="s">
        <v>29</v>
      </c>
      <c r="EO571" t="s">
        <v>29</v>
      </c>
      <c r="EP571" t="s">
        <v>29</v>
      </c>
      <c r="EQ571" s="9" t="s">
        <v>1832</v>
      </c>
      <c r="ER571" t="s">
        <v>29</v>
      </c>
      <c r="ES571" t="s">
        <v>29</v>
      </c>
      <c r="ET571" t="s">
        <v>29</v>
      </c>
      <c r="EU571" s="9" t="s">
        <v>1829</v>
      </c>
      <c r="EV571" t="s">
        <v>29</v>
      </c>
      <c r="EW571" t="s">
        <v>29</v>
      </c>
      <c r="EX571" t="s">
        <v>29</v>
      </c>
      <c r="EY571" s="9"/>
      <c r="EZ571" s="9"/>
      <c r="FA571" s="9"/>
      <c r="FB571" s="9"/>
      <c r="FC571" s="9"/>
      <c r="FD571" s="9"/>
      <c r="FE571" s="9"/>
      <c r="FF571" s="9"/>
      <c r="FG571" s="9"/>
      <c r="FH571" s="9"/>
      <c r="FI571" s="9"/>
      <c r="FJ571" s="9"/>
      <c r="FK571" s="9"/>
      <c r="FL571" s="9"/>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M571" s="9"/>
      <c r="HY571" s="58"/>
      <c r="IU571" t="s">
        <v>1842</v>
      </c>
      <c r="IV571" s="54" t="s">
        <v>1843</v>
      </c>
      <c r="IY571">
        <v>18</v>
      </c>
      <c r="IZ571">
        <v>65</v>
      </c>
      <c r="JA571">
        <v>10</v>
      </c>
      <c r="JB571">
        <v>100</v>
      </c>
      <c r="JC571">
        <v>17.7</v>
      </c>
      <c r="JD571">
        <v>7</v>
      </c>
      <c r="JE571">
        <v>25</v>
      </c>
      <c r="JF571">
        <v>92</v>
      </c>
      <c r="JG571">
        <v>22</v>
      </c>
      <c r="JH571">
        <v>212</v>
      </c>
      <c r="MS571" t="s">
        <v>1833</v>
      </c>
      <c r="MT571">
        <v>200</v>
      </c>
      <c r="MU571" t="s">
        <v>1839</v>
      </c>
      <c r="MW571" t="s">
        <v>1857</v>
      </c>
      <c r="NC571" t="s">
        <v>711</v>
      </c>
      <c r="NE571" t="s">
        <v>1858</v>
      </c>
      <c r="NG571" t="s">
        <v>1770</v>
      </c>
      <c r="NQ571" t="s">
        <v>6</v>
      </c>
      <c r="NR571">
        <v>6</v>
      </c>
      <c r="NS571" t="s">
        <v>1835</v>
      </c>
      <c r="NT571">
        <v>1.8</v>
      </c>
      <c r="NW571">
        <v>14</v>
      </c>
      <c r="OH571" t="s">
        <v>1836</v>
      </c>
      <c r="OO571" t="s">
        <v>1178</v>
      </c>
      <c r="OP571" s="58">
        <v>46108</v>
      </c>
    </row>
    <row r="572" spans="1:406" ht="15.75" thickBot="1">
      <c r="A572" t="s">
        <v>36</v>
      </c>
      <c r="B572" t="s">
        <v>1826</v>
      </c>
      <c r="C572" t="s">
        <v>1414</v>
      </c>
      <c r="D572" s="4" t="s">
        <v>245</v>
      </c>
      <c r="E572" t="s">
        <v>1853</v>
      </c>
      <c r="F572" t="s">
        <v>1852</v>
      </c>
      <c r="G572" t="s">
        <v>2</v>
      </c>
      <c r="H572" t="s">
        <v>30</v>
      </c>
      <c r="I572">
        <v>7.45</v>
      </c>
      <c r="J572">
        <v>36.450000000000003</v>
      </c>
      <c r="K572">
        <v>50000</v>
      </c>
      <c r="AV572" t="s">
        <v>1854</v>
      </c>
      <c r="AW572">
        <v>200</v>
      </c>
      <c r="AX572" t="s">
        <v>234</v>
      </c>
      <c r="AY572">
        <v>2.7397260273972599E-3</v>
      </c>
      <c r="AZ572" t="s">
        <v>1861</v>
      </c>
      <c r="BA572">
        <v>1996</v>
      </c>
      <c r="BC572" t="s">
        <v>64</v>
      </c>
      <c r="BD572" t="s">
        <v>1845</v>
      </c>
      <c r="BE572" t="s">
        <v>1827</v>
      </c>
      <c r="BF572" t="s">
        <v>24</v>
      </c>
      <c r="BG572" t="s">
        <v>1762</v>
      </c>
      <c r="EE572" t="s">
        <v>1830</v>
      </c>
      <c r="EF572" t="s">
        <v>29</v>
      </c>
      <c r="EG572" t="s">
        <v>29</v>
      </c>
      <c r="EH572" t="s">
        <v>29</v>
      </c>
      <c r="EI572" t="s">
        <v>1831</v>
      </c>
      <c r="EJ572" t="s">
        <v>29</v>
      </c>
      <c r="EK572" t="s">
        <v>29</v>
      </c>
      <c r="EL572" t="s">
        <v>29</v>
      </c>
      <c r="EM572" s="9" t="s">
        <v>1828</v>
      </c>
      <c r="EN572" t="s">
        <v>29</v>
      </c>
      <c r="EO572" t="s">
        <v>29</v>
      </c>
      <c r="EP572" t="s">
        <v>29</v>
      </c>
      <c r="EQ572" s="9" t="s">
        <v>1832</v>
      </c>
      <c r="ER572" t="s">
        <v>29</v>
      </c>
      <c r="ES572" t="s">
        <v>29</v>
      </c>
      <c r="ET572" t="s">
        <v>29</v>
      </c>
      <c r="EU572" s="9" t="s">
        <v>1829</v>
      </c>
      <c r="EV572" t="s">
        <v>29</v>
      </c>
      <c r="EW572" t="s">
        <v>29</v>
      </c>
      <c r="EX572" t="s">
        <v>29</v>
      </c>
      <c r="EY572" s="9"/>
      <c r="EZ572" s="9"/>
      <c r="FA572" s="9"/>
      <c r="FB572" s="9"/>
      <c r="FC572" s="9"/>
      <c r="FD572" s="9"/>
      <c r="FE572" s="9"/>
      <c r="FF572" s="9"/>
      <c r="FG572" s="9"/>
      <c r="FH572" s="9"/>
      <c r="FI572" s="9"/>
      <c r="FJ572" s="9"/>
      <c r="FK572" s="9"/>
      <c r="FL572" s="9"/>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M572" s="9"/>
      <c r="HY572" s="58"/>
      <c r="IU572" t="s">
        <v>1827</v>
      </c>
      <c r="IV572" s="126" t="s">
        <v>1855</v>
      </c>
      <c r="IY572">
        <v>18</v>
      </c>
      <c r="IZ572">
        <v>88</v>
      </c>
      <c r="JA572">
        <v>65</v>
      </c>
      <c r="JB572">
        <v>100</v>
      </c>
      <c r="JC572">
        <v>21.3</v>
      </c>
      <c r="JD572">
        <v>17</v>
      </c>
      <c r="JE572">
        <v>26</v>
      </c>
      <c r="JF572">
        <v>0.85</v>
      </c>
      <c r="JG572">
        <v>0.25</v>
      </c>
      <c r="JH572">
        <v>3.2</v>
      </c>
      <c r="MS572" t="s">
        <v>1833</v>
      </c>
      <c r="MT572">
        <v>200</v>
      </c>
      <c r="MU572" t="s">
        <v>1837</v>
      </c>
      <c r="MW572" t="s">
        <v>1859</v>
      </c>
      <c r="NC572" t="s">
        <v>711</v>
      </c>
      <c r="NE572" t="s">
        <v>1858</v>
      </c>
      <c r="NG572" t="s">
        <v>1770</v>
      </c>
      <c r="NP572" t="s">
        <v>64</v>
      </c>
      <c r="NQ572" t="s">
        <v>6</v>
      </c>
      <c r="NR572">
        <v>30</v>
      </c>
      <c r="NS572" t="s">
        <v>1835</v>
      </c>
      <c r="NT572">
        <v>2</v>
      </c>
      <c r="NW572">
        <v>15</v>
      </c>
      <c r="OH572" t="s">
        <v>1836</v>
      </c>
      <c r="OO572" t="s">
        <v>1178</v>
      </c>
      <c r="OP572" s="58">
        <v>46108</v>
      </c>
    </row>
    <row r="573" spans="1:406" ht="15.75" thickBot="1">
      <c r="A573" t="s">
        <v>36</v>
      </c>
      <c r="B573" t="s">
        <v>1826</v>
      </c>
      <c r="C573" t="s">
        <v>1414</v>
      </c>
      <c r="D573" s="4" t="s">
        <v>245</v>
      </c>
      <c r="E573" t="s">
        <v>1853</v>
      </c>
      <c r="F573" t="s">
        <v>1852</v>
      </c>
      <c r="G573" t="s">
        <v>2</v>
      </c>
      <c r="H573" t="s">
        <v>30</v>
      </c>
      <c r="I573">
        <v>7.45</v>
      </c>
      <c r="J573">
        <v>36.450000000000003</v>
      </c>
      <c r="K573">
        <v>50000</v>
      </c>
      <c r="AV573" t="s">
        <v>1854</v>
      </c>
      <c r="AW573">
        <v>200</v>
      </c>
      <c r="AX573" t="s">
        <v>234</v>
      </c>
      <c r="AY573">
        <v>2.7397260273972599E-3</v>
      </c>
      <c r="AZ573" t="s">
        <v>1861</v>
      </c>
      <c r="BA573">
        <v>1996</v>
      </c>
      <c r="BD573" t="s">
        <v>1841</v>
      </c>
      <c r="BE573" t="s">
        <v>1842</v>
      </c>
      <c r="BF573" t="s">
        <v>64</v>
      </c>
      <c r="BG573" t="s">
        <v>1243</v>
      </c>
      <c r="BH573" t="s">
        <v>1840</v>
      </c>
      <c r="BI573" t="s">
        <v>29</v>
      </c>
      <c r="BJ573" t="s">
        <v>29</v>
      </c>
      <c r="BK573" t="s">
        <v>29</v>
      </c>
      <c r="EE573" t="s">
        <v>1830</v>
      </c>
      <c r="EF573" t="s">
        <v>29</v>
      </c>
      <c r="EG573" t="s">
        <v>29</v>
      </c>
      <c r="EH573" t="s">
        <v>29</v>
      </c>
      <c r="EI573" t="s">
        <v>1831</v>
      </c>
      <c r="EJ573" t="s">
        <v>29</v>
      </c>
      <c r="EK573" t="s">
        <v>29</v>
      </c>
      <c r="EL573" t="s">
        <v>29</v>
      </c>
      <c r="EM573" s="9" t="s">
        <v>1828</v>
      </c>
      <c r="EN573" t="s">
        <v>29</v>
      </c>
      <c r="EO573" t="s">
        <v>29</v>
      </c>
      <c r="EP573" t="s">
        <v>29</v>
      </c>
      <c r="EQ573" s="9" t="s">
        <v>1832</v>
      </c>
      <c r="ER573" t="s">
        <v>29</v>
      </c>
      <c r="ES573" t="s">
        <v>29</v>
      </c>
      <c r="ET573" t="s">
        <v>29</v>
      </c>
      <c r="EU573" s="9" t="s">
        <v>1829</v>
      </c>
      <c r="EV573" t="s">
        <v>29</v>
      </c>
      <c r="EW573" t="s">
        <v>29</v>
      </c>
      <c r="EX573" t="s">
        <v>29</v>
      </c>
      <c r="EY573" s="9"/>
      <c r="EZ573" s="9"/>
      <c r="FA573" s="9"/>
      <c r="FB573" s="9"/>
      <c r="FC573" s="9"/>
      <c r="FD573" s="9"/>
      <c r="FE573" s="9"/>
      <c r="FF573" s="9"/>
      <c r="FG573" s="9"/>
      <c r="FH573" s="9"/>
      <c r="FI573" s="9"/>
      <c r="FJ573" s="9"/>
      <c r="FK573" s="9"/>
      <c r="FL573" s="9"/>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M573" s="9"/>
      <c r="HY573" s="58"/>
      <c r="IU573" t="s">
        <v>1842</v>
      </c>
      <c r="IV573" s="54" t="s">
        <v>1843</v>
      </c>
      <c r="IY573">
        <v>18</v>
      </c>
      <c r="IZ573">
        <v>65</v>
      </c>
      <c r="JA573">
        <v>10</v>
      </c>
      <c r="JB573">
        <v>100</v>
      </c>
      <c r="JC573">
        <v>17.7</v>
      </c>
      <c r="JD573">
        <v>7</v>
      </c>
      <c r="JE573">
        <v>25</v>
      </c>
      <c r="JF573">
        <v>92</v>
      </c>
      <c r="JG573">
        <v>22</v>
      </c>
      <c r="JH573">
        <v>212</v>
      </c>
      <c r="MS573" t="s">
        <v>1833</v>
      </c>
      <c r="MT573">
        <v>200</v>
      </c>
      <c r="MU573" t="s">
        <v>1837</v>
      </c>
      <c r="MW573" t="s">
        <v>1859</v>
      </c>
      <c r="NC573" t="s">
        <v>711</v>
      </c>
      <c r="NE573" t="s">
        <v>1858</v>
      </c>
      <c r="NG573" t="s">
        <v>1770</v>
      </c>
      <c r="NQ573" t="s">
        <v>6</v>
      </c>
      <c r="NR573">
        <v>21</v>
      </c>
      <c r="NS573" t="s">
        <v>1835</v>
      </c>
      <c r="NT573">
        <v>1</v>
      </c>
      <c r="NW573">
        <v>14</v>
      </c>
      <c r="OH573" t="s">
        <v>1836</v>
      </c>
      <c r="OO573" t="s">
        <v>1178</v>
      </c>
      <c r="OP573" s="58">
        <v>46108</v>
      </c>
    </row>
    <row r="574" spans="1:406" ht="15.75" thickBot="1">
      <c r="A574" t="s">
        <v>36</v>
      </c>
      <c r="B574" t="s">
        <v>1826</v>
      </c>
      <c r="C574" t="s">
        <v>1414</v>
      </c>
      <c r="D574" s="4" t="s">
        <v>245</v>
      </c>
      <c r="E574" t="s">
        <v>1853</v>
      </c>
      <c r="F574" t="s">
        <v>1852</v>
      </c>
      <c r="G574" t="s">
        <v>2</v>
      </c>
      <c r="H574" t="s">
        <v>30</v>
      </c>
      <c r="I574">
        <v>7.45</v>
      </c>
      <c r="J574">
        <v>36.450000000000003</v>
      </c>
      <c r="K574">
        <v>50000</v>
      </c>
      <c r="AV574" t="s">
        <v>1854</v>
      </c>
      <c r="AW574">
        <v>200</v>
      </c>
      <c r="AX574" t="s">
        <v>234</v>
      </c>
      <c r="AY574">
        <v>2.7397260273972599E-3</v>
      </c>
      <c r="AZ574" t="s">
        <v>1861</v>
      </c>
      <c r="BA574">
        <v>1996</v>
      </c>
      <c r="BC574" t="s">
        <v>64</v>
      </c>
      <c r="BD574" t="s">
        <v>1845</v>
      </c>
      <c r="BE574" t="s">
        <v>1827</v>
      </c>
      <c r="BF574" t="s">
        <v>24</v>
      </c>
      <c r="BG574" t="s">
        <v>1762</v>
      </c>
      <c r="EE574" t="s">
        <v>1830</v>
      </c>
      <c r="EF574" t="s">
        <v>29</v>
      </c>
      <c r="EG574" t="s">
        <v>29</v>
      </c>
      <c r="EH574" t="s">
        <v>29</v>
      </c>
      <c r="EI574" t="s">
        <v>1831</v>
      </c>
      <c r="EJ574" t="s">
        <v>29</v>
      </c>
      <c r="EK574" t="s">
        <v>29</v>
      </c>
      <c r="EL574" t="s">
        <v>29</v>
      </c>
      <c r="EM574" s="9" t="s">
        <v>1828</v>
      </c>
      <c r="EN574" t="s">
        <v>29</v>
      </c>
      <c r="EO574" t="s">
        <v>29</v>
      </c>
      <c r="EP574" t="s">
        <v>29</v>
      </c>
      <c r="EQ574" s="9" t="s">
        <v>1832</v>
      </c>
      <c r="ER574" t="s">
        <v>29</v>
      </c>
      <c r="ES574" t="s">
        <v>29</v>
      </c>
      <c r="ET574" t="s">
        <v>29</v>
      </c>
      <c r="EU574" s="9" t="s">
        <v>1829</v>
      </c>
      <c r="EV574" t="s">
        <v>29</v>
      </c>
      <c r="EW574" t="s">
        <v>29</v>
      </c>
      <c r="EX574" t="s">
        <v>29</v>
      </c>
      <c r="EY574" s="9"/>
      <c r="EZ574" s="9"/>
      <c r="FA574" s="9"/>
      <c r="FB574" s="9"/>
      <c r="FC574" s="9"/>
      <c r="FD574" s="9"/>
      <c r="FE574" s="9"/>
      <c r="FF574" s="9"/>
      <c r="FG574" s="9"/>
      <c r="FH574" s="9"/>
      <c r="FI574" s="9"/>
      <c r="FJ574" s="9"/>
      <c r="FK574" s="9"/>
      <c r="FL574" s="9"/>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M574" s="9"/>
      <c r="HY574" s="58"/>
      <c r="IU574" t="s">
        <v>1827</v>
      </c>
      <c r="IV574" s="126" t="s">
        <v>1855</v>
      </c>
      <c r="IY574">
        <v>18</v>
      </c>
      <c r="IZ574">
        <v>88</v>
      </c>
      <c r="JA574">
        <v>65</v>
      </c>
      <c r="JB574">
        <v>100</v>
      </c>
      <c r="JC574">
        <v>21.3</v>
      </c>
      <c r="JD574">
        <v>17</v>
      </c>
      <c r="JE574">
        <v>26</v>
      </c>
      <c r="JF574">
        <v>0.85</v>
      </c>
      <c r="JG574">
        <v>0.25</v>
      </c>
      <c r="JH574">
        <v>3.2</v>
      </c>
      <c r="MS574" t="s">
        <v>1833</v>
      </c>
      <c r="MT574">
        <v>200</v>
      </c>
      <c r="MU574" t="s">
        <v>1834</v>
      </c>
      <c r="MW574" t="s">
        <v>1860</v>
      </c>
      <c r="NC574" t="s">
        <v>711</v>
      </c>
      <c r="NE574" t="s">
        <v>1858</v>
      </c>
      <c r="NG574" t="s">
        <v>1770</v>
      </c>
      <c r="NP574" t="s">
        <v>64</v>
      </c>
      <c r="NQ574" t="s">
        <v>6</v>
      </c>
      <c r="NR574">
        <v>34</v>
      </c>
      <c r="NS574" t="s">
        <v>1835</v>
      </c>
      <c r="NT574">
        <v>5</v>
      </c>
      <c r="NW574">
        <v>15</v>
      </c>
      <c r="OH574" t="s">
        <v>1836</v>
      </c>
      <c r="OO574" t="s">
        <v>1178</v>
      </c>
      <c r="OP574" s="58">
        <v>46108</v>
      </c>
    </row>
    <row r="575" spans="1:406" ht="15.75" thickBot="1">
      <c r="A575" t="s">
        <v>36</v>
      </c>
      <c r="B575" t="s">
        <v>1826</v>
      </c>
      <c r="C575" t="s">
        <v>1414</v>
      </c>
      <c r="D575" s="4" t="s">
        <v>245</v>
      </c>
      <c r="E575" t="s">
        <v>1853</v>
      </c>
      <c r="F575" t="s">
        <v>1852</v>
      </c>
      <c r="G575" t="s">
        <v>2</v>
      </c>
      <c r="H575" t="s">
        <v>30</v>
      </c>
      <c r="I575">
        <v>7.45</v>
      </c>
      <c r="J575">
        <v>36.450000000000003</v>
      </c>
      <c r="K575">
        <v>50000</v>
      </c>
      <c r="AV575" t="s">
        <v>1854</v>
      </c>
      <c r="AW575">
        <v>200</v>
      </c>
      <c r="AX575" t="s">
        <v>234</v>
      </c>
      <c r="AY575">
        <v>2.7397260273972599E-3</v>
      </c>
      <c r="AZ575" t="s">
        <v>1861</v>
      </c>
      <c r="BA575">
        <v>1996</v>
      </c>
      <c r="BD575" t="s">
        <v>1841</v>
      </c>
      <c r="BE575" t="s">
        <v>1842</v>
      </c>
      <c r="BF575" t="s">
        <v>64</v>
      </c>
      <c r="BG575" t="s">
        <v>1243</v>
      </c>
      <c r="BH575" t="s">
        <v>1840</v>
      </c>
      <c r="BI575" t="s">
        <v>29</v>
      </c>
      <c r="BJ575" t="s">
        <v>29</v>
      </c>
      <c r="BK575" t="s">
        <v>29</v>
      </c>
      <c r="EE575" t="s">
        <v>1830</v>
      </c>
      <c r="EF575" t="s">
        <v>29</v>
      </c>
      <c r="EG575" t="s">
        <v>29</v>
      </c>
      <c r="EH575" t="s">
        <v>29</v>
      </c>
      <c r="EI575" t="s">
        <v>1831</v>
      </c>
      <c r="EJ575" t="s">
        <v>29</v>
      </c>
      <c r="EK575" t="s">
        <v>29</v>
      </c>
      <c r="EL575" t="s">
        <v>29</v>
      </c>
      <c r="EM575" s="9" t="s">
        <v>1828</v>
      </c>
      <c r="EN575" t="s">
        <v>29</v>
      </c>
      <c r="EO575" t="s">
        <v>29</v>
      </c>
      <c r="EP575" t="s">
        <v>29</v>
      </c>
      <c r="EQ575" s="9" t="s">
        <v>1832</v>
      </c>
      <c r="ER575" t="s">
        <v>29</v>
      </c>
      <c r="ES575" t="s">
        <v>29</v>
      </c>
      <c r="ET575" t="s">
        <v>29</v>
      </c>
      <c r="EU575" s="9" t="s">
        <v>1829</v>
      </c>
      <c r="EV575" t="s">
        <v>29</v>
      </c>
      <c r="EW575" t="s">
        <v>29</v>
      </c>
      <c r="EX575" t="s">
        <v>29</v>
      </c>
      <c r="EY575" s="9"/>
      <c r="EZ575" s="9"/>
      <c r="FA575" s="9"/>
      <c r="FB575" s="9"/>
      <c r="FC575" s="9"/>
      <c r="FD575" s="9"/>
      <c r="FE575" s="9"/>
      <c r="FF575" s="9"/>
      <c r="FG575" s="9"/>
      <c r="FH575" s="9"/>
      <c r="FI575" s="9"/>
      <c r="FJ575" s="9"/>
      <c r="FK575" s="9"/>
      <c r="FL575" s="9"/>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M575" s="9"/>
      <c r="HY575" s="58"/>
      <c r="IU575" t="s">
        <v>1842</v>
      </c>
      <c r="IV575" s="54" t="s">
        <v>1843</v>
      </c>
      <c r="IY575">
        <v>18</v>
      </c>
      <c r="IZ575">
        <v>65</v>
      </c>
      <c r="JA575">
        <v>10</v>
      </c>
      <c r="JB575">
        <v>100</v>
      </c>
      <c r="JC575">
        <v>17.7</v>
      </c>
      <c r="JD575">
        <v>7</v>
      </c>
      <c r="JE575">
        <v>25</v>
      </c>
      <c r="JF575">
        <v>92</v>
      </c>
      <c r="JG575">
        <v>22</v>
      </c>
      <c r="JH575">
        <v>212</v>
      </c>
      <c r="MS575" t="s">
        <v>1833</v>
      </c>
      <c r="MT575">
        <v>200</v>
      </c>
      <c r="MU575" t="s">
        <v>1834</v>
      </c>
      <c r="MW575" t="s">
        <v>1860</v>
      </c>
      <c r="NC575" t="s">
        <v>711</v>
      </c>
      <c r="NE575" t="s">
        <v>1858</v>
      </c>
      <c r="NG575" t="s">
        <v>1770</v>
      </c>
      <c r="NQ575" t="s">
        <v>6</v>
      </c>
      <c r="NR575">
        <v>17</v>
      </c>
      <c r="NS575" t="s">
        <v>1835</v>
      </c>
      <c r="NT575">
        <v>3</v>
      </c>
      <c r="NW575">
        <v>14</v>
      </c>
      <c r="OH575" t="s">
        <v>1836</v>
      </c>
      <c r="OO575" t="s">
        <v>1178</v>
      </c>
      <c r="OP575" s="58">
        <v>46108</v>
      </c>
    </row>
    <row r="576" spans="1:406" ht="15.75" thickBot="1">
      <c r="A576" t="s">
        <v>36</v>
      </c>
      <c r="B576" t="s">
        <v>1862</v>
      </c>
      <c r="C576" t="s">
        <v>1863</v>
      </c>
      <c r="D576" s="4" t="s">
        <v>1955</v>
      </c>
      <c r="E576" t="s">
        <v>1875</v>
      </c>
      <c r="F576" t="s">
        <v>31</v>
      </c>
      <c r="G576" t="s">
        <v>2</v>
      </c>
      <c r="H576" t="s">
        <v>30</v>
      </c>
      <c r="I576">
        <v>-13.65</v>
      </c>
      <c r="J576">
        <v>32.566666669999996</v>
      </c>
      <c r="K576" t="s">
        <v>29</v>
      </c>
      <c r="AV576" t="s">
        <v>1881</v>
      </c>
      <c r="AW576">
        <v>100</v>
      </c>
      <c r="AX576" t="s">
        <v>234</v>
      </c>
      <c r="AY576" s="5">
        <v>8</v>
      </c>
      <c r="AZ576" t="s">
        <v>1876</v>
      </c>
      <c r="BA576">
        <v>1999</v>
      </c>
      <c r="BB576">
        <v>2007</v>
      </c>
      <c r="BD576" t="s">
        <v>1867</v>
      </c>
      <c r="BE576" t="s">
        <v>1890</v>
      </c>
      <c r="BF576" t="s">
        <v>64</v>
      </c>
      <c r="BG576" t="s">
        <v>1243</v>
      </c>
      <c r="BH576" t="s">
        <v>23</v>
      </c>
      <c r="BI576" t="s">
        <v>1877</v>
      </c>
      <c r="BJ576" t="s">
        <v>22</v>
      </c>
      <c r="BK576">
        <v>44440</v>
      </c>
      <c r="BL576" t="s">
        <v>275</v>
      </c>
      <c r="BM576" t="s">
        <v>1868</v>
      </c>
      <c r="BN576" t="s">
        <v>29</v>
      </c>
      <c r="BO576" t="s">
        <v>22</v>
      </c>
      <c r="BP576">
        <v>10000</v>
      </c>
      <c r="IN576" t="s">
        <v>1890</v>
      </c>
      <c r="IO576" s="54" t="s">
        <v>1899</v>
      </c>
      <c r="IR576">
        <v>1999</v>
      </c>
      <c r="IT576" s="4" t="s">
        <v>1898</v>
      </c>
      <c r="IV576" s="54"/>
      <c r="JK576" s="8" t="s">
        <v>1648</v>
      </c>
      <c r="KD576" t="s">
        <v>1883</v>
      </c>
      <c r="KE576" s="84" t="s">
        <v>1561</v>
      </c>
      <c r="MS576" t="s">
        <v>1864</v>
      </c>
      <c r="MT576">
        <v>6.25E-2</v>
      </c>
      <c r="MU576" t="s">
        <v>1865</v>
      </c>
      <c r="MW576" t="s">
        <v>1884</v>
      </c>
      <c r="NC576" t="s">
        <v>712</v>
      </c>
      <c r="NE576" t="s">
        <v>203</v>
      </c>
      <c r="NG576" t="s">
        <v>203</v>
      </c>
      <c r="NQ576" t="s">
        <v>6</v>
      </c>
      <c r="NR576">
        <v>2.2176000899999999</v>
      </c>
      <c r="NS576" s="4" t="s">
        <v>4</v>
      </c>
      <c r="NT576">
        <v>1.23</v>
      </c>
      <c r="NW576">
        <v>9</v>
      </c>
      <c r="OH576" t="s">
        <v>1866</v>
      </c>
      <c r="OK576">
        <v>2006</v>
      </c>
      <c r="OM576" t="s">
        <v>1902</v>
      </c>
      <c r="OO576" t="s">
        <v>1178</v>
      </c>
      <c r="OP576" s="58">
        <v>46120</v>
      </c>
    </row>
    <row r="577" spans="1:406" ht="15.75" thickBot="1">
      <c r="A577" t="s">
        <v>36</v>
      </c>
      <c r="B577" t="s">
        <v>1862</v>
      </c>
      <c r="C577" t="s">
        <v>1863</v>
      </c>
      <c r="D577" s="4" t="s">
        <v>1955</v>
      </c>
      <c r="E577" t="s">
        <v>1875</v>
      </c>
      <c r="F577" t="s">
        <v>31</v>
      </c>
      <c r="G577" t="s">
        <v>2</v>
      </c>
      <c r="H577" t="s">
        <v>30</v>
      </c>
      <c r="I577">
        <v>-13.65</v>
      </c>
      <c r="J577">
        <v>32.566666669999996</v>
      </c>
      <c r="K577" t="s">
        <v>29</v>
      </c>
      <c r="AV577" t="s">
        <v>1881</v>
      </c>
      <c r="AW577">
        <v>100</v>
      </c>
      <c r="AX577" t="s">
        <v>234</v>
      </c>
      <c r="AY577" s="5">
        <v>8</v>
      </c>
      <c r="AZ577" t="s">
        <v>1876</v>
      </c>
      <c r="BA577">
        <v>1999</v>
      </c>
      <c r="BB577">
        <v>2007</v>
      </c>
      <c r="BD577" t="s">
        <v>1867</v>
      </c>
      <c r="BE577" t="s">
        <v>1893</v>
      </c>
      <c r="BF577" t="s">
        <v>57</v>
      </c>
      <c r="BG577" t="s">
        <v>1243</v>
      </c>
      <c r="BH577" t="s">
        <v>23</v>
      </c>
      <c r="BI577" t="s">
        <v>1877</v>
      </c>
      <c r="BJ577" t="s">
        <v>22</v>
      </c>
      <c r="BK577">
        <v>44440</v>
      </c>
      <c r="BL577" t="s">
        <v>275</v>
      </c>
      <c r="BM577" t="s">
        <v>1868</v>
      </c>
      <c r="BN577" t="s">
        <v>29</v>
      </c>
      <c r="BO577" t="s">
        <v>22</v>
      </c>
      <c r="BP577">
        <v>5000</v>
      </c>
      <c r="BQ577" t="s">
        <v>56</v>
      </c>
      <c r="EE577" t="s">
        <v>55</v>
      </c>
      <c r="EF577" t="s">
        <v>22</v>
      </c>
      <c r="EG577">
        <v>5000</v>
      </c>
      <c r="HU577" s="58">
        <v>36495</v>
      </c>
      <c r="IN577" t="s">
        <v>1893</v>
      </c>
      <c r="IO577" s="84" t="s">
        <v>1736</v>
      </c>
      <c r="IR577">
        <v>1999</v>
      </c>
      <c r="IT577" s="4" t="s">
        <v>1898</v>
      </c>
      <c r="IV577" s="84"/>
      <c r="JK577" s="8" t="s">
        <v>1648</v>
      </c>
      <c r="KD577" t="s">
        <v>1883</v>
      </c>
      <c r="KE577" s="84" t="s">
        <v>1561</v>
      </c>
      <c r="MS577" t="s">
        <v>1864</v>
      </c>
      <c r="MT577">
        <v>6.25E-2</v>
      </c>
      <c r="MU577" t="s">
        <v>1865</v>
      </c>
      <c r="MW577" t="s">
        <v>1884</v>
      </c>
      <c r="NC577" t="s">
        <v>712</v>
      </c>
      <c r="NE577" t="s">
        <v>203</v>
      </c>
      <c r="NG577" t="s">
        <v>203</v>
      </c>
      <c r="NQ577" t="s">
        <v>6</v>
      </c>
      <c r="NR577">
        <v>1.5630169899999999</v>
      </c>
      <c r="NS577" s="4" t="s">
        <v>4</v>
      </c>
      <c r="NT577">
        <v>0.47</v>
      </c>
      <c r="NW577">
        <v>9</v>
      </c>
      <c r="OH577" t="s">
        <v>1866</v>
      </c>
      <c r="OK577">
        <v>2006</v>
      </c>
      <c r="OM577" t="s">
        <v>1902</v>
      </c>
      <c r="OO577" t="s">
        <v>1178</v>
      </c>
      <c r="OP577" s="58">
        <v>46120</v>
      </c>
    </row>
    <row r="578" spans="1:406" ht="15.75" thickBot="1">
      <c r="A578" t="s">
        <v>36</v>
      </c>
      <c r="B578" t="s">
        <v>1862</v>
      </c>
      <c r="C578" t="s">
        <v>1863</v>
      </c>
      <c r="D578" s="4" t="s">
        <v>1955</v>
      </c>
      <c r="E578" t="s">
        <v>1875</v>
      </c>
      <c r="F578" t="s">
        <v>31</v>
      </c>
      <c r="G578" t="s">
        <v>2</v>
      </c>
      <c r="H578" t="s">
        <v>30</v>
      </c>
      <c r="I578">
        <v>-13.65</v>
      </c>
      <c r="J578">
        <v>32.566666669999996</v>
      </c>
      <c r="K578" t="s">
        <v>29</v>
      </c>
      <c r="AV578" t="s">
        <v>1881</v>
      </c>
      <c r="AW578">
        <v>100</v>
      </c>
      <c r="AX578" t="s">
        <v>234</v>
      </c>
      <c r="AY578" s="5">
        <v>8</v>
      </c>
      <c r="AZ578" t="s">
        <v>1876</v>
      </c>
      <c r="BA578">
        <v>1999</v>
      </c>
      <c r="BB578">
        <v>2007</v>
      </c>
      <c r="BD578" t="s">
        <v>1867</v>
      </c>
      <c r="BE578" t="s">
        <v>1891</v>
      </c>
      <c r="BF578" t="s">
        <v>48</v>
      </c>
      <c r="BG578" t="s">
        <v>1243</v>
      </c>
      <c r="BH578" t="s">
        <v>23</v>
      </c>
      <c r="BI578" t="s">
        <v>1877</v>
      </c>
      <c r="BJ578" t="s">
        <v>22</v>
      </c>
      <c r="BK578">
        <v>44440</v>
      </c>
      <c r="BL578" t="s">
        <v>275</v>
      </c>
      <c r="EE578" t="s">
        <v>1896</v>
      </c>
      <c r="EF578" t="s">
        <v>22</v>
      </c>
      <c r="EG578">
        <v>10000</v>
      </c>
      <c r="HU578" s="58">
        <v>36495</v>
      </c>
      <c r="IN578" t="s">
        <v>1891</v>
      </c>
      <c r="IO578" s="84" t="s">
        <v>1736</v>
      </c>
      <c r="IR578">
        <v>1999</v>
      </c>
      <c r="IT578" s="4" t="s">
        <v>1898</v>
      </c>
      <c r="JK578" s="8" t="s">
        <v>1648</v>
      </c>
      <c r="KD578" t="s">
        <v>1883</v>
      </c>
      <c r="KE578" s="84" t="s">
        <v>1561</v>
      </c>
      <c r="MS578" t="s">
        <v>1864</v>
      </c>
      <c r="MT578">
        <v>6.25E-2</v>
      </c>
      <c r="MU578" t="s">
        <v>1865</v>
      </c>
      <c r="MW578" t="s">
        <v>1884</v>
      </c>
      <c r="NC578" t="s">
        <v>712</v>
      </c>
      <c r="NE578" t="s">
        <v>203</v>
      </c>
      <c r="NG578" t="s">
        <v>203</v>
      </c>
      <c r="NQ578" t="s">
        <v>6</v>
      </c>
      <c r="NR578">
        <v>1.50286114</v>
      </c>
      <c r="NS578" s="4" t="s">
        <v>4</v>
      </c>
      <c r="NT578">
        <v>0.61</v>
      </c>
      <c r="NW578">
        <v>9</v>
      </c>
      <c r="OH578" t="s">
        <v>1866</v>
      </c>
      <c r="OK578">
        <v>2006</v>
      </c>
      <c r="OM578" t="s">
        <v>1902</v>
      </c>
      <c r="OO578" t="s">
        <v>1178</v>
      </c>
      <c r="OP578" s="58">
        <v>46120</v>
      </c>
    </row>
    <row r="579" spans="1:406" ht="15.75" thickBot="1">
      <c r="A579" t="s">
        <v>36</v>
      </c>
      <c r="B579" t="s">
        <v>1862</v>
      </c>
      <c r="C579" t="s">
        <v>1863</v>
      </c>
      <c r="D579" s="4" t="s">
        <v>1955</v>
      </c>
      <c r="E579" t="s">
        <v>1875</v>
      </c>
      <c r="F579" t="s">
        <v>31</v>
      </c>
      <c r="G579" t="s">
        <v>2</v>
      </c>
      <c r="H579" t="s">
        <v>30</v>
      </c>
      <c r="I579">
        <v>-13.65</v>
      </c>
      <c r="J579">
        <v>32.566666669999996</v>
      </c>
      <c r="K579" t="s">
        <v>29</v>
      </c>
      <c r="AV579" t="s">
        <v>1881</v>
      </c>
      <c r="AW579">
        <v>100</v>
      </c>
      <c r="AX579" t="s">
        <v>234</v>
      </c>
      <c r="AY579" s="5">
        <v>8</v>
      </c>
      <c r="AZ579" t="s">
        <v>1876</v>
      </c>
      <c r="BA579">
        <v>1999</v>
      </c>
      <c r="BB579">
        <v>2007</v>
      </c>
      <c r="BD579" t="s">
        <v>1867</v>
      </c>
      <c r="BE579" t="s">
        <v>1892</v>
      </c>
      <c r="BF579" t="s">
        <v>43</v>
      </c>
      <c r="BG579" t="s">
        <v>1243</v>
      </c>
      <c r="BH579" t="s">
        <v>23</v>
      </c>
      <c r="BI579" t="s">
        <v>1877</v>
      </c>
      <c r="BJ579" t="s">
        <v>22</v>
      </c>
      <c r="BK579">
        <v>44440</v>
      </c>
      <c r="BL579" t="s">
        <v>275</v>
      </c>
      <c r="EE579" t="s">
        <v>55</v>
      </c>
      <c r="EF579" t="s">
        <v>22</v>
      </c>
      <c r="EG579">
        <v>5000</v>
      </c>
      <c r="EH579" t="s">
        <v>56</v>
      </c>
      <c r="EI579" t="s">
        <v>1896</v>
      </c>
      <c r="EJ579" t="s">
        <v>22</v>
      </c>
      <c r="EK579">
        <v>5000</v>
      </c>
      <c r="HU579" s="58">
        <v>36495</v>
      </c>
      <c r="IN579" t="s">
        <v>1892</v>
      </c>
      <c r="IO579" s="84" t="s">
        <v>1736</v>
      </c>
      <c r="IR579">
        <v>1999</v>
      </c>
      <c r="IT579" s="4" t="s">
        <v>1898</v>
      </c>
      <c r="JK579" s="8" t="s">
        <v>1648</v>
      </c>
      <c r="KD579" t="s">
        <v>1883</v>
      </c>
      <c r="KE579" s="84" t="s">
        <v>1561</v>
      </c>
      <c r="MS579" t="s">
        <v>1864</v>
      </c>
      <c r="MT579">
        <v>6.25E-2</v>
      </c>
      <c r="MU579" t="s">
        <v>1865</v>
      </c>
      <c r="MW579" t="s">
        <v>1884</v>
      </c>
      <c r="NC579" t="s">
        <v>712</v>
      </c>
      <c r="NE579" t="s">
        <v>203</v>
      </c>
      <c r="NG579" t="s">
        <v>203</v>
      </c>
      <c r="NQ579" t="s">
        <v>6</v>
      </c>
      <c r="NR579">
        <v>1.1083399599999999</v>
      </c>
      <c r="NS579" s="4" t="s">
        <v>4</v>
      </c>
      <c r="NT579">
        <v>0.5</v>
      </c>
      <c r="NW579">
        <v>9</v>
      </c>
      <c r="OH579" t="s">
        <v>1866</v>
      </c>
      <c r="OK579">
        <v>2006</v>
      </c>
      <c r="OM579" t="s">
        <v>1902</v>
      </c>
      <c r="OO579" t="s">
        <v>1178</v>
      </c>
      <c r="OP579" s="58">
        <v>46120</v>
      </c>
    </row>
    <row r="580" spans="1:406" ht="15.75" thickBot="1">
      <c r="A580" t="s">
        <v>36</v>
      </c>
      <c r="B580" t="s">
        <v>1862</v>
      </c>
      <c r="C580" t="s">
        <v>1863</v>
      </c>
      <c r="D580" s="4" t="s">
        <v>1955</v>
      </c>
      <c r="E580" t="s">
        <v>1875</v>
      </c>
      <c r="F580" t="s">
        <v>31</v>
      </c>
      <c r="G580" t="s">
        <v>2</v>
      </c>
      <c r="H580" t="s">
        <v>30</v>
      </c>
      <c r="I580">
        <v>-13.65</v>
      </c>
      <c r="J580">
        <v>32.566666669999996</v>
      </c>
      <c r="K580" t="s">
        <v>29</v>
      </c>
      <c r="AV580" t="s">
        <v>1881</v>
      </c>
      <c r="AW580">
        <v>100</v>
      </c>
      <c r="AX580" t="s">
        <v>234</v>
      </c>
      <c r="AY580" s="5">
        <v>8</v>
      </c>
      <c r="AZ580" t="s">
        <v>1876</v>
      </c>
      <c r="BA580">
        <v>1999</v>
      </c>
      <c r="BB580">
        <v>2007</v>
      </c>
      <c r="BD580" t="s">
        <v>1867</v>
      </c>
      <c r="BE580" t="s">
        <v>1894</v>
      </c>
      <c r="BF580" t="s">
        <v>252</v>
      </c>
      <c r="BG580" t="s">
        <v>1243</v>
      </c>
      <c r="BH580" t="s">
        <v>23</v>
      </c>
      <c r="BI580" t="s">
        <v>1877</v>
      </c>
      <c r="BJ580" t="s">
        <v>22</v>
      </c>
      <c r="BK580">
        <v>44440</v>
      </c>
      <c r="BL580" t="s">
        <v>275</v>
      </c>
      <c r="EE580" t="s">
        <v>55</v>
      </c>
      <c r="EF580" t="s">
        <v>22</v>
      </c>
      <c r="EG580">
        <v>10000</v>
      </c>
      <c r="HU580" s="58">
        <v>36495</v>
      </c>
      <c r="IN580" t="s">
        <v>1894</v>
      </c>
      <c r="IO580" s="84" t="s">
        <v>1736</v>
      </c>
      <c r="IR580">
        <v>1999</v>
      </c>
      <c r="IT580" s="4" t="s">
        <v>1898</v>
      </c>
      <c r="JK580" s="8" t="s">
        <v>1648</v>
      </c>
      <c r="KD580" t="s">
        <v>1883</v>
      </c>
      <c r="KE580" s="84" t="s">
        <v>1561</v>
      </c>
      <c r="MS580" t="s">
        <v>1864</v>
      </c>
      <c r="MT580">
        <v>6.25E-2</v>
      </c>
      <c r="MU580" t="s">
        <v>1865</v>
      </c>
      <c r="MW580" t="s">
        <v>1884</v>
      </c>
      <c r="NC580" t="s">
        <v>712</v>
      </c>
      <c r="NE580" t="s">
        <v>203</v>
      </c>
      <c r="NG580" t="s">
        <v>203</v>
      </c>
      <c r="NQ580" t="s">
        <v>6</v>
      </c>
      <c r="NR580">
        <v>0.78816052999999997</v>
      </c>
      <c r="NS580" s="4" t="s">
        <v>4</v>
      </c>
      <c r="NT580">
        <v>0.27</v>
      </c>
      <c r="NW580">
        <v>9</v>
      </c>
      <c r="OH580" t="s">
        <v>1866</v>
      </c>
      <c r="OK580">
        <v>2006</v>
      </c>
      <c r="OM580" t="s">
        <v>1902</v>
      </c>
      <c r="OO580" t="s">
        <v>1178</v>
      </c>
      <c r="OP580" s="58">
        <v>46120</v>
      </c>
    </row>
    <row r="581" spans="1:406" ht="15.75" thickBot="1">
      <c r="A581" t="s">
        <v>36</v>
      </c>
      <c r="B581" t="s">
        <v>1862</v>
      </c>
      <c r="C581" t="s">
        <v>1863</v>
      </c>
      <c r="D581" s="4" t="s">
        <v>1955</v>
      </c>
      <c r="E581" t="s">
        <v>1875</v>
      </c>
      <c r="F581" t="s">
        <v>31</v>
      </c>
      <c r="G581" t="s">
        <v>2</v>
      </c>
      <c r="H581" t="s">
        <v>30</v>
      </c>
      <c r="I581">
        <v>-13.65</v>
      </c>
      <c r="J581">
        <v>32.566666669999996</v>
      </c>
      <c r="K581" t="s">
        <v>29</v>
      </c>
      <c r="AV581" t="s">
        <v>1881</v>
      </c>
      <c r="AW581">
        <v>100</v>
      </c>
      <c r="AX581" t="s">
        <v>234</v>
      </c>
      <c r="AY581" s="5">
        <v>8</v>
      </c>
      <c r="AZ581" t="s">
        <v>1876</v>
      </c>
      <c r="BA581">
        <v>1999</v>
      </c>
      <c r="BB581">
        <v>2007</v>
      </c>
      <c r="BD581" t="s">
        <v>1867</v>
      </c>
      <c r="BE581" t="s">
        <v>1897</v>
      </c>
      <c r="BF581" t="s">
        <v>236</v>
      </c>
      <c r="BG581" t="s">
        <v>1243</v>
      </c>
      <c r="BH581" t="s">
        <v>23</v>
      </c>
      <c r="BI581" t="s">
        <v>1877</v>
      </c>
      <c r="BJ581" t="s">
        <v>22</v>
      </c>
      <c r="BK581">
        <v>44440</v>
      </c>
      <c r="BL581" t="s">
        <v>275</v>
      </c>
      <c r="HU581" s="58">
        <v>36495</v>
      </c>
      <c r="IN581" t="s">
        <v>1900</v>
      </c>
      <c r="IO581" s="54" t="s">
        <v>1899</v>
      </c>
      <c r="IR581">
        <v>1999</v>
      </c>
      <c r="IT581" s="4" t="s">
        <v>1898</v>
      </c>
      <c r="JK581" s="8" t="s">
        <v>1648</v>
      </c>
      <c r="KD581" t="s">
        <v>1883</v>
      </c>
      <c r="KE581" s="84" t="s">
        <v>1561</v>
      </c>
      <c r="MS581" t="s">
        <v>1864</v>
      </c>
      <c r="MT581">
        <v>6.25E-2</v>
      </c>
      <c r="MU581" t="s">
        <v>1865</v>
      </c>
      <c r="MW581" t="s">
        <v>1884</v>
      </c>
      <c r="NC581" t="s">
        <v>712</v>
      </c>
      <c r="NE581" t="s">
        <v>203</v>
      </c>
      <c r="NG581" t="s">
        <v>203</v>
      </c>
      <c r="NQ581" t="s">
        <v>6</v>
      </c>
      <c r="NR581">
        <v>0.69081462999999999</v>
      </c>
      <c r="NS581" s="4" t="s">
        <v>4</v>
      </c>
      <c r="NT581">
        <v>0.31</v>
      </c>
      <c r="NW581">
        <v>9</v>
      </c>
      <c r="OH581" t="s">
        <v>1866</v>
      </c>
      <c r="OK581">
        <v>2006</v>
      </c>
      <c r="OM581" t="s">
        <v>1902</v>
      </c>
      <c r="OO581" t="s">
        <v>1178</v>
      </c>
      <c r="OP581" s="58">
        <v>46120</v>
      </c>
    </row>
    <row r="582" spans="1:406" ht="15.75" thickBot="1">
      <c r="A582" t="s">
        <v>36</v>
      </c>
      <c r="B582" t="s">
        <v>1862</v>
      </c>
      <c r="C582" t="s">
        <v>1863</v>
      </c>
      <c r="D582" s="4" t="s">
        <v>1955</v>
      </c>
      <c r="E582" t="s">
        <v>1875</v>
      </c>
      <c r="F582" t="s">
        <v>31</v>
      </c>
      <c r="G582" t="s">
        <v>2</v>
      </c>
      <c r="H582" t="s">
        <v>30</v>
      </c>
      <c r="I582">
        <v>-13.65</v>
      </c>
      <c r="J582">
        <v>32.566666669999996</v>
      </c>
      <c r="K582" t="s">
        <v>29</v>
      </c>
      <c r="AV582" t="s">
        <v>1881</v>
      </c>
      <c r="AW582">
        <v>100</v>
      </c>
      <c r="AX582" t="s">
        <v>234</v>
      </c>
      <c r="AY582" s="5">
        <v>8</v>
      </c>
      <c r="AZ582" t="s">
        <v>1876</v>
      </c>
      <c r="BA582">
        <v>1999</v>
      </c>
      <c r="BB582">
        <v>2007</v>
      </c>
      <c r="BD582" t="s">
        <v>19</v>
      </c>
      <c r="BE582" t="s">
        <v>1895</v>
      </c>
      <c r="BF582" t="s">
        <v>39</v>
      </c>
      <c r="BG582" t="s">
        <v>1243</v>
      </c>
      <c r="BH582" t="s">
        <v>23</v>
      </c>
      <c r="BI582" t="s">
        <v>1877</v>
      </c>
      <c r="BJ582" t="s">
        <v>22</v>
      </c>
      <c r="BK582">
        <v>44440</v>
      </c>
      <c r="HU582" s="58">
        <v>36495</v>
      </c>
      <c r="IN582" t="s">
        <v>1901</v>
      </c>
      <c r="IO582" t="s">
        <v>19</v>
      </c>
      <c r="IR582">
        <v>1999</v>
      </c>
      <c r="JK582" t="s">
        <v>14</v>
      </c>
      <c r="JL582" t="s">
        <v>1878</v>
      </c>
      <c r="JM582" t="s">
        <v>13</v>
      </c>
      <c r="JN582" t="s">
        <v>1879</v>
      </c>
      <c r="JO582" t="s">
        <v>13</v>
      </c>
      <c r="JP582" t="s">
        <v>1880</v>
      </c>
      <c r="JQ582">
        <v>90</v>
      </c>
      <c r="JR582">
        <v>80</v>
      </c>
      <c r="KD582" t="s">
        <v>1883</v>
      </c>
      <c r="KE582" s="84" t="s">
        <v>1561</v>
      </c>
      <c r="MS582" t="s">
        <v>1864</v>
      </c>
      <c r="MT582">
        <v>6.25E-2</v>
      </c>
      <c r="MU582" t="s">
        <v>1865</v>
      </c>
      <c r="MW582" t="s">
        <v>1884</v>
      </c>
      <c r="NC582" t="s">
        <v>712</v>
      </c>
      <c r="NE582" t="s">
        <v>203</v>
      </c>
      <c r="NG582" t="s">
        <v>203</v>
      </c>
      <c r="NP582" t="s">
        <v>1571</v>
      </c>
      <c r="NQ582" t="s">
        <v>6</v>
      </c>
      <c r="NR582">
        <v>0.23445062999999999</v>
      </c>
      <c r="NS582" s="4" t="s">
        <v>4</v>
      </c>
      <c r="NT582">
        <v>0.15</v>
      </c>
      <c r="NW582">
        <v>9</v>
      </c>
      <c r="OH582" t="s">
        <v>1866</v>
      </c>
      <c r="OK582">
        <v>2006</v>
      </c>
      <c r="OM582" t="s">
        <v>1902</v>
      </c>
      <c r="OO582" t="s">
        <v>1178</v>
      </c>
      <c r="OP582" s="58">
        <v>46120</v>
      </c>
    </row>
    <row r="583" spans="1:406" ht="15.75" thickBot="1">
      <c r="A583" t="s">
        <v>36</v>
      </c>
      <c r="B583" t="s">
        <v>1862</v>
      </c>
      <c r="C583" t="s">
        <v>1863</v>
      </c>
      <c r="D583" s="4" t="s">
        <v>1955</v>
      </c>
      <c r="E583" t="s">
        <v>1875</v>
      </c>
      <c r="F583" t="s">
        <v>31</v>
      </c>
      <c r="G583" t="s">
        <v>2</v>
      </c>
      <c r="H583" t="s">
        <v>30</v>
      </c>
      <c r="I583">
        <v>-13.65</v>
      </c>
      <c r="J583">
        <v>32.566666669999996</v>
      </c>
      <c r="K583" t="s">
        <v>29</v>
      </c>
      <c r="AV583" t="s">
        <v>1881</v>
      </c>
      <c r="AW583">
        <v>100</v>
      </c>
      <c r="AX583" t="s">
        <v>234</v>
      </c>
      <c r="AY583" s="5">
        <v>8</v>
      </c>
      <c r="AZ583" t="s">
        <v>1876</v>
      </c>
      <c r="BA583">
        <v>1999</v>
      </c>
      <c r="BB583">
        <v>2007</v>
      </c>
      <c r="BD583" t="s">
        <v>1867</v>
      </c>
      <c r="BE583" t="s">
        <v>1890</v>
      </c>
      <c r="BF583" t="s">
        <v>64</v>
      </c>
      <c r="BG583" t="s">
        <v>1243</v>
      </c>
      <c r="BH583" t="s">
        <v>23</v>
      </c>
      <c r="BI583" t="s">
        <v>1877</v>
      </c>
      <c r="BJ583" t="s">
        <v>22</v>
      </c>
      <c r="BK583">
        <v>44440</v>
      </c>
      <c r="BL583" t="s">
        <v>275</v>
      </c>
      <c r="BM583" t="s">
        <v>1868</v>
      </c>
      <c r="BN583" t="s">
        <v>29</v>
      </c>
      <c r="BO583" t="s">
        <v>22</v>
      </c>
      <c r="BP583">
        <v>10000</v>
      </c>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M583" s="9"/>
      <c r="HU583" s="58">
        <v>36495</v>
      </c>
      <c r="IN583" t="s">
        <v>1890</v>
      </c>
      <c r="IO583" s="54" t="s">
        <v>1899</v>
      </c>
      <c r="IR583">
        <v>1999</v>
      </c>
      <c r="IT583" s="4" t="s">
        <v>1898</v>
      </c>
      <c r="JK583" s="8" t="s">
        <v>1648</v>
      </c>
      <c r="KD583" t="s">
        <v>1883</v>
      </c>
      <c r="KE583" s="84" t="s">
        <v>1561</v>
      </c>
      <c r="MS583" t="s">
        <v>1864</v>
      </c>
      <c r="MT583">
        <v>6.25E-2</v>
      </c>
      <c r="MU583" t="s">
        <v>1869</v>
      </c>
      <c r="MW583" t="s">
        <v>1885</v>
      </c>
      <c r="NC583" t="s">
        <v>712</v>
      </c>
      <c r="NE583" t="s">
        <v>203</v>
      </c>
      <c r="NG583" t="s">
        <v>203</v>
      </c>
      <c r="NQ583" t="s">
        <v>6</v>
      </c>
      <c r="NR583">
        <v>2.2263313600000001</v>
      </c>
      <c r="NS583" s="4" t="s">
        <v>4</v>
      </c>
      <c r="NT583">
        <v>1.06</v>
      </c>
      <c r="NW583">
        <v>9</v>
      </c>
      <c r="OH583" t="s">
        <v>1870</v>
      </c>
      <c r="OK583">
        <v>2006</v>
      </c>
      <c r="OM583" t="s">
        <v>1902</v>
      </c>
      <c r="OO583" t="s">
        <v>1178</v>
      </c>
      <c r="OP583" s="58">
        <v>46120</v>
      </c>
    </row>
    <row r="584" spans="1:406" ht="15.75" thickBot="1">
      <c r="A584" t="s">
        <v>36</v>
      </c>
      <c r="B584" t="s">
        <v>1862</v>
      </c>
      <c r="C584" t="s">
        <v>1863</v>
      </c>
      <c r="D584" s="4" t="s">
        <v>1955</v>
      </c>
      <c r="E584" t="s">
        <v>1875</v>
      </c>
      <c r="F584" t="s">
        <v>31</v>
      </c>
      <c r="G584" t="s">
        <v>2</v>
      </c>
      <c r="H584" t="s">
        <v>30</v>
      </c>
      <c r="I584">
        <v>-13.65</v>
      </c>
      <c r="J584">
        <v>32.566666669999996</v>
      </c>
      <c r="K584" t="s">
        <v>29</v>
      </c>
      <c r="AV584" t="s">
        <v>1881</v>
      </c>
      <c r="AW584">
        <v>100</v>
      </c>
      <c r="AX584" t="s">
        <v>234</v>
      </c>
      <c r="AY584" s="5">
        <v>8</v>
      </c>
      <c r="AZ584" t="s">
        <v>1876</v>
      </c>
      <c r="BA584">
        <v>1999</v>
      </c>
      <c r="BB584">
        <v>2007</v>
      </c>
      <c r="BD584" t="s">
        <v>1867</v>
      </c>
      <c r="BE584" t="s">
        <v>1893</v>
      </c>
      <c r="BF584" t="s">
        <v>57</v>
      </c>
      <c r="BG584" t="s">
        <v>1243</v>
      </c>
      <c r="BH584" t="s">
        <v>23</v>
      </c>
      <c r="BI584" t="s">
        <v>1877</v>
      </c>
      <c r="BJ584" t="s">
        <v>22</v>
      </c>
      <c r="BK584">
        <v>44440</v>
      </c>
      <c r="BL584" t="s">
        <v>275</v>
      </c>
      <c r="BM584" t="s">
        <v>1868</v>
      </c>
      <c r="BN584" t="s">
        <v>29</v>
      </c>
      <c r="BO584" t="s">
        <v>22</v>
      </c>
      <c r="BP584">
        <v>5000</v>
      </c>
      <c r="BQ584" t="s">
        <v>56</v>
      </c>
      <c r="EE584" t="s">
        <v>55</v>
      </c>
      <c r="EF584" t="s">
        <v>22</v>
      </c>
      <c r="EG584">
        <v>5000</v>
      </c>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M584" s="9"/>
      <c r="HU584" s="58">
        <v>36495</v>
      </c>
      <c r="IN584" t="s">
        <v>1893</v>
      </c>
      <c r="IO584" s="84" t="s">
        <v>1736</v>
      </c>
      <c r="IR584">
        <v>1999</v>
      </c>
      <c r="IT584" s="4" t="s">
        <v>1898</v>
      </c>
      <c r="JK584" s="8" t="s">
        <v>1648</v>
      </c>
      <c r="KD584" t="s">
        <v>1883</v>
      </c>
      <c r="KE584" s="84" t="s">
        <v>1561</v>
      </c>
      <c r="MS584" t="s">
        <v>1864</v>
      </c>
      <c r="MT584">
        <v>6.25E-2</v>
      </c>
      <c r="MU584" t="s">
        <v>1869</v>
      </c>
      <c r="MW584" t="s">
        <v>1885</v>
      </c>
      <c r="NC584" t="s">
        <v>712</v>
      </c>
      <c r="NE584" t="s">
        <v>203</v>
      </c>
      <c r="NG584" t="s">
        <v>203</v>
      </c>
      <c r="NQ584" t="s">
        <v>6</v>
      </c>
      <c r="NR584">
        <v>0.55917159999999999</v>
      </c>
      <c r="NS584" s="4" t="s">
        <v>4</v>
      </c>
      <c r="NT584">
        <v>0.33</v>
      </c>
      <c r="NW584">
        <v>9</v>
      </c>
      <c r="OH584" t="s">
        <v>1870</v>
      </c>
      <c r="OK584">
        <v>2006</v>
      </c>
      <c r="OM584" t="s">
        <v>1902</v>
      </c>
      <c r="OO584" t="s">
        <v>1178</v>
      </c>
      <c r="OP584" s="58">
        <v>46120</v>
      </c>
    </row>
    <row r="585" spans="1:406" ht="15.75" thickBot="1">
      <c r="A585" t="s">
        <v>36</v>
      </c>
      <c r="B585" t="s">
        <v>1862</v>
      </c>
      <c r="C585" t="s">
        <v>1863</v>
      </c>
      <c r="D585" s="4" t="s">
        <v>1955</v>
      </c>
      <c r="E585" t="s">
        <v>1875</v>
      </c>
      <c r="F585" t="s">
        <v>31</v>
      </c>
      <c r="G585" t="s">
        <v>2</v>
      </c>
      <c r="H585" t="s">
        <v>30</v>
      </c>
      <c r="I585">
        <v>-13.65</v>
      </c>
      <c r="J585">
        <v>32.566666669999996</v>
      </c>
      <c r="K585" t="s">
        <v>29</v>
      </c>
      <c r="AV585" t="s">
        <v>1881</v>
      </c>
      <c r="AW585">
        <v>100</v>
      </c>
      <c r="AX585" t="s">
        <v>234</v>
      </c>
      <c r="AY585" s="5">
        <v>8</v>
      </c>
      <c r="AZ585" t="s">
        <v>1876</v>
      </c>
      <c r="BA585">
        <v>1999</v>
      </c>
      <c r="BB585">
        <v>2007</v>
      </c>
      <c r="BD585" t="s">
        <v>1867</v>
      </c>
      <c r="BE585" t="s">
        <v>1891</v>
      </c>
      <c r="BF585" t="s">
        <v>48</v>
      </c>
      <c r="BG585" t="s">
        <v>1243</v>
      </c>
      <c r="BH585" t="s">
        <v>23</v>
      </c>
      <c r="BI585" t="s">
        <v>1877</v>
      </c>
      <c r="BJ585" t="s">
        <v>22</v>
      </c>
      <c r="BK585">
        <v>44440</v>
      </c>
      <c r="BL585" t="s">
        <v>275</v>
      </c>
      <c r="EE585" t="s">
        <v>1896</v>
      </c>
      <c r="EF585" t="s">
        <v>22</v>
      </c>
      <c r="EG585">
        <v>10000</v>
      </c>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M585" s="9"/>
      <c r="HU585" s="58">
        <v>36495</v>
      </c>
      <c r="IN585" t="s">
        <v>1891</v>
      </c>
      <c r="IO585" s="84" t="s">
        <v>1736</v>
      </c>
      <c r="IR585">
        <v>1999</v>
      </c>
      <c r="IT585" s="4" t="s">
        <v>1898</v>
      </c>
      <c r="JK585" s="8" t="s">
        <v>1648</v>
      </c>
      <c r="KD585" t="s">
        <v>1883</v>
      </c>
      <c r="KE585" s="84" t="s">
        <v>1561</v>
      </c>
      <c r="MS585" t="s">
        <v>1864</v>
      </c>
      <c r="MT585">
        <v>6.25E-2</v>
      </c>
      <c r="MU585" t="s">
        <v>1869</v>
      </c>
      <c r="MW585" t="s">
        <v>1885</v>
      </c>
      <c r="NC585" t="s">
        <v>712</v>
      </c>
      <c r="NE585" t="s">
        <v>203</v>
      </c>
      <c r="NG585" t="s">
        <v>203</v>
      </c>
      <c r="NQ585" t="s">
        <v>6</v>
      </c>
      <c r="NR585">
        <v>0.48668639000000002</v>
      </c>
      <c r="NS585" s="4" t="s">
        <v>4</v>
      </c>
      <c r="NT585">
        <v>0.31</v>
      </c>
      <c r="NW585">
        <v>9</v>
      </c>
      <c r="OH585" t="s">
        <v>1870</v>
      </c>
      <c r="OK585">
        <v>2006</v>
      </c>
      <c r="OM585" t="s">
        <v>1902</v>
      </c>
      <c r="OO585" t="s">
        <v>1178</v>
      </c>
      <c r="OP585" s="58">
        <v>46120</v>
      </c>
    </row>
    <row r="586" spans="1:406" ht="15.75" thickBot="1">
      <c r="A586" t="s">
        <v>36</v>
      </c>
      <c r="B586" t="s">
        <v>1862</v>
      </c>
      <c r="C586" t="s">
        <v>1863</v>
      </c>
      <c r="D586" s="4" t="s">
        <v>1955</v>
      </c>
      <c r="E586" t="s">
        <v>1875</v>
      </c>
      <c r="F586" t="s">
        <v>31</v>
      </c>
      <c r="G586" t="s">
        <v>2</v>
      </c>
      <c r="H586" t="s">
        <v>30</v>
      </c>
      <c r="I586">
        <v>-13.65</v>
      </c>
      <c r="J586">
        <v>32.566666669999996</v>
      </c>
      <c r="K586" t="s">
        <v>29</v>
      </c>
      <c r="AV586" t="s">
        <v>1881</v>
      </c>
      <c r="AW586">
        <v>100</v>
      </c>
      <c r="AX586" t="s">
        <v>234</v>
      </c>
      <c r="AY586" s="5">
        <v>8</v>
      </c>
      <c r="AZ586" t="s">
        <v>1876</v>
      </c>
      <c r="BA586">
        <v>1999</v>
      </c>
      <c r="BB586">
        <v>2007</v>
      </c>
      <c r="BD586" t="s">
        <v>1867</v>
      </c>
      <c r="BE586" t="s">
        <v>1892</v>
      </c>
      <c r="BF586" t="s">
        <v>43</v>
      </c>
      <c r="BG586" t="s">
        <v>1243</v>
      </c>
      <c r="BH586" t="s">
        <v>23</v>
      </c>
      <c r="BI586" t="s">
        <v>1877</v>
      </c>
      <c r="BJ586" t="s">
        <v>22</v>
      </c>
      <c r="BK586">
        <v>44440</v>
      </c>
      <c r="BL586" t="s">
        <v>275</v>
      </c>
      <c r="EE586" t="s">
        <v>55</v>
      </c>
      <c r="EF586" t="s">
        <v>22</v>
      </c>
      <c r="EG586">
        <v>5000</v>
      </c>
      <c r="EH586" t="s">
        <v>56</v>
      </c>
      <c r="EI586" t="s">
        <v>1896</v>
      </c>
      <c r="EJ586" t="s">
        <v>22</v>
      </c>
      <c r="EK586">
        <v>5000</v>
      </c>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M586" s="9"/>
      <c r="HU586" s="58">
        <v>36495</v>
      </c>
      <c r="IN586" t="s">
        <v>1892</v>
      </c>
      <c r="IO586" s="84" t="s">
        <v>1736</v>
      </c>
      <c r="IR586">
        <v>1999</v>
      </c>
      <c r="IT586" s="4" t="s">
        <v>1898</v>
      </c>
      <c r="JK586" s="8" t="s">
        <v>1648</v>
      </c>
      <c r="KD586" t="s">
        <v>1883</v>
      </c>
      <c r="KE586" s="84" t="s">
        <v>1561</v>
      </c>
      <c r="MS586" t="s">
        <v>1864</v>
      </c>
      <c r="MT586">
        <v>6.25E-2</v>
      </c>
      <c r="MU586" t="s">
        <v>1869</v>
      </c>
      <c r="MW586" t="s">
        <v>1885</v>
      </c>
      <c r="NC586" t="s">
        <v>712</v>
      </c>
      <c r="NE586" t="s">
        <v>203</v>
      </c>
      <c r="NG586" t="s">
        <v>203</v>
      </c>
      <c r="NQ586" t="s">
        <v>6</v>
      </c>
      <c r="NR586">
        <v>0.69378698000000005</v>
      </c>
      <c r="NS586" s="4" t="s">
        <v>4</v>
      </c>
      <c r="NT586">
        <v>0.31</v>
      </c>
      <c r="NW586">
        <v>9</v>
      </c>
      <c r="OH586" t="s">
        <v>1870</v>
      </c>
      <c r="OK586">
        <v>2006</v>
      </c>
      <c r="OM586" t="s">
        <v>1902</v>
      </c>
      <c r="OO586" t="s">
        <v>1178</v>
      </c>
      <c r="OP586" s="58">
        <v>46120</v>
      </c>
    </row>
    <row r="587" spans="1:406" ht="15.75" thickBot="1">
      <c r="A587" t="s">
        <v>36</v>
      </c>
      <c r="B587" t="s">
        <v>1862</v>
      </c>
      <c r="C587" t="s">
        <v>1863</v>
      </c>
      <c r="D587" s="4" t="s">
        <v>1955</v>
      </c>
      <c r="E587" t="s">
        <v>1875</v>
      </c>
      <c r="F587" t="s">
        <v>31</v>
      </c>
      <c r="G587" t="s">
        <v>2</v>
      </c>
      <c r="H587" t="s">
        <v>30</v>
      </c>
      <c r="I587">
        <v>-13.65</v>
      </c>
      <c r="J587">
        <v>32.566666669999996</v>
      </c>
      <c r="K587" t="s">
        <v>29</v>
      </c>
      <c r="AV587" t="s">
        <v>1881</v>
      </c>
      <c r="AW587">
        <v>100</v>
      </c>
      <c r="AX587" t="s">
        <v>234</v>
      </c>
      <c r="AY587" s="5">
        <v>8</v>
      </c>
      <c r="AZ587" t="s">
        <v>1876</v>
      </c>
      <c r="BA587">
        <v>1999</v>
      </c>
      <c r="BB587">
        <v>2007</v>
      </c>
      <c r="BD587" t="s">
        <v>1867</v>
      </c>
      <c r="BE587" t="s">
        <v>1894</v>
      </c>
      <c r="BF587" t="s">
        <v>252</v>
      </c>
      <c r="BG587" t="s">
        <v>1243</v>
      </c>
      <c r="BH587" t="s">
        <v>23</v>
      </c>
      <c r="BI587" t="s">
        <v>1877</v>
      </c>
      <c r="BJ587" t="s">
        <v>22</v>
      </c>
      <c r="BK587">
        <v>44440</v>
      </c>
      <c r="BL587" t="s">
        <v>275</v>
      </c>
      <c r="EE587" t="s">
        <v>55</v>
      </c>
      <c r="EF587" t="s">
        <v>22</v>
      </c>
      <c r="EG587">
        <v>10000</v>
      </c>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M587" s="9"/>
      <c r="HU587" s="58">
        <v>36495</v>
      </c>
      <c r="IN587" t="s">
        <v>1894</v>
      </c>
      <c r="IO587" s="84" t="s">
        <v>1736</v>
      </c>
      <c r="IR587">
        <v>1999</v>
      </c>
      <c r="IT587" s="4" t="s">
        <v>1898</v>
      </c>
      <c r="JK587" s="8" t="s">
        <v>1648</v>
      </c>
      <c r="KD587" t="s">
        <v>1883</v>
      </c>
      <c r="KE587" s="84" t="s">
        <v>1561</v>
      </c>
      <c r="MS587" t="s">
        <v>1864</v>
      </c>
      <c r="MT587">
        <v>6.25E-2</v>
      </c>
      <c r="MU587" t="s">
        <v>1869</v>
      </c>
      <c r="MW587" t="s">
        <v>1885</v>
      </c>
      <c r="NC587" t="s">
        <v>712</v>
      </c>
      <c r="NE587" t="s">
        <v>203</v>
      </c>
      <c r="NG587" t="s">
        <v>203</v>
      </c>
      <c r="NQ587" t="s">
        <v>6</v>
      </c>
      <c r="NR587">
        <v>0.77662721999999995</v>
      </c>
      <c r="NS587" s="4" t="s">
        <v>4</v>
      </c>
      <c r="NT587">
        <v>0.47</v>
      </c>
      <c r="NW587">
        <v>9</v>
      </c>
      <c r="OH587" t="s">
        <v>1870</v>
      </c>
      <c r="OK587">
        <v>2006</v>
      </c>
      <c r="OM587" t="s">
        <v>1902</v>
      </c>
      <c r="OO587" t="s">
        <v>1178</v>
      </c>
      <c r="OP587" s="58">
        <v>46120</v>
      </c>
    </row>
    <row r="588" spans="1:406" ht="15.75" thickBot="1">
      <c r="A588" t="s">
        <v>36</v>
      </c>
      <c r="B588" t="s">
        <v>1862</v>
      </c>
      <c r="C588" t="s">
        <v>1863</v>
      </c>
      <c r="D588" s="4" t="s">
        <v>1955</v>
      </c>
      <c r="E588" t="s">
        <v>1875</v>
      </c>
      <c r="F588" t="s">
        <v>31</v>
      </c>
      <c r="G588" t="s">
        <v>2</v>
      </c>
      <c r="H588" t="s">
        <v>30</v>
      </c>
      <c r="I588">
        <v>-13.65</v>
      </c>
      <c r="J588">
        <v>32.566666669999996</v>
      </c>
      <c r="K588" t="s">
        <v>29</v>
      </c>
      <c r="AV588" t="s">
        <v>1881</v>
      </c>
      <c r="AW588">
        <v>100</v>
      </c>
      <c r="AX588" t="s">
        <v>234</v>
      </c>
      <c r="AY588" s="5">
        <v>8</v>
      </c>
      <c r="AZ588" t="s">
        <v>1876</v>
      </c>
      <c r="BA588">
        <v>1999</v>
      </c>
      <c r="BB588">
        <v>2007</v>
      </c>
      <c r="BD588" t="s">
        <v>1867</v>
      </c>
      <c r="BE588" t="s">
        <v>1897</v>
      </c>
      <c r="BF588" t="s">
        <v>236</v>
      </c>
      <c r="BG588" t="s">
        <v>1243</v>
      </c>
      <c r="BH588" t="s">
        <v>23</v>
      </c>
      <c r="BI588" t="s">
        <v>1877</v>
      </c>
      <c r="BJ588" t="s">
        <v>22</v>
      </c>
      <c r="BK588">
        <v>44440</v>
      </c>
      <c r="BL588" t="s">
        <v>275</v>
      </c>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M588" s="9"/>
      <c r="HU588" s="58">
        <v>36495</v>
      </c>
      <c r="IN588" t="s">
        <v>1900</v>
      </c>
      <c r="IO588" s="54" t="s">
        <v>1899</v>
      </c>
      <c r="IR588">
        <v>1999</v>
      </c>
      <c r="IT588" s="4" t="s">
        <v>1898</v>
      </c>
      <c r="JK588" s="8" t="s">
        <v>1648</v>
      </c>
      <c r="KD588" t="s">
        <v>1883</v>
      </c>
      <c r="KE588" s="84" t="s">
        <v>1561</v>
      </c>
      <c r="MS588" t="s">
        <v>1864</v>
      </c>
      <c r="MT588">
        <v>6.25E-2</v>
      </c>
      <c r="MU588" t="s">
        <v>1869</v>
      </c>
      <c r="MW588" t="s">
        <v>1885</v>
      </c>
      <c r="NC588" t="s">
        <v>712</v>
      </c>
      <c r="NE588" t="s">
        <v>203</v>
      </c>
      <c r="NG588" t="s">
        <v>203</v>
      </c>
      <c r="NQ588" t="s">
        <v>6</v>
      </c>
      <c r="NR588">
        <v>0.11390533</v>
      </c>
      <c r="NS588" s="4" t="s">
        <v>4</v>
      </c>
      <c r="NT588">
        <v>0.09</v>
      </c>
      <c r="NW588">
        <v>9</v>
      </c>
      <c r="OH588" t="s">
        <v>1870</v>
      </c>
      <c r="OK588">
        <v>2006</v>
      </c>
      <c r="OM588" t="s">
        <v>1902</v>
      </c>
      <c r="OO588" t="s">
        <v>1178</v>
      </c>
      <c r="OP588" s="58">
        <v>46120</v>
      </c>
    </row>
    <row r="589" spans="1:406" ht="15.75" thickBot="1">
      <c r="A589" t="s">
        <v>36</v>
      </c>
      <c r="B589" t="s">
        <v>1862</v>
      </c>
      <c r="C589" t="s">
        <v>1863</v>
      </c>
      <c r="D589" s="4" t="s">
        <v>1955</v>
      </c>
      <c r="E589" t="s">
        <v>1875</v>
      </c>
      <c r="F589" t="s">
        <v>31</v>
      </c>
      <c r="G589" t="s">
        <v>2</v>
      </c>
      <c r="H589" t="s">
        <v>30</v>
      </c>
      <c r="I589">
        <v>-13.65</v>
      </c>
      <c r="J589">
        <v>32.566666669999996</v>
      </c>
      <c r="K589" t="s">
        <v>29</v>
      </c>
      <c r="AV589" t="s">
        <v>1881</v>
      </c>
      <c r="AW589">
        <v>100</v>
      </c>
      <c r="AX589" t="s">
        <v>234</v>
      </c>
      <c r="AY589" s="5">
        <v>8</v>
      </c>
      <c r="AZ589" t="s">
        <v>1876</v>
      </c>
      <c r="BA589">
        <v>1999</v>
      </c>
      <c r="BB589">
        <v>2007</v>
      </c>
      <c r="BD589" t="s">
        <v>19</v>
      </c>
      <c r="BE589" t="s">
        <v>1895</v>
      </c>
      <c r="BF589" t="s">
        <v>39</v>
      </c>
      <c r="BG589" t="s">
        <v>1243</v>
      </c>
      <c r="BH589" t="s">
        <v>23</v>
      </c>
      <c r="BI589" t="s">
        <v>1877</v>
      </c>
      <c r="BJ589" t="s">
        <v>22</v>
      </c>
      <c r="BK589">
        <v>44440</v>
      </c>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M589" s="9"/>
      <c r="HU589" s="58">
        <v>36495</v>
      </c>
      <c r="IN589" t="s">
        <v>1901</v>
      </c>
      <c r="IO589" t="s">
        <v>19</v>
      </c>
      <c r="IR589">
        <v>1999</v>
      </c>
      <c r="JK589" t="s">
        <v>14</v>
      </c>
      <c r="JL589" t="s">
        <v>1878</v>
      </c>
      <c r="JM589" t="s">
        <v>13</v>
      </c>
      <c r="JN589" t="s">
        <v>1879</v>
      </c>
      <c r="JO589" t="s">
        <v>13</v>
      </c>
      <c r="JP589" t="s">
        <v>1880</v>
      </c>
      <c r="JQ589">
        <v>90</v>
      </c>
      <c r="JR589">
        <v>80</v>
      </c>
      <c r="KD589" t="s">
        <v>1883</v>
      </c>
      <c r="KE589" s="84" t="s">
        <v>1561</v>
      </c>
      <c r="MS589" t="s">
        <v>1864</v>
      </c>
      <c r="MT589">
        <v>6.25E-2</v>
      </c>
      <c r="MU589" t="s">
        <v>1869</v>
      </c>
      <c r="MW589" t="s">
        <v>1885</v>
      </c>
      <c r="NC589" t="s">
        <v>712</v>
      </c>
      <c r="NE589" t="s">
        <v>203</v>
      </c>
      <c r="NG589" t="s">
        <v>203</v>
      </c>
      <c r="NP589" t="s">
        <v>1571</v>
      </c>
      <c r="NQ589" t="s">
        <v>6</v>
      </c>
      <c r="NR589">
        <v>0.20710059</v>
      </c>
      <c r="NS589" s="4" t="s">
        <v>4</v>
      </c>
      <c r="NT589">
        <v>0.23</v>
      </c>
      <c r="NW589">
        <v>9</v>
      </c>
      <c r="OH589" t="s">
        <v>1870</v>
      </c>
      <c r="OK589">
        <v>2006</v>
      </c>
      <c r="OM589" t="s">
        <v>1902</v>
      </c>
      <c r="OO589" t="s">
        <v>1178</v>
      </c>
      <c r="OP589" s="58">
        <v>46120</v>
      </c>
    </row>
    <row r="590" spans="1:406" ht="15.75" thickBot="1">
      <c r="A590" t="s">
        <v>36</v>
      </c>
      <c r="B590" t="s">
        <v>1862</v>
      </c>
      <c r="C590" t="s">
        <v>1863</v>
      </c>
      <c r="D590" s="4" t="s">
        <v>1955</v>
      </c>
      <c r="E590" t="s">
        <v>1875</v>
      </c>
      <c r="F590" t="s">
        <v>31</v>
      </c>
      <c r="G590" t="s">
        <v>2</v>
      </c>
      <c r="H590" t="s">
        <v>30</v>
      </c>
      <c r="I590">
        <v>-13.65</v>
      </c>
      <c r="J590">
        <v>32.566666669999996</v>
      </c>
      <c r="K590" t="s">
        <v>29</v>
      </c>
      <c r="AV590" t="s">
        <v>1881</v>
      </c>
      <c r="AW590">
        <v>100</v>
      </c>
      <c r="AX590" t="s">
        <v>234</v>
      </c>
      <c r="AY590" s="5">
        <v>8</v>
      </c>
      <c r="AZ590" t="s">
        <v>1876</v>
      </c>
      <c r="BA590">
        <v>1999</v>
      </c>
      <c r="BB590">
        <v>2007</v>
      </c>
      <c r="BD590" t="s">
        <v>1867</v>
      </c>
      <c r="BE590" t="s">
        <v>1890</v>
      </c>
      <c r="BF590" t="s">
        <v>64</v>
      </c>
      <c r="BG590" t="s">
        <v>1243</v>
      </c>
      <c r="BH590" t="s">
        <v>23</v>
      </c>
      <c r="BI590" t="s">
        <v>1877</v>
      </c>
      <c r="BJ590" t="s">
        <v>22</v>
      </c>
      <c r="BK590">
        <v>44440</v>
      </c>
      <c r="BL590" t="s">
        <v>275</v>
      </c>
      <c r="BM590" t="s">
        <v>1868</v>
      </c>
      <c r="BN590" t="s">
        <v>29</v>
      </c>
      <c r="BO590" t="s">
        <v>22</v>
      </c>
      <c r="BP590">
        <v>10000</v>
      </c>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M590" s="9"/>
      <c r="HU590" s="58">
        <v>36495</v>
      </c>
      <c r="IN590" t="s">
        <v>1890</v>
      </c>
      <c r="IO590" s="54" t="s">
        <v>1899</v>
      </c>
      <c r="IR590">
        <v>1999</v>
      </c>
      <c r="IT590" s="4" t="s">
        <v>1898</v>
      </c>
      <c r="JK590" s="8" t="s">
        <v>1648</v>
      </c>
      <c r="KD590" t="s">
        <v>1883</v>
      </c>
      <c r="KE590" s="84" t="s">
        <v>1561</v>
      </c>
      <c r="MS590" t="s">
        <v>1864</v>
      </c>
      <c r="MT590">
        <v>6.25E-2</v>
      </c>
      <c r="MU590" t="s">
        <v>1871</v>
      </c>
      <c r="MW590" t="s">
        <v>1886</v>
      </c>
      <c r="NC590" t="s">
        <v>712</v>
      </c>
      <c r="NE590" t="s">
        <v>203</v>
      </c>
      <c r="NG590" t="s">
        <v>203</v>
      </c>
      <c r="NQ590" t="s">
        <v>6</v>
      </c>
      <c r="NR590">
        <v>1.6519174000000001</v>
      </c>
      <c r="NS590" s="4" t="s">
        <v>4</v>
      </c>
      <c r="NT590">
        <v>1.06</v>
      </c>
      <c r="NW590">
        <v>9</v>
      </c>
      <c r="OH590" t="s">
        <v>1872</v>
      </c>
      <c r="OK590">
        <v>2006</v>
      </c>
      <c r="OM590" t="s">
        <v>1902</v>
      </c>
      <c r="OO590" t="s">
        <v>1178</v>
      </c>
      <c r="OP590" s="58">
        <v>46120</v>
      </c>
    </row>
    <row r="591" spans="1:406" ht="15.75" thickBot="1">
      <c r="A591" t="s">
        <v>36</v>
      </c>
      <c r="B591" t="s">
        <v>1862</v>
      </c>
      <c r="C591" t="s">
        <v>1863</v>
      </c>
      <c r="D591" s="4" t="s">
        <v>1955</v>
      </c>
      <c r="E591" t="s">
        <v>1875</v>
      </c>
      <c r="F591" t="s">
        <v>31</v>
      </c>
      <c r="G591" t="s">
        <v>2</v>
      </c>
      <c r="H591" t="s">
        <v>30</v>
      </c>
      <c r="I591">
        <v>-13.65</v>
      </c>
      <c r="J591">
        <v>32.566666669999996</v>
      </c>
      <c r="K591" t="s">
        <v>29</v>
      </c>
      <c r="AV591" t="s">
        <v>1881</v>
      </c>
      <c r="AW591">
        <v>100</v>
      </c>
      <c r="AX591" t="s">
        <v>234</v>
      </c>
      <c r="AY591" s="5">
        <v>8</v>
      </c>
      <c r="AZ591" t="s">
        <v>1876</v>
      </c>
      <c r="BA591">
        <v>1999</v>
      </c>
      <c r="BB591">
        <v>2007</v>
      </c>
      <c r="BD591" t="s">
        <v>1867</v>
      </c>
      <c r="BE591" t="s">
        <v>1893</v>
      </c>
      <c r="BF591" t="s">
        <v>57</v>
      </c>
      <c r="BG591" t="s">
        <v>1243</v>
      </c>
      <c r="BH591" t="s">
        <v>23</v>
      </c>
      <c r="BI591" t="s">
        <v>1877</v>
      </c>
      <c r="BJ591" t="s">
        <v>22</v>
      </c>
      <c r="BK591">
        <v>44440</v>
      </c>
      <c r="BL591" t="s">
        <v>275</v>
      </c>
      <c r="BM591" t="s">
        <v>1868</v>
      </c>
      <c r="BN591" t="s">
        <v>29</v>
      </c>
      <c r="BO591" t="s">
        <v>22</v>
      </c>
      <c r="BP591">
        <v>5000</v>
      </c>
      <c r="BQ591" t="s">
        <v>56</v>
      </c>
      <c r="EE591" t="s">
        <v>55</v>
      </c>
      <c r="EF591" t="s">
        <v>22</v>
      </c>
      <c r="EG591">
        <v>5000</v>
      </c>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M591" s="9"/>
      <c r="HU591" s="58">
        <v>36495</v>
      </c>
      <c r="IN591" t="s">
        <v>1893</v>
      </c>
      <c r="IO591" s="84" t="s">
        <v>1736</v>
      </c>
      <c r="IR591">
        <v>1999</v>
      </c>
      <c r="IT591" s="4" t="s">
        <v>1898</v>
      </c>
      <c r="JK591" s="8" t="s">
        <v>1648</v>
      </c>
      <c r="KD591" t="s">
        <v>1883</v>
      </c>
      <c r="KE591" s="84" t="s">
        <v>1561</v>
      </c>
      <c r="MS591" t="s">
        <v>1864</v>
      </c>
      <c r="MT591">
        <v>6.25E-2</v>
      </c>
      <c r="MU591" t="s">
        <v>1871</v>
      </c>
      <c r="MW591" t="s">
        <v>1886</v>
      </c>
      <c r="NC591" t="s">
        <v>712</v>
      </c>
      <c r="NE591" t="s">
        <v>203</v>
      </c>
      <c r="NG591" t="s">
        <v>203</v>
      </c>
      <c r="NQ591" t="s">
        <v>6</v>
      </c>
      <c r="NR591">
        <v>13.569321499999999</v>
      </c>
      <c r="NS591" s="4" t="s">
        <v>4</v>
      </c>
      <c r="NT591">
        <v>5.13</v>
      </c>
      <c r="NW591">
        <v>9</v>
      </c>
      <c r="OH591" t="s">
        <v>1872</v>
      </c>
      <c r="OK591">
        <v>2006</v>
      </c>
      <c r="OM591" t="s">
        <v>1902</v>
      </c>
      <c r="OO591" t="s">
        <v>1178</v>
      </c>
      <c r="OP591" s="58">
        <v>46120</v>
      </c>
    </row>
    <row r="592" spans="1:406" ht="15.75" thickBot="1">
      <c r="A592" t="s">
        <v>36</v>
      </c>
      <c r="B592" t="s">
        <v>1862</v>
      </c>
      <c r="C592" t="s">
        <v>1863</v>
      </c>
      <c r="D592" s="4" t="s">
        <v>1955</v>
      </c>
      <c r="E592" t="s">
        <v>1875</v>
      </c>
      <c r="F592" t="s">
        <v>31</v>
      </c>
      <c r="G592" t="s">
        <v>2</v>
      </c>
      <c r="H592" t="s">
        <v>30</v>
      </c>
      <c r="I592">
        <v>-13.65</v>
      </c>
      <c r="J592">
        <v>32.566666669999996</v>
      </c>
      <c r="K592" t="s">
        <v>29</v>
      </c>
      <c r="AV592" t="s">
        <v>1881</v>
      </c>
      <c r="AW592">
        <v>100</v>
      </c>
      <c r="AX592" t="s">
        <v>234</v>
      </c>
      <c r="AY592" s="5">
        <v>8</v>
      </c>
      <c r="AZ592" t="s">
        <v>1876</v>
      </c>
      <c r="BA592">
        <v>1999</v>
      </c>
      <c r="BB592">
        <v>2007</v>
      </c>
      <c r="BD592" t="s">
        <v>1867</v>
      </c>
      <c r="BE592" t="s">
        <v>1891</v>
      </c>
      <c r="BF592" t="s">
        <v>48</v>
      </c>
      <c r="BG592" t="s">
        <v>1243</v>
      </c>
      <c r="BH592" t="s">
        <v>23</v>
      </c>
      <c r="BI592" t="s">
        <v>1877</v>
      </c>
      <c r="BJ592" t="s">
        <v>22</v>
      </c>
      <c r="BK592">
        <v>44440</v>
      </c>
      <c r="BL592" t="s">
        <v>275</v>
      </c>
      <c r="EE592" t="s">
        <v>1896</v>
      </c>
      <c r="EF592" t="s">
        <v>22</v>
      </c>
      <c r="EG592">
        <v>10000</v>
      </c>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M592" s="9"/>
      <c r="HU592" s="58">
        <v>36495</v>
      </c>
      <c r="IN592" t="s">
        <v>1891</v>
      </c>
      <c r="IO592" s="84" t="s">
        <v>1736</v>
      </c>
      <c r="IR592">
        <v>1999</v>
      </c>
      <c r="IT592" s="4" t="s">
        <v>1898</v>
      </c>
      <c r="JK592" s="8" t="s">
        <v>1648</v>
      </c>
      <c r="KD592" t="s">
        <v>1883</v>
      </c>
      <c r="KE592" s="84" t="s">
        <v>1561</v>
      </c>
      <c r="MS592" t="s">
        <v>1864</v>
      </c>
      <c r="MT592">
        <v>6.25E-2</v>
      </c>
      <c r="MU592" t="s">
        <v>1871</v>
      </c>
      <c r="MW592" t="s">
        <v>1886</v>
      </c>
      <c r="NC592" t="s">
        <v>712</v>
      </c>
      <c r="NE592" t="s">
        <v>203</v>
      </c>
      <c r="NG592" t="s">
        <v>203</v>
      </c>
      <c r="NQ592" t="s">
        <v>6</v>
      </c>
      <c r="NR592">
        <v>7.0206489699999999</v>
      </c>
      <c r="NS592" s="4" t="s">
        <v>4</v>
      </c>
      <c r="NT592">
        <v>2.0099999999999998</v>
      </c>
      <c r="NW592">
        <v>9</v>
      </c>
      <c r="OH592" t="s">
        <v>1872</v>
      </c>
      <c r="OK592">
        <v>2006</v>
      </c>
      <c r="OM592" t="s">
        <v>1902</v>
      </c>
      <c r="OO592" t="s">
        <v>1178</v>
      </c>
      <c r="OP592" s="58">
        <v>46120</v>
      </c>
    </row>
    <row r="593" spans="1:406" ht="15.75" thickBot="1">
      <c r="A593" t="s">
        <v>36</v>
      </c>
      <c r="B593" t="s">
        <v>1862</v>
      </c>
      <c r="C593" t="s">
        <v>1863</v>
      </c>
      <c r="D593" s="4" t="s">
        <v>1955</v>
      </c>
      <c r="E593" t="s">
        <v>1875</v>
      </c>
      <c r="F593" t="s">
        <v>31</v>
      </c>
      <c r="G593" t="s">
        <v>2</v>
      </c>
      <c r="H593" t="s">
        <v>30</v>
      </c>
      <c r="I593">
        <v>-13.65</v>
      </c>
      <c r="J593">
        <v>32.566666669999996</v>
      </c>
      <c r="K593" t="s">
        <v>29</v>
      </c>
      <c r="AV593" t="s">
        <v>1881</v>
      </c>
      <c r="AW593">
        <v>100</v>
      </c>
      <c r="AX593" t="s">
        <v>234</v>
      </c>
      <c r="AY593" s="5">
        <v>8</v>
      </c>
      <c r="AZ593" t="s">
        <v>1876</v>
      </c>
      <c r="BA593">
        <v>1999</v>
      </c>
      <c r="BB593">
        <v>2007</v>
      </c>
      <c r="BD593" t="s">
        <v>1867</v>
      </c>
      <c r="BE593" t="s">
        <v>1892</v>
      </c>
      <c r="BF593" t="s">
        <v>43</v>
      </c>
      <c r="BG593" t="s">
        <v>1243</v>
      </c>
      <c r="BH593" t="s">
        <v>23</v>
      </c>
      <c r="BI593" t="s">
        <v>1877</v>
      </c>
      <c r="BJ593" t="s">
        <v>22</v>
      </c>
      <c r="BK593">
        <v>44440</v>
      </c>
      <c r="BL593" t="s">
        <v>275</v>
      </c>
      <c r="EE593" t="s">
        <v>55</v>
      </c>
      <c r="EF593" t="s">
        <v>22</v>
      </c>
      <c r="EG593">
        <v>5000</v>
      </c>
      <c r="EH593" t="s">
        <v>56</v>
      </c>
      <c r="EI593" t="s">
        <v>1896</v>
      </c>
      <c r="EJ593" t="s">
        <v>22</v>
      </c>
      <c r="EK593">
        <v>5000</v>
      </c>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M593" s="9"/>
      <c r="HU593" s="58">
        <v>36495</v>
      </c>
      <c r="IN593" t="s">
        <v>1892</v>
      </c>
      <c r="IO593" s="84" t="s">
        <v>1736</v>
      </c>
      <c r="IR593">
        <v>1999</v>
      </c>
      <c r="IT593" s="4" t="s">
        <v>1898</v>
      </c>
      <c r="JK593" s="8" t="s">
        <v>1648</v>
      </c>
      <c r="KD593" t="s">
        <v>1883</v>
      </c>
      <c r="KE593" s="84" t="s">
        <v>1561</v>
      </c>
      <c r="MS593" t="s">
        <v>1864</v>
      </c>
      <c r="MT593">
        <v>6.25E-2</v>
      </c>
      <c r="MU593" t="s">
        <v>1871</v>
      </c>
      <c r="MW593" t="s">
        <v>1886</v>
      </c>
      <c r="NC593" t="s">
        <v>712</v>
      </c>
      <c r="NE593" t="s">
        <v>203</v>
      </c>
      <c r="NG593" t="s">
        <v>203</v>
      </c>
      <c r="NQ593" t="s">
        <v>6</v>
      </c>
      <c r="NR593">
        <v>5.0147492600000003</v>
      </c>
      <c r="NS593" s="4" t="s">
        <v>4</v>
      </c>
      <c r="NT593">
        <v>1.65</v>
      </c>
      <c r="NW593">
        <v>9</v>
      </c>
      <c r="OH593" t="s">
        <v>1872</v>
      </c>
      <c r="OK593">
        <v>2006</v>
      </c>
      <c r="OM593" t="s">
        <v>1902</v>
      </c>
      <c r="OO593" t="s">
        <v>1178</v>
      </c>
      <c r="OP593" s="58">
        <v>46120</v>
      </c>
    </row>
    <row r="594" spans="1:406" ht="15.75" thickBot="1">
      <c r="A594" t="s">
        <v>36</v>
      </c>
      <c r="B594" t="s">
        <v>1862</v>
      </c>
      <c r="C594" t="s">
        <v>1863</v>
      </c>
      <c r="D594" s="4" t="s">
        <v>1955</v>
      </c>
      <c r="E594" t="s">
        <v>1875</v>
      </c>
      <c r="F594" t="s">
        <v>31</v>
      </c>
      <c r="G594" t="s">
        <v>2</v>
      </c>
      <c r="H594" t="s">
        <v>30</v>
      </c>
      <c r="I594">
        <v>-13.65</v>
      </c>
      <c r="J594">
        <v>32.566666669999996</v>
      </c>
      <c r="K594" t="s">
        <v>29</v>
      </c>
      <c r="AV594" t="s">
        <v>1881</v>
      </c>
      <c r="AW594">
        <v>100</v>
      </c>
      <c r="AX594" t="s">
        <v>234</v>
      </c>
      <c r="AY594" s="5">
        <v>8</v>
      </c>
      <c r="AZ594" t="s">
        <v>1876</v>
      </c>
      <c r="BA594">
        <v>1999</v>
      </c>
      <c r="BB594">
        <v>2007</v>
      </c>
      <c r="BD594" t="s">
        <v>1867</v>
      </c>
      <c r="BE594" t="s">
        <v>1894</v>
      </c>
      <c r="BF594" t="s">
        <v>252</v>
      </c>
      <c r="BG594" t="s">
        <v>1243</v>
      </c>
      <c r="BH594" t="s">
        <v>23</v>
      </c>
      <c r="BI594" t="s">
        <v>1877</v>
      </c>
      <c r="BJ594" t="s">
        <v>22</v>
      </c>
      <c r="BK594">
        <v>44440</v>
      </c>
      <c r="BL594" t="s">
        <v>275</v>
      </c>
      <c r="EE594" t="s">
        <v>55</v>
      </c>
      <c r="EF594" t="s">
        <v>22</v>
      </c>
      <c r="EG594">
        <v>10000</v>
      </c>
      <c r="FR594" s="9"/>
      <c r="FS594" s="9"/>
      <c r="FT594" s="9"/>
      <c r="FU594" s="9"/>
      <c r="FV594" s="9"/>
      <c r="FW594" s="9"/>
      <c r="FX594" s="9"/>
      <c r="FY594" s="9"/>
      <c r="FZ594" s="9"/>
      <c r="GA594" s="9"/>
      <c r="GB594" s="9"/>
      <c r="GC594" s="9"/>
      <c r="GD594" s="9"/>
      <c r="GE594" s="9"/>
      <c r="GF594" s="9"/>
      <c r="GG594" s="9"/>
      <c r="GH594" s="9"/>
      <c r="GI594" s="9"/>
      <c r="GJ594" s="9"/>
      <c r="GK594" s="9"/>
      <c r="GL594" s="9"/>
      <c r="GM594" s="9"/>
      <c r="GN594" s="9"/>
      <c r="GO594" s="9"/>
      <c r="GP594" s="9"/>
      <c r="GQ594" s="9"/>
      <c r="GR594" s="9"/>
      <c r="GS594" s="9"/>
      <c r="GT594" s="9"/>
      <c r="GU594" s="9"/>
      <c r="GV594" s="9"/>
      <c r="GW594" s="9"/>
      <c r="GX594" s="9"/>
      <c r="GY594" s="9"/>
      <c r="GZ594" s="9"/>
      <c r="HA594" s="9"/>
      <c r="HB594" s="9"/>
      <c r="HC594" s="9"/>
      <c r="HD594" s="9"/>
      <c r="HE594" s="9"/>
      <c r="HF594" s="9"/>
      <c r="HG594" s="9"/>
      <c r="HH594" s="9"/>
      <c r="HI594" s="9"/>
      <c r="HJ594" s="9"/>
      <c r="HK594" s="9"/>
      <c r="HL594" s="9"/>
      <c r="HM594" s="9"/>
      <c r="HU594" s="58">
        <v>36495</v>
      </c>
      <c r="IN594" t="s">
        <v>1894</v>
      </c>
      <c r="IO594" s="84" t="s">
        <v>1736</v>
      </c>
      <c r="IR594">
        <v>1999</v>
      </c>
      <c r="IT594" s="4" t="s">
        <v>1898</v>
      </c>
      <c r="JK594" s="8" t="s">
        <v>1648</v>
      </c>
      <c r="KD594" t="s">
        <v>1883</v>
      </c>
      <c r="KE594" s="84" t="s">
        <v>1561</v>
      </c>
      <c r="MS594" t="s">
        <v>1864</v>
      </c>
      <c r="MT594">
        <v>6.25E-2</v>
      </c>
      <c r="MU594" t="s">
        <v>1871</v>
      </c>
      <c r="MW594" t="s">
        <v>1886</v>
      </c>
      <c r="NC594" t="s">
        <v>712</v>
      </c>
      <c r="NE594" t="s">
        <v>203</v>
      </c>
      <c r="NG594" t="s">
        <v>203</v>
      </c>
      <c r="NQ594" t="s">
        <v>6</v>
      </c>
      <c r="NR594">
        <v>2.4188790600000001</v>
      </c>
      <c r="NS594" s="4" t="s">
        <v>4</v>
      </c>
      <c r="NT594">
        <v>1.59</v>
      </c>
      <c r="NW594">
        <v>9</v>
      </c>
      <c r="OH594" t="s">
        <v>1872</v>
      </c>
      <c r="OK594">
        <v>2006</v>
      </c>
      <c r="OM594" t="s">
        <v>1902</v>
      </c>
      <c r="OO594" t="s">
        <v>1178</v>
      </c>
      <c r="OP594" s="58">
        <v>46120</v>
      </c>
    </row>
    <row r="595" spans="1:406" ht="15.75" thickBot="1">
      <c r="A595" t="s">
        <v>36</v>
      </c>
      <c r="B595" t="s">
        <v>1862</v>
      </c>
      <c r="C595" t="s">
        <v>1863</v>
      </c>
      <c r="D595" s="4" t="s">
        <v>1955</v>
      </c>
      <c r="E595" t="s">
        <v>1875</v>
      </c>
      <c r="F595" t="s">
        <v>31</v>
      </c>
      <c r="G595" t="s">
        <v>2</v>
      </c>
      <c r="H595" t="s">
        <v>30</v>
      </c>
      <c r="I595">
        <v>-13.65</v>
      </c>
      <c r="J595">
        <v>32.566666669999996</v>
      </c>
      <c r="K595" t="s">
        <v>29</v>
      </c>
      <c r="AV595" t="s">
        <v>1881</v>
      </c>
      <c r="AW595">
        <v>100</v>
      </c>
      <c r="AX595" t="s">
        <v>234</v>
      </c>
      <c r="AY595" s="5">
        <v>8</v>
      </c>
      <c r="AZ595" t="s">
        <v>1876</v>
      </c>
      <c r="BA595">
        <v>1999</v>
      </c>
      <c r="BB595">
        <v>2007</v>
      </c>
      <c r="BD595" t="s">
        <v>1867</v>
      </c>
      <c r="BE595" t="s">
        <v>1897</v>
      </c>
      <c r="BF595" t="s">
        <v>236</v>
      </c>
      <c r="BG595" t="s">
        <v>1243</v>
      </c>
      <c r="BH595" t="s">
        <v>23</v>
      </c>
      <c r="BI595" t="s">
        <v>1877</v>
      </c>
      <c r="BJ595" t="s">
        <v>22</v>
      </c>
      <c r="BK595">
        <v>44440</v>
      </c>
      <c r="BL595" t="s">
        <v>275</v>
      </c>
      <c r="FR595" s="9"/>
      <c r="FS595" s="9"/>
      <c r="FT595" s="9"/>
      <c r="FU595" s="9"/>
      <c r="FV595" s="9"/>
      <c r="FW595" s="9"/>
      <c r="FX595" s="9"/>
      <c r="FY595" s="9"/>
      <c r="FZ595" s="9"/>
      <c r="GA595" s="9"/>
      <c r="GB595" s="9"/>
      <c r="GC595" s="9"/>
      <c r="GD595" s="9"/>
      <c r="GE595" s="9"/>
      <c r="GF595" s="9"/>
      <c r="GG595" s="9"/>
      <c r="GH595" s="9"/>
      <c r="GI595" s="9"/>
      <c r="GJ595" s="9"/>
      <c r="GK595" s="9"/>
      <c r="GL595" s="9"/>
      <c r="GM595" s="9"/>
      <c r="GN595" s="9"/>
      <c r="GO595" s="9"/>
      <c r="GP595" s="9"/>
      <c r="GQ595" s="9"/>
      <c r="GR595" s="9"/>
      <c r="GS595" s="9"/>
      <c r="GT595" s="9"/>
      <c r="GU595" s="9"/>
      <c r="GV595" s="9"/>
      <c r="GW595" s="9"/>
      <c r="GX595" s="9"/>
      <c r="GY595" s="9"/>
      <c r="GZ595" s="9"/>
      <c r="HA595" s="9"/>
      <c r="HB595" s="9"/>
      <c r="HC595" s="9"/>
      <c r="HD595" s="9"/>
      <c r="HE595" s="9"/>
      <c r="HF595" s="9"/>
      <c r="HG595" s="9"/>
      <c r="HH595" s="9"/>
      <c r="HI595" s="9"/>
      <c r="HJ595" s="9"/>
      <c r="HK595" s="9"/>
      <c r="HL595" s="9"/>
      <c r="HM595" s="9"/>
      <c r="HU595" s="58">
        <v>36495</v>
      </c>
      <c r="IN595" t="s">
        <v>1900</v>
      </c>
      <c r="IO595" s="54" t="s">
        <v>1899</v>
      </c>
      <c r="IR595">
        <v>1999</v>
      </c>
      <c r="IT595" s="4" t="s">
        <v>1898</v>
      </c>
      <c r="JK595" s="8" t="s">
        <v>1648</v>
      </c>
      <c r="KD595" t="s">
        <v>1883</v>
      </c>
      <c r="KE595" s="84" t="s">
        <v>1561</v>
      </c>
      <c r="MS595" t="s">
        <v>1864</v>
      </c>
      <c r="MT595">
        <v>6.25E-2</v>
      </c>
      <c r="MU595" t="s">
        <v>1871</v>
      </c>
      <c r="MW595" t="s">
        <v>1886</v>
      </c>
      <c r="NC595" t="s">
        <v>712</v>
      </c>
      <c r="NE595" t="s">
        <v>203</v>
      </c>
      <c r="NG595" t="s">
        <v>203</v>
      </c>
      <c r="NQ595" t="s">
        <v>6</v>
      </c>
      <c r="NR595">
        <v>12.0943953</v>
      </c>
      <c r="NS595" s="4" t="s">
        <v>4</v>
      </c>
      <c r="NT595">
        <v>5.66</v>
      </c>
      <c r="NW595">
        <v>9</v>
      </c>
      <c r="OH595" t="s">
        <v>1872</v>
      </c>
      <c r="OK595">
        <v>2006</v>
      </c>
      <c r="OM595" t="s">
        <v>1902</v>
      </c>
      <c r="OO595" t="s">
        <v>1178</v>
      </c>
      <c r="OP595" s="58">
        <v>46120</v>
      </c>
    </row>
    <row r="596" spans="1:406" ht="15.75" thickBot="1">
      <c r="A596" t="s">
        <v>36</v>
      </c>
      <c r="B596" t="s">
        <v>1862</v>
      </c>
      <c r="C596" t="s">
        <v>1863</v>
      </c>
      <c r="D596" s="4" t="s">
        <v>1955</v>
      </c>
      <c r="E596" t="s">
        <v>1875</v>
      </c>
      <c r="F596" t="s">
        <v>31</v>
      </c>
      <c r="G596" t="s">
        <v>2</v>
      </c>
      <c r="H596" t="s">
        <v>30</v>
      </c>
      <c r="I596">
        <v>-13.65</v>
      </c>
      <c r="J596">
        <v>32.566666669999996</v>
      </c>
      <c r="K596" t="s">
        <v>29</v>
      </c>
      <c r="AV596" t="s">
        <v>1881</v>
      </c>
      <c r="AW596">
        <v>100</v>
      </c>
      <c r="AX596" t="s">
        <v>234</v>
      </c>
      <c r="AY596" s="5">
        <v>8</v>
      </c>
      <c r="AZ596" t="s">
        <v>1876</v>
      </c>
      <c r="BA596">
        <v>1999</v>
      </c>
      <c r="BB596">
        <v>2007</v>
      </c>
      <c r="BD596" t="s">
        <v>19</v>
      </c>
      <c r="BE596" t="s">
        <v>1895</v>
      </c>
      <c r="BF596" t="s">
        <v>39</v>
      </c>
      <c r="BG596" t="s">
        <v>1243</v>
      </c>
      <c r="BH596" t="s">
        <v>23</v>
      </c>
      <c r="BI596" t="s">
        <v>1877</v>
      </c>
      <c r="BJ596" t="s">
        <v>22</v>
      </c>
      <c r="BK596">
        <v>44440</v>
      </c>
      <c r="FR596" s="9"/>
      <c r="FS596" s="9"/>
      <c r="FT596" s="9"/>
      <c r="FU596" s="9"/>
      <c r="FV596" s="9"/>
      <c r="FW596" s="9"/>
      <c r="FX596" s="9"/>
      <c r="FY596" s="9"/>
      <c r="FZ596" s="9"/>
      <c r="GA596" s="9"/>
      <c r="GB596" s="9"/>
      <c r="GC596" s="9"/>
      <c r="GD596" s="9"/>
      <c r="GE596" s="9"/>
      <c r="GF596" s="9"/>
      <c r="GG596" s="9"/>
      <c r="GH596" s="9"/>
      <c r="GI596" s="9"/>
      <c r="GJ596" s="9"/>
      <c r="GK596" s="9"/>
      <c r="GL596" s="9"/>
      <c r="GM596" s="9"/>
      <c r="GN596" s="9"/>
      <c r="GO596" s="9"/>
      <c r="GP596" s="9"/>
      <c r="GQ596" s="9"/>
      <c r="GR596" s="9"/>
      <c r="GS596" s="9"/>
      <c r="GT596" s="9"/>
      <c r="GU596" s="9"/>
      <c r="GV596" s="9"/>
      <c r="GW596" s="9"/>
      <c r="GX596" s="9"/>
      <c r="GY596" s="9"/>
      <c r="GZ596" s="9"/>
      <c r="HA596" s="9"/>
      <c r="HB596" s="9"/>
      <c r="HC596" s="9"/>
      <c r="HD596" s="9"/>
      <c r="HE596" s="9"/>
      <c r="HF596" s="9"/>
      <c r="HG596" s="9"/>
      <c r="HH596" s="9"/>
      <c r="HI596" s="9"/>
      <c r="HJ596" s="9"/>
      <c r="HK596" s="9"/>
      <c r="HL596" s="9"/>
      <c r="HM596" s="9"/>
      <c r="HU596" s="58">
        <v>36495</v>
      </c>
      <c r="IN596" t="s">
        <v>1901</v>
      </c>
      <c r="IO596" t="s">
        <v>19</v>
      </c>
      <c r="IR596">
        <v>1999</v>
      </c>
      <c r="JK596" t="s">
        <v>14</v>
      </c>
      <c r="JL596" t="s">
        <v>1878</v>
      </c>
      <c r="JM596" t="s">
        <v>13</v>
      </c>
      <c r="JN596" t="s">
        <v>1879</v>
      </c>
      <c r="JO596" t="s">
        <v>13</v>
      </c>
      <c r="JP596" t="s">
        <v>1880</v>
      </c>
      <c r="JQ596">
        <v>90</v>
      </c>
      <c r="JR596">
        <v>80</v>
      </c>
      <c r="KD596" t="s">
        <v>1883</v>
      </c>
      <c r="KE596" s="84" t="s">
        <v>1561</v>
      </c>
      <c r="MS596" t="s">
        <v>1864</v>
      </c>
      <c r="MT596">
        <v>6.25E-2</v>
      </c>
      <c r="MU596" t="s">
        <v>1871</v>
      </c>
      <c r="MW596" t="s">
        <v>1886</v>
      </c>
      <c r="NC596" t="s">
        <v>712</v>
      </c>
      <c r="NE596" t="s">
        <v>203</v>
      </c>
      <c r="NG596" t="s">
        <v>203</v>
      </c>
      <c r="NP596" t="s">
        <v>1571</v>
      </c>
      <c r="NQ596" t="s">
        <v>6</v>
      </c>
      <c r="NR596">
        <v>3.59882006</v>
      </c>
      <c r="NS596" s="4" t="s">
        <v>4</v>
      </c>
      <c r="NT596">
        <v>1.53</v>
      </c>
      <c r="NW596">
        <v>9</v>
      </c>
      <c r="OH596" t="s">
        <v>1872</v>
      </c>
      <c r="OK596">
        <v>2006</v>
      </c>
      <c r="OM596" t="s">
        <v>1902</v>
      </c>
      <c r="OO596" t="s">
        <v>1178</v>
      </c>
      <c r="OP596" s="58">
        <v>46120</v>
      </c>
    </row>
    <row r="597" spans="1:406" ht="15.75" thickBot="1">
      <c r="A597" t="s">
        <v>36</v>
      </c>
      <c r="B597" t="s">
        <v>1862</v>
      </c>
      <c r="C597" t="s">
        <v>1863</v>
      </c>
      <c r="D597" s="4" t="s">
        <v>1955</v>
      </c>
      <c r="E597" t="s">
        <v>1875</v>
      </c>
      <c r="F597" t="s">
        <v>31</v>
      </c>
      <c r="G597" t="s">
        <v>2</v>
      </c>
      <c r="H597" t="s">
        <v>30</v>
      </c>
      <c r="I597">
        <v>-13.65</v>
      </c>
      <c r="J597">
        <v>32.566666669999996</v>
      </c>
      <c r="K597" t="s">
        <v>29</v>
      </c>
      <c r="AV597" t="s">
        <v>1881</v>
      </c>
      <c r="AW597">
        <v>100</v>
      </c>
      <c r="AX597" t="s">
        <v>234</v>
      </c>
      <c r="AY597" s="5">
        <v>8</v>
      </c>
      <c r="AZ597" t="s">
        <v>1876</v>
      </c>
      <c r="BA597">
        <v>1999</v>
      </c>
      <c r="BB597">
        <v>2007</v>
      </c>
      <c r="BD597" t="s">
        <v>1867</v>
      </c>
      <c r="BE597" t="s">
        <v>1890</v>
      </c>
      <c r="BF597" t="s">
        <v>64</v>
      </c>
      <c r="BG597" t="s">
        <v>1243</v>
      </c>
      <c r="BH597" t="s">
        <v>23</v>
      </c>
      <c r="BI597" t="s">
        <v>1877</v>
      </c>
      <c r="BJ597" t="s">
        <v>22</v>
      </c>
      <c r="BK597">
        <v>44440</v>
      </c>
      <c r="BL597" t="s">
        <v>275</v>
      </c>
      <c r="BM597" t="s">
        <v>1868</v>
      </c>
      <c r="BN597" t="s">
        <v>29</v>
      </c>
      <c r="BO597" t="s">
        <v>22</v>
      </c>
      <c r="BP597">
        <v>10000</v>
      </c>
      <c r="FN597" s="9"/>
      <c r="FO597" s="9"/>
      <c r="FP597" s="9"/>
      <c r="FQ597" s="9"/>
      <c r="FR597" s="9"/>
      <c r="FS597" s="9"/>
      <c r="FT597" s="9"/>
      <c r="FU597" s="9"/>
      <c r="FV597" s="9"/>
      <c r="FW597" s="9"/>
      <c r="FX597" s="9"/>
      <c r="FY597" s="9"/>
      <c r="FZ597" s="9"/>
      <c r="GA597" s="9"/>
      <c r="GB597" s="9"/>
      <c r="GC597" s="9"/>
      <c r="GD597" s="9"/>
      <c r="GE597" s="9"/>
      <c r="GF597" s="9"/>
      <c r="GG597" s="9"/>
      <c r="GH597" s="9"/>
      <c r="GI597" s="9"/>
      <c r="GJ597" s="9"/>
      <c r="GK597" s="9"/>
      <c r="GL597" s="9"/>
      <c r="GM597" s="9"/>
      <c r="GN597" s="9"/>
      <c r="GO597" s="9"/>
      <c r="GP597" s="9"/>
      <c r="GQ597" s="9"/>
      <c r="GR597" s="9"/>
      <c r="GS597" s="9"/>
      <c r="GT597" s="9"/>
      <c r="GU597" s="9"/>
      <c r="GV597" s="9"/>
      <c r="GW597" s="9"/>
      <c r="GX597" s="9"/>
      <c r="GY597" s="9"/>
      <c r="GZ597" s="9"/>
      <c r="HA597" s="9"/>
      <c r="HB597" s="9"/>
      <c r="HC597" s="9"/>
      <c r="HD597" s="9"/>
      <c r="HE597" s="9"/>
      <c r="HF597" s="9"/>
      <c r="HG597" s="9"/>
      <c r="HH597" s="9"/>
      <c r="HI597" s="9"/>
      <c r="HJ597" s="9"/>
      <c r="HK597" s="9"/>
      <c r="HL597" s="9"/>
      <c r="HM597" s="9"/>
      <c r="HU597" s="58">
        <v>36495</v>
      </c>
      <c r="IN597" t="s">
        <v>1890</v>
      </c>
      <c r="IO597" s="54" t="s">
        <v>1899</v>
      </c>
      <c r="IR597">
        <v>1999</v>
      </c>
      <c r="IT597" s="4" t="s">
        <v>1898</v>
      </c>
      <c r="JK597" s="8" t="s">
        <v>1648</v>
      </c>
      <c r="KD597" t="s">
        <v>1883</v>
      </c>
      <c r="KE597" s="84" t="s">
        <v>1561</v>
      </c>
      <c r="MS597" t="s">
        <v>1864</v>
      </c>
      <c r="MT597">
        <v>6.25E-2</v>
      </c>
      <c r="MU597" t="s">
        <v>1887</v>
      </c>
      <c r="MW597" t="s">
        <v>1887</v>
      </c>
      <c r="NC597" t="s">
        <v>712</v>
      </c>
      <c r="NE597" t="s">
        <v>203</v>
      </c>
      <c r="NG597" t="s">
        <v>203</v>
      </c>
      <c r="NQ597" t="s">
        <v>6</v>
      </c>
      <c r="NR597">
        <v>1.22891566</v>
      </c>
      <c r="NS597" s="4" t="s">
        <v>4</v>
      </c>
      <c r="NT597">
        <v>0.35</v>
      </c>
      <c r="NW597">
        <v>9</v>
      </c>
      <c r="OH597" t="s">
        <v>1873</v>
      </c>
      <c r="OK597">
        <v>2006</v>
      </c>
      <c r="OM597" t="s">
        <v>1902</v>
      </c>
      <c r="OO597" t="s">
        <v>1178</v>
      </c>
      <c r="OP597" s="58">
        <v>46120</v>
      </c>
    </row>
    <row r="598" spans="1:406" ht="15.75" thickBot="1">
      <c r="A598" t="s">
        <v>36</v>
      </c>
      <c r="B598" t="s">
        <v>1862</v>
      </c>
      <c r="C598" t="s">
        <v>1863</v>
      </c>
      <c r="D598" s="4" t="s">
        <v>1955</v>
      </c>
      <c r="E598" t="s">
        <v>1875</v>
      </c>
      <c r="F598" t="s">
        <v>31</v>
      </c>
      <c r="G598" t="s">
        <v>2</v>
      </c>
      <c r="H598" t="s">
        <v>30</v>
      </c>
      <c r="I598">
        <v>-13.65</v>
      </c>
      <c r="J598">
        <v>32.566666669999996</v>
      </c>
      <c r="K598" t="s">
        <v>29</v>
      </c>
      <c r="AV598" t="s">
        <v>1881</v>
      </c>
      <c r="AW598">
        <v>100</v>
      </c>
      <c r="AX598" t="s">
        <v>234</v>
      </c>
      <c r="AY598" s="5">
        <v>8</v>
      </c>
      <c r="AZ598" t="s">
        <v>1876</v>
      </c>
      <c r="BA598">
        <v>1999</v>
      </c>
      <c r="BB598">
        <v>2007</v>
      </c>
      <c r="BD598" t="s">
        <v>1867</v>
      </c>
      <c r="BE598" t="s">
        <v>1893</v>
      </c>
      <c r="BF598" t="s">
        <v>57</v>
      </c>
      <c r="BG598" t="s">
        <v>1243</v>
      </c>
      <c r="BH598" t="s">
        <v>23</v>
      </c>
      <c r="BI598" t="s">
        <v>1877</v>
      </c>
      <c r="BJ598" t="s">
        <v>22</v>
      </c>
      <c r="BK598">
        <v>44440</v>
      </c>
      <c r="BL598" t="s">
        <v>275</v>
      </c>
      <c r="BM598" t="s">
        <v>1868</v>
      </c>
      <c r="BN598" t="s">
        <v>29</v>
      </c>
      <c r="BO598" t="s">
        <v>22</v>
      </c>
      <c r="BP598">
        <v>5000</v>
      </c>
      <c r="BQ598" t="s">
        <v>56</v>
      </c>
      <c r="EE598" t="s">
        <v>55</v>
      </c>
      <c r="EF598" t="s">
        <v>22</v>
      </c>
      <c r="EG598">
        <v>5000</v>
      </c>
      <c r="FN598" s="9"/>
      <c r="FO598" s="9"/>
      <c r="FP598" s="9"/>
      <c r="FQ598" s="9"/>
      <c r="FR598" s="9"/>
      <c r="FS598" s="9"/>
      <c r="FT598" s="9"/>
      <c r="FU598" s="9"/>
      <c r="FV598" s="9"/>
      <c r="FW598" s="9"/>
      <c r="FX598" s="9"/>
      <c r="FY598" s="9"/>
      <c r="FZ598" s="9"/>
      <c r="GA598" s="9"/>
      <c r="GB598" s="9"/>
      <c r="GC598" s="9"/>
      <c r="GD598" s="9"/>
      <c r="GE598" s="9"/>
      <c r="GF598" s="9"/>
      <c r="GG598" s="9"/>
      <c r="GH598" s="9"/>
      <c r="GI598" s="9"/>
      <c r="GJ598" s="9"/>
      <c r="GK598" s="9"/>
      <c r="GL598" s="9"/>
      <c r="GM598" s="9"/>
      <c r="GN598" s="9"/>
      <c r="GO598" s="9"/>
      <c r="GP598" s="9"/>
      <c r="GQ598" s="9"/>
      <c r="GR598" s="9"/>
      <c r="GS598" s="9"/>
      <c r="GT598" s="9"/>
      <c r="GU598" s="9"/>
      <c r="GV598" s="9"/>
      <c r="GW598" s="9"/>
      <c r="GX598" s="9"/>
      <c r="GY598" s="9"/>
      <c r="GZ598" s="9"/>
      <c r="HA598" s="9"/>
      <c r="HB598" s="9"/>
      <c r="HC598" s="9"/>
      <c r="HD598" s="9"/>
      <c r="HE598" s="9"/>
      <c r="HF598" s="9"/>
      <c r="HG598" s="9"/>
      <c r="HH598" s="9"/>
      <c r="HI598" s="9"/>
      <c r="HJ598" s="9"/>
      <c r="HK598" s="9"/>
      <c r="HL598" s="9"/>
      <c r="HM598" s="9"/>
      <c r="HU598" s="58">
        <v>36495</v>
      </c>
      <c r="IN598" t="s">
        <v>1893</v>
      </c>
      <c r="IO598" s="84" t="s">
        <v>1736</v>
      </c>
      <c r="IR598">
        <v>1999</v>
      </c>
      <c r="IT598" s="4" t="s">
        <v>1898</v>
      </c>
      <c r="JK598" s="8" t="s">
        <v>1648</v>
      </c>
      <c r="KD598" t="s">
        <v>1883</v>
      </c>
      <c r="KE598" s="84" t="s">
        <v>1561</v>
      </c>
      <c r="MS598" t="s">
        <v>1864</v>
      </c>
      <c r="MT598">
        <v>6.25E-2</v>
      </c>
      <c r="MU598" t="s">
        <v>1887</v>
      </c>
      <c r="MW598" t="s">
        <v>1887</v>
      </c>
      <c r="NC598" t="s">
        <v>712</v>
      </c>
      <c r="NE598" t="s">
        <v>203</v>
      </c>
      <c r="NG598" t="s">
        <v>203</v>
      </c>
      <c r="NQ598" t="s">
        <v>6</v>
      </c>
      <c r="NR598">
        <v>1.1114457799999999</v>
      </c>
      <c r="NS598" s="4" t="s">
        <v>4</v>
      </c>
      <c r="NT598">
        <v>0.34</v>
      </c>
      <c r="NW598">
        <v>9</v>
      </c>
      <c r="OH598" t="s">
        <v>1873</v>
      </c>
      <c r="OK598">
        <v>2006</v>
      </c>
      <c r="OM598" t="s">
        <v>1902</v>
      </c>
      <c r="OO598" t="s">
        <v>1178</v>
      </c>
      <c r="OP598" s="58">
        <v>46120</v>
      </c>
    </row>
    <row r="599" spans="1:406" ht="15.75" thickBot="1">
      <c r="A599" t="s">
        <v>36</v>
      </c>
      <c r="B599" t="s">
        <v>1862</v>
      </c>
      <c r="C599" t="s">
        <v>1863</v>
      </c>
      <c r="D599" s="4" t="s">
        <v>1955</v>
      </c>
      <c r="E599" t="s">
        <v>1875</v>
      </c>
      <c r="F599" t="s">
        <v>31</v>
      </c>
      <c r="G599" t="s">
        <v>2</v>
      </c>
      <c r="H599" t="s">
        <v>30</v>
      </c>
      <c r="I599">
        <v>-13.65</v>
      </c>
      <c r="J599">
        <v>32.566666669999996</v>
      </c>
      <c r="K599" t="s">
        <v>29</v>
      </c>
      <c r="AV599" t="s">
        <v>1881</v>
      </c>
      <c r="AW599">
        <v>100</v>
      </c>
      <c r="AX599" t="s">
        <v>234</v>
      </c>
      <c r="AY599" s="5">
        <v>8</v>
      </c>
      <c r="AZ599" t="s">
        <v>1876</v>
      </c>
      <c r="BA599">
        <v>1999</v>
      </c>
      <c r="BB599">
        <v>2007</v>
      </c>
      <c r="BD599" t="s">
        <v>1867</v>
      </c>
      <c r="BE599" t="s">
        <v>1891</v>
      </c>
      <c r="BF599" t="s">
        <v>48</v>
      </c>
      <c r="BG599" t="s">
        <v>1243</v>
      </c>
      <c r="BH599" t="s">
        <v>23</v>
      </c>
      <c r="BI599" t="s">
        <v>1877</v>
      </c>
      <c r="BJ599" t="s">
        <v>22</v>
      </c>
      <c r="BK599">
        <v>44440</v>
      </c>
      <c r="BL599" t="s">
        <v>275</v>
      </c>
      <c r="EE599" t="s">
        <v>1896</v>
      </c>
      <c r="EF599" t="s">
        <v>22</v>
      </c>
      <c r="EG599">
        <v>10000</v>
      </c>
      <c r="FN599" s="9"/>
      <c r="FO599" s="9"/>
      <c r="FP599" s="9"/>
      <c r="FQ599" s="9"/>
      <c r="FR599" s="9"/>
      <c r="FS599" s="9"/>
      <c r="FT599" s="9"/>
      <c r="FU599" s="9"/>
      <c r="FV599" s="9"/>
      <c r="FW599" s="9"/>
      <c r="FX599" s="9"/>
      <c r="FY599" s="9"/>
      <c r="FZ599" s="9"/>
      <c r="GA599" s="9"/>
      <c r="GB599" s="9"/>
      <c r="GC599" s="9"/>
      <c r="GD599" s="9"/>
      <c r="GE599" s="9"/>
      <c r="GF599" s="9"/>
      <c r="GG599" s="9"/>
      <c r="GH599" s="9"/>
      <c r="GI599" s="9"/>
      <c r="GJ599" s="9"/>
      <c r="GK599" s="9"/>
      <c r="GL599" s="9"/>
      <c r="GM599" s="9"/>
      <c r="GN599" s="9"/>
      <c r="GO599" s="9"/>
      <c r="GP599" s="9"/>
      <c r="GQ599" s="9"/>
      <c r="GR599" s="9"/>
      <c r="GS599" s="9"/>
      <c r="GT599" s="9"/>
      <c r="GU599" s="9"/>
      <c r="GV599" s="9"/>
      <c r="GW599" s="9"/>
      <c r="GX599" s="9"/>
      <c r="GY599" s="9"/>
      <c r="GZ599" s="9"/>
      <c r="HA599" s="9"/>
      <c r="HB599" s="9"/>
      <c r="HC599" s="9"/>
      <c r="HD599" s="9"/>
      <c r="HE599" s="9"/>
      <c r="HF599" s="9"/>
      <c r="HG599" s="9"/>
      <c r="HH599" s="9"/>
      <c r="HI599" s="9"/>
      <c r="HJ599" s="9"/>
      <c r="HK599" s="9"/>
      <c r="HL599" s="9"/>
      <c r="HM599" s="9"/>
      <c r="HU599" s="58">
        <v>36495</v>
      </c>
      <c r="IN599" t="s">
        <v>1891</v>
      </c>
      <c r="IO599" s="84" t="s">
        <v>1736</v>
      </c>
      <c r="IR599">
        <v>1999</v>
      </c>
      <c r="IT599" s="4" t="s">
        <v>1898</v>
      </c>
      <c r="JK599" s="8" t="s">
        <v>1648</v>
      </c>
      <c r="KD599" t="s">
        <v>1883</v>
      </c>
      <c r="KE599" s="84" t="s">
        <v>1561</v>
      </c>
      <c r="MS599" t="s">
        <v>1864</v>
      </c>
      <c r="MT599">
        <v>6.25E-2</v>
      </c>
      <c r="MU599" t="s">
        <v>1887</v>
      </c>
      <c r="MW599" t="s">
        <v>1887</v>
      </c>
      <c r="NC599" t="s">
        <v>712</v>
      </c>
      <c r="NE599" t="s">
        <v>203</v>
      </c>
      <c r="NG599" t="s">
        <v>203</v>
      </c>
      <c r="NQ599" t="s">
        <v>6</v>
      </c>
      <c r="NR599">
        <v>1.9969879500000001</v>
      </c>
      <c r="NS599" s="4" t="s">
        <v>4</v>
      </c>
      <c r="NT599">
        <v>0.49</v>
      </c>
      <c r="NW599">
        <v>9</v>
      </c>
      <c r="OH599" t="s">
        <v>1873</v>
      </c>
      <c r="OK599">
        <v>2006</v>
      </c>
      <c r="OM599" t="s">
        <v>1902</v>
      </c>
      <c r="OO599" t="s">
        <v>1178</v>
      </c>
      <c r="OP599" s="58">
        <v>46120</v>
      </c>
    </row>
    <row r="600" spans="1:406" ht="15.75" thickBot="1">
      <c r="A600" t="s">
        <v>36</v>
      </c>
      <c r="B600" t="s">
        <v>1862</v>
      </c>
      <c r="C600" t="s">
        <v>1863</v>
      </c>
      <c r="D600" s="4" t="s">
        <v>1955</v>
      </c>
      <c r="E600" t="s">
        <v>1875</v>
      </c>
      <c r="F600" t="s">
        <v>31</v>
      </c>
      <c r="G600" t="s">
        <v>2</v>
      </c>
      <c r="H600" t="s">
        <v>30</v>
      </c>
      <c r="I600">
        <v>-13.65</v>
      </c>
      <c r="J600">
        <v>32.566666669999996</v>
      </c>
      <c r="K600" t="s">
        <v>29</v>
      </c>
      <c r="AV600" t="s">
        <v>1881</v>
      </c>
      <c r="AW600">
        <v>100</v>
      </c>
      <c r="AX600" t="s">
        <v>234</v>
      </c>
      <c r="AY600" s="5">
        <v>8</v>
      </c>
      <c r="AZ600" t="s">
        <v>1876</v>
      </c>
      <c r="BA600">
        <v>1999</v>
      </c>
      <c r="BB600">
        <v>2007</v>
      </c>
      <c r="BD600" t="s">
        <v>1867</v>
      </c>
      <c r="BE600" t="s">
        <v>1892</v>
      </c>
      <c r="BF600" t="s">
        <v>43</v>
      </c>
      <c r="BG600" t="s">
        <v>1243</v>
      </c>
      <c r="BH600" t="s">
        <v>23</v>
      </c>
      <c r="BI600" t="s">
        <v>1877</v>
      </c>
      <c r="BJ600" t="s">
        <v>22</v>
      </c>
      <c r="BK600">
        <v>44440</v>
      </c>
      <c r="BL600" t="s">
        <v>275</v>
      </c>
      <c r="EE600" t="s">
        <v>55</v>
      </c>
      <c r="EF600" t="s">
        <v>22</v>
      </c>
      <c r="EG600">
        <v>5000</v>
      </c>
      <c r="EH600" t="s">
        <v>56</v>
      </c>
      <c r="EI600" t="s">
        <v>1896</v>
      </c>
      <c r="EJ600" t="s">
        <v>22</v>
      </c>
      <c r="EK600">
        <v>5000</v>
      </c>
      <c r="FN600" s="9"/>
      <c r="FO600" s="9"/>
      <c r="FP600" s="9"/>
      <c r="FQ600" s="9"/>
      <c r="FR600" s="9"/>
      <c r="FS600" s="9"/>
      <c r="FT600" s="9"/>
      <c r="FU600" s="9"/>
      <c r="FV600" s="9"/>
      <c r="FW600" s="9"/>
      <c r="FX600" s="9"/>
      <c r="FY600" s="9"/>
      <c r="FZ600" s="9"/>
      <c r="GA600" s="9"/>
      <c r="GB600" s="9"/>
      <c r="GC600" s="9"/>
      <c r="GD600" s="9"/>
      <c r="GE600" s="9"/>
      <c r="GF600" s="9"/>
      <c r="GG600" s="9"/>
      <c r="GH600" s="9"/>
      <c r="GI600" s="9"/>
      <c r="GJ600" s="9"/>
      <c r="GK600" s="9"/>
      <c r="GL600" s="9"/>
      <c r="GM600" s="9"/>
      <c r="GN600" s="9"/>
      <c r="GO600" s="9"/>
      <c r="GP600" s="9"/>
      <c r="GQ600" s="9"/>
      <c r="GR600" s="9"/>
      <c r="GS600" s="9"/>
      <c r="GT600" s="9"/>
      <c r="GU600" s="9"/>
      <c r="GV600" s="9"/>
      <c r="GW600" s="9"/>
      <c r="GX600" s="9"/>
      <c r="GY600" s="9"/>
      <c r="GZ600" s="9"/>
      <c r="HA600" s="9"/>
      <c r="HB600" s="9"/>
      <c r="HC600" s="9"/>
      <c r="HD600" s="9"/>
      <c r="HE600" s="9"/>
      <c r="HF600" s="9"/>
      <c r="HG600" s="9"/>
      <c r="HH600" s="9"/>
      <c r="HI600" s="9"/>
      <c r="HJ600" s="9"/>
      <c r="HK600" s="9"/>
      <c r="HL600" s="9"/>
      <c r="HM600" s="9"/>
      <c r="HU600" s="58">
        <v>36495</v>
      </c>
      <c r="IN600" t="s">
        <v>1892</v>
      </c>
      <c r="IO600" s="84" t="s">
        <v>1736</v>
      </c>
      <c r="IR600">
        <v>1999</v>
      </c>
      <c r="IT600" s="4" t="s">
        <v>1898</v>
      </c>
      <c r="JK600" s="8" t="s">
        <v>1648</v>
      </c>
      <c r="KD600" t="s">
        <v>1883</v>
      </c>
      <c r="KE600" s="84" t="s">
        <v>1561</v>
      </c>
      <c r="MS600" t="s">
        <v>1864</v>
      </c>
      <c r="MT600">
        <v>6.25E-2</v>
      </c>
      <c r="MU600" t="s">
        <v>1887</v>
      </c>
      <c r="MW600" t="s">
        <v>1887</v>
      </c>
      <c r="NC600" t="s">
        <v>712</v>
      </c>
      <c r="NE600" t="s">
        <v>203</v>
      </c>
      <c r="NG600" t="s">
        <v>203</v>
      </c>
      <c r="NQ600" t="s">
        <v>6</v>
      </c>
      <c r="NR600">
        <v>0.99397590000000002</v>
      </c>
      <c r="NS600" s="4" t="s">
        <v>4</v>
      </c>
      <c r="NT600">
        <v>0.21</v>
      </c>
      <c r="NW600">
        <v>9</v>
      </c>
      <c r="OH600" t="s">
        <v>1873</v>
      </c>
      <c r="OK600">
        <v>2006</v>
      </c>
      <c r="OM600" t="s">
        <v>1902</v>
      </c>
      <c r="OO600" t="s">
        <v>1178</v>
      </c>
      <c r="OP600" s="58">
        <v>46120</v>
      </c>
    </row>
    <row r="601" spans="1:406" ht="15.75" thickBot="1">
      <c r="A601" t="s">
        <v>36</v>
      </c>
      <c r="B601" t="s">
        <v>1862</v>
      </c>
      <c r="C601" t="s">
        <v>1863</v>
      </c>
      <c r="D601" s="4" t="s">
        <v>1955</v>
      </c>
      <c r="E601" t="s">
        <v>1875</v>
      </c>
      <c r="F601" t="s">
        <v>31</v>
      </c>
      <c r="G601" t="s">
        <v>2</v>
      </c>
      <c r="H601" t="s">
        <v>30</v>
      </c>
      <c r="I601">
        <v>-13.65</v>
      </c>
      <c r="J601">
        <v>32.566666669999996</v>
      </c>
      <c r="K601" t="s">
        <v>29</v>
      </c>
      <c r="AV601" t="s">
        <v>1881</v>
      </c>
      <c r="AW601">
        <v>100</v>
      </c>
      <c r="AX601" t="s">
        <v>234</v>
      </c>
      <c r="AY601" s="5">
        <v>8</v>
      </c>
      <c r="AZ601" t="s">
        <v>1876</v>
      </c>
      <c r="BA601">
        <v>1999</v>
      </c>
      <c r="BB601">
        <v>2007</v>
      </c>
      <c r="BD601" t="s">
        <v>1867</v>
      </c>
      <c r="BE601" t="s">
        <v>1894</v>
      </c>
      <c r="BF601" t="s">
        <v>252</v>
      </c>
      <c r="BG601" t="s">
        <v>1243</v>
      </c>
      <c r="BH601" t="s">
        <v>23</v>
      </c>
      <c r="BI601" t="s">
        <v>1877</v>
      </c>
      <c r="BJ601" t="s">
        <v>22</v>
      </c>
      <c r="BK601">
        <v>44440</v>
      </c>
      <c r="BL601" t="s">
        <v>275</v>
      </c>
      <c r="EE601" t="s">
        <v>55</v>
      </c>
      <c r="EF601" t="s">
        <v>22</v>
      </c>
      <c r="EG601">
        <v>10000</v>
      </c>
      <c r="FN601" s="9"/>
      <c r="FO601" s="9"/>
      <c r="FP601" s="9"/>
      <c r="FQ601" s="9"/>
      <c r="FR601" s="9"/>
      <c r="FS601" s="9"/>
      <c r="FT601" s="9"/>
      <c r="FU601" s="9"/>
      <c r="FV601" s="9"/>
      <c r="FW601" s="9"/>
      <c r="FX601" s="9"/>
      <c r="FY601" s="9"/>
      <c r="FZ601" s="9"/>
      <c r="GA601" s="9"/>
      <c r="GB601" s="9"/>
      <c r="GC601" s="9"/>
      <c r="GD601" s="9"/>
      <c r="GE601" s="9"/>
      <c r="GF601" s="9"/>
      <c r="GG601" s="9"/>
      <c r="GH601" s="9"/>
      <c r="GI601" s="9"/>
      <c r="GJ601" s="9"/>
      <c r="GK601" s="9"/>
      <c r="GL601" s="9"/>
      <c r="GM601" s="9"/>
      <c r="GN601" s="9"/>
      <c r="GO601" s="9"/>
      <c r="GP601" s="9"/>
      <c r="GQ601" s="9"/>
      <c r="GR601" s="9"/>
      <c r="GS601" s="9"/>
      <c r="GT601" s="9"/>
      <c r="GU601" s="9"/>
      <c r="GV601" s="9"/>
      <c r="GW601" s="9"/>
      <c r="GX601" s="9"/>
      <c r="GY601" s="9"/>
      <c r="GZ601" s="9"/>
      <c r="HA601" s="9"/>
      <c r="HB601" s="9"/>
      <c r="HC601" s="9"/>
      <c r="HD601" s="9"/>
      <c r="HE601" s="9"/>
      <c r="HF601" s="9"/>
      <c r="HG601" s="9"/>
      <c r="HH601" s="9"/>
      <c r="HI601" s="9"/>
      <c r="HJ601" s="9"/>
      <c r="HK601" s="9"/>
      <c r="HL601" s="9"/>
      <c r="HM601" s="9"/>
      <c r="HU601" s="58">
        <v>36495</v>
      </c>
      <c r="IN601" t="s">
        <v>1894</v>
      </c>
      <c r="IO601" s="84" t="s">
        <v>1736</v>
      </c>
      <c r="IR601">
        <v>1999</v>
      </c>
      <c r="IT601" s="4" t="s">
        <v>1898</v>
      </c>
      <c r="JK601" s="8" t="s">
        <v>1648</v>
      </c>
      <c r="KD601" t="s">
        <v>1883</v>
      </c>
      <c r="KE601" s="84" t="s">
        <v>1561</v>
      </c>
      <c r="MS601" t="s">
        <v>1864</v>
      </c>
      <c r="MT601">
        <v>6.25E-2</v>
      </c>
      <c r="MU601" t="s">
        <v>1887</v>
      </c>
      <c r="MW601" t="s">
        <v>1887</v>
      </c>
      <c r="NC601" t="s">
        <v>712</v>
      </c>
      <c r="NE601" t="s">
        <v>203</v>
      </c>
      <c r="NG601" t="s">
        <v>203</v>
      </c>
      <c r="NQ601" t="s">
        <v>6</v>
      </c>
      <c r="NR601">
        <v>1.77108434</v>
      </c>
      <c r="NS601" s="4" t="s">
        <v>4</v>
      </c>
      <c r="NT601">
        <v>0.56999999999999995</v>
      </c>
      <c r="NW601">
        <v>9</v>
      </c>
      <c r="OH601" t="s">
        <v>1873</v>
      </c>
      <c r="OK601">
        <v>2006</v>
      </c>
      <c r="OM601" t="s">
        <v>1902</v>
      </c>
      <c r="OO601" t="s">
        <v>1178</v>
      </c>
      <c r="OP601" s="58">
        <v>46120</v>
      </c>
    </row>
    <row r="602" spans="1:406" ht="15.75" thickBot="1">
      <c r="A602" t="s">
        <v>36</v>
      </c>
      <c r="B602" t="s">
        <v>1862</v>
      </c>
      <c r="C602" t="s">
        <v>1863</v>
      </c>
      <c r="D602" s="4" t="s">
        <v>1955</v>
      </c>
      <c r="E602" t="s">
        <v>1875</v>
      </c>
      <c r="F602" t="s">
        <v>31</v>
      </c>
      <c r="G602" t="s">
        <v>2</v>
      </c>
      <c r="H602" t="s">
        <v>30</v>
      </c>
      <c r="I602">
        <v>-13.65</v>
      </c>
      <c r="J602">
        <v>32.566666669999996</v>
      </c>
      <c r="K602" t="s">
        <v>29</v>
      </c>
      <c r="AV602" t="s">
        <v>1881</v>
      </c>
      <c r="AW602">
        <v>100</v>
      </c>
      <c r="AX602" t="s">
        <v>234</v>
      </c>
      <c r="AY602" s="5">
        <v>8</v>
      </c>
      <c r="AZ602" t="s">
        <v>1876</v>
      </c>
      <c r="BA602">
        <v>1999</v>
      </c>
      <c r="BB602">
        <v>2007</v>
      </c>
      <c r="BD602" t="s">
        <v>1867</v>
      </c>
      <c r="BE602" t="s">
        <v>1897</v>
      </c>
      <c r="BF602" t="s">
        <v>236</v>
      </c>
      <c r="BG602" t="s">
        <v>1243</v>
      </c>
      <c r="BH602" t="s">
        <v>23</v>
      </c>
      <c r="BI602" t="s">
        <v>1877</v>
      </c>
      <c r="BJ602" t="s">
        <v>22</v>
      </c>
      <c r="BK602">
        <v>44440</v>
      </c>
      <c r="BL602" t="s">
        <v>275</v>
      </c>
      <c r="FN602" s="9"/>
      <c r="FO602" s="9"/>
      <c r="FP602" s="9"/>
      <c r="FQ602" s="9"/>
      <c r="FR602" s="9"/>
      <c r="FS602" s="9"/>
      <c r="FT602" s="9"/>
      <c r="FU602" s="9"/>
      <c r="FV602" s="9"/>
      <c r="FW602" s="9"/>
      <c r="FX602" s="9"/>
      <c r="FY602" s="9"/>
      <c r="FZ602" s="9"/>
      <c r="GA602" s="9"/>
      <c r="GB602" s="9"/>
      <c r="GC602" s="9"/>
      <c r="GD602" s="9"/>
      <c r="GE602" s="9"/>
      <c r="GF602" s="9"/>
      <c r="GG602" s="9"/>
      <c r="GH602" s="9"/>
      <c r="GI602" s="9"/>
      <c r="GJ602" s="9"/>
      <c r="GK602" s="9"/>
      <c r="GL602" s="9"/>
      <c r="GM602" s="9"/>
      <c r="GN602" s="9"/>
      <c r="GO602" s="9"/>
      <c r="GP602" s="9"/>
      <c r="GQ602" s="9"/>
      <c r="GR602" s="9"/>
      <c r="GS602" s="9"/>
      <c r="GT602" s="9"/>
      <c r="GU602" s="9"/>
      <c r="GV602" s="9"/>
      <c r="GW602" s="9"/>
      <c r="GX602" s="9"/>
      <c r="GY602" s="9"/>
      <c r="GZ602" s="9"/>
      <c r="HA602" s="9"/>
      <c r="HB602" s="9"/>
      <c r="HC602" s="9"/>
      <c r="HD602" s="9"/>
      <c r="HE602" s="9"/>
      <c r="HF602" s="9"/>
      <c r="HG602" s="9"/>
      <c r="HH602" s="9"/>
      <c r="HI602" s="9"/>
      <c r="HJ602" s="9"/>
      <c r="HK602" s="9"/>
      <c r="HL602" s="9"/>
      <c r="HM602" s="9"/>
      <c r="HU602" s="58">
        <v>36495</v>
      </c>
      <c r="IN602" t="s">
        <v>1900</v>
      </c>
      <c r="IO602" s="54" t="s">
        <v>1899</v>
      </c>
      <c r="IR602">
        <v>1999</v>
      </c>
      <c r="IT602" s="4" t="s">
        <v>1898</v>
      </c>
      <c r="JK602" s="8" t="s">
        <v>1648</v>
      </c>
      <c r="KD602" t="s">
        <v>1883</v>
      </c>
      <c r="KE602" s="84" t="s">
        <v>1561</v>
      </c>
      <c r="MS602" t="s">
        <v>1864</v>
      </c>
      <c r="MT602">
        <v>6.25E-2</v>
      </c>
      <c r="MU602" t="s">
        <v>1887</v>
      </c>
      <c r="MW602" t="s">
        <v>1887</v>
      </c>
      <c r="NC602" t="s">
        <v>712</v>
      </c>
      <c r="NE602" t="s">
        <v>203</v>
      </c>
      <c r="NG602" t="s">
        <v>203</v>
      </c>
      <c r="NQ602" t="s">
        <v>6</v>
      </c>
      <c r="NR602">
        <v>0.10843373000000001</v>
      </c>
      <c r="NS602" s="4" t="s">
        <v>4</v>
      </c>
      <c r="NT602">
        <v>0.12</v>
      </c>
      <c r="NW602">
        <v>9</v>
      </c>
      <c r="OH602" t="s">
        <v>1873</v>
      </c>
      <c r="OK602">
        <v>2006</v>
      </c>
      <c r="OM602" t="s">
        <v>1902</v>
      </c>
      <c r="OO602" t="s">
        <v>1178</v>
      </c>
      <c r="OP602" s="58">
        <v>46120</v>
      </c>
    </row>
    <row r="603" spans="1:406" ht="15.75" thickBot="1">
      <c r="A603" t="s">
        <v>36</v>
      </c>
      <c r="B603" t="s">
        <v>1862</v>
      </c>
      <c r="C603" t="s">
        <v>1863</v>
      </c>
      <c r="D603" s="4" t="s">
        <v>1955</v>
      </c>
      <c r="E603" t="s">
        <v>1875</v>
      </c>
      <c r="F603" t="s">
        <v>31</v>
      </c>
      <c r="G603" t="s">
        <v>2</v>
      </c>
      <c r="H603" t="s">
        <v>30</v>
      </c>
      <c r="I603">
        <v>-13.65</v>
      </c>
      <c r="J603">
        <v>32.566666669999996</v>
      </c>
      <c r="K603" t="s">
        <v>29</v>
      </c>
      <c r="AV603" t="s">
        <v>1881</v>
      </c>
      <c r="AW603">
        <v>100</v>
      </c>
      <c r="AX603" t="s">
        <v>234</v>
      </c>
      <c r="AY603" s="5">
        <v>8</v>
      </c>
      <c r="AZ603" t="s">
        <v>1876</v>
      </c>
      <c r="BA603">
        <v>1999</v>
      </c>
      <c r="BB603">
        <v>2007</v>
      </c>
      <c r="BD603" t="s">
        <v>19</v>
      </c>
      <c r="BE603" t="s">
        <v>1895</v>
      </c>
      <c r="BF603" t="s">
        <v>39</v>
      </c>
      <c r="BG603" t="s">
        <v>1243</v>
      </c>
      <c r="BH603" t="s">
        <v>23</v>
      </c>
      <c r="BI603" t="s">
        <v>1877</v>
      </c>
      <c r="BJ603" t="s">
        <v>22</v>
      </c>
      <c r="BK603">
        <v>44440</v>
      </c>
      <c r="FN603" s="9"/>
      <c r="FO603" s="9"/>
      <c r="FP603" s="9"/>
      <c r="FQ603" s="9"/>
      <c r="FR603" s="9"/>
      <c r="FS603" s="9"/>
      <c r="FT603" s="9"/>
      <c r="FU603" s="9"/>
      <c r="FV603" s="9"/>
      <c r="FW603" s="9"/>
      <c r="FX603" s="9"/>
      <c r="FY603" s="9"/>
      <c r="FZ603" s="9"/>
      <c r="GA603" s="9"/>
      <c r="GB603" s="9"/>
      <c r="GC603" s="9"/>
      <c r="GD603" s="9"/>
      <c r="GE603" s="9"/>
      <c r="GF603" s="9"/>
      <c r="GG603" s="9"/>
      <c r="GH603" s="9"/>
      <c r="GI603" s="9"/>
      <c r="GJ603" s="9"/>
      <c r="GK603" s="9"/>
      <c r="GL603" s="9"/>
      <c r="GM603" s="9"/>
      <c r="GN603" s="9"/>
      <c r="GO603" s="9"/>
      <c r="GP603" s="9"/>
      <c r="GQ603" s="9"/>
      <c r="GR603" s="9"/>
      <c r="GS603" s="9"/>
      <c r="GT603" s="9"/>
      <c r="GU603" s="9"/>
      <c r="GV603" s="9"/>
      <c r="GW603" s="9"/>
      <c r="GX603" s="9"/>
      <c r="GY603" s="9"/>
      <c r="GZ603" s="9"/>
      <c r="HA603" s="9"/>
      <c r="HB603" s="9"/>
      <c r="HC603" s="9"/>
      <c r="HD603" s="9"/>
      <c r="HE603" s="9"/>
      <c r="HF603" s="9"/>
      <c r="HG603" s="9"/>
      <c r="HH603" s="9"/>
      <c r="HI603" s="9"/>
      <c r="HJ603" s="9"/>
      <c r="HK603" s="9"/>
      <c r="HL603" s="9"/>
      <c r="HM603" s="9"/>
      <c r="HU603" s="58">
        <v>36495</v>
      </c>
      <c r="IN603" t="s">
        <v>1901</v>
      </c>
      <c r="IO603" t="s">
        <v>19</v>
      </c>
      <c r="IR603">
        <v>1999</v>
      </c>
      <c r="JK603" t="s">
        <v>14</v>
      </c>
      <c r="JL603" t="s">
        <v>1878</v>
      </c>
      <c r="JM603" t="s">
        <v>13</v>
      </c>
      <c r="JN603" t="s">
        <v>1879</v>
      </c>
      <c r="JO603" t="s">
        <v>13</v>
      </c>
      <c r="JP603" t="s">
        <v>1880</v>
      </c>
      <c r="JQ603">
        <v>90</v>
      </c>
      <c r="JR603">
        <v>80</v>
      </c>
      <c r="KD603" t="s">
        <v>1883</v>
      </c>
      <c r="KE603" s="84" t="s">
        <v>1561</v>
      </c>
      <c r="MS603" t="s">
        <v>1864</v>
      </c>
      <c r="MT603">
        <v>6.25E-2</v>
      </c>
      <c r="MU603" t="s">
        <v>1887</v>
      </c>
      <c r="MW603" t="s">
        <v>1887</v>
      </c>
      <c r="NC603" t="s">
        <v>712</v>
      </c>
      <c r="NE603" t="s">
        <v>203</v>
      </c>
      <c r="NG603" t="s">
        <v>203</v>
      </c>
      <c r="NP603" t="s">
        <v>1571</v>
      </c>
      <c r="NQ603" t="s">
        <v>6</v>
      </c>
      <c r="NR603">
        <v>0.77710842999999996</v>
      </c>
      <c r="NS603" s="4" t="s">
        <v>4</v>
      </c>
      <c r="NT603">
        <v>0.36</v>
      </c>
      <c r="NW603">
        <v>9</v>
      </c>
      <c r="OH603" t="s">
        <v>1873</v>
      </c>
      <c r="OK603">
        <v>2006</v>
      </c>
      <c r="OM603" t="s">
        <v>1902</v>
      </c>
      <c r="OO603" t="s">
        <v>1178</v>
      </c>
      <c r="OP603" s="58">
        <v>46120</v>
      </c>
    </row>
    <row r="604" spans="1:406" ht="15.75" thickBot="1">
      <c r="A604" t="s">
        <v>36</v>
      </c>
      <c r="B604" t="s">
        <v>1862</v>
      </c>
      <c r="C604" t="s">
        <v>1863</v>
      </c>
      <c r="D604" s="4" t="s">
        <v>1955</v>
      </c>
      <c r="E604" t="s">
        <v>1875</v>
      </c>
      <c r="F604" t="s">
        <v>31</v>
      </c>
      <c r="G604" t="s">
        <v>2</v>
      </c>
      <c r="H604" t="s">
        <v>30</v>
      </c>
      <c r="I604">
        <v>-13.65</v>
      </c>
      <c r="J604">
        <v>32.566666669999996</v>
      </c>
      <c r="K604" t="s">
        <v>29</v>
      </c>
      <c r="AV604" t="s">
        <v>1881</v>
      </c>
      <c r="AW604">
        <v>100</v>
      </c>
      <c r="AX604" t="s">
        <v>234</v>
      </c>
      <c r="AY604" s="5">
        <v>8</v>
      </c>
      <c r="AZ604" t="s">
        <v>1876</v>
      </c>
      <c r="BA604">
        <v>1999</v>
      </c>
      <c r="BB604">
        <v>2007</v>
      </c>
      <c r="BD604" t="s">
        <v>1867</v>
      </c>
      <c r="BE604" t="s">
        <v>1890</v>
      </c>
      <c r="BF604" t="s">
        <v>64</v>
      </c>
      <c r="BG604" t="s">
        <v>1243</v>
      </c>
      <c r="BH604" t="s">
        <v>23</v>
      </c>
      <c r="BI604" t="s">
        <v>1877</v>
      </c>
      <c r="BJ604" t="s">
        <v>22</v>
      </c>
      <c r="BK604">
        <v>44440</v>
      </c>
      <c r="BL604" t="s">
        <v>275</v>
      </c>
      <c r="BM604" t="s">
        <v>1868</v>
      </c>
      <c r="BN604" t="s">
        <v>29</v>
      </c>
      <c r="BO604" t="s">
        <v>22</v>
      </c>
      <c r="BP604">
        <v>10000</v>
      </c>
      <c r="FN604" s="9"/>
      <c r="FO604" s="9"/>
      <c r="FP604" s="9"/>
      <c r="FQ604" s="9"/>
      <c r="FR604" s="9"/>
      <c r="FS604" s="9"/>
      <c r="FT604" s="9"/>
      <c r="FU604" s="9"/>
      <c r="FV604" s="9"/>
      <c r="FW604" s="9"/>
      <c r="FX604" s="9"/>
      <c r="FY604" s="9"/>
      <c r="FZ604" s="9"/>
      <c r="GA604" s="9"/>
      <c r="GB604" s="9"/>
      <c r="GC604" s="9"/>
      <c r="GD604" s="9"/>
      <c r="GE604" s="9"/>
      <c r="GF604" s="9"/>
      <c r="GG604" s="9"/>
      <c r="GH604" s="9"/>
      <c r="GI604" s="9"/>
      <c r="GJ604" s="9"/>
      <c r="GK604" s="9"/>
      <c r="GL604" s="9"/>
      <c r="GM604" s="9"/>
      <c r="GN604" s="9"/>
      <c r="GO604" s="9"/>
      <c r="GP604" s="9"/>
      <c r="GQ604" s="9"/>
      <c r="GR604" s="9"/>
      <c r="GS604" s="9"/>
      <c r="GT604" s="9"/>
      <c r="GU604" s="9"/>
      <c r="GV604" s="9"/>
      <c r="GW604" s="9"/>
      <c r="GX604" s="9"/>
      <c r="GY604" s="9"/>
      <c r="GZ604" s="9"/>
      <c r="HA604" s="9"/>
      <c r="HB604" s="9"/>
      <c r="HC604" s="9"/>
      <c r="HD604" s="9"/>
      <c r="HE604" s="9"/>
      <c r="HF604" s="9"/>
      <c r="HG604" s="9"/>
      <c r="HH604" s="9"/>
      <c r="HI604" s="9"/>
      <c r="HJ604" s="9"/>
      <c r="HK604" s="9"/>
      <c r="HL604" s="9"/>
      <c r="HM604" s="9"/>
      <c r="HU604" s="58">
        <v>36495</v>
      </c>
      <c r="IN604" t="s">
        <v>1890</v>
      </c>
      <c r="IO604" s="54" t="s">
        <v>1899</v>
      </c>
      <c r="IR604">
        <v>1999</v>
      </c>
      <c r="IT604" s="4" t="s">
        <v>1898</v>
      </c>
      <c r="JK604" t="s">
        <v>1648</v>
      </c>
      <c r="KD604" t="s">
        <v>1883</v>
      </c>
      <c r="KE604" s="84" t="s">
        <v>1561</v>
      </c>
      <c r="MS604" t="s">
        <v>1864</v>
      </c>
      <c r="MT604">
        <v>6.25E-2</v>
      </c>
      <c r="MU604" t="s">
        <v>1888</v>
      </c>
      <c r="MW604" t="s">
        <v>1888</v>
      </c>
      <c r="NC604" t="s">
        <v>712</v>
      </c>
      <c r="NE604" t="s">
        <v>203</v>
      </c>
      <c r="NG604" t="s">
        <v>203</v>
      </c>
      <c r="NQ604" t="s">
        <v>6</v>
      </c>
      <c r="NR604">
        <v>0</v>
      </c>
      <c r="NS604" s="4" t="s">
        <v>4</v>
      </c>
      <c r="NT604">
        <v>0</v>
      </c>
      <c r="NW604">
        <v>9</v>
      </c>
      <c r="OH604" t="s">
        <v>1874</v>
      </c>
      <c r="OK604">
        <v>2006</v>
      </c>
      <c r="OM604" t="s">
        <v>1902</v>
      </c>
      <c r="OO604" t="s">
        <v>1178</v>
      </c>
      <c r="OP604" s="58">
        <v>46120</v>
      </c>
    </row>
    <row r="605" spans="1:406" ht="15.75" thickBot="1">
      <c r="A605" t="s">
        <v>36</v>
      </c>
      <c r="B605" t="s">
        <v>1862</v>
      </c>
      <c r="C605" t="s">
        <v>1863</v>
      </c>
      <c r="D605" s="4" t="s">
        <v>1955</v>
      </c>
      <c r="E605" t="s">
        <v>1875</v>
      </c>
      <c r="F605" t="s">
        <v>31</v>
      </c>
      <c r="G605" t="s">
        <v>2</v>
      </c>
      <c r="H605" t="s">
        <v>30</v>
      </c>
      <c r="I605">
        <v>-13.65</v>
      </c>
      <c r="J605">
        <v>32.566666669999996</v>
      </c>
      <c r="K605" t="s">
        <v>29</v>
      </c>
      <c r="AV605" t="s">
        <v>1881</v>
      </c>
      <c r="AW605">
        <v>100</v>
      </c>
      <c r="AX605" t="s">
        <v>234</v>
      </c>
      <c r="AY605" s="5">
        <v>8</v>
      </c>
      <c r="AZ605" t="s">
        <v>1876</v>
      </c>
      <c r="BA605">
        <v>1999</v>
      </c>
      <c r="BB605">
        <v>2007</v>
      </c>
      <c r="BD605" t="s">
        <v>1867</v>
      </c>
      <c r="BE605" t="s">
        <v>1893</v>
      </c>
      <c r="BF605" t="s">
        <v>57</v>
      </c>
      <c r="BG605" t="s">
        <v>1243</v>
      </c>
      <c r="BH605" t="s">
        <v>23</v>
      </c>
      <c r="BI605" t="s">
        <v>1877</v>
      </c>
      <c r="BJ605" t="s">
        <v>22</v>
      </c>
      <c r="BK605">
        <v>44440</v>
      </c>
      <c r="BL605" t="s">
        <v>275</v>
      </c>
      <c r="BM605" t="s">
        <v>1868</v>
      </c>
      <c r="BN605" t="s">
        <v>29</v>
      </c>
      <c r="BO605" t="s">
        <v>22</v>
      </c>
      <c r="BP605">
        <v>5000</v>
      </c>
      <c r="BQ605" t="s">
        <v>56</v>
      </c>
      <c r="EE605" t="s">
        <v>55</v>
      </c>
      <c r="EF605" t="s">
        <v>22</v>
      </c>
      <c r="EG605">
        <v>5000</v>
      </c>
      <c r="FN605" s="9"/>
      <c r="FO605" s="9"/>
      <c r="FP605" s="9"/>
      <c r="FQ605" s="9"/>
      <c r="FR605" s="9"/>
      <c r="FS605" s="9"/>
      <c r="FT605" s="9"/>
      <c r="FU605" s="9"/>
      <c r="FV605" s="9"/>
      <c r="FW605" s="9"/>
      <c r="FX605" s="9"/>
      <c r="FY605" s="9"/>
      <c r="FZ605" s="9"/>
      <c r="GA605" s="9"/>
      <c r="GB605" s="9"/>
      <c r="GC605" s="9"/>
      <c r="GD605" s="9"/>
      <c r="GE605" s="9"/>
      <c r="GF605" s="9"/>
      <c r="GG605" s="9"/>
      <c r="GH605" s="9"/>
      <c r="GI605" s="9"/>
      <c r="GJ605" s="9"/>
      <c r="GK605" s="9"/>
      <c r="GL605" s="9"/>
      <c r="GM605" s="9"/>
      <c r="GN605" s="9"/>
      <c r="GO605" s="9"/>
      <c r="GP605" s="9"/>
      <c r="GQ605" s="9"/>
      <c r="GR605" s="9"/>
      <c r="GS605" s="9"/>
      <c r="GT605" s="9"/>
      <c r="GU605" s="9"/>
      <c r="GV605" s="9"/>
      <c r="GW605" s="9"/>
      <c r="GX605" s="9"/>
      <c r="GY605" s="9"/>
      <c r="GZ605" s="9"/>
      <c r="HA605" s="9"/>
      <c r="HB605" s="9"/>
      <c r="HC605" s="9"/>
      <c r="HD605" s="9"/>
      <c r="HE605" s="9"/>
      <c r="HF605" s="9"/>
      <c r="HG605" s="9"/>
      <c r="HH605" s="9"/>
      <c r="HI605" s="9"/>
      <c r="HJ605" s="9"/>
      <c r="HK605" s="9"/>
      <c r="HL605" s="9"/>
      <c r="HM605" s="9"/>
      <c r="HU605" s="58">
        <v>36495</v>
      </c>
      <c r="IN605" t="s">
        <v>1893</v>
      </c>
      <c r="IO605" s="84" t="s">
        <v>1736</v>
      </c>
      <c r="IR605">
        <v>1999</v>
      </c>
      <c r="IT605" s="4" t="s">
        <v>1898</v>
      </c>
      <c r="JK605" t="s">
        <v>1648</v>
      </c>
      <c r="KD605" t="s">
        <v>1883</v>
      </c>
      <c r="KE605" s="84" t="s">
        <v>1561</v>
      </c>
      <c r="MS605" t="s">
        <v>1864</v>
      </c>
      <c r="MT605">
        <v>6.25E-2</v>
      </c>
      <c r="MU605" t="s">
        <v>1888</v>
      </c>
      <c r="MW605" t="s">
        <v>1888</v>
      </c>
      <c r="NC605" t="s">
        <v>712</v>
      </c>
      <c r="NE605" t="s">
        <v>203</v>
      </c>
      <c r="NG605" t="s">
        <v>203</v>
      </c>
      <c r="NQ605" t="s">
        <v>6</v>
      </c>
      <c r="NR605">
        <v>0</v>
      </c>
      <c r="NS605" s="4" t="s">
        <v>4</v>
      </c>
      <c r="NT605">
        <v>0</v>
      </c>
      <c r="NW605">
        <v>9</v>
      </c>
      <c r="OH605" t="s">
        <v>1874</v>
      </c>
      <c r="OK605">
        <v>2006</v>
      </c>
      <c r="OM605" t="s">
        <v>1902</v>
      </c>
      <c r="OO605" t="s">
        <v>1178</v>
      </c>
      <c r="OP605" s="58">
        <v>46120</v>
      </c>
    </row>
    <row r="606" spans="1:406" ht="15.75" thickBot="1">
      <c r="A606" t="s">
        <v>36</v>
      </c>
      <c r="B606" t="s">
        <v>1862</v>
      </c>
      <c r="C606" t="s">
        <v>1863</v>
      </c>
      <c r="D606" s="4" t="s">
        <v>1955</v>
      </c>
      <c r="E606" t="s">
        <v>1875</v>
      </c>
      <c r="F606" t="s">
        <v>31</v>
      </c>
      <c r="G606" t="s">
        <v>2</v>
      </c>
      <c r="H606" t="s">
        <v>30</v>
      </c>
      <c r="I606">
        <v>-13.65</v>
      </c>
      <c r="J606">
        <v>32.566666669999996</v>
      </c>
      <c r="K606" t="s">
        <v>29</v>
      </c>
      <c r="AV606" t="s">
        <v>1881</v>
      </c>
      <c r="AW606">
        <v>100</v>
      </c>
      <c r="AX606" t="s">
        <v>234</v>
      </c>
      <c r="AY606" s="5">
        <v>8</v>
      </c>
      <c r="AZ606" t="s">
        <v>1876</v>
      </c>
      <c r="BA606">
        <v>1999</v>
      </c>
      <c r="BB606">
        <v>2007</v>
      </c>
      <c r="BD606" t="s">
        <v>1867</v>
      </c>
      <c r="BE606" t="s">
        <v>1891</v>
      </c>
      <c r="BF606" t="s">
        <v>48</v>
      </c>
      <c r="BG606" t="s">
        <v>1243</v>
      </c>
      <c r="BH606" t="s">
        <v>23</v>
      </c>
      <c r="BI606" t="s">
        <v>1877</v>
      </c>
      <c r="BJ606" t="s">
        <v>22</v>
      </c>
      <c r="BK606">
        <v>44440</v>
      </c>
      <c r="BL606" t="s">
        <v>275</v>
      </c>
      <c r="EE606" t="s">
        <v>1896</v>
      </c>
      <c r="EF606" t="s">
        <v>22</v>
      </c>
      <c r="EG606">
        <v>10000</v>
      </c>
      <c r="FN606" s="9"/>
      <c r="FO606" s="9"/>
      <c r="FP606" s="9"/>
      <c r="FQ606" s="9"/>
      <c r="FR606" s="9"/>
      <c r="FS606" s="9"/>
      <c r="FT606" s="9"/>
      <c r="FU606" s="9"/>
      <c r="FV606" s="9"/>
      <c r="FW606" s="9"/>
      <c r="FX606" s="9"/>
      <c r="FY606" s="9"/>
      <c r="FZ606" s="9"/>
      <c r="GA606" s="9"/>
      <c r="GB606" s="9"/>
      <c r="GC606" s="9"/>
      <c r="GD606" s="9"/>
      <c r="GE606" s="9"/>
      <c r="GF606" s="9"/>
      <c r="GG606" s="9"/>
      <c r="GH606" s="9"/>
      <c r="GI606" s="9"/>
      <c r="GJ606" s="9"/>
      <c r="GK606" s="9"/>
      <c r="GL606" s="9"/>
      <c r="GM606" s="9"/>
      <c r="GN606" s="9"/>
      <c r="GO606" s="9"/>
      <c r="GP606" s="9"/>
      <c r="GQ606" s="9"/>
      <c r="GR606" s="9"/>
      <c r="GS606" s="9"/>
      <c r="GT606" s="9"/>
      <c r="GU606" s="9"/>
      <c r="GV606" s="9"/>
      <c r="GW606" s="9"/>
      <c r="GX606" s="9"/>
      <c r="GY606" s="9"/>
      <c r="GZ606" s="9"/>
      <c r="HA606" s="9"/>
      <c r="HB606" s="9"/>
      <c r="HC606" s="9"/>
      <c r="HD606" s="9"/>
      <c r="HE606" s="9"/>
      <c r="HF606" s="9"/>
      <c r="HG606" s="9"/>
      <c r="HH606" s="9"/>
      <c r="HI606" s="9"/>
      <c r="HJ606" s="9"/>
      <c r="HK606" s="9"/>
      <c r="HL606" s="9"/>
      <c r="HM606" s="9"/>
      <c r="HU606" s="58">
        <v>36495</v>
      </c>
      <c r="IN606" t="s">
        <v>1891</v>
      </c>
      <c r="IO606" s="84" t="s">
        <v>1736</v>
      </c>
      <c r="IR606">
        <v>1999</v>
      </c>
      <c r="IT606" s="4" t="s">
        <v>1898</v>
      </c>
      <c r="JK606" t="s">
        <v>1648</v>
      </c>
      <c r="KD606" t="s">
        <v>1883</v>
      </c>
      <c r="KE606" s="84" t="s">
        <v>1561</v>
      </c>
      <c r="MS606" t="s">
        <v>1864</v>
      </c>
      <c r="MT606">
        <v>6.25E-2</v>
      </c>
      <c r="MU606" t="s">
        <v>1888</v>
      </c>
      <c r="MW606" t="s">
        <v>1888</v>
      </c>
      <c r="NC606" t="s">
        <v>712</v>
      </c>
      <c r="NE606" t="s">
        <v>203</v>
      </c>
      <c r="NG606" t="s">
        <v>203</v>
      </c>
      <c r="NQ606" t="s">
        <v>6</v>
      </c>
      <c r="NR606">
        <v>0.1</v>
      </c>
      <c r="NS606" s="4" t="s">
        <v>4</v>
      </c>
      <c r="NT606">
        <v>0.1</v>
      </c>
      <c r="NW606">
        <v>9</v>
      </c>
      <c r="OH606" t="s">
        <v>1874</v>
      </c>
      <c r="OK606">
        <v>2006</v>
      </c>
      <c r="OM606" t="s">
        <v>1902</v>
      </c>
      <c r="OO606" t="s">
        <v>1178</v>
      </c>
      <c r="OP606" s="58">
        <v>46120</v>
      </c>
    </row>
    <row r="607" spans="1:406" ht="15.75" thickBot="1">
      <c r="A607" t="s">
        <v>36</v>
      </c>
      <c r="B607" t="s">
        <v>1862</v>
      </c>
      <c r="C607" t="s">
        <v>1863</v>
      </c>
      <c r="D607" s="4" t="s">
        <v>1955</v>
      </c>
      <c r="E607" t="s">
        <v>1875</v>
      </c>
      <c r="F607" t="s">
        <v>31</v>
      </c>
      <c r="G607" t="s">
        <v>2</v>
      </c>
      <c r="H607" t="s">
        <v>30</v>
      </c>
      <c r="I607">
        <v>-13.65</v>
      </c>
      <c r="J607">
        <v>32.566666669999996</v>
      </c>
      <c r="K607" t="s">
        <v>29</v>
      </c>
      <c r="AV607" t="s">
        <v>1881</v>
      </c>
      <c r="AW607">
        <v>100</v>
      </c>
      <c r="AX607" t="s">
        <v>234</v>
      </c>
      <c r="AY607" s="5">
        <v>8</v>
      </c>
      <c r="AZ607" t="s">
        <v>1876</v>
      </c>
      <c r="BA607">
        <v>1999</v>
      </c>
      <c r="BB607">
        <v>2007</v>
      </c>
      <c r="BD607" t="s">
        <v>1867</v>
      </c>
      <c r="BE607" t="s">
        <v>1892</v>
      </c>
      <c r="BF607" t="s">
        <v>43</v>
      </c>
      <c r="BG607" t="s">
        <v>1243</v>
      </c>
      <c r="BH607" t="s">
        <v>23</v>
      </c>
      <c r="BI607" t="s">
        <v>1877</v>
      </c>
      <c r="BJ607" t="s">
        <v>22</v>
      </c>
      <c r="BK607">
        <v>44440</v>
      </c>
      <c r="BL607" t="s">
        <v>275</v>
      </c>
      <c r="EE607" t="s">
        <v>55</v>
      </c>
      <c r="EF607" t="s">
        <v>22</v>
      </c>
      <c r="EG607">
        <v>5000</v>
      </c>
      <c r="EH607" t="s">
        <v>56</v>
      </c>
      <c r="EI607" t="s">
        <v>1896</v>
      </c>
      <c r="EJ607" t="s">
        <v>22</v>
      </c>
      <c r="EK607">
        <v>5000</v>
      </c>
      <c r="FN607" s="9"/>
      <c r="FO607" s="9"/>
      <c r="FP607" s="9"/>
      <c r="FQ607" s="9"/>
      <c r="FR607" s="9"/>
      <c r="FS607" s="9"/>
      <c r="FT607" s="9"/>
      <c r="FU607" s="9"/>
      <c r="FV607" s="9"/>
      <c r="FW607" s="9"/>
      <c r="FX607" s="9"/>
      <c r="FY607" s="9"/>
      <c r="FZ607" s="9"/>
      <c r="GA607" s="9"/>
      <c r="GB607" s="9"/>
      <c r="GC607" s="9"/>
      <c r="GD607" s="9"/>
      <c r="GE607" s="9"/>
      <c r="GF607" s="9"/>
      <c r="GG607" s="9"/>
      <c r="GH607" s="9"/>
      <c r="GI607" s="9"/>
      <c r="GJ607" s="9"/>
      <c r="GK607" s="9"/>
      <c r="GL607" s="9"/>
      <c r="GM607" s="9"/>
      <c r="GN607" s="9"/>
      <c r="GO607" s="9"/>
      <c r="GP607" s="9"/>
      <c r="GQ607" s="9"/>
      <c r="GR607" s="9"/>
      <c r="GS607" s="9"/>
      <c r="GT607" s="9"/>
      <c r="GU607" s="9"/>
      <c r="GV607" s="9"/>
      <c r="GW607" s="9"/>
      <c r="GX607" s="9"/>
      <c r="GY607" s="9"/>
      <c r="GZ607" s="9"/>
      <c r="HA607" s="9"/>
      <c r="HB607" s="9"/>
      <c r="HC607" s="9"/>
      <c r="HD607" s="9"/>
      <c r="HE607" s="9"/>
      <c r="HF607" s="9"/>
      <c r="HG607" s="9"/>
      <c r="HH607" s="9"/>
      <c r="HI607" s="9"/>
      <c r="HJ607" s="9"/>
      <c r="HK607" s="9"/>
      <c r="HL607" s="9"/>
      <c r="HM607" s="9"/>
      <c r="HU607" s="58">
        <v>36495</v>
      </c>
      <c r="IN607" t="s">
        <v>1892</v>
      </c>
      <c r="IO607" s="84" t="s">
        <v>1736</v>
      </c>
      <c r="IR607">
        <v>1999</v>
      </c>
      <c r="IT607" s="4" t="s">
        <v>1898</v>
      </c>
      <c r="JK607" t="s">
        <v>1648</v>
      </c>
      <c r="KD607" t="s">
        <v>1883</v>
      </c>
      <c r="KE607" s="84" t="s">
        <v>1561</v>
      </c>
      <c r="MS607" t="s">
        <v>1864</v>
      </c>
      <c r="MT607">
        <v>6.25E-2</v>
      </c>
      <c r="MU607" t="s">
        <v>1888</v>
      </c>
      <c r="MW607" t="s">
        <v>1888</v>
      </c>
      <c r="NC607" t="s">
        <v>712</v>
      </c>
      <c r="NE607" t="s">
        <v>203</v>
      </c>
      <c r="NG607" t="s">
        <v>203</v>
      </c>
      <c r="NQ607" t="s">
        <v>6</v>
      </c>
      <c r="NR607">
        <v>0.1</v>
      </c>
      <c r="NS607" s="4" t="s">
        <v>4</v>
      </c>
      <c r="NT607">
        <v>0.1</v>
      </c>
      <c r="NW607">
        <v>9</v>
      </c>
      <c r="OH607" t="s">
        <v>1874</v>
      </c>
      <c r="OK607">
        <v>2006</v>
      </c>
      <c r="OM607" t="s">
        <v>1902</v>
      </c>
      <c r="OO607" t="s">
        <v>1178</v>
      </c>
      <c r="OP607" s="58">
        <v>46120</v>
      </c>
    </row>
    <row r="608" spans="1:406" ht="15.75" thickBot="1">
      <c r="A608" t="s">
        <v>36</v>
      </c>
      <c r="B608" t="s">
        <v>1862</v>
      </c>
      <c r="C608" t="s">
        <v>1863</v>
      </c>
      <c r="D608" s="4" t="s">
        <v>1955</v>
      </c>
      <c r="E608" t="s">
        <v>1875</v>
      </c>
      <c r="F608" t="s">
        <v>31</v>
      </c>
      <c r="G608" t="s">
        <v>2</v>
      </c>
      <c r="H608" t="s">
        <v>30</v>
      </c>
      <c r="I608">
        <v>-13.65</v>
      </c>
      <c r="J608">
        <v>32.566666669999996</v>
      </c>
      <c r="K608" t="s">
        <v>29</v>
      </c>
      <c r="AV608" t="s">
        <v>1881</v>
      </c>
      <c r="AW608">
        <v>100</v>
      </c>
      <c r="AX608" t="s">
        <v>234</v>
      </c>
      <c r="AY608" s="5">
        <v>8</v>
      </c>
      <c r="AZ608" t="s">
        <v>1876</v>
      </c>
      <c r="BA608">
        <v>1999</v>
      </c>
      <c r="BB608">
        <v>2007</v>
      </c>
      <c r="BD608" t="s">
        <v>1867</v>
      </c>
      <c r="BE608" t="s">
        <v>1894</v>
      </c>
      <c r="BF608" t="s">
        <v>252</v>
      </c>
      <c r="BG608" t="s">
        <v>1243</v>
      </c>
      <c r="BH608" t="s">
        <v>23</v>
      </c>
      <c r="BI608" t="s">
        <v>1877</v>
      </c>
      <c r="BJ608" t="s">
        <v>22</v>
      </c>
      <c r="BK608">
        <v>44440</v>
      </c>
      <c r="BL608" t="s">
        <v>275</v>
      </c>
      <c r="EE608" t="s">
        <v>55</v>
      </c>
      <c r="EF608" t="s">
        <v>22</v>
      </c>
      <c r="EG608">
        <v>10000</v>
      </c>
      <c r="FN608" s="9"/>
      <c r="FO608" s="9"/>
      <c r="FP608" s="9"/>
      <c r="FQ608" s="9"/>
      <c r="FR608" s="9"/>
      <c r="FS608" s="9"/>
      <c r="FT608" s="9"/>
      <c r="FU608" s="9"/>
      <c r="FV608" s="9"/>
      <c r="FW608" s="9"/>
      <c r="FX608" s="9"/>
      <c r="FY608" s="9"/>
      <c r="FZ608" s="9"/>
      <c r="GA608" s="9"/>
      <c r="GB608" s="9"/>
      <c r="GC608" s="9"/>
      <c r="GD608" s="9"/>
      <c r="GE608" s="9"/>
      <c r="GF608" s="9"/>
      <c r="GG608" s="9"/>
      <c r="GH608" s="9"/>
      <c r="GI608" s="9"/>
      <c r="GJ608" s="9"/>
      <c r="GK608" s="9"/>
      <c r="GL608" s="9"/>
      <c r="GM608" s="9"/>
      <c r="GN608" s="9"/>
      <c r="GO608" s="9"/>
      <c r="GP608" s="9"/>
      <c r="GQ608" s="9"/>
      <c r="GR608" s="9"/>
      <c r="GS608" s="9"/>
      <c r="GT608" s="9"/>
      <c r="GU608" s="9"/>
      <c r="GV608" s="9"/>
      <c r="GW608" s="9"/>
      <c r="GX608" s="9"/>
      <c r="GY608" s="9"/>
      <c r="GZ608" s="9"/>
      <c r="HA608" s="9"/>
      <c r="HB608" s="9"/>
      <c r="HC608" s="9"/>
      <c r="HD608" s="9"/>
      <c r="HE608" s="9"/>
      <c r="HF608" s="9"/>
      <c r="HG608" s="9"/>
      <c r="HH608" s="9"/>
      <c r="HI608" s="9"/>
      <c r="HJ608" s="9"/>
      <c r="HK608" s="9"/>
      <c r="HL608" s="9"/>
      <c r="HM608" s="9"/>
      <c r="HU608" s="58">
        <v>36495</v>
      </c>
      <c r="IN608" t="s">
        <v>1894</v>
      </c>
      <c r="IO608" s="84" t="s">
        <v>1736</v>
      </c>
      <c r="IR608">
        <v>1999</v>
      </c>
      <c r="IT608" s="4" t="s">
        <v>1898</v>
      </c>
      <c r="JK608" t="s">
        <v>1648</v>
      </c>
      <c r="KD608" t="s">
        <v>1883</v>
      </c>
      <c r="KE608" s="84" t="s">
        <v>1561</v>
      </c>
      <c r="MS608" t="s">
        <v>1864</v>
      </c>
      <c r="MT608">
        <v>6.25E-2</v>
      </c>
      <c r="MU608" t="s">
        <v>1888</v>
      </c>
      <c r="MW608" t="s">
        <v>1888</v>
      </c>
      <c r="NC608" t="s">
        <v>712</v>
      </c>
      <c r="NE608" t="s">
        <v>203</v>
      </c>
      <c r="NG608" t="s">
        <v>203</v>
      </c>
      <c r="NQ608" t="s">
        <v>6</v>
      </c>
      <c r="NR608">
        <v>0.22424242</v>
      </c>
      <c r="NS608" s="4" t="s">
        <v>4</v>
      </c>
      <c r="NT608">
        <v>0.15</v>
      </c>
      <c r="NW608">
        <v>9</v>
      </c>
      <c r="OH608" t="s">
        <v>1874</v>
      </c>
      <c r="OK608">
        <v>2006</v>
      </c>
      <c r="OM608" t="s">
        <v>1902</v>
      </c>
      <c r="OO608" t="s">
        <v>1178</v>
      </c>
      <c r="OP608" s="58">
        <v>46120</v>
      </c>
    </row>
    <row r="609" spans="1:406" ht="15.75" thickBot="1">
      <c r="A609" t="s">
        <v>36</v>
      </c>
      <c r="B609" t="s">
        <v>1862</v>
      </c>
      <c r="C609" t="s">
        <v>1863</v>
      </c>
      <c r="D609" s="4" t="s">
        <v>1955</v>
      </c>
      <c r="E609" t="s">
        <v>1875</v>
      </c>
      <c r="F609" t="s">
        <v>31</v>
      </c>
      <c r="G609" t="s">
        <v>2</v>
      </c>
      <c r="H609" t="s">
        <v>30</v>
      </c>
      <c r="I609">
        <v>-13.65</v>
      </c>
      <c r="J609">
        <v>32.566666669999996</v>
      </c>
      <c r="K609" t="s">
        <v>29</v>
      </c>
      <c r="AV609" t="s">
        <v>1881</v>
      </c>
      <c r="AW609">
        <v>100</v>
      </c>
      <c r="AX609" t="s">
        <v>234</v>
      </c>
      <c r="AY609" s="5">
        <v>8</v>
      </c>
      <c r="AZ609" t="s">
        <v>1876</v>
      </c>
      <c r="BA609">
        <v>1999</v>
      </c>
      <c r="BB609">
        <v>2007</v>
      </c>
      <c r="BD609" t="s">
        <v>1867</v>
      </c>
      <c r="BE609" t="s">
        <v>1897</v>
      </c>
      <c r="BF609" t="s">
        <v>236</v>
      </c>
      <c r="BG609" t="s">
        <v>1243</v>
      </c>
      <c r="BH609" t="s">
        <v>23</v>
      </c>
      <c r="BI609" t="s">
        <v>1877</v>
      </c>
      <c r="BJ609" t="s">
        <v>22</v>
      </c>
      <c r="BK609">
        <v>44440</v>
      </c>
      <c r="BL609" t="s">
        <v>275</v>
      </c>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M609" s="9"/>
      <c r="HU609" s="58">
        <v>36495</v>
      </c>
      <c r="IN609" t="s">
        <v>1900</v>
      </c>
      <c r="IO609" s="54" t="s">
        <v>1899</v>
      </c>
      <c r="IR609">
        <v>1999</v>
      </c>
      <c r="IT609" s="4" t="s">
        <v>1898</v>
      </c>
      <c r="JK609" t="s">
        <v>1648</v>
      </c>
      <c r="KD609" t="s">
        <v>1883</v>
      </c>
      <c r="KE609" s="84" t="s">
        <v>1561</v>
      </c>
      <c r="MS609" t="s">
        <v>1864</v>
      </c>
      <c r="MT609">
        <v>6.25E-2</v>
      </c>
      <c r="MU609" t="s">
        <v>1888</v>
      </c>
      <c r="MW609" t="s">
        <v>1888</v>
      </c>
      <c r="NC609" t="s">
        <v>712</v>
      </c>
      <c r="NE609" t="s">
        <v>203</v>
      </c>
      <c r="NG609" t="s">
        <v>203</v>
      </c>
      <c r="NQ609" t="s">
        <v>6</v>
      </c>
      <c r="NR609">
        <v>0.22424242</v>
      </c>
      <c r="NS609" s="4" t="s">
        <v>4</v>
      </c>
      <c r="NT609">
        <v>0.15</v>
      </c>
      <c r="NW609">
        <v>9</v>
      </c>
      <c r="OH609" t="s">
        <v>1874</v>
      </c>
      <c r="OK609">
        <v>2006</v>
      </c>
      <c r="OM609" t="s">
        <v>1902</v>
      </c>
      <c r="OO609" t="s">
        <v>1178</v>
      </c>
      <c r="OP609" s="58">
        <v>46120</v>
      </c>
    </row>
    <row r="610" spans="1:406" ht="15.75" thickBot="1">
      <c r="A610" t="s">
        <v>36</v>
      </c>
      <c r="B610" t="s">
        <v>1862</v>
      </c>
      <c r="C610" t="s">
        <v>1863</v>
      </c>
      <c r="D610" s="4" t="s">
        <v>1955</v>
      </c>
      <c r="E610" t="s">
        <v>1875</v>
      </c>
      <c r="F610" t="s">
        <v>31</v>
      </c>
      <c r="G610" t="s">
        <v>2</v>
      </c>
      <c r="H610" t="s">
        <v>30</v>
      </c>
      <c r="I610">
        <v>-13.65</v>
      </c>
      <c r="J610">
        <v>32.566666669999996</v>
      </c>
      <c r="K610" t="s">
        <v>29</v>
      </c>
      <c r="AV610" t="s">
        <v>1881</v>
      </c>
      <c r="AW610">
        <v>100</v>
      </c>
      <c r="AX610" t="s">
        <v>234</v>
      </c>
      <c r="AY610" s="5">
        <v>8</v>
      </c>
      <c r="AZ610" t="s">
        <v>1876</v>
      </c>
      <c r="BA610">
        <v>1999</v>
      </c>
      <c r="BB610">
        <v>2007</v>
      </c>
      <c r="BD610" t="s">
        <v>19</v>
      </c>
      <c r="BE610" t="s">
        <v>1895</v>
      </c>
      <c r="BF610" t="s">
        <v>39</v>
      </c>
      <c r="BG610" t="s">
        <v>1243</v>
      </c>
      <c r="BH610" t="s">
        <v>23</v>
      </c>
      <c r="BI610" t="s">
        <v>1877</v>
      </c>
      <c r="BJ610" t="s">
        <v>22</v>
      </c>
      <c r="BK610">
        <v>44440</v>
      </c>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M610" s="9"/>
      <c r="HU610" s="58">
        <v>36495</v>
      </c>
      <c r="IN610" t="s">
        <v>1901</v>
      </c>
      <c r="IO610" t="s">
        <v>19</v>
      </c>
      <c r="IR610">
        <v>1999</v>
      </c>
      <c r="JK610" t="s">
        <v>14</v>
      </c>
      <c r="JL610" t="s">
        <v>1878</v>
      </c>
      <c r="JM610" t="s">
        <v>13</v>
      </c>
      <c r="JN610" t="s">
        <v>1879</v>
      </c>
      <c r="JO610" t="s">
        <v>13</v>
      </c>
      <c r="JP610" t="s">
        <v>1880</v>
      </c>
      <c r="JQ610">
        <v>90</v>
      </c>
      <c r="JR610">
        <v>80</v>
      </c>
      <c r="KD610" t="s">
        <v>1883</v>
      </c>
      <c r="KE610" s="84" t="s">
        <v>1561</v>
      </c>
      <c r="MS610" t="s">
        <v>1864</v>
      </c>
      <c r="MT610">
        <v>6.25E-2</v>
      </c>
      <c r="MU610" t="s">
        <v>1888</v>
      </c>
      <c r="MW610" t="s">
        <v>1888</v>
      </c>
      <c r="NC610" t="s">
        <v>712</v>
      </c>
      <c r="NE610" t="s">
        <v>203</v>
      </c>
      <c r="NG610" t="s">
        <v>203</v>
      </c>
      <c r="NP610" t="s">
        <v>1571</v>
      </c>
      <c r="NQ610" t="s">
        <v>6</v>
      </c>
      <c r="NR610">
        <v>0.22272727</v>
      </c>
      <c r="NS610" s="4" t="s">
        <v>4</v>
      </c>
      <c r="NT610">
        <v>0.15</v>
      </c>
      <c r="NW610">
        <v>9</v>
      </c>
      <c r="OH610" t="s">
        <v>1874</v>
      </c>
      <c r="OK610">
        <v>2006</v>
      </c>
      <c r="OM610" t="s">
        <v>1902</v>
      </c>
      <c r="OO610" t="s">
        <v>1178</v>
      </c>
      <c r="OP610" s="58">
        <v>46120</v>
      </c>
    </row>
    <row r="611" spans="1:406" ht="15.75" thickBot="1">
      <c r="A611" t="s">
        <v>248</v>
      </c>
      <c r="B611" t="s">
        <v>1903</v>
      </c>
      <c r="C611" t="s">
        <v>1904</v>
      </c>
      <c r="D611" s="4" t="s">
        <v>1955</v>
      </c>
      <c r="E611" s="90" t="s">
        <v>1974</v>
      </c>
      <c r="F611" t="s">
        <v>31</v>
      </c>
      <c r="G611" t="s">
        <v>2</v>
      </c>
      <c r="H611" t="s">
        <v>30</v>
      </c>
      <c r="I611">
        <v>30.9</v>
      </c>
      <c r="J611">
        <v>75.75</v>
      </c>
      <c r="K611" t="s">
        <v>29</v>
      </c>
      <c r="AV611" t="s">
        <v>1957</v>
      </c>
      <c r="AW611" t="s">
        <v>234</v>
      </c>
      <c r="AX611" t="s">
        <v>234</v>
      </c>
      <c r="AY611">
        <v>2</v>
      </c>
      <c r="AZ611" t="s">
        <v>1956</v>
      </c>
      <c r="BA611">
        <v>2016</v>
      </c>
      <c r="BB611">
        <v>2018</v>
      </c>
      <c r="BD611" t="s">
        <v>1905</v>
      </c>
      <c r="BE611" t="s">
        <v>1906</v>
      </c>
      <c r="BF611" t="s">
        <v>39</v>
      </c>
      <c r="BG611" t="s">
        <v>1243</v>
      </c>
      <c r="BH611" t="s">
        <v>23</v>
      </c>
      <c r="BI611" t="s">
        <v>1933</v>
      </c>
      <c r="BJ611" t="s">
        <v>13</v>
      </c>
      <c r="BK611">
        <v>20</v>
      </c>
      <c r="BL611" t="s">
        <v>275</v>
      </c>
      <c r="BM611" t="s">
        <v>1907</v>
      </c>
      <c r="BN611" t="s">
        <v>29</v>
      </c>
      <c r="BO611" t="s">
        <v>29</v>
      </c>
      <c r="BP611" t="s">
        <v>29</v>
      </c>
      <c r="HU611" s="58">
        <v>42539</v>
      </c>
      <c r="IN611" t="s">
        <v>1906</v>
      </c>
      <c r="IO611" s="54" t="s">
        <v>1939</v>
      </c>
      <c r="IR611">
        <v>2016</v>
      </c>
      <c r="JI611" t="s">
        <v>1958</v>
      </c>
      <c r="JK611" t="s">
        <v>14</v>
      </c>
      <c r="JO611" t="s">
        <v>13</v>
      </c>
      <c r="JP611">
        <v>125</v>
      </c>
      <c r="JS611">
        <v>60</v>
      </c>
      <c r="JT611">
        <v>30</v>
      </c>
      <c r="KD611" t="s">
        <v>1940</v>
      </c>
      <c r="KE611" s="84" t="s">
        <v>1561</v>
      </c>
      <c r="KF611" t="s">
        <v>1960</v>
      </c>
      <c r="KG611">
        <v>2</v>
      </c>
      <c r="KH611" t="s">
        <v>1959</v>
      </c>
      <c r="KJ611" s="8" t="s">
        <v>1962</v>
      </c>
      <c r="KK611" t="s">
        <v>1963</v>
      </c>
      <c r="KL611">
        <v>3</v>
      </c>
      <c r="KN611" s="8" t="s">
        <v>1941</v>
      </c>
      <c r="KO611" t="s">
        <v>234</v>
      </c>
      <c r="KP611" t="s">
        <v>234</v>
      </c>
      <c r="KR611" t="s">
        <v>1942</v>
      </c>
      <c r="KS611" t="s">
        <v>234</v>
      </c>
      <c r="KT611" t="s">
        <v>234</v>
      </c>
      <c r="LO611" t="s">
        <v>1964</v>
      </c>
      <c r="LS611" t="s">
        <v>1944</v>
      </c>
      <c r="LT611">
        <v>206.25</v>
      </c>
      <c r="LU611" s="4" t="s">
        <v>29</v>
      </c>
      <c r="MC611" s="58">
        <v>42997</v>
      </c>
      <c r="MD611" s="58">
        <v>42997</v>
      </c>
      <c r="MS611" t="s">
        <v>1945</v>
      </c>
      <c r="MT611" t="s">
        <v>234</v>
      </c>
      <c r="MU611" t="s">
        <v>1908</v>
      </c>
      <c r="MW611" t="s">
        <v>168</v>
      </c>
      <c r="ND611" t="s">
        <v>1969</v>
      </c>
      <c r="NE611" t="s">
        <v>1909</v>
      </c>
      <c r="NF611" t="s">
        <v>1928</v>
      </c>
      <c r="NG611" s="4" t="s">
        <v>266</v>
      </c>
      <c r="NH611" s="6" t="s">
        <v>1932</v>
      </c>
      <c r="NP611" t="s">
        <v>1571</v>
      </c>
      <c r="NQ611" t="s">
        <v>6</v>
      </c>
      <c r="NR611">
        <v>36580</v>
      </c>
      <c r="NS611" t="s">
        <v>234</v>
      </c>
      <c r="NT611" t="s">
        <v>234</v>
      </c>
      <c r="NW611" s="15">
        <v>3</v>
      </c>
      <c r="OH611" t="s">
        <v>1943</v>
      </c>
      <c r="OI611" t="s">
        <v>6</v>
      </c>
      <c r="OK611">
        <v>2016</v>
      </c>
      <c r="OL611">
        <v>2017</v>
      </c>
      <c r="OO611" t="s">
        <v>1178</v>
      </c>
      <c r="OP611" s="58">
        <v>46129</v>
      </c>
    </row>
    <row r="612" spans="1:406" ht="15.75" thickBot="1">
      <c r="A612" t="s">
        <v>248</v>
      </c>
      <c r="B612" t="s">
        <v>1903</v>
      </c>
      <c r="C612" t="s">
        <v>1904</v>
      </c>
      <c r="D612" s="4" t="s">
        <v>1955</v>
      </c>
      <c r="E612" s="90" t="s">
        <v>1974</v>
      </c>
      <c r="F612" t="s">
        <v>31</v>
      </c>
      <c r="G612" t="s">
        <v>2</v>
      </c>
      <c r="H612" t="s">
        <v>30</v>
      </c>
      <c r="I612">
        <v>30.9</v>
      </c>
      <c r="J612">
        <v>75.75</v>
      </c>
      <c r="K612" t="s">
        <v>29</v>
      </c>
      <c r="AV612" t="s">
        <v>1957</v>
      </c>
      <c r="AW612" t="s">
        <v>234</v>
      </c>
      <c r="AX612" t="s">
        <v>234</v>
      </c>
      <c r="AY612">
        <v>2</v>
      </c>
      <c r="AZ612" t="s">
        <v>1956</v>
      </c>
      <c r="BA612">
        <v>2016</v>
      </c>
      <c r="BB612">
        <v>2018</v>
      </c>
      <c r="BD612" t="s">
        <v>1910</v>
      </c>
      <c r="BE612" t="s">
        <v>1925</v>
      </c>
      <c r="BF612" t="s">
        <v>64</v>
      </c>
      <c r="BG612" t="s">
        <v>1243</v>
      </c>
      <c r="BH612" t="s">
        <v>23</v>
      </c>
      <c r="BI612" t="s">
        <v>1933</v>
      </c>
      <c r="BJ612" t="s">
        <v>13</v>
      </c>
      <c r="BK612">
        <v>20</v>
      </c>
      <c r="BL612" t="s">
        <v>275</v>
      </c>
      <c r="BM612" t="s">
        <v>1913</v>
      </c>
      <c r="BN612" t="s">
        <v>29</v>
      </c>
      <c r="BO612" t="s">
        <v>29</v>
      </c>
      <c r="BP612" t="s">
        <v>29</v>
      </c>
      <c r="BQ612" t="s">
        <v>275</v>
      </c>
      <c r="BR612" t="s">
        <v>1912</v>
      </c>
      <c r="BS612" t="s">
        <v>29</v>
      </c>
      <c r="BT612" t="s">
        <v>29</v>
      </c>
      <c r="BU612" t="s">
        <v>29</v>
      </c>
      <c r="BV612" t="s">
        <v>56</v>
      </c>
      <c r="BW612" t="s">
        <v>1184</v>
      </c>
      <c r="BX612" t="s">
        <v>29</v>
      </c>
      <c r="BY612" t="s">
        <v>29</v>
      </c>
      <c r="BZ612" t="s">
        <v>29</v>
      </c>
      <c r="HU612" s="58">
        <v>42539</v>
      </c>
      <c r="IN612" t="s">
        <v>1925</v>
      </c>
      <c r="IO612" s="54" t="s">
        <v>1938</v>
      </c>
      <c r="IR612">
        <v>2016</v>
      </c>
      <c r="JI612" t="s">
        <v>1958</v>
      </c>
      <c r="JK612" t="s">
        <v>14</v>
      </c>
      <c r="JO612" t="s">
        <v>13</v>
      </c>
      <c r="JP612">
        <v>125</v>
      </c>
      <c r="JS612">
        <v>60</v>
      </c>
      <c r="JT612">
        <v>30</v>
      </c>
      <c r="KD612" t="s">
        <v>1940</v>
      </c>
      <c r="KE612" s="84" t="s">
        <v>1561</v>
      </c>
      <c r="KF612" t="s">
        <v>1960</v>
      </c>
      <c r="KG612">
        <v>2</v>
      </c>
      <c r="KH612" t="s">
        <v>1959</v>
      </c>
      <c r="KJ612" s="8" t="s">
        <v>1962</v>
      </c>
      <c r="KK612" t="s">
        <v>1963</v>
      </c>
      <c r="KL612">
        <v>3</v>
      </c>
      <c r="KN612" s="8" t="s">
        <v>1941</v>
      </c>
      <c r="KO612" t="s">
        <v>234</v>
      </c>
      <c r="KP612" t="s">
        <v>234</v>
      </c>
      <c r="KR612" t="s">
        <v>1942</v>
      </c>
      <c r="KS612" t="s">
        <v>234</v>
      </c>
      <c r="KT612" t="s">
        <v>234</v>
      </c>
      <c r="LO612" t="s">
        <v>1964</v>
      </c>
      <c r="LS612" t="s">
        <v>1944</v>
      </c>
      <c r="LT612">
        <v>206.25</v>
      </c>
      <c r="LU612" s="4" t="s">
        <v>29</v>
      </c>
      <c r="MC612" s="58">
        <v>42997</v>
      </c>
      <c r="MD612" s="58">
        <v>42997</v>
      </c>
      <c r="MS612" t="s">
        <v>1945</v>
      </c>
      <c r="MT612" t="s">
        <v>234</v>
      </c>
      <c r="MU612" t="s">
        <v>1914</v>
      </c>
      <c r="MW612" t="s">
        <v>168</v>
      </c>
      <c r="ND612" t="s">
        <v>1969</v>
      </c>
      <c r="NE612" t="s">
        <v>1909</v>
      </c>
      <c r="NF612" t="s">
        <v>1928</v>
      </c>
      <c r="NG612" s="4" t="s">
        <v>266</v>
      </c>
      <c r="NH612" s="6" t="s">
        <v>1932</v>
      </c>
      <c r="NQ612" t="s">
        <v>6</v>
      </c>
      <c r="NR612">
        <v>36700</v>
      </c>
      <c r="NS612" t="s">
        <v>234</v>
      </c>
      <c r="NT612" t="s">
        <v>234</v>
      </c>
      <c r="NW612" s="15">
        <v>3</v>
      </c>
      <c r="OH612" t="s">
        <v>1943</v>
      </c>
      <c r="OI612" t="s">
        <v>6</v>
      </c>
      <c r="OK612">
        <v>2016</v>
      </c>
      <c r="OL612">
        <v>2017</v>
      </c>
      <c r="OO612" t="s">
        <v>1178</v>
      </c>
      <c r="OP612" s="58">
        <v>46129</v>
      </c>
    </row>
    <row r="613" spans="1:406" ht="15.75" thickBot="1">
      <c r="A613" t="s">
        <v>248</v>
      </c>
      <c r="B613" t="s">
        <v>1903</v>
      </c>
      <c r="C613" t="s">
        <v>1904</v>
      </c>
      <c r="D613" s="4" t="s">
        <v>1955</v>
      </c>
      <c r="E613" s="90" t="s">
        <v>1974</v>
      </c>
      <c r="F613" t="s">
        <v>31</v>
      </c>
      <c r="G613" t="s">
        <v>2</v>
      </c>
      <c r="H613" t="s">
        <v>30</v>
      </c>
      <c r="I613">
        <v>30.9</v>
      </c>
      <c r="J613">
        <v>75.75</v>
      </c>
      <c r="K613" t="s">
        <v>29</v>
      </c>
      <c r="AV613" t="s">
        <v>1957</v>
      </c>
      <c r="AW613" t="s">
        <v>234</v>
      </c>
      <c r="AX613" t="s">
        <v>234</v>
      </c>
      <c r="AY613">
        <v>2</v>
      </c>
      <c r="AZ613" t="s">
        <v>1956</v>
      </c>
      <c r="BA613">
        <v>2016</v>
      </c>
      <c r="BB613">
        <v>2018</v>
      </c>
      <c r="BD613" t="s">
        <v>1910</v>
      </c>
      <c r="BE613" t="s">
        <v>1970</v>
      </c>
      <c r="BF613" t="s">
        <v>57</v>
      </c>
      <c r="BG613" t="s">
        <v>1243</v>
      </c>
      <c r="BH613" t="s">
        <v>23</v>
      </c>
      <c r="BI613" t="s">
        <v>1933</v>
      </c>
      <c r="BJ613" t="s">
        <v>13</v>
      </c>
      <c r="BK613">
        <v>20</v>
      </c>
      <c r="BL613" t="s">
        <v>56</v>
      </c>
      <c r="BM613" t="s">
        <v>250</v>
      </c>
      <c r="BN613" t="s">
        <v>29</v>
      </c>
      <c r="BO613" t="s">
        <v>29</v>
      </c>
      <c r="BP613" t="s">
        <v>29</v>
      </c>
      <c r="BQ613" t="s">
        <v>275</v>
      </c>
      <c r="BR613" t="s">
        <v>1913</v>
      </c>
      <c r="BS613" t="s">
        <v>29</v>
      </c>
      <c r="BT613" t="s">
        <v>29</v>
      </c>
      <c r="BU613" t="s">
        <v>29</v>
      </c>
      <c r="BV613" t="s">
        <v>275</v>
      </c>
      <c r="BW613" t="s">
        <v>1912</v>
      </c>
      <c r="BX613" t="s">
        <v>29</v>
      </c>
      <c r="BY613" t="s">
        <v>29</v>
      </c>
      <c r="BZ613" t="s">
        <v>29</v>
      </c>
      <c r="CA613" t="s">
        <v>56</v>
      </c>
      <c r="CB613" t="s">
        <v>1184</v>
      </c>
      <c r="CC613" t="s">
        <v>29</v>
      </c>
      <c r="CD613" t="s">
        <v>29</v>
      </c>
      <c r="CE613" t="s">
        <v>29</v>
      </c>
      <c r="HU613" s="58">
        <v>42539</v>
      </c>
      <c r="IN613" t="s">
        <v>1926</v>
      </c>
      <c r="IO613" s="54" t="s">
        <v>1938</v>
      </c>
      <c r="IR613">
        <v>2016</v>
      </c>
      <c r="JI613" t="s">
        <v>1958</v>
      </c>
      <c r="JK613" t="s">
        <v>14</v>
      </c>
      <c r="JO613" t="s">
        <v>13</v>
      </c>
      <c r="JP613">
        <v>125</v>
      </c>
      <c r="JS613">
        <v>60</v>
      </c>
      <c r="JT613">
        <v>30</v>
      </c>
      <c r="KD613" t="s">
        <v>1940</v>
      </c>
      <c r="KE613" s="84" t="s">
        <v>1561</v>
      </c>
      <c r="KF613" t="s">
        <v>1960</v>
      </c>
      <c r="KG613">
        <v>2</v>
      </c>
      <c r="KH613" t="s">
        <v>1959</v>
      </c>
      <c r="KJ613" s="8" t="s">
        <v>1962</v>
      </c>
      <c r="KK613" t="s">
        <v>1963</v>
      </c>
      <c r="KL613">
        <v>3</v>
      </c>
      <c r="KN613" s="8" t="s">
        <v>1941</v>
      </c>
      <c r="KO613" t="s">
        <v>234</v>
      </c>
      <c r="KP613" t="s">
        <v>234</v>
      </c>
      <c r="KR613" t="s">
        <v>1942</v>
      </c>
      <c r="KS613" t="s">
        <v>234</v>
      </c>
      <c r="KT613" t="s">
        <v>234</v>
      </c>
      <c r="LO613" t="s">
        <v>1964</v>
      </c>
      <c r="LS613" t="s">
        <v>1944</v>
      </c>
      <c r="LT613">
        <v>206.25</v>
      </c>
      <c r="LU613" s="4" t="s">
        <v>29</v>
      </c>
      <c r="MC613" s="58">
        <v>42997</v>
      </c>
      <c r="MD613" s="58">
        <v>42997</v>
      </c>
      <c r="MS613" t="s">
        <v>1945</v>
      </c>
      <c r="MT613" t="s">
        <v>234</v>
      </c>
      <c r="MU613" t="s">
        <v>1916</v>
      </c>
      <c r="MW613" t="s">
        <v>168</v>
      </c>
      <c r="MX613" t="s">
        <v>250</v>
      </c>
      <c r="ND613" t="s">
        <v>1969</v>
      </c>
      <c r="NE613" t="s">
        <v>1909</v>
      </c>
      <c r="NF613" t="s">
        <v>1928</v>
      </c>
      <c r="NG613" s="4" t="s">
        <v>266</v>
      </c>
      <c r="NH613" s="6" t="s">
        <v>1932</v>
      </c>
      <c r="NQ613" t="s">
        <v>6</v>
      </c>
      <c r="NR613">
        <v>48700</v>
      </c>
      <c r="NS613" t="s">
        <v>234</v>
      </c>
      <c r="NT613" t="s">
        <v>234</v>
      </c>
      <c r="NW613" s="15">
        <v>3</v>
      </c>
      <c r="OH613" t="s">
        <v>1943</v>
      </c>
      <c r="OI613" t="s">
        <v>6</v>
      </c>
      <c r="OK613">
        <v>2016</v>
      </c>
      <c r="OL613">
        <v>2017</v>
      </c>
      <c r="OO613" t="s">
        <v>1178</v>
      </c>
      <c r="OP613" s="58">
        <v>46129</v>
      </c>
    </row>
    <row r="614" spans="1:406" ht="15.75" thickBot="1">
      <c r="A614" t="s">
        <v>248</v>
      </c>
      <c r="B614" t="s">
        <v>1903</v>
      </c>
      <c r="C614" t="s">
        <v>1904</v>
      </c>
      <c r="D614" s="4" t="s">
        <v>1955</v>
      </c>
      <c r="E614" s="90" t="s">
        <v>1974</v>
      </c>
      <c r="F614" t="s">
        <v>31</v>
      </c>
      <c r="G614" t="s">
        <v>2</v>
      </c>
      <c r="H614" t="s">
        <v>30</v>
      </c>
      <c r="I614">
        <v>30.9</v>
      </c>
      <c r="J614">
        <v>75.75</v>
      </c>
      <c r="K614" t="s">
        <v>29</v>
      </c>
      <c r="AV614" t="s">
        <v>1957</v>
      </c>
      <c r="AW614" t="s">
        <v>234</v>
      </c>
      <c r="AX614" t="s">
        <v>234</v>
      </c>
      <c r="AY614">
        <v>2</v>
      </c>
      <c r="AZ614" t="s">
        <v>1956</v>
      </c>
      <c r="BA614">
        <v>2016</v>
      </c>
      <c r="BB614">
        <v>2018</v>
      </c>
      <c r="BD614" t="s">
        <v>1910</v>
      </c>
      <c r="BE614" t="s">
        <v>1971</v>
      </c>
      <c r="BF614" t="s">
        <v>48</v>
      </c>
      <c r="BG614" t="s">
        <v>1243</v>
      </c>
      <c r="BH614" t="s">
        <v>23</v>
      </c>
      <c r="BI614" t="s">
        <v>1933</v>
      </c>
      <c r="BJ614" t="s">
        <v>13</v>
      </c>
      <c r="BK614">
        <v>20</v>
      </c>
      <c r="BL614" t="s">
        <v>56</v>
      </c>
      <c r="BM614" t="s">
        <v>250</v>
      </c>
      <c r="BN614" t="s">
        <v>29</v>
      </c>
      <c r="BO614" t="s">
        <v>29</v>
      </c>
      <c r="BP614" t="s">
        <v>29</v>
      </c>
      <c r="BQ614" t="s">
        <v>275</v>
      </c>
      <c r="BR614" t="s">
        <v>1913</v>
      </c>
      <c r="BS614" t="s">
        <v>29</v>
      </c>
      <c r="BT614" t="s">
        <v>29</v>
      </c>
      <c r="BU614" t="s">
        <v>29</v>
      </c>
      <c r="HU614" s="58">
        <v>42539</v>
      </c>
      <c r="IN614" t="s">
        <v>1917</v>
      </c>
      <c r="IO614" s="54" t="s">
        <v>1938</v>
      </c>
      <c r="IR614">
        <v>2016</v>
      </c>
      <c r="JI614" t="s">
        <v>1958</v>
      </c>
      <c r="JK614" t="s">
        <v>14</v>
      </c>
      <c r="JO614" t="s">
        <v>13</v>
      </c>
      <c r="JP614">
        <v>125</v>
      </c>
      <c r="JS614">
        <v>60</v>
      </c>
      <c r="JT614">
        <v>30</v>
      </c>
      <c r="KD614" t="s">
        <v>1940</v>
      </c>
      <c r="KE614" s="84" t="s">
        <v>1561</v>
      </c>
      <c r="KF614" t="s">
        <v>1960</v>
      </c>
      <c r="KG614">
        <v>2</v>
      </c>
      <c r="KH614" t="s">
        <v>1959</v>
      </c>
      <c r="KJ614" s="8" t="s">
        <v>1962</v>
      </c>
      <c r="KK614" t="s">
        <v>1963</v>
      </c>
      <c r="KL614">
        <v>3</v>
      </c>
      <c r="KN614" s="8" t="s">
        <v>1941</v>
      </c>
      <c r="KO614" t="s">
        <v>234</v>
      </c>
      <c r="KP614" t="s">
        <v>234</v>
      </c>
      <c r="KR614" t="s">
        <v>1942</v>
      </c>
      <c r="KS614" t="s">
        <v>234</v>
      </c>
      <c r="KT614" t="s">
        <v>234</v>
      </c>
      <c r="LO614" t="s">
        <v>1964</v>
      </c>
      <c r="LS614" t="s">
        <v>1944</v>
      </c>
      <c r="LT614">
        <v>206.25</v>
      </c>
      <c r="LU614" s="4" t="s">
        <v>29</v>
      </c>
      <c r="MC614" s="58">
        <v>42997</v>
      </c>
      <c r="MD614" s="58">
        <v>42997</v>
      </c>
      <c r="MS614" t="s">
        <v>1945</v>
      </c>
      <c r="MT614" t="s">
        <v>234</v>
      </c>
      <c r="MU614" t="s">
        <v>1918</v>
      </c>
      <c r="MW614" t="s">
        <v>168</v>
      </c>
      <c r="MX614" t="s">
        <v>250</v>
      </c>
      <c r="ND614" t="s">
        <v>1969</v>
      </c>
      <c r="NE614" t="s">
        <v>1909</v>
      </c>
      <c r="NF614" t="s">
        <v>1928</v>
      </c>
      <c r="NG614" s="4" t="s">
        <v>266</v>
      </c>
      <c r="NH614" s="6" t="s">
        <v>1932</v>
      </c>
      <c r="NQ614" t="s">
        <v>6</v>
      </c>
      <c r="NR614">
        <v>49600</v>
      </c>
      <c r="NS614" t="s">
        <v>234</v>
      </c>
      <c r="NT614" t="s">
        <v>234</v>
      </c>
      <c r="NW614" s="15">
        <v>3</v>
      </c>
      <c r="OH614" t="s">
        <v>1943</v>
      </c>
      <c r="OI614" t="s">
        <v>6</v>
      </c>
      <c r="OK614">
        <v>2016</v>
      </c>
      <c r="OL614">
        <v>2017</v>
      </c>
      <c r="OO614" t="s">
        <v>1178</v>
      </c>
      <c r="OP614" s="58">
        <v>46129</v>
      </c>
    </row>
    <row r="615" spans="1:406" ht="15.75" thickBot="1">
      <c r="A615" t="s">
        <v>248</v>
      </c>
      <c r="B615" t="s">
        <v>1903</v>
      </c>
      <c r="C615" t="s">
        <v>1904</v>
      </c>
      <c r="D615" s="4" t="s">
        <v>1955</v>
      </c>
      <c r="E615" s="90" t="s">
        <v>1974</v>
      </c>
      <c r="F615" t="s">
        <v>31</v>
      </c>
      <c r="G615" t="s">
        <v>2</v>
      </c>
      <c r="H615" t="s">
        <v>30</v>
      </c>
      <c r="I615">
        <v>30.9</v>
      </c>
      <c r="J615">
        <v>75.75</v>
      </c>
      <c r="K615" t="s">
        <v>29</v>
      </c>
      <c r="AV615" t="s">
        <v>1957</v>
      </c>
      <c r="AW615" t="s">
        <v>234</v>
      </c>
      <c r="AX615" t="s">
        <v>234</v>
      </c>
      <c r="AY615">
        <v>2</v>
      </c>
      <c r="AZ615" t="s">
        <v>1956</v>
      </c>
      <c r="BA615">
        <v>2016</v>
      </c>
      <c r="BB615">
        <v>2018</v>
      </c>
      <c r="BD615" t="s">
        <v>1910</v>
      </c>
      <c r="BE615" t="s">
        <v>1972</v>
      </c>
      <c r="BF615" t="s">
        <v>43</v>
      </c>
      <c r="BG615" t="s">
        <v>1243</v>
      </c>
      <c r="BH615" t="s">
        <v>23</v>
      </c>
      <c r="BI615" t="s">
        <v>1933</v>
      </c>
      <c r="BJ615" t="s">
        <v>13</v>
      </c>
      <c r="BK615">
        <v>20</v>
      </c>
      <c r="BL615" t="s">
        <v>56</v>
      </c>
      <c r="BM615" t="s">
        <v>250</v>
      </c>
      <c r="BN615" t="s">
        <v>29</v>
      </c>
      <c r="BO615" t="s">
        <v>29</v>
      </c>
      <c r="BP615" t="s">
        <v>29</v>
      </c>
      <c r="BQ615" t="s">
        <v>275</v>
      </c>
      <c r="BR615" t="s">
        <v>1935</v>
      </c>
      <c r="BS615" t="s">
        <v>29</v>
      </c>
      <c r="BT615" t="s">
        <v>29</v>
      </c>
      <c r="BU615" t="s">
        <v>29</v>
      </c>
      <c r="BV615" t="s">
        <v>275</v>
      </c>
      <c r="BW615" t="s">
        <v>1936</v>
      </c>
      <c r="BX615" t="s">
        <v>29</v>
      </c>
      <c r="BY615" t="s">
        <v>29</v>
      </c>
      <c r="BZ615" t="s">
        <v>29</v>
      </c>
      <c r="HU615" s="58">
        <v>42539</v>
      </c>
      <c r="IN615" t="s">
        <v>1934</v>
      </c>
      <c r="IO615" s="54" t="s">
        <v>1938</v>
      </c>
      <c r="IR615">
        <v>2016</v>
      </c>
      <c r="JI615" t="s">
        <v>1958</v>
      </c>
      <c r="JK615" t="s">
        <v>14</v>
      </c>
      <c r="JO615" t="s">
        <v>13</v>
      </c>
      <c r="JP615">
        <v>125</v>
      </c>
      <c r="JS615">
        <v>60</v>
      </c>
      <c r="JT615">
        <v>30</v>
      </c>
      <c r="KD615" t="s">
        <v>1940</v>
      </c>
      <c r="KE615" s="84" t="s">
        <v>1561</v>
      </c>
      <c r="KF615" t="s">
        <v>1960</v>
      </c>
      <c r="KG615">
        <v>2</v>
      </c>
      <c r="KH615" t="s">
        <v>1959</v>
      </c>
      <c r="KJ615" s="8" t="s">
        <v>1962</v>
      </c>
      <c r="KK615" t="s">
        <v>1963</v>
      </c>
      <c r="KL615">
        <v>3</v>
      </c>
      <c r="KN615" s="8" t="s">
        <v>1941</v>
      </c>
      <c r="KO615" t="s">
        <v>234</v>
      </c>
      <c r="KP615" t="s">
        <v>234</v>
      </c>
      <c r="KR615" t="s">
        <v>1942</v>
      </c>
      <c r="KS615" t="s">
        <v>234</v>
      </c>
      <c r="KT615" t="s">
        <v>234</v>
      </c>
      <c r="LO615" t="s">
        <v>1964</v>
      </c>
      <c r="LS615" t="s">
        <v>1944</v>
      </c>
      <c r="LT615">
        <v>206.25</v>
      </c>
      <c r="LU615" s="4" t="s">
        <v>29</v>
      </c>
      <c r="MC615" s="58">
        <v>42997</v>
      </c>
      <c r="MD615" s="58">
        <v>42997</v>
      </c>
      <c r="MS615" t="s">
        <v>1945</v>
      </c>
      <c r="MT615" t="s">
        <v>234</v>
      </c>
      <c r="MU615" t="s">
        <v>1920</v>
      </c>
      <c r="MW615" t="s">
        <v>168</v>
      </c>
      <c r="MX615" t="s">
        <v>250</v>
      </c>
      <c r="ND615" t="s">
        <v>1969</v>
      </c>
      <c r="NE615" t="s">
        <v>1909</v>
      </c>
      <c r="NF615" t="s">
        <v>1928</v>
      </c>
      <c r="NG615" s="4" t="s">
        <v>266</v>
      </c>
      <c r="NH615" s="6" t="s">
        <v>1932</v>
      </c>
      <c r="NQ615" t="s">
        <v>6</v>
      </c>
      <c r="NR615">
        <v>49140</v>
      </c>
      <c r="NS615" t="s">
        <v>234</v>
      </c>
      <c r="NT615" t="s">
        <v>234</v>
      </c>
      <c r="NW615" s="15">
        <v>3</v>
      </c>
      <c r="OH615" t="s">
        <v>1943</v>
      </c>
      <c r="OI615" t="s">
        <v>6</v>
      </c>
      <c r="OK615">
        <v>2016</v>
      </c>
      <c r="OL615">
        <v>2017</v>
      </c>
      <c r="OO615" t="s">
        <v>1178</v>
      </c>
      <c r="OP615" s="58">
        <v>46129</v>
      </c>
    </row>
    <row r="616" spans="1:406" ht="15.75" thickBot="1">
      <c r="A616" t="s">
        <v>248</v>
      </c>
      <c r="B616" t="s">
        <v>1903</v>
      </c>
      <c r="C616" t="s">
        <v>1904</v>
      </c>
      <c r="D616" s="4" t="s">
        <v>1955</v>
      </c>
      <c r="E616" s="90" t="s">
        <v>1974</v>
      </c>
      <c r="F616" t="s">
        <v>31</v>
      </c>
      <c r="G616" t="s">
        <v>2</v>
      </c>
      <c r="H616" t="s">
        <v>30</v>
      </c>
      <c r="I616">
        <v>30.9</v>
      </c>
      <c r="J616">
        <v>75.75</v>
      </c>
      <c r="K616" t="s">
        <v>29</v>
      </c>
      <c r="AV616" t="s">
        <v>1957</v>
      </c>
      <c r="AW616" t="s">
        <v>234</v>
      </c>
      <c r="AX616" t="s">
        <v>234</v>
      </c>
      <c r="AY616">
        <v>2</v>
      </c>
      <c r="AZ616" t="s">
        <v>1956</v>
      </c>
      <c r="BA616">
        <v>2016</v>
      </c>
      <c r="BB616">
        <v>2018</v>
      </c>
      <c r="BD616" t="s">
        <v>1910</v>
      </c>
      <c r="BE616" s="3" t="s">
        <v>1921</v>
      </c>
      <c r="BF616" t="s">
        <v>252</v>
      </c>
      <c r="BG616" t="s">
        <v>1243</v>
      </c>
      <c r="BH616" t="s">
        <v>23</v>
      </c>
      <c r="BI616" t="s">
        <v>1933</v>
      </c>
      <c r="BJ616" t="s">
        <v>13</v>
      </c>
      <c r="BK616">
        <v>20</v>
      </c>
      <c r="BL616" t="s">
        <v>275</v>
      </c>
      <c r="BM616" t="s">
        <v>1937</v>
      </c>
      <c r="BN616" t="s">
        <v>29</v>
      </c>
      <c r="BO616" t="s">
        <v>29</v>
      </c>
      <c r="BP616" t="s">
        <v>29</v>
      </c>
      <c r="BQ616" t="s">
        <v>275</v>
      </c>
      <c r="BR616" t="s">
        <v>1935</v>
      </c>
      <c r="BS616" t="s">
        <v>29</v>
      </c>
      <c r="BT616" t="s">
        <v>29</v>
      </c>
      <c r="BU616" t="s">
        <v>29</v>
      </c>
      <c r="BV616" t="s">
        <v>275</v>
      </c>
      <c r="BW616" t="s">
        <v>1936</v>
      </c>
      <c r="BX616" t="s">
        <v>29</v>
      </c>
      <c r="BY616" t="s">
        <v>29</v>
      </c>
      <c r="BZ616" t="s">
        <v>29</v>
      </c>
      <c r="HU616" s="58">
        <v>42539</v>
      </c>
      <c r="IN616" s="3" t="s">
        <v>1921</v>
      </c>
      <c r="IO616" s="54" t="s">
        <v>1938</v>
      </c>
      <c r="IR616">
        <v>2016</v>
      </c>
      <c r="JI616" t="s">
        <v>1958</v>
      </c>
      <c r="JK616" t="s">
        <v>14</v>
      </c>
      <c r="JO616" t="s">
        <v>13</v>
      </c>
      <c r="JP616">
        <v>125</v>
      </c>
      <c r="JS616">
        <v>60</v>
      </c>
      <c r="JT616">
        <v>30</v>
      </c>
      <c r="KD616" t="s">
        <v>1940</v>
      </c>
      <c r="KE616" s="84" t="s">
        <v>1561</v>
      </c>
      <c r="KF616" t="s">
        <v>1960</v>
      </c>
      <c r="KG616">
        <v>2</v>
      </c>
      <c r="KH616" t="s">
        <v>1959</v>
      </c>
      <c r="KJ616" s="8" t="s">
        <v>1962</v>
      </c>
      <c r="KK616" t="s">
        <v>1963</v>
      </c>
      <c r="KL616">
        <v>3</v>
      </c>
      <c r="KN616" s="8" t="s">
        <v>1941</v>
      </c>
      <c r="KO616" t="s">
        <v>234</v>
      </c>
      <c r="KP616" t="s">
        <v>234</v>
      </c>
      <c r="KR616" t="s">
        <v>1942</v>
      </c>
      <c r="KS616" t="s">
        <v>234</v>
      </c>
      <c r="KT616" t="s">
        <v>234</v>
      </c>
      <c r="LO616" t="s">
        <v>1964</v>
      </c>
      <c r="LS616" t="s">
        <v>1944</v>
      </c>
      <c r="LT616">
        <v>206.25</v>
      </c>
      <c r="LU616" s="4" t="s">
        <v>29</v>
      </c>
      <c r="MC616" s="58">
        <v>42997</v>
      </c>
      <c r="MD616" s="58">
        <v>42997</v>
      </c>
      <c r="MS616" t="s">
        <v>1945</v>
      </c>
      <c r="MT616" t="s">
        <v>234</v>
      </c>
      <c r="MU616" t="s">
        <v>1922</v>
      </c>
      <c r="MW616" t="s">
        <v>168</v>
      </c>
      <c r="ND616" t="s">
        <v>1969</v>
      </c>
      <c r="NE616" t="s">
        <v>1909</v>
      </c>
      <c r="NF616" t="s">
        <v>1928</v>
      </c>
      <c r="NG616" s="4" t="s">
        <v>266</v>
      </c>
      <c r="NH616" s="6" t="s">
        <v>1932</v>
      </c>
      <c r="NQ616" t="s">
        <v>6</v>
      </c>
      <c r="NR616">
        <v>36310</v>
      </c>
      <c r="NS616" t="s">
        <v>234</v>
      </c>
      <c r="NT616" t="s">
        <v>234</v>
      </c>
      <c r="NW616" s="15">
        <v>3</v>
      </c>
      <c r="OH616" t="s">
        <v>1943</v>
      </c>
      <c r="OI616" t="s">
        <v>6</v>
      </c>
      <c r="OK616">
        <v>2016</v>
      </c>
      <c r="OL616">
        <v>2017</v>
      </c>
      <c r="OO616" t="s">
        <v>1178</v>
      </c>
      <c r="OP616" s="58">
        <v>46129</v>
      </c>
    </row>
    <row r="617" spans="1:406" ht="15.75" thickBot="1">
      <c r="A617" t="s">
        <v>248</v>
      </c>
      <c r="B617" t="s">
        <v>1903</v>
      </c>
      <c r="C617" t="s">
        <v>1904</v>
      </c>
      <c r="D617" s="4" t="s">
        <v>1955</v>
      </c>
      <c r="E617" s="90" t="s">
        <v>1974</v>
      </c>
      <c r="F617" t="s">
        <v>31</v>
      </c>
      <c r="G617" t="s">
        <v>2</v>
      </c>
      <c r="H617" t="s">
        <v>30</v>
      </c>
      <c r="I617">
        <v>30.9</v>
      </c>
      <c r="J617">
        <v>75.75</v>
      </c>
      <c r="K617" t="s">
        <v>29</v>
      </c>
      <c r="AV617" t="s">
        <v>1957</v>
      </c>
      <c r="AW617" t="s">
        <v>234</v>
      </c>
      <c r="AX617" t="s">
        <v>234</v>
      </c>
      <c r="AY617">
        <v>2</v>
      </c>
      <c r="AZ617" t="s">
        <v>1956</v>
      </c>
      <c r="BA617">
        <v>2016</v>
      </c>
      <c r="BB617">
        <v>2018</v>
      </c>
      <c r="BD617" t="s">
        <v>1910</v>
      </c>
      <c r="BE617" s="15" t="s">
        <v>1973</v>
      </c>
      <c r="BF617" t="s">
        <v>236</v>
      </c>
      <c r="BG617" t="s">
        <v>1243</v>
      </c>
      <c r="BH617" t="s">
        <v>23</v>
      </c>
      <c r="BI617" t="s">
        <v>1933</v>
      </c>
      <c r="BJ617" t="s">
        <v>13</v>
      </c>
      <c r="BK617">
        <v>20</v>
      </c>
      <c r="BL617" t="s">
        <v>56</v>
      </c>
      <c r="BM617" t="s">
        <v>250</v>
      </c>
      <c r="BN617" t="s">
        <v>29</v>
      </c>
      <c r="BO617" t="s">
        <v>29</v>
      </c>
      <c r="BP617" t="s">
        <v>29</v>
      </c>
      <c r="BQ617" t="s">
        <v>275</v>
      </c>
      <c r="BR617" t="s">
        <v>1937</v>
      </c>
      <c r="BS617" t="s">
        <v>29</v>
      </c>
      <c r="BT617" t="s">
        <v>29</v>
      </c>
      <c r="BU617" t="s">
        <v>29</v>
      </c>
      <c r="BV617" t="s">
        <v>275</v>
      </c>
      <c r="BW617" t="s">
        <v>1935</v>
      </c>
      <c r="BX617" t="s">
        <v>29</v>
      </c>
      <c r="BY617" t="s">
        <v>29</v>
      </c>
      <c r="BZ617" t="s">
        <v>29</v>
      </c>
      <c r="CA617" t="s">
        <v>275</v>
      </c>
      <c r="CB617" t="s">
        <v>1936</v>
      </c>
      <c r="CC617" t="s">
        <v>29</v>
      </c>
      <c r="CD617" t="s">
        <v>29</v>
      </c>
      <c r="CE617" t="s">
        <v>29</v>
      </c>
      <c r="HU617" s="58">
        <v>42539</v>
      </c>
      <c r="IN617" s="3" t="s">
        <v>1923</v>
      </c>
      <c r="IO617" s="54" t="s">
        <v>1938</v>
      </c>
      <c r="IR617">
        <v>2016</v>
      </c>
      <c r="JI617" t="s">
        <v>1958</v>
      </c>
      <c r="JK617" t="s">
        <v>14</v>
      </c>
      <c r="JO617" t="s">
        <v>13</v>
      </c>
      <c r="JP617">
        <v>125</v>
      </c>
      <c r="JS617">
        <v>60</v>
      </c>
      <c r="JT617">
        <v>30</v>
      </c>
      <c r="KD617" t="s">
        <v>1940</v>
      </c>
      <c r="KE617" s="84" t="s">
        <v>1561</v>
      </c>
      <c r="KF617" t="s">
        <v>1960</v>
      </c>
      <c r="KG617">
        <v>2</v>
      </c>
      <c r="KH617" t="s">
        <v>1959</v>
      </c>
      <c r="KJ617" s="8" t="s">
        <v>1962</v>
      </c>
      <c r="KK617" t="s">
        <v>1963</v>
      </c>
      <c r="KL617">
        <v>3</v>
      </c>
      <c r="KN617" s="8" t="s">
        <v>1941</v>
      </c>
      <c r="KO617" t="s">
        <v>234</v>
      </c>
      <c r="KP617" t="s">
        <v>234</v>
      </c>
      <c r="KR617" t="s">
        <v>1942</v>
      </c>
      <c r="KS617" t="s">
        <v>234</v>
      </c>
      <c r="KT617" t="s">
        <v>234</v>
      </c>
      <c r="LO617" t="s">
        <v>1964</v>
      </c>
      <c r="LS617" t="s">
        <v>1944</v>
      </c>
      <c r="LT617">
        <v>206.25</v>
      </c>
      <c r="LU617" s="4" t="s">
        <v>29</v>
      </c>
      <c r="MC617" s="58">
        <v>42997</v>
      </c>
      <c r="MD617" s="58">
        <v>42997</v>
      </c>
      <c r="MS617" t="s">
        <v>1945</v>
      </c>
      <c r="MT617" t="s">
        <v>234</v>
      </c>
      <c r="MU617" t="s">
        <v>1924</v>
      </c>
      <c r="MW617" t="s">
        <v>168</v>
      </c>
      <c r="MX617" t="s">
        <v>250</v>
      </c>
      <c r="ND617" t="s">
        <v>1969</v>
      </c>
      <c r="NE617" t="s">
        <v>1909</v>
      </c>
      <c r="NF617" t="s">
        <v>1928</v>
      </c>
      <c r="NG617" s="4" t="s">
        <v>266</v>
      </c>
      <c r="NH617" s="6" t="s">
        <v>1932</v>
      </c>
      <c r="NQ617" t="s">
        <v>6</v>
      </c>
      <c r="NR617">
        <v>50130</v>
      </c>
      <c r="NS617" t="s">
        <v>234</v>
      </c>
      <c r="NT617" t="s">
        <v>234</v>
      </c>
      <c r="NW617" s="15">
        <v>3</v>
      </c>
      <c r="OH617" t="s">
        <v>1943</v>
      </c>
      <c r="OI617" t="s">
        <v>6</v>
      </c>
      <c r="OK617">
        <v>2016</v>
      </c>
      <c r="OL617">
        <v>2017</v>
      </c>
      <c r="OO617" t="s">
        <v>1178</v>
      </c>
      <c r="OP617" s="58">
        <v>46129</v>
      </c>
    </row>
    <row r="618" spans="1:406" ht="15.75" thickBot="1">
      <c r="A618" t="s">
        <v>248</v>
      </c>
      <c r="B618" t="s">
        <v>1903</v>
      </c>
      <c r="C618" t="s">
        <v>1904</v>
      </c>
      <c r="D618" s="4" t="s">
        <v>1955</v>
      </c>
      <c r="E618" s="90" t="s">
        <v>1974</v>
      </c>
      <c r="F618" t="s">
        <v>31</v>
      </c>
      <c r="G618" t="s">
        <v>2</v>
      </c>
      <c r="H618" t="s">
        <v>30</v>
      </c>
      <c r="I618">
        <v>30.9</v>
      </c>
      <c r="J618">
        <v>75.75</v>
      </c>
      <c r="K618" t="s">
        <v>29</v>
      </c>
      <c r="AV618" t="s">
        <v>838</v>
      </c>
      <c r="AW618" t="s">
        <v>234</v>
      </c>
      <c r="AX618" t="s">
        <v>234</v>
      </c>
      <c r="AY618">
        <v>2</v>
      </c>
      <c r="AZ618" t="s">
        <v>1956</v>
      </c>
      <c r="BA618">
        <v>2016</v>
      </c>
      <c r="BB618">
        <v>2018</v>
      </c>
      <c r="BD618" t="s">
        <v>1905</v>
      </c>
      <c r="BE618" t="s">
        <v>1906</v>
      </c>
      <c r="BF618" t="s">
        <v>39</v>
      </c>
      <c r="BG618" t="s">
        <v>1243</v>
      </c>
      <c r="BH618" t="s">
        <v>23</v>
      </c>
      <c r="BI618" t="s">
        <v>1933</v>
      </c>
      <c r="BJ618" t="s">
        <v>13</v>
      </c>
      <c r="BK618">
        <v>20</v>
      </c>
      <c r="BL618" t="s">
        <v>275</v>
      </c>
      <c r="BM618" t="s">
        <v>1907</v>
      </c>
      <c r="BN618" t="s">
        <v>29</v>
      </c>
      <c r="BO618" t="s">
        <v>29</v>
      </c>
      <c r="BP618" t="s">
        <v>29</v>
      </c>
      <c r="HU618" s="58">
        <v>42907</v>
      </c>
      <c r="IN618" t="s">
        <v>1906</v>
      </c>
      <c r="IO618" s="54" t="s">
        <v>1939</v>
      </c>
      <c r="IR618">
        <v>2016</v>
      </c>
      <c r="JI618" t="s">
        <v>1958</v>
      </c>
      <c r="JK618" t="s">
        <v>14</v>
      </c>
      <c r="JO618" t="s">
        <v>13</v>
      </c>
      <c r="JP618">
        <v>125</v>
      </c>
      <c r="JS618">
        <v>60</v>
      </c>
      <c r="JT618">
        <v>30</v>
      </c>
      <c r="KD618" t="s">
        <v>1940</v>
      </c>
      <c r="KE618" s="84" t="s">
        <v>1561</v>
      </c>
      <c r="KF618" t="s">
        <v>1960</v>
      </c>
      <c r="KG618">
        <v>2</v>
      </c>
      <c r="KH618" t="s">
        <v>1959</v>
      </c>
      <c r="KJ618" s="8" t="s">
        <v>1962</v>
      </c>
      <c r="KK618" t="s">
        <v>1963</v>
      </c>
      <c r="KL618">
        <v>3</v>
      </c>
      <c r="KN618" s="8" t="s">
        <v>1941</v>
      </c>
      <c r="KO618" t="s">
        <v>234</v>
      </c>
      <c r="KP618" t="s">
        <v>234</v>
      </c>
      <c r="KR618" t="s">
        <v>1942</v>
      </c>
      <c r="KS618" t="s">
        <v>234</v>
      </c>
      <c r="KT618" t="s">
        <v>234</v>
      </c>
      <c r="LO618" t="s">
        <v>1964</v>
      </c>
      <c r="LS618" t="s">
        <v>1944</v>
      </c>
      <c r="LT618">
        <v>225</v>
      </c>
      <c r="LU618" s="4" t="s">
        <v>29</v>
      </c>
      <c r="MC618" s="58">
        <v>43362</v>
      </c>
      <c r="MD618" s="58">
        <v>43362</v>
      </c>
      <c r="MS618" t="s">
        <v>1945</v>
      </c>
      <c r="MT618" t="s">
        <v>234</v>
      </c>
      <c r="MU618" t="s">
        <v>1908</v>
      </c>
      <c r="MW618" t="s">
        <v>168</v>
      </c>
      <c r="ND618" t="s">
        <v>1969</v>
      </c>
      <c r="NE618" t="s">
        <v>1909</v>
      </c>
      <c r="NF618" t="s">
        <v>1928</v>
      </c>
      <c r="NG618" s="4" t="s">
        <v>266</v>
      </c>
      <c r="NH618" s="6" t="s">
        <v>1932</v>
      </c>
      <c r="NP618" t="s">
        <v>1571</v>
      </c>
      <c r="NQ618" t="s">
        <v>6</v>
      </c>
      <c r="NR618">
        <f ca="1">+Table1[[#This Row],[out_value]]*1000</f>
        <v>40020</v>
      </c>
      <c r="NS618" t="s">
        <v>234</v>
      </c>
      <c r="NT618" t="s">
        <v>234</v>
      </c>
      <c r="NW618" s="3">
        <v>3</v>
      </c>
      <c r="OH618" t="s">
        <v>1943</v>
      </c>
      <c r="OI618" t="s">
        <v>6</v>
      </c>
      <c r="OK618">
        <v>2017</v>
      </c>
      <c r="OL618">
        <v>2018</v>
      </c>
      <c r="OO618" t="s">
        <v>1178</v>
      </c>
      <c r="OP618" s="58">
        <v>46129</v>
      </c>
    </row>
    <row r="619" spans="1:406" ht="15.75" thickBot="1">
      <c r="A619" t="s">
        <v>248</v>
      </c>
      <c r="B619" t="s">
        <v>1903</v>
      </c>
      <c r="C619" t="s">
        <v>1904</v>
      </c>
      <c r="D619" s="4" t="s">
        <v>1955</v>
      </c>
      <c r="E619" s="90" t="s">
        <v>1974</v>
      </c>
      <c r="F619" t="s">
        <v>31</v>
      </c>
      <c r="G619" t="s">
        <v>2</v>
      </c>
      <c r="H619" t="s">
        <v>30</v>
      </c>
      <c r="I619">
        <v>30.9</v>
      </c>
      <c r="J619">
        <v>75.75</v>
      </c>
      <c r="K619" t="s">
        <v>29</v>
      </c>
      <c r="AV619" t="s">
        <v>838</v>
      </c>
      <c r="AW619" t="s">
        <v>234</v>
      </c>
      <c r="AX619" t="s">
        <v>234</v>
      </c>
      <c r="AY619">
        <v>2</v>
      </c>
      <c r="AZ619" t="s">
        <v>1956</v>
      </c>
      <c r="BA619">
        <v>2016</v>
      </c>
      <c r="BB619">
        <v>2018</v>
      </c>
      <c r="BD619" t="s">
        <v>1910</v>
      </c>
      <c r="BE619" t="s">
        <v>1925</v>
      </c>
      <c r="BF619" t="s">
        <v>64</v>
      </c>
      <c r="BG619" t="s">
        <v>1243</v>
      </c>
      <c r="BH619" t="s">
        <v>23</v>
      </c>
      <c r="BI619" t="s">
        <v>1933</v>
      </c>
      <c r="BJ619" t="s">
        <v>13</v>
      </c>
      <c r="BK619">
        <v>20</v>
      </c>
      <c r="BL619" t="s">
        <v>275</v>
      </c>
      <c r="BM619" t="s">
        <v>1913</v>
      </c>
      <c r="BN619" t="s">
        <v>29</v>
      </c>
      <c r="BO619" t="s">
        <v>29</v>
      </c>
      <c r="BP619" t="s">
        <v>29</v>
      </c>
      <c r="BQ619" t="s">
        <v>275</v>
      </c>
      <c r="BR619" t="s">
        <v>1912</v>
      </c>
      <c r="BS619" t="s">
        <v>29</v>
      </c>
      <c r="BT619" t="s">
        <v>29</v>
      </c>
      <c r="BU619" t="s">
        <v>29</v>
      </c>
      <c r="BV619" t="s">
        <v>56</v>
      </c>
      <c r="BW619" t="s">
        <v>1184</v>
      </c>
      <c r="BX619" t="s">
        <v>29</v>
      </c>
      <c r="BY619" t="s">
        <v>29</v>
      </c>
      <c r="BZ619" t="s">
        <v>29</v>
      </c>
      <c r="HU619" s="58">
        <v>42907</v>
      </c>
      <c r="IN619" t="s">
        <v>1925</v>
      </c>
      <c r="IO619" s="54" t="s">
        <v>1938</v>
      </c>
      <c r="IR619">
        <v>2016</v>
      </c>
      <c r="JI619" t="s">
        <v>1958</v>
      </c>
      <c r="JK619" t="s">
        <v>14</v>
      </c>
      <c r="JO619" t="s">
        <v>13</v>
      </c>
      <c r="JP619">
        <v>125</v>
      </c>
      <c r="JS619">
        <v>60</v>
      </c>
      <c r="JT619">
        <v>30</v>
      </c>
      <c r="KD619" t="s">
        <v>1940</v>
      </c>
      <c r="KE619" s="84" t="s">
        <v>1561</v>
      </c>
      <c r="KF619" t="s">
        <v>1960</v>
      </c>
      <c r="KG619">
        <v>2</v>
      </c>
      <c r="KH619" t="s">
        <v>1959</v>
      </c>
      <c r="KJ619" s="8" t="s">
        <v>1962</v>
      </c>
      <c r="KK619" t="s">
        <v>1963</v>
      </c>
      <c r="KL619">
        <v>3</v>
      </c>
      <c r="KN619" s="8" t="s">
        <v>1941</v>
      </c>
      <c r="KO619" t="s">
        <v>234</v>
      </c>
      <c r="KP619" t="s">
        <v>234</v>
      </c>
      <c r="KR619" t="s">
        <v>1942</v>
      </c>
      <c r="KS619" t="s">
        <v>234</v>
      </c>
      <c r="KT619" t="s">
        <v>234</v>
      </c>
      <c r="LO619" t="s">
        <v>1964</v>
      </c>
      <c r="LS619" t="s">
        <v>1944</v>
      </c>
      <c r="LT619">
        <v>225</v>
      </c>
      <c r="LU619" s="4" t="s">
        <v>29</v>
      </c>
      <c r="MC619" s="58">
        <v>43362</v>
      </c>
      <c r="MD619" s="58">
        <v>43362</v>
      </c>
      <c r="MS619" t="s">
        <v>1945</v>
      </c>
      <c r="MT619" t="s">
        <v>234</v>
      </c>
      <c r="MU619" t="s">
        <v>1914</v>
      </c>
      <c r="MW619" t="s">
        <v>168</v>
      </c>
      <c r="ND619" t="s">
        <v>1969</v>
      </c>
      <c r="NE619" t="s">
        <v>1909</v>
      </c>
      <c r="NF619" t="s">
        <v>1928</v>
      </c>
      <c r="NG619" s="4" t="s">
        <v>266</v>
      </c>
      <c r="NH619" s="6" t="s">
        <v>1932</v>
      </c>
      <c r="NQ619" t="s">
        <v>6</v>
      </c>
      <c r="NR619">
        <f ca="1">+Table1[[#This Row],[out_value]]*1000</f>
        <v>41330</v>
      </c>
      <c r="NS619" t="s">
        <v>234</v>
      </c>
      <c r="NT619" t="s">
        <v>234</v>
      </c>
      <c r="NW619" s="3">
        <v>3</v>
      </c>
      <c r="OH619" t="s">
        <v>1943</v>
      </c>
      <c r="OI619" t="s">
        <v>6</v>
      </c>
      <c r="OK619">
        <v>2017</v>
      </c>
      <c r="OL619">
        <v>2018</v>
      </c>
      <c r="OO619" t="s">
        <v>1178</v>
      </c>
      <c r="OP619" s="58">
        <v>46129</v>
      </c>
    </row>
    <row r="620" spans="1:406" ht="15.75" thickBot="1">
      <c r="A620" t="s">
        <v>248</v>
      </c>
      <c r="B620" t="s">
        <v>1903</v>
      </c>
      <c r="C620" t="s">
        <v>1904</v>
      </c>
      <c r="D620" s="4" t="s">
        <v>1955</v>
      </c>
      <c r="E620" s="90" t="s">
        <v>1974</v>
      </c>
      <c r="F620" t="s">
        <v>31</v>
      </c>
      <c r="G620" t="s">
        <v>2</v>
      </c>
      <c r="H620" t="s">
        <v>30</v>
      </c>
      <c r="I620">
        <v>30.9</v>
      </c>
      <c r="J620">
        <v>75.75</v>
      </c>
      <c r="K620" t="s">
        <v>29</v>
      </c>
      <c r="AV620" t="s">
        <v>838</v>
      </c>
      <c r="AW620" t="s">
        <v>234</v>
      </c>
      <c r="AX620" t="s">
        <v>234</v>
      </c>
      <c r="AY620">
        <v>2</v>
      </c>
      <c r="AZ620" t="s">
        <v>1956</v>
      </c>
      <c r="BA620">
        <v>2016</v>
      </c>
      <c r="BB620">
        <v>2018</v>
      </c>
      <c r="BD620" t="s">
        <v>1910</v>
      </c>
      <c r="BE620" t="s">
        <v>1970</v>
      </c>
      <c r="BF620" t="s">
        <v>57</v>
      </c>
      <c r="BG620" t="s">
        <v>1243</v>
      </c>
      <c r="BH620" t="s">
        <v>23</v>
      </c>
      <c r="BI620" t="s">
        <v>1933</v>
      </c>
      <c r="BJ620" t="s">
        <v>13</v>
      </c>
      <c r="BK620">
        <v>20</v>
      </c>
      <c r="BL620" t="s">
        <v>56</v>
      </c>
      <c r="BM620" t="s">
        <v>250</v>
      </c>
      <c r="BN620" t="s">
        <v>29</v>
      </c>
      <c r="BO620" t="s">
        <v>29</v>
      </c>
      <c r="BP620" t="s">
        <v>29</v>
      </c>
      <c r="BQ620" t="s">
        <v>275</v>
      </c>
      <c r="BR620" t="s">
        <v>1913</v>
      </c>
      <c r="BS620" t="s">
        <v>29</v>
      </c>
      <c r="BT620" t="s">
        <v>29</v>
      </c>
      <c r="BU620" t="s">
        <v>29</v>
      </c>
      <c r="BV620" t="s">
        <v>275</v>
      </c>
      <c r="BW620" t="s">
        <v>1912</v>
      </c>
      <c r="BX620" t="s">
        <v>29</v>
      </c>
      <c r="BY620" t="s">
        <v>29</v>
      </c>
      <c r="BZ620" t="s">
        <v>29</v>
      </c>
      <c r="CA620" t="s">
        <v>56</v>
      </c>
      <c r="CB620" t="s">
        <v>1184</v>
      </c>
      <c r="CC620" t="s">
        <v>29</v>
      </c>
      <c r="CD620" t="s">
        <v>29</v>
      </c>
      <c r="CE620" t="s">
        <v>29</v>
      </c>
      <c r="HU620" s="58">
        <v>42907</v>
      </c>
      <c r="IN620" t="s">
        <v>1926</v>
      </c>
      <c r="IO620" s="54" t="s">
        <v>1938</v>
      </c>
      <c r="IR620">
        <v>2016</v>
      </c>
      <c r="JI620" t="s">
        <v>1958</v>
      </c>
      <c r="JK620" t="s">
        <v>14</v>
      </c>
      <c r="JO620" t="s">
        <v>13</v>
      </c>
      <c r="JP620">
        <v>125</v>
      </c>
      <c r="JS620">
        <v>60</v>
      </c>
      <c r="JT620">
        <v>30</v>
      </c>
      <c r="KD620" t="s">
        <v>1940</v>
      </c>
      <c r="KE620" s="84" t="s">
        <v>1561</v>
      </c>
      <c r="KF620" t="s">
        <v>1960</v>
      </c>
      <c r="KG620">
        <v>2</v>
      </c>
      <c r="KH620" t="s">
        <v>1959</v>
      </c>
      <c r="KJ620" s="8" t="s">
        <v>1962</v>
      </c>
      <c r="KK620" t="s">
        <v>1963</v>
      </c>
      <c r="KL620">
        <v>3</v>
      </c>
      <c r="KN620" s="8" t="s">
        <v>1941</v>
      </c>
      <c r="KO620" t="s">
        <v>234</v>
      </c>
      <c r="KP620" t="s">
        <v>234</v>
      </c>
      <c r="KR620" t="s">
        <v>1942</v>
      </c>
      <c r="KS620" t="s">
        <v>234</v>
      </c>
      <c r="KT620" t="s">
        <v>234</v>
      </c>
      <c r="LO620" t="s">
        <v>1964</v>
      </c>
      <c r="LS620" t="s">
        <v>1944</v>
      </c>
      <c r="LT620">
        <v>225</v>
      </c>
      <c r="LU620" s="4" t="s">
        <v>29</v>
      </c>
      <c r="MC620" s="58">
        <v>43362</v>
      </c>
      <c r="MD620" s="58">
        <v>43362</v>
      </c>
      <c r="MS620" t="s">
        <v>1945</v>
      </c>
      <c r="MT620" t="s">
        <v>234</v>
      </c>
      <c r="MU620" t="s">
        <v>1916</v>
      </c>
      <c r="MW620" t="s">
        <v>168</v>
      </c>
      <c r="MX620" t="s">
        <v>250</v>
      </c>
      <c r="ND620" t="s">
        <v>1969</v>
      </c>
      <c r="NE620" t="s">
        <v>1909</v>
      </c>
      <c r="NF620" t="s">
        <v>1928</v>
      </c>
      <c r="NG620" s="4" t="s">
        <v>266</v>
      </c>
      <c r="NH620" s="6" t="s">
        <v>1932</v>
      </c>
      <c r="NQ620" t="s">
        <v>6</v>
      </c>
      <c r="NR620">
        <f ca="1">+Table1[[#This Row],[out_value]]*1000</f>
        <v>55730</v>
      </c>
      <c r="NS620" t="s">
        <v>234</v>
      </c>
      <c r="NT620" t="s">
        <v>234</v>
      </c>
      <c r="NW620" s="3">
        <v>3</v>
      </c>
      <c r="OH620" t="s">
        <v>1943</v>
      </c>
      <c r="OI620" t="s">
        <v>6</v>
      </c>
      <c r="OK620">
        <v>2017</v>
      </c>
      <c r="OL620">
        <v>2018</v>
      </c>
      <c r="OO620" t="s">
        <v>1178</v>
      </c>
      <c r="OP620" s="58">
        <v>46129</v>
      </c>
    </row>
    <row r="621" spans="1:406" ht="15.75" thickBot="1">
      <c r="A621" t="s">
        <v>248</v>
      </c>
      <c r="B621" t="s">
        <v>1903</v>
      </c>
      <c r="C621" t="s">
        <v>1904</v>
      </c>
      <c r="D621" s="4" t="s">
        <v>1955</v>
      </c>
      <c r="E621" s="90" t="s">
        <v>1974</v>
      </c>
      <c r="F621" t="s">
        <v>31</v>
      </c>
      <c r="G621" t="s">
        <v>2</v>
      </c>
      <c r="H621" t="s">
        <v>30</v>
      </c>
      <c r="I621">
        <v>30.9</v>
      </c>
      <c r="J621">
        <v>75.75</v>
      </c>
      <c r="K621" t="s">
        <v>29</v>
      </c>
      <c r="AV621" t="s">
        <v>838</v>
      </c>
      <c r="AW621" t="s">
        <v>234</v>
      </c>
      <c r="AX621" t="s">
        <v>234</v>
      </c>
      <c r="AY621">
        <v>2</v>
      </c>
      <c r="AZ621" t="s">
        <v>1956</v>
      </c>
      <c r="BA621">
        <v>2016</v>
      </c>
      <c r="BB621">
        <v>2018</v>
      </c>
      <c r="BD621" t="s">
        <v>1910</v>
      </c>
      <c r="BE621" t="s">
        <v>1971</v>
      </c>
      <c r="BF621" t="s">
        <v>48</v>
      </c>
      <c r="BG621" t="s">
        <v>1243</v>
      </c>
      <c r="BH621" t="s">
        <v>23</v>
      </c>
      <c r="BI621" t="s">
        <v>1933</v>
      </c>
      <c r="BJ621" t="s">
        <v>13</v>
      </c>
      <c r="BK621">
        <v>20</v>
      </c>
      <c r="BL621" t="s">
        <v>56</v>
      </c>
      <c r="BM621" t="s">
        <v>250</v>
      </c>
      <c r="BN621" t="s">
        <v>29</v>
      </c>
      <c r="BO621" t="s">
        <v>29</v>
      </c>
      <c r="BP621" t="s">
        <v>29</v>
      </c>
      <c r="BQ621" t="s">
        <v>275</v>
      </c>
      <c r="BR621" t="s">
        <v>1913</v>
      </c>
      <c r="BS621" t="s">
        <v>29</v>
      </c>
      <c r="BT621" t="s">
        <v>29</v>
      </c>
      <c r="BU621" t="s">
        <v>29</v>
      </c>
      <c r="HU621" s="58">
        <v>42907</v>
      </c>
      <c r="IN621" t="s">
        <v>1917</v>
      </c>
      <c r="IO621" s="54" t="s">
        <v>1938</v>
      </c>
      <c r="IR621">
        <v>2016</v>
      </c>
      <c r="JI621" t="s">
        <v>1958</v>
      </c>
      <c r="JK621" t="s">
        <v>14</v>
      </c>
      <c r="JO621" t="s">
        <v>13</v>
      </c>
      <c r="JP621">
        <v>125</v>
      </c>
      <c r="JS621">
        <v>60</v>
      </c>
      <c r="JT621">
        <v>30</v>
      </c>
      <c r="KD621" t="s">
        <v>1940</v>
      </c>
      <c r="KE621" s="84" t="s">
        <v>1561</v>
      </c>
      <c r="KF621" t="s">
        <v>1960</v>
      </c>
      <c r="KG621">
        <v>2</v>
      </c>
      <c r="KH621" t="s">
        <v>1959</v>
      </c>
      <c r="KJ621" s="8" t="s">
        <v>1962</v>
      </c>
      <c r="KK621" t="s">
        <v>1963</v>
      </c>
      <c r="KL621">
        <v>3</v>
      </c>
      <c r="KN621" s="8" t="s">
        <v>1941</v>
      </c>
      <c r="KO621" t="s">
        <v>234</v>
      </c>
      <c r="KP621" t="s">
        <v>234</v>
      </c>
      <c r="KR621" t="s">
        <v>1942</v>
      </c>
      <c r="KS621" t="s">
        <v>234</v>
      </c>
      <c r="KT621" t="s">
        <v>234</v>
      </c>
      <c r="LO621" t="s">
        <v>1964</v>
      </c>
      <c r="LS621" t="s">
        <v>1944</v>
      </c>
      <c r="LT621">
        <v>225</v>
      </c>
      <c r="LU621" s="4" t="s">
        <v>29</v>
      </c>
      <c r="MC621" s="58">
        <v>43362</v>
      </c>
      <c r="MD621" s="58">
        <v>43362</v>
      </c>
      <c r="MS621" t="s">
        <v>1945</v>
      </c>
      <c r="MT621" t="s">
        <v>234</v>
      </c>
      <c r="MU621" t="s">
        <v>1918</v>
      </c>
      <c r="MW621" t="s">
        <v>168</v>
      </c>
      <c r="MX621" t="s">
        <v>250</v>
      </c>
      <c r="ND621" t="s">
        <v>1969</v>
      </c>
      <c r="NE621" t="s">
        <v>1909</v>
      </c>
      <c r="NF621" t="s">
        <v>1928</v>
      </c>
      <c r="NG621" s="4" t="s">
        <v>266</v>
      </c>
      <c r="NH621" s="6" t="s">
        <v>1932</v>
      </c>
      <c r="NQ621" t="s">
        <v>6</v>
      </c>
      <c r="NR621">
        <f ca="1">+Table1[[#This Row],[out_value]]*1000</f>
        <v>55180</v>
      </c>
      <c r="NS621" t="s">
        <v>234</v>
      </c>
      <c r="NT621" t="s">
        <v>234</v>
      </c>
      <c r="NW621" s="3">
        <v>3</v>
      </c>
      <c r="OH621" t="s">
        <v>1943</v>
      </c>
      <c r="OI621" t="s">
        <v>6</v>
      </c>
      <c r="OK621">
        <v>2017</v>
      </c>
      <c r="OL621">
        <v>2018</v>
      </c>
      <c r="OO621" t="s">
        <v>1178</v>
      </c>
      <c r="OP621" s="58">
        <v>46129</v>
      </c>
    </row>
    <row r="622" spans="1:406" ht="15.75" thickBot="1">
      <c r="A622" t="s">
        <v>248</v>
      </c>
      <c r="B622" t="s">
        <v>1903</v>
      </c>
      <c r="C622" t="s">
        <v>1904</v>
      </c>
      <c r="D622" s="4" t="s">
        <v>1955</v>
      </c>
      <c r="E622" s="90" t="s">
        <v>1974</v>
      </c>
      <c r="F622" t="s">
        <v>31</v>
      </c>
      <c r="G622" t="s">
        <v>2</v>
      </c>
      <c r="H622" t="s">
        <v>30</v>
      </c>
      <c r="I622">
        <v>30.9</v>
      </c>
      <c r="J622">
        <v>75.75</v>
      </c>
      <c r="K622" t="s">
        <v>29</v>
      </c>
      <c r="AV622" t="s">
        <v>838</v>
      </c>
      <c r="AW622" t="s">
        <v>234</v>
      </c>
      <c r="AX622" t="s">
        <v>234</v>
      </c>
      <c r="AY622">
        <v>2</v>
      </c>
      <c r="AZ622" t="s">
        <v>1956</v>
      </c>
      <c r="BA622">
        <v>2016</v>
      </c>
      <c r="BB622">
        <v>2018</v>
      </c>
      <c r="BD622" t="s">
        <v>1910</v>
      </c>
      <c r="BE622" t="s">
        <v>1972</v>
      </c>
      <c r="BF622" t="s">
        <v>43</v>
      </c>
      <c r="BG622" t="s">
        <v>1243</v>
      </c>
      <c r="BH622" t="s">
        <v>23</v>
      </c>
      <c r="BI622" t="s">
        <v>1933</v>
      </c>
      <c r="BJ622" t="s">
        <v>13</v>
      </c>
      <c r="BK622">
        <v>20</v>
      </c>
      <c r="BL622" t="s">
        <v>56</v>
      </c>
      <c r="BM622" t="s">
        <v>250</v>
      </c>
      <c r="BN622" t="s">
        <v>29</v>
      </c>
      <c r="BO622" t="s">
        <v>29</v>
      </c>
      <c r="BP622" t="s">
        <v>29</v>
      </c>
      <c r="BQ622" t="s">
        <v>275</v>
      </c>
      <c r="BR622" t="s">
        <v>1935</v>
      </c>
      <c r="BS622" t="s">
        <v>29</v>
      </c>
      <c r="BT622" t="s">
        <v>29</v>
      </c>
      <c r="BU622" t="s">
        <v>29</v>
      </c>
      <c r="BV622" t="s">
        <v>275</v>
      </c>
      <c r="BW622" t="s">
        <v>1936</v>
      </c>
      <c r="BX622" t="s">
        <v>29</v>
      </c>
      <c r="BY622" t="s">
        <v>29</v>
      </c>
      <c r="BZ622" t="s">
        <v>29</v>
      </c>
      <c r="HU622" s="58">
        <v>42907</v>
      </c>
      <c r="IN622" t="s">
        <v>1919</v>
      </c>
      <c r="IO622" s="54" t="s">
        <v>1938</v>
      </c>
      <c r="IR622">
        <v>2016</v>
      </c>
      <c r="JI622" t="s">
        <v>1958</v>
      </c>
      <c r="JK622" t="s">
        <v>14</v>
      </c>
      <c r="JO622" t="s">
        <v>13</v>
      </c>
      <c r="JP622">
        <v>125</v>
      </c>
      <c r="JS622">
        <v>60</v>
      </c>
      <c r="JT622">
        <v>30</v>
      </c>
      <c r="KD622" t="s">
        <v>1940</v>
      </c>
      <c r="KE622" s="84" t="s">
        <v>1561</v>
      </c>
      <c r="KF622" t="s">
        <v>1960</v>
      </c>
      <c r="KG622">
        <v>2</v>
      </c>
      <c r="KH622" t="s">
        <v>1959</v>
      </c>
      <c r="KJ622" s="8" t="s">
        <v>1962</v>
      </c>
      <c r="KK622" t="s">
        <v>1963</v>
      </c>
      <c r="KL622">
        <v>3</v>
      </c>
      <c r="KN622" s="8" t="s">
        <v>1941</v>
      </c>
      <c r="KO622" t="s">
        <v>234</v>
      </c>
      <c r="KP622" t="s">
        <v>234</v>
      </c>
      <c r="KR622" t="s">
        <v>1942</v>
      </c>
      <c r="KS622" t="s">
        <v>234</v>
      </c>
      <c r="KT622" t="s">
        <v>234</v>
      </c>
      <c r="LO622" t="s">
        <v>1964</v>
      </c>
      <c r="LS622" t="s">
        <v>1944</v>
      </c>
      <c r="LT622">
        <v>225</v>
      </c>
      <c r="LU622" s="4" t="s">
        <v>29</v>
      </c>
      <c r="MC622" s="58">
        <v>43362</v>
      </c>
      <c r="MD622" s="58">
        <v>43362</v>
      </c>
      <c r="MS622" t="s">
        <v>1945</v>
      </c>
      <c r="MT622" t="s">
        <v>234</v>
      </c>
      <c r="MU622" t="s">
        <v>1920</v>
      </c>
      <c r="MW622" t="s">
        <v>168</v>
      </c>
      <c r="MX622" t="s">
        <v>250</v>
      </c>
      <c r="ND622" t="s">
        <v>1969</v>
      </c>
      <c r="NE622" t="s">
        <v>1909</v>
      </c>
      <c r="NF622" t="s">
        <v>1928</v>
      </c>
      <c r="NG622" s="4" t="s">
        <v>266</v>
      </c>
      <c r="NH622" s="6" t="s">
        <v>1932</v>
      </c>
      <c r="NQ622" t="s">
        <v>6</v>
      </c>
      <c r="NR622">
        <f ca="1">+Table1[[#This Row],[out_value]]*1000</f>
        <v>57470</v>
      </c>
      <c r="NS622" t="s">
        <v>234</v>
      </c>
      <c r="NT622" t="s">
        <v>234</v>
      </c>
      <c r="NW622" s="3">
        <v>3</v>
      </c>
      <c r="OH622" t="s">
        <v>1943</v>
      </c>
      <c r="OI622" t="s">
        <v>6</v>
      </c>
      <c r="OK622">
        <v>2017</v>
      </c>
      <c r="OL622">
        <v>2018</v>
      </c>
      <c r="OO622" t="s">
        <v>1178</v>
      </c>
      <c r="OP622" s="58">
        <v>46129</v>
      </c>
    </row>
    <row r="623" spans="1:406" ht="15.75" thickBot="1">
      <c r="A623" t="s">
        <v>248</v>
      </c>
      <c r="B623" t="s">
        <v>1903</v>
      </c>
      <c r="C623" t="s">
        <v>1904</v>
      </c>
      <c r="D623" s="4" t="s">
        <v>1955</v>
      </c>
      <c r="E623" s="90" t="s">
        <v>1974</v>
      </c>
      <c r="F623" t="s">
        <v>31</v>
      </c>
      <c r="G623" t="s">
        <v>2</v>
      </c>
      <c r="H623" t="s">
        <v>30</v>
      </c>
      <c r="I623">
        <v>30.9</v>
      </c>
      <c r="J623">
        <v>75.75</v>
      </c>
      <c r="K623" t="s">
        <v>29</v>
      </c>
      <c r="AV623" t="s">
        <v>838</v>
      </c>
      <c r="AW623" t="s">
        <v>234</v>
      </c>
      <c r="AX623" t="s">
        <v>234</v>
      </c>
      <c r="AY623">
        <v>2</v>
      </c>
      <c r="AZ623" t="s">
        <v>1956</v>
      </c>
      <c r="BA623">
        <v>2016</v>
      </c>
      <c r="BB623">
        <v>2018</v>
      </c>
      <c r="BD623" t="s">
        <v>1910</v>
      </c>
      <c r="BE623" s="3" t="s">
        <v>1921</v>
      </c>
      <c r="BF623" t="s">
        <v>252</v>
      </c>
      <c r="BG623" t="s">
        <v>1243</v>
      </c>
      <c r="BH623" t="s">
        <v>23</v>
      </c>
      <c r="BI623" t="s">
        <v>1933</v>
      </c>
      <c r="BJ623" t="s">
        <v>13</v>
      </c>
      <c r="BK623">
        <v>20</v>
      </c>
      <c r="BL623" t="s">
        <v>275</v>
      </c>
      <c r="BM623" t="s">
        <v>1937</v>
      </c>
      <c r="BN623" t="s">
        <v>29</v>
      </c>
      <c r="BO623" t="s">
        <v>29</v>
      </c>
      <c r="BP623" t="s">
        <v>29</v>
      </c>
      <c r="BQ623" t="s">
        <v>275</v>
      </c>
      <c r="BR623" t="s">
        <v>1935</v>
      </c>
      <c r="BS623" t="s">
        <v>29</v>
      </c>
      <c r="BT623" t="s">
        <v>29</v>
      </c>
      <c r="BU623" t="s">
        <v>29</v>
      </c>
      <c r="BV623" t="s">
        <v>275</v>
      </c>
      <c r="BW623" t="s">
        <v>1936</v>
      </c>
      <c r="BX623" t="s">
        <v>29</v>
      </c>
      <c r="BY623" t="s">
        <v>29</v>
      </c>
      <c r="BZ623" t="s">
        <v>29</v>
      </c>
      <c r="HU623" s="58">
        <v>42907</v>
      </c>
      <c r="IN623" t="s">
        <v>1921</v>
      </c>
      <c r="IO623" s="54" t="s">
        <v>1938</v>
      </c>
      <c r="IR623">
        <v>2016</v>
      </c>
      <c r="JI623" t="s">
        <v>1958</v>
      </c>
      <c r="JK623" t="s">
        <v>14</v>
      </c>
      <c r="JO623" t="s">
        <v>13</v>
      </c>
      <c r="JP623">
        <v>125</v>
      </c>
      <c r="JS623">
        <v>60</v>
      </c>
      <c r="JT623">
        <v>30</v>
      </c>
      <c r="KD623" t="s">
        <v>1940</v>
      </c>
      <c r="KE623" s="84" t="s">
        <v>1561</v>
      </c>
      <c r="KF623" t="s">
        <v>1960</v>
      </c>
      <c r="KG623">
        <v>2</v>
      </c>
      <c r="KH623" t="s">
        <v>1959</v>
      </c>
      <c r="KJ623" s="8" t="s">
        <v>1962</v>
      </c>
      <c r="KK623" t="s">
        <v>1963</v>
      </c>
      <c r="KL623">
        <v>3</v>
      </c>
      <c r="KN623" s="8" t="s">
        <v>1941</v>
      </c>
      <c r="KO623" t="s">
        <v>234</v>
      </c>
      <c r="KP623" t="s">
        <v>234</v>
      </c>
      <c r="KR623" t="s">
        <v>1942</v>
      </c>
      <c r="KS623" t="s">
        <v>234</v>
      </c>
      <c r="KT623" t="s">
        <v>234</v>
      </c>
      <c r="LO623" t="s">
        <v>1964</v>
      </c>
      <c r="LS623" t="s">
        <v>1944</v>
      </c>
      <c r="LT623">
        <v>225</v>
      </c>
      <c r="LU623" s="4" t="s">
        <v>29</v>
      </c>
      <c r="MC623" s="58">
        <v>43362</v>
      </c>
      <c r="MD623" s="58">
        <v>43362</v>
      </c>
      <c r="MS623" t="s">
        <v>1945</v>
      </c>
      <c r="MT623" t="s">
        <v>234</v>
      </c>
      <c r="MU623" t="s">
        <v>1922</v>
      </c>
      <c r="MW623" t="s">
        <v>168</v>
      </c>
      <c r="ND623" t="s">
        <v>1969</v>
      </c>
      <c r="NE623" t="s">
        <v>1909</v>
      </c>
      <c r="NF623" t="s">
        <v>1928</v>
      </c>
      <c r="NG623" s="4" t="s">
        <v>266</v>
      </c>
      <c r="NH623" s="6" t="s">
        <v>1932</v>
      </c>
      <c r="NQ623" t="s">
        <v>6</v>
      </c>
      <c r="NR623">
        <f ca="1">+Table1[[#This Row],[out_value]]*1000</f>
        <v>41390</v>
      </c>
      <c r="NS623" t="s">
        <v>234</v>
      </c>
      <c r="NT623" t="s">
        <v>234</v>
      </c>
      <c r="NW623" s="3">
        <v>3</v>
      </c>
      <c r="OH623" t="s">
        <v>1943</v>
      </c>
      <c r="OI623" t="s">
        <v>6</v>
      </c>
      <c r="OK623">
        <v>2017</v>
      </c>
      <c r="OL623">
        <v>2018</v>
      </c>
      <c r="OO623" t="s">
        <v>1178</v>
      </c>
      <c r="OP623" s="58">
        <v>46129</v>
      </c>
    </row>
    <row r="624" spans="1:406" ht="15.75" thickBot="1">
      <c r="A624" t="s">
        <v>248</v>
      </c>
      <c r="B624" t="s">
        <v>1903</v>
      </c>
      <c r="C624" t="s">
        <v>1904</v>
      </c>
      <c r="D624" s="4" t="s">
        <v>1955</v>
      </c>
      <c r="E624" s="90" t="s">
        <v>1974</v>
      </c>
      <c r="F624" t="s">
        <v>31</v>
      </c>
      <c r="G624" t="s">
        <v>2</v>
      </c>
      <c r="H624" t="s">
        <v>30</v>
      </c>
      <c r="I624">
        <v>30.9</v>
      </c>
      <c r="J624">
        <v>75.75</v>
      </c>
      <c r="K624" t="s">
        <v>29</v>
      </c>
      <c r="AV624" t="s">
        <v>838</v>
      </c>
      <c r="AW624" t="s">
        <v>234</v>
      </c>
      <c r="AX624" t="s">
        <v>234</v>
      </c>
      <c r="AY624">
        <v>2</v>
      </c>
      <c r="AZ624" t="s">
        <v>1956</v>
      </c>
      <c r="BA624">
        <v>2016</v>
      </c>
      <c r="BB624">
        <v>2018</v>
      </c>
      <c r="BD624" t="s">
        <v>1910</v>
      </c>
      <c r="BE624" s="15" t="s">
        <v>1973</v>
      </c>
      <c r="BF624" t="s">
        <v>236</v>
      </c>
      <c r="BG624" t="s">
        <v>1243</v>
      </c>
      <c r="BH624" t="s">
        <v>23</v>
      </c>
      <c r="BI624" t="s">
        <v>1933</v>
      </c>
      <c r="BJ624" t="s">
        <v>13</v>
      </c>
      <c r="BK624">
        <v>20</v>
      </c>
      <c r="BL624" t="s">
        <v>56</v>
      </c>
      <c r="BM624" t="s">
        <v>250</v>
      </c>
      <c r="BN624" t="s">
        <v>29</v>
      </c>
      <c r="BO624" t="s">
        <v>29</v>
      </c>
      <c r="BP624" t="s">
        <v>29</v>
      </c>
      <c r="BQ624" t="s">
        <v>275</v>
      </c>
      <c r="BR624" t="s">
        <v>1937</v>
      </c>
      <c r="BS624" t="s">
        <v>29</v>
      </c>
      <c r="BT624" t="s">
        <v>29</v>
      </c>
      <c r="BU624" t="s">
        <v>29</v>
      </c>
      <c r="BV624" t="s">
        <v>275</v>
      </c>
      <c r="BW624" t="s">
        <v>1935</v>
      </c>
      <c r="BX624" t="s">
        <v>29</v>
      </c>
      <c r="BY624" t="s">
        <v>29</v>
      </c>
      <c r="BZ624" t="s">
        <v>29</v>
      </c>
      <c r="CA624" t="s">
        <v>275</v>
      </c>
      <c r="CB624" t="s">
        <v>1936</v>
      </c>
      <c r="CC624" t="s">
        <v>29</v>
      </c>
      <c r="CD624" t="s">
        <v>29</v>
      </c>
      <c r="CE624" t="s">
        <v>29</v>
      </c>
      <c r="HU624" s="58">
        <v>42907</v>
      </c>
      <c r="IN624" t="s">
        <v>1923</v>
      </c>
      <c r="IO624" s="54" t="s">
        <v>1938</v>
      </c>
      <c r="IR624">
        <v>2016</v>
      </c>
      <c r="JI624" t="s">
        <v>1958</v>
      </c>
      <c r="JK624" t="s">
        <v>14</v>
      </c>
      <c r="JO624" t="s">
        <v>13</v>
      </c>
      <c r="JP624">
        <v>125</v>
      </c>
      <c r="JS624">
        <v>60</v>
      </c>
      <c r="JT624">
        <v>30</v>
      </c>
      <c r="KD624" t="s">
        <v>1940</v>
      </c>
      <c r="KE624" s="84" t="s">
        <v>1561</v>
      </c>
      <c r="KF624" t="s">
        <v>1960</v>
      </c>
      <c r="KG624">
        <v>2</v>
      </c>
      <c r="KH624" t="s">
        <v>1959</v>
      </c>
      <c r="KJ624" s="8" t="s">
        <v>1962</v>
      </c>
      <c r="KK624" t="s">
        <v>1963</v>
      </c>
      <c r="KL624">
        <v>3</v>
      </c>
      <c r="KN624" s="8" t="s">
        <v>1941</v>
      </c>
      <c r="KO624" t="s">
        <v>234</v>
      </c>
      <c r="KP624" t="s">
        <v>234</v>
      </c>
      <c r="KR624" t="s">
        <v>1942</v>
      </c>
      <c r="KS624" t="s">
        <v>234</v>
      </c>
      <c r="KT624" t="s">
        <v>234</v>
      </c>
      <c r="LO624" t="s">
        <v>1964</v>
      </c>
      <c r="LS624" t="s">
        <v>1944</v>
      </c>
      <c r="LT624">
        <v>225</v>
      </c>
      <c r="LU624" s="4" t="s">
        <v>29</v>
      </c>
      <c r="MC624" s="58">
        <v>43362</v>
      </c>
      <c r="MD624" s="58">
        <v>43362</v>
      </c>
      <c r="MS624" t="s">
        <v>1945</v>
      </c>
      <c r="MT624" t="s">
        <v>234</v>
      </c>
      <c r="MU624" t="s">
        <v>1924</v>
      </c>
      <c r="MW624" t="s">
        <v>168</v>
      </c>
      <c r="MX624" t="s">
        <v>250</v>
      </c>
      <c r="ND624" t="s">
        <v>1969</v>
      </c>
      <c r="NE624" t="s">
        <v>1909</v>
      </c>
      <c r="NF624" t="s">
        <v>1928</v>
      </c>
      <c r="NG624" s="4" t="s">
        <v>266</v>
      </c>
      <c r="NH624" s="6" t="s">
        <v>1932</v>
      </c>
      <c r="NQ624" t="s">
        <v>6</v>
      </c>
      <c r="NR624">
        <f ca="1">+Table1[[#This Row],[out_value]]*1000</f>
        <v>58090</v>
      </c>
      <c r="NS624" t="s">
        <v>234</v>
      </c>
      <c r="NT624" t="s">
        <v>234</v>
      </c>
      <c r="NW624" s="3">
        <v>3</v>
      </c>
      <c r="OH624" t="s">
        <v>1943</v>
      </c>
      <c r="OI624" t="s">
        <v>6</v>
      </c>
      <c r="OK624">
        <v>2017</v>
      </c>
      <c r="OL624">
        <v>2018</v>
      </c>
      <c r="OO624" t="s">
        <v>1178</v>
      </c>
      <c r="OP624" s="58">
        <v>46129</v>
      </c>
    </row>
    <row r="625" spans="1:406" ht="15.75" thickBot="1">
      <c r="A625" t="s">
        <v>248</v>
      </c>
      <c r="B625" t="s">
        <v>1903</v>
      </c>
      <c r="C625" t="s">
        <v>1904</v>
      </c>
      <c r="D625" s="4" t="s">
        <v>1955</v>
      </c>
      <c r="E625" s="90" t="s">
        <v>1974</v>
      </c>
      <c r="F625" t="s">
        <v>31</v>
      </c>
      <c r="G625" t="s">
        <v>2</v>
      </c>
      <c r="H625" t="s">
        <v>30</v>
      </c>
      <c r="I625">
        <v>30.9</v>
      </c>
      <c r="J625">
        <v>75.75</v>
      </c>
      <c r="K625" t="s">
        <v>29</v>
      </c>
      <c r="AV625" t="s">
        <v>838</v>
      </c>
      <c r="AW625" t="s">
        <v>234</v>
      </c>
      <c r="AX625" t="s">
        <v>234</v>
      </c>
      <c r="AY625">
        <v>2</v>
      </c>
      <c r="AZ625" t="s">
        <v>1956</v>
      </c>
      <c r="BA625">
        <v>2016</v>
      </c>
      <c r="BB625">
        <v>2018</v>
      </c>
      <c r="BD625" t="s">
        <v>1905</v>
      </c>
      <c r="BE625" t="s">
        <v>1906</v>
      </c>
      <c r="BF625" t="s">
        <v>39</v>
      </c>
      <c r="BG625" t="s">
        <v>1243</v>
      </c>
      <c r="BH625" t="s">
        <v>23</v>
      </c>
      <c r="BI625" t="s">
        <v>1933</v>
      </c>
      <c r="BJ625" t="s">
        <v>13</v>
      </c>
      <c r="BK625">
        <v>20</v>
      </c>
      <c r="BL625" t="s">
        <v>275</v>
      </c>
      <c r="BM625" t="s">
        <v>1907</v>
      </c>
      <c r="BN625" t="s">
        <v>29</v>
      </c>
      <c r="BO625" t="s">
        <v>29</v>
      </c>
      <c r="BP625" t="s">
        <v>29</v>
      </c>
      <c r="HU625" s="58">
        <v>42539</v>
      </c>
      <c r="IN625" t="s">
        <v>1906</v>
      </c>
      <c r="IO625" s="54" t="s">
        <v>1939</v>
      </c>
      <c r="IR625">
        <v>2016</v>
      </c>
      <c r="JI625" t="s">
        <v>1958</v>
      </c>
      <c r="JK625" t="s">
        <v>14</v>
      </c>
      <c r="JO625" t="s">
        <v>13</v>
      </c>
      <c r="JP625">
        <v>125</v>
      </c>
      <c r="JS625">
        <v>60</v>
      </c>
      <c r="JT625">
        <v>30</v>
      </c>
      <c r="KD625" t="s">
        <v>1940</v>
      </c>
      <c r="KE625" s="84" t="s">
        <v>1561</v>
      </c>
      <c r="KF625" t="s">
        <v>1960</v>
      </c>
      <c r="KG625">
        <v>2</v>
      </c>
      <c r="KH625" t="s">
        <v>1959</v>
      </c>
      <c r="KJ625" s="8" t="s">
        <v>1962</v>
      </c>
      <c r="KK625" t="s">
        <v>1963</v>
      </c>
      <c r="KL625">
        <v>3</v>
      </c>
      <c r="KN625" s="8" t="s">
        <v>1941</v>
      </c>
      <c r="KO625" t="s">
        <v>234</v>
      </c>
      <c r="KP625" t="s">
        <v>234</v>
      </c>
      <c r="KR625" t="s">
        <v>1942</v>
      </c>
      <c r="KS625" t="s">
        <v>234</v>
      </c>
      <c r="KT625" t="s">
        <v>234</v>
      </c>
      <c r="LO625" t="s">
        <v>1964</v>
      </c>
      <c r="LS625" t="s">
        <v>1944</v>
      </c>
      <c r="LT625">
        <v>206.25</v>
      </c>
      <c r="LU625" s="4" t="s">
        <v>29</v>
      </c>
      <c r="MC625" s="58">
        <v>42997</v>
      </c>
      <c r="MD625" s="58">
        <v>42997</v>
      </c>
      <c r="MS625" t="s">
        <v>1945</v>
      </c>
      <c r="MT625" t="s">
        <v>234</v>
      </c>
      <c r="MU625" t="s">
        <v>1908</v>
      </c>
      <c r="MW625" t="s">
        <v>168</v>
      </c>
      <c r="ND625" t="s">
        <v>1969</v>
      </c>
      <c r="NE625" t="s">
        <v>1927</v>
      </c>
      <c r="NF625" t="s">
        <v>1930</v>
      </c>
      <c r="NG625" s="4" t="s">
        <v>1931</v>
      </c>
      <c r="NH625" s="6"/>
      <c r="NP625" t="s">
        <v>1571</v>
      </c>
      <c r="NQ625" t="s">
        <v>6</v>
      </c>
      <c r="NR625">
        <v>1.06</v>
      </c>
      <c r="NS625" t="s">
        <v>234</v>
      </c>
      <c r="NT625" t="s">
        <v>234</v>
      </c>
      <c r="NW625" s="15">
        <v>3</v>
      </c>
      <c r="OH625" t="s">
        <v>1943</v>
      </c>
      <c r="OI625" t="s">
        <v>6</v>
      </c>
      <c r="OK625">
        <v>2016</v>
      </c>
      <c r="OL625">
        <v>2017</v>
      </c>
      <c r="OO625" t="s">
        <v>1178</v>
      </c>
      <c r="OP625" s="58">
        <v>46129</v>
      </c>
    </row>
    <row r="626" spans="1:406" ht="15.75" thickBot="1">
      <c r="A626" t="s">
        <v>248</v>
      </c>
      <c r="B626" t="s">
        <v>1903</v>
      </c>
      <c r="C626" t="s">
        <v>1904</v>
      </c>
      <c r="D626" s="4" t="s">
        <v>1955</v>
      </c>
      <c r="E626" s="90" t="s">
        <v>1974</v>
      </c>
      <c r="F626" t="s">
        <v>31</v>
      </c>
      <c r="G626" t="s">
        <v>2</v>
      </c>
      <c r="H626" t="s">
        <v>30</v>
      </c>
      <c r="I626">
        <v>30.9</v>
      </c>
      <c r="J626">
        <v>75.75</v>
      </c>
      <c r="K626" t="s">
        <v>29</v>
      </c>
      <c r="AV626" t="s">
        <v>838</v>
      </c>
      <c r="AW626" t="s">
        <v>234</v>
      </c>
      <c r="AX626" t="s">
        <v>234</v>
      </c>
      <c r="AY626">
        <v>2</v>
      </c>
      <c r="AZ626" t="s">
        <v>1956</v>
      </c>
      <c r="BA626">
        <v>2016</v>
      </c>
      <c r="BB626">
        <v>2018</v>
      </c>
      <c r="BD626" t="s">
        <v>1910</v>
      </c>
      <c r="BE626" t="s">
        <v>1925</v>
      </c>
      <c r="BF626" t="s">
        <v>64</v>
      </c>
      <c r="BG626" t="s">
        <v>1243</v>
      </c>
      <c r="BH626" t="s">
        <v>23</v>
      </c>
      <c r="BI626" t="s">
        <v>1933</v>
      </c>
      <c r="BJ626" t="s">
        <v>13</v>
      </c>
      <c r="BK626">
        <v>20</v>
      </c>
      <c r="BL626" t="s">
        <v>275</v>
      </c>
      <c r="BM626" t="s">
        <v>1913</v>
      </c>
      <c r="BN626" t="s">
        <v>29</v>
      </c>
      <c r="BO626" t="s">
        <v>29</v>
      </c>
      <c r="BP626" t="s">
        <v>29</v>
      </c>
      <c r="BQ626" t="s">
        <v>275</v>
      </c>
      <c r="BR626" t="s">
        <v>1912</v>
      </c>
      <c r="BS626" t="s">
        <v>29</v>
      </c>
      <c r="BT626" t="s">
        <v>29</v>
      </c>
      <c r="BU626" t="s">
        <v>29</v>
      </c>
      <c r="BV626" t="s">
        <v>56</v>
      </c>
      <c r="BW626" t="s">
        <v>1184</v>
      </c>
      <c r="BX626" t="s">
        <v>29</v>
      </c>
      <c r="BY626" t="s">
        <v>29</v>
      </c>
      <c r="BZ626" t="s">
        <v>29</v>
      </c>
      <c r="EJ626" s="9"/>
      <c r="EK626" s="9"/>
      <c r="EL626" s="9"/>
      <c r="EM626" s="9"/>
      <c r="EN626" s="9"/>
      <c r="EO626" s="9"/>
      <c r="EP626" s="9"/>
      <c r="EQ626" s="9"/>
      <c r="ER626" s="9"/>
      <c r="ES626" s="9"/>
      <c r="ET626" s="9"/>
      <c r="EU626" s="9"/>
      <c r="EV626" s="9"/>
      <c r="EW626" s="9"/>
      <c r="EX626" s="9"/>
      <c r="EY626" s="9"/>
      <c r="EZ626" s="9"/>
      <c r="FA626" s="9"/>
      <c r="FB626" s="9"/>
      <c r="FC626" s="9"/>
      <c r="FD626" s="9"/>
      <c r="FE626" s="9"/>
      <c r="FF626" s="9"/>
      <c r="FG626" s="9"/>
      <c r="FH626" s="9"/>
      <c r="FI626" s="9"/>
      <c r="FJ626" s="9"/>
      <c r="FK626" s="9"/>
      <c r="FL626" s="9"/>
      <c r="FM626" s="9"/>
      <c r="FN626" s="9"/>
      <c r="FO626" s="9"/>
      <c r="FP626" s="9"/>
      <c r="FQ626" s="9"/>
      <c r="FR626" s="9"/>
      <c r="FS626" s="9"/>
      <c r="FT626" s="9"/>
      <c r="FU626" s="9"/>
      <c r="FV626" s="9"/>
      <c r="FW626" s="9"/>
      <c r="FX626" s="9"/>
      <c r="FY626" s="9"/>
      <c r="FZ626" s="9"/>
      <c r="GA626" s="9"/>
      <c r="GB626" s="9"/>
      <c r="GC626" s="9"/>
      <c r="GD626" s="9"/>
      <c r="GE626" s="9"/>
      <c r="GF626" s="9"/>
      <c r="GG626" s="9"/>
      <c r="GH626" s="9"/>
      <c r="GI626" s="9"/>
      <c r="GJ626" s="9"/>
      <c r="GK626" s="9"/>
      <c r="GL626" s="9"/>
      <c r="GM626" s="9"/>
      <c r="GN626" s="9"/>
      <c r="GO626" s="9"/>
      <c r="GP626" s="9"/>
      <c r="GQ626" s="9"/>
      <c r="GR626" s="9"/>
      <c r="GS626" s="9"/>
      <c r="GT626" s="9"/>
      <c r="GU626" s="9"/>
      <c r="GV626" s="9"/>
      <c r="GW626" s="9"/>
      <c r="GX626" s="9"/>
      <c r="GY626" s="9"/>
      <c r="GZ626" s="9"/>
      <c r="HA626" s="9"/>
      <c r="HB626" s="9"/>
      <c r="HC626" s="9"/>
      <c r="HD626" s="9"/>
      <c r="HE626" s="9"/>
      <c r="HF626" s="9"/>
      <c r="HG626" s="9"/>
      <c r="HH626" s="9"/>
      <c r="HI626" s="9"/>
      <c r="HJ626" s="9"/>
      <c r="HK626" s="9"/>
      <c r="HL626" s="9"/>
      <c r="HM626" s="9"/>
      <c r="HU626" s="58">
        <v>42539</v>
      </c>
      <c r="IN626" t="s">
        <v>1911</v>
      </c>
      <c r="IO626" s="54" t="s">
        <v>1938</v>
      </c>
      <c r="IR626">
        <v>2016</v>
      </c>
      <c r="JI626" t="s">
        <v>1958</v>
      </c>
      <c r="JK626" t="s">
        <v>14</v>
      </c>
      <c r="JO626" t="s">
        <v>13</v>
      </c>
      <c r="JP626">
        <v>125</v>
      </c>
      <c r="JS626">
        <v>60</v>
      </c>
      <c r="JT626">
        <v>30</v>
      </c>
      <c r="KD626" t="s">
        <v>1940</v>
      </c>
      <c r="KE626" s="84" t="s">
        <v>1561</v>
      </c>
      <c r="KF626" t="s">
        <v>1960</v>
      </c>
      <c r="KG626">
        <v>2</v>
      </c>
      <c r="KH626" t="s">
        <v>1959</v>
      </c>
      <c r="KJ626" s="8" t="s">
        <v>1962</v>
      </c>
      <c r="KK626" t="s">
        <v>1963</v>
      </c>
      <c r="KL626">
        <v>3</v>
      </c>
      <c r="KN626" s="8" t="s">
        <v>1941</v>
      </c>
      <c r="KO626" t="s">
        <v>234</v>
      </c>
      <c r="KP626" t="s">
        <v>234</v>
      </c>
      <c r="KR626" t="s">
        <v>1942</v>
      </c>
      <c r="KS626" t="s">
        <v>234</v>
      </c>
      <c r="KT626" t="s">
        <v>234</v>
      </c>
      <c r="LO626" t="s">
        <v>1964</v>
      </c>
      <c r="LS626" t="s">
        <v>1944</v>
      </c>
      <c r="LT626">
        <v>206.25</v>
      </c>
      <c r="LU626" s="4" t="s">
        <v>29</v>
      </c>
      <c r="MC626" s="58">
        <v>42997</v>
      </c>
      <c r="MD626" s="58">
        <v>42997</v>
      </c>
      <c r="MS626" t="s">
        <v>1945</v>
      </c>
      <c r="MT626" t="s">
        <v>234</v>
      </c>
      <c r="MU626" t="s">
        <v>1914</v>
      </c>
      <c r="MW626" t="s">
        <v>168</v>
      </c>
      <c r="ND626" t="s">
        <v>1969</v>
      </c>
      <c r="NE626" t="s">
        <v>1927</v>
      </c>
      <c r="NF626" t="s">
        <v>1930</v>
      </c>
      <c r="NG626" s="4" t="s">
        <v>1931</v>
      </c>
      <c r="NH626" s="6"/>
      <c r="NQ626" t="s">
        <v>6</v>
      </c>
      <c r="NR626">
        <v>1.06</v>
      </c>
      <c r="NS626" t="s">
        <v>234</v>
      </c>
      <c r="NT626" t="s">
        <v>234</v>
      </c>
      <c r="NW626" s="15">
        <v>3</v>
      </c>
      <c r="OH626" t="s">
        <v>1943</v>
      </c>
      <c r="OI626" t="s">
        <v>6</v>
      </c>
      <c r="OK626">
        <v>2016</v>
      </c>
      <c r="OL626">
        <v>2017</v>
      </c>
      <c r="OO626" t="s">
        <v>1178</v>
      </c>
      <c r="OP626" s="58">
        <v>46129</v>
      </c>
    </row>
    <row r="627" spans="1:406" ht="15.75" thickBot="1">
      <c r="A627" t="s">
        <v>248</v>
      </c>
      <c r="B627" t="s">
        <v>1903</v>
      </c>
      <c r="C627" t="s">
        <v>1904</v>
      </c>
      <c r="D627" s="4" t="s">
        <v>1955</v>
      </c>
      <c r="E627" s="90" t="s">
        <v>1974</v>
      </c>
      <c r="F627" t="s">
        <v>31</v>
      </c>
      <c r="G627" t="s">
        <v>2</v>
      </c>
      <c r="H627" t="s">
        <v>30</v>
      </c>
      <c r="I627">
        <v>30.9</v>
      </c>
      <c r="J627">
        <v>75.75</v>
      </c>
      <c r="K627" t="s">
        <v>29</v>
      </c>
      <c r="AV627" t="s">
        <v>838</v>
      </c>
      <c r="AW627" t="s">
        <v>234</v>
      </c>
      <c r="AX627" t="s">
        <v>234</v>
      </c>
      <c r="AY627">
        <v>2</v>
      </c>
      <c r="AZ627" t="s">
        <v>1956</v>
      </c>
      <c r="BA627">
        <v>2016</v>
      </c>
      <c r="BB627">
        <v>2018</v>
      </c>
      <c r="BD627" t="s">
        <v>1910</v>
      </c>
      <c r="BE627" t="s">
        <v>1970</v>
      </c>
      <c r="BF627" t="s">
        <v>57</v>
      </c>
      <c r="BG627" t="s">
        <v>1243</v>
      </c>
      <c r="BH627" t="s">
        <v>23</v>
      </c>
      <c r="BI627" t="s">
        <v>1933</v>
      </c>
      <c r="BJ627" t="s">
        <v>13</v>
      </c>
      <c r="BK627">
        <v>20</v>
      </c>
      <c r="BL627" t="s">
        <v>56</v>
      </c>
      <c r="BM627" t="s">
        <v>250</v>
      </c>
      <c r="BN627" t="s">
        <v>29</v>
      </c>
      <c r="BO627" t="s">
        <v>29</v>
      </c>
      <c r="BP627" t="s">
        <v>29</v>
      </c>
      <c r="BQ627" t="s">
        <v>275</v>
      </c>
      <c r="BR627" t="s">
        <v>1913</v>
      </c>
      <c r="BS627" t="s">
        <v>29</v>
      </c>
      <c r="BT627" t="s">
        <v>29</v>
      </c>
      <c r="BU627" t="s">
        <v>29</v>
      </c>
      <c r="BV627" t="s">
        <v>275</v>
      </c>
      <c r="BW627" t="s">
        <v>1912</v>
      </c>
      <c r="BX627" t="s">
        <v>29</v>
      </c>
      <c r="BY627" t="s">
        <v>29</v>
      </c>
      <c r="BZ627" t="s">
        <v>29</v>
      </c>
      <c r="CA627" t="s">
        <v>56</v>
      </c>
      <c r="CB627" t="s">
        <v>1184</v>
      </c>
      <c r="CC627" t="s">
        <v>29</v>
      </c>
      <c r="CD627" t="s">
        <v>29</v>
      </c>
      <c r="CE627" t="s">
        <v>29</v>
      </c>
      <c r="EJ627" s="9"/>
      <c r="EK627" s="9"/>
      <c r="EL627" s="9"/>
      <c r="EM627" s="9"/>
      <c r="EN627" s="9"/>
      <c r="EO627" s="9"/>
      <c r="EP627" s="9"/>
      <c r="EQ627" s="9"/>
      <c r="ER627" s="9"/>
      <c r="ES627" s="9"/>
      <c r="ET627" s="9"/>
      <c r="EU627" s="9"/>
      <c r="EV627" s="9"/>
      <c r="EW627" s="9"/>
      <c r="EX627" s="9"/>
      <c r="EY627" s="9"/>
      <c r="EZ627" s="9"/>
      <c r="FA627" s="9"/>
      <c r="FB627" s="9"/>
      <c r="FC627" s="9"/>
      <c r="FD627" s="9"/>
      <c r="FE627" s="9"/>
      <c r="FF627" s="9"/>
      <c r="FG627" s="9"/>
      <c r="FH627" s="9"/>
      <c r="FI627" s="9"/>
      <c r="FJ627" s="9"/>
      <c r="FK627" s="9"/>
      <c r="FL627" s="9"/>
      <c r="FM627" s="9"/>
      <c r="FN627" s="9"/>
      <c r="FO627" s="9"/>
      <c r="FP627" s="9"/>
      <c r="FQ627" s="9"/>
      <c r="FR627" s="9"/>
      <c r="FS627" s="9"/>
      <c r="FT627" s="9"/>
      <c r="FU627" s="9"/>
      <c r="FV627" s="9"/>
      <c r="FW627" s="9"/>
      <c r="FX627" s="9"/>
      <c r="FY627" s="9"/>
      <c r="FZ627" s="9"/>
      <c r="GA627" s="9"/>
      <c r="GB627" s="9"/>
      <c r="GC627" s="9"/>
      <c r="GD627" s="9"/>
      <c r="GE627" s="9"/>
      <c r="GF627" s="9"/>
      <c r="GG627" s="9"/>
      <c r="GH627" s="9"/>
      <c r="GI627" s="9"/>
      <c r="GJ627" s="9"/>
      <c r="GK627" s="9"/>
      <c r="GL627" s="9"/>
      <c r="GM627" s="9"/>
      <c r="GN627" s="9"/>
      <c r="GO627" s="9"/>
      <c r="GP627" s="9"/>
      <c r="GQ627" s="9"/>
      <c r="GR627" s="9"/>
      <c r="GS627" s="9"/>
      <c r="GT627" s="9"/>
      <c r="GU627" s="9"/>
      <c r="GV627" s="9"/>
      <c r="GW627" s="9"/>
      <c r="GX627" s="9"/>
      <c r="GY627" s="9"/>
      <c r="GZ627" s="9"/>
      <c r="HA627" s="9"/>
      <c r="HB627" s="9"/>
      <c r="HC627" s="9"/>
      <c r="HD627" s="9"/>
      <c r="HE627" s="9"/>
      <c r="HF627" s="9"/>
      <c r="HG627" s="9"/>
      <c r="HH627" s="9"/>
      <c r="HI627" s="9"/>
      <c r="HJ627" s="9"/>
      <c r="HK627" s="9"/>
      <c r="HL627" s="9"/>
      <c r="HM627" s="9"/>
      <c r="HU627" s="58">
        <v>42539</v>
      </c>
      <c r="IN627" t="s">
        <v>1915</v>
      </c>
      <c r="IO627" s="54" t="s">
        <v>1938</v>
      </c>
      <c r="IR627">
        <v>2016</v>
      </c>
      <c r="JI627" t="s">
        <v>1958</v>
      </c>
      <c r="JK627" t="s">
        <v>14</v>
      </c>
      <c r="JO627" t="s">
        <v>13</v>
      </c>
      <c r="JP627">
        <v>125</v>
      </c>
      <c r="JS627">
        <v>60</v>
      </c>
      <c r="JT627">
        <v>30</v>
      </c>
      <c r="KD627" t="s">
        <v>1940</v>
      </c>
      <c r="KE627" s="84" t="s">
        <v>1561</v>
      </c>
      <c r="KF627" t="s">
        <v>1960</v>
      </c>
      <c r="KG627">
        <v>2</v>
      </c>
      <c r="KH627" t="s">
        <v>1959</v>
      </c>
      <c r="KJ627" s="8" t="s">
        <v>1962</v>
      </c>
      <c r="KK627" t="s">
        <v>1963</v>
      </c>
      <c r="KL627">
        <v>3</v>
      </c>
      <c r="KN627" s="8" t="s">
        <v>1941</v>
      </c>
      <c r="KO627" t="s">
        <v>234</v>
      </c>
      <c r="KP627" t="s">
        <v>234</v>
      </c>
      <c r="KR627" t="s">
        <v>1942</v>
      </c>
      <c r="KS627" t="s">
        <v>234</v>
      </c>
      <c r="KT627" t="s">
        <v>234</v>
      </c>
      <c r="LO627" t="s">
        <v>1964</v>
      </c>
      <c r="LS627" t="s">
        <v>1944</v>
      </c>
      <c r="LT627">
        <v>206.25</v>
      </c>
      <c r="LU627" s="4" t="s">
        <v>29</v>
      </c>
      <c r="MC627" s="58">
        <v>42997</v>
      </c>
      <c r="MD627" s="58">
        <v>42997</v>
      </c>
      <c r="MS627" t="s">
        <v>1945</v>
      </c>
      <c r="MT627" t="s">
        <v>234</v>
      </c>
      <c r="MU627" t="s">
        <v>1916</v>
      </c>
      <c r="MW627" t="s">
        <v>168</v>
      </c>
      <c r="MX627" t="s">
        <v>250</v>
      </c>
      <c r="ND627" t="s">
        <v>1969</v>
      </c>
      <c r="NE627" t="s">
        <v>1927</v>
      </c>
      <c r="NF627" t="s">
        <v>1930</v>
      </c>
      <c r="NG627" s="4" t="s">
        <v>1931</v>
      </c>
      <c r="NH627" s="6"/>
      <c r="NQ627" t="s">
        <v>6</v>
      </c>
      <c r="NR627">
        <v>1.29</v>
      </c>
      <c r="NS627" t="s">
        <v>234</v>
      </c>
      <c r="NT627" t="s">
        <v>234</v>
      </c>
      <c r="NW627" s="15">
        <v>3</v>
      </c>
      <c r="OH627" t="s">
        <v>1943</v>
      </c>
      <c r="OI627" t="s">
        <v>6</v>
      </c>
      <c r="OK627">
        <v>2016</v>
      </c>
      <c r="OL627">
        <v>2017</v>
      </c>
      <c r="OO627" t="s">
        <v>1178</v>
      </c>
      <c r="OP627" s="58">
        <v>46129</v>
      </c>
    </row>
    <row r="628" spans="1:406" ht="15.75" thickBot="1">
      <c r="A628" t="s">
        <v>248</v>
      </c>
      <c r="B628" t="s">
        <v>1903</v>
      </c>
      <c r="C628" t="s">
        <v>1904</v>
      </c>
      <c r="D628" s="4" t="s">
        <v>1955</v>
      </c>
      <c r="E628" s="90" t="s">
        <v>1974</v>
      </c>
      <c r="F628" t="s">
        <v>31</v>
      </c>
      <c r="G628" t="s">
        <v>2</v>
      </c>
      <c r="H628" t="s">
        <v>30</v>
      </c>
      <c r="I628">
        <v>30.9</v>
      </c>
      <c r="J628">
        <v>75.75</v>
      </c>
      <c r="K628" t="s">
        <v>29</v>
      </c>
      <c r="AV628" t="s">
        <v>838</v>
      </c>
      <c r="AW628" t="s">
        <v>234</v>
      </c>
      <c r="AX628" t="s">
        <v>234</v>
      </c>
      <c r="AY628">
        <v>2</v>
      </c>
      <c r="AZ628" t="s">
        <v>1956</v>
      </c>
      <c r="BA628">
        <v>2016</v>
      </c>
      <c r="BB628">
        <v>2018</v>
      </c>
      <c r="BD628" t="s">
        <v>1910</v>
      </c>
      <c r="BE628" t="s">
        <v>1971</v>
      </c>
      <c r="BF628" t="s">
        <v>48</v>
      </c>
      <c r="BG628" t="s">
        <v>1243</v>
      </c>
      <c r="BH628" t="s">
        <v>23</v>
      </c>
      <c r="BI628" t="s">
        <v>1933</v>
      </c>
      <c r="BJ628" t="s">
        <v>13</v>
      </c>
      <c r="BK628">
        <v>20</v>
      </c>
      <c r="BL628" t="s">
        <v>56</v>
      </c>
      <c r="BM628" t="s">
        <v>250</v>
      </c>
      <c r="BN628" t="s">
        <v>29</v>
      </c>
      <c r="BO628" t="s">
        <v>29</v>
      </c>
      <c r="BP628" t="s">
        <v>29</v>
      </c>
      <c r="BQ628" t="s">
        <v>275</v>
      </c>
      <c r="BR628" t="s">
        <v>1913</v>
      </c>
      <c r="BS628" t="s">
        <v>29</v>
      </c>
      <c r="BT628" t="s">
        <v>29</v>
      </c>
      <c r="BU628" t="s">
        <v>29</v>
      </c>
      <c r="EJ628" s="9"/>
      <c r="EK628" s="9"/>
      <c r="EL628" s="9"/>
      <c r="EM628" s="9"/>
      <c r="EN628" s="9"/>
      <c r="EO628" s="9"/>
      <c r="EP628" s="9"/>
      <c r="EQ628" s="9"/>
      <c r="ER628" s="9"/>
      <c r="ES628" s="9"/>
      <c r="ET628" s="9"/>
      <c r="EU628" s="9"/>
      <c r="EV628" s="9"/>
      <c r="EW628" s="9"/>
      <c r="EX628" s="9"/>
      <c r="EY628" s="9"/>
      <c r="EZ628" s="9"/>
      <c r="FA628" s="9"/>
      <c r="FB628" s="9"/>
      <c r="FC628" s="9"/>
      <c r="FD628" s="9"/>
      <c r="FE628" s="9"/>
      <c r="FF628" s="9"/>
      <c r="FG628" s="9"/>
      <c r="FH628" s="9"/>
      <c r="FI628" s="9"/>
      <c r="FJ628" s="9"/>
      <c r="FK628" s="9"/>
      <c r="FL628" s="9"/>
      <c r="FM628" s="9"/>
      <c r="FN628" s="9"/>
      <c r="FO628" s="9"/>
      <c r="FP628" s="9"/>
      <c r="FQ628" s="9"/>
      <c r="FR628" s="9"/>
      <c r="FS628" s="9"/>
      <c r="FT628" s="9"/>
      <c r="FU628" s="9"/>
      <c r="FV628" s="9"/>
      <c r="FW628" s="9"/>
      <c r="FX628" s="9"/>
      <c r="FY628" s="9"/>
      <c r="FZ628" s="9"/>
      <c r="GA628" s="9"/>
      <c r="GB628" s="9"/>
      <c r="GC628" s="9"/>
      <c r="GD628" s="9"/>
      <c r="GE628" s="9"/>
      <c r="GF628" s="9"/>
      <c r="GG628" s="9"/>
      <c r="GH628" s="9"/>
      <c r="GI628" s="9"/>
      <c r="GJ628" s="9"/>
      <c r="GK628" s="9"/>
      <c r="GL628" s="9"/>
      <c r="GM628" s="9"/>
      <c r="GN628" s="9"/>
      <c r="GO628" s="9"/>
      <c r="GP628" s="9"/>
      <c r="GQ628" s="9"/>
      <c r="GR628" s="9"/>
      <c r="GS628" s="9"/>
      <c r="GT628" s="9"/>
      <c r="GU628" s="9"/>
      <c r="GV628" s="9"/>
      <c r="GW628" s="9"/>
      <c r="GX628" s="9"/>
      <c r="GY628" s="9"/>
      <c r="GZ628" s="9"/>
      <c r="HA628" s="9"/>
      <c r="HB628" s="9"/>
      <c r="HC628" s="9"/>
      <c r="HD628" s="9"/>
      <c r="HE628" s="9"/>
      <c r="HF628" s="9"/>
      <c r="HG628" s="9"/>
      <c r="HH628" s="9"/>
      <c r="HI628" s="9"/>
      <c r="HJ628" s="9"/>
      <c r="HK628" s="9"/>
      <c r="HL628" s="9"/>
      <c r="HM628" s="9"/>
      <c r="HU628" s="58">
        <v>42539</v>
      </c>
      <c r="IN628" t="s">
        <v>1917</v>
      </c>
      <c r="IO628" s="54" t="s">
        <v>1938</v>
      </c>
      <c r="IR628">
        <v>2016</v>
      </c>
      <c r="JI628" t="s">
        <v>1958</v>
      </c>
      <c r="JK628" t="s">
        <v>14</v>
      </c>
      <c r="JO628" t="s">
        <v>13</v>
      </c>
      <c r="JP628">
        <v>125</v>
      </c>
      <c r="JS628">
        <v>60</v>
      </c>
      <c r="JT628">
        <v>30</v>
      </c>
      <c r="KD628" t="s">
        <v>1940</v>
      </c>
      <c r="KE628" s="84" t="s">
        <v>1561</v>
      </c>
      <c r="KF628" t="s">
        <v>1960</v>
      </c>
      <c r="KG628">
        <v>2</v>
      </c>
      <c r="KH628" t="s">
        <v>1959</v>
      </c>
      <c r="KJ628" s="8" t="s">
        <v>1962</v>
      </c>
      <c r="KK628" t="s">
        <v>1963</v>
      </c>
      <c r="KL628">
        <v>3</v>
      </c>
      <c r="KN628" s="8" t="s">
        <v>1941</v>
      </c>
      <c r="KO628" t="s">
        <v>234</v>
      </c>
      <c r="KP628" t="s">
        <v>234</v>
      </c>
      <c r="KR628" t="s">
        <v>1942</v>
      </c>
      <c r="KS628" t="s">
        <v>234</v>
      </c>
      <c r="KT628" t="s">
        <v>234</v>
      </c>
      <c r="LO628" t="s">
        <v>1964</v>
      </c>
      <c r="LS628" t="s">
        <v>1944</v>
      </c>
      <c r="LT628">
        <v>206.25</v>
      </c>
      <c r="LU628" s="4" t="s">
        <v>29</v>
      </c>
      <c r="MC628" s="58">
        <v>42997</v>
      </c>
      <c r="MD628" s="58">
        <v>42997</v>
      </c>
      <c r="MS628" t="s">
        <v>1945</v>
      </c>
      <c r="MT628" t="s">
        <v>234</v>
      </c>
      <c r="MU628" t="s">
        <v>1918</v>
      </c>
      <c r="MW628" t="s">
        <v>168</v>
      </c>
      <c r="MX628" t="s">
        <v>250</v>
      </c>
      <c r="ND628" t="s">
        <v>1969</v>
      </c>
      <c r="NE628" t="s">
        <v>1927</v>
      </c>
      <c r="NF628" t="s">
        <v>1930</v>
      </c>
      <c r="NG628" s="4" t="s">
        <v>1931</v>
      </c>
      <c r="NH628" s="6"/>
      <c r="NQ628" t="s">
        <v>6</v>
      </c>
      <c r="NR628">
        <v>1.31</v>
      </c>
      <c r="NS628" t="s">
        <v>234</v>
      </c>
      <c r="NT628" t="s">
        <v>234</v>
      </c>
      <c r="NW628" s="15">
        <v>3</v>
      </c>
      <c r="OH628" t="s">
        <v>1943</v>
      </c>
      <c r="OI628" t="s">
        <v>6</v>
      </c>
      <c r="OK628">
        <v>2016</v>
      </c>
      <c r="OL628">
        <v>2017</v>
      </c>
      <c r="OO628" t="s">
        <v>1178</v>
      </c>
      <c r="OP628" s="58">
        <v>46129</v>
      </c>
    </row>
    <row r="629" spans="1:406" ht="15.75" thickBot="1">
      <c r="A629" t="s">
        <v>248</v>
      </c>
      <c r="B629" t="s">
        <v>1903</v>
      </c>
      <c r="C629" t="s">
        <v>1904</v>
      </c>
      <c r="D629" s="4" t="s">
        <v>1955</v>
      </c>
      <c r="E629" s="90" t="s">
        <v>1974</v>
      </c>
      <c r="F629" t="s">
        <v>31</v>
      </c>
      <c r="G629" t="s">
        <v>2</v>
      </c>
      <c r="H629" t="s">
        <v>30</v>
      </c>
      <c r="I629">
        <v>30.9</v>
      </c>
      <c r="J629">
        <v>75.75</v>
      </c>
      <c r="K629" t="s">
        <v>29</v>
      </c>
      <c r="AV629" t="s">
        <v>838</v>
      </c>
      <c r="AW629" t="s">
        <v>234</v>
      </c>
      <c r="AX629" t="s">
        <v>234</v>
      </c>
      <c r="AY629">
        <v>2</v>
      </c>
      <c r="AZ629" t="s">
        <v>1956</v>
      </c>
      <c r="BA629">
        <v>2016</v>
      </c>
      <c r="BB629">
        <v>2018</v>
      </c>
      <c r="BD629" t="s">
        <v>1910</v>
      </c>
      <c r="BE629" t="s">
        <v>1972</v>
      </c>
      <c r="BF629" t="s">
        <v>43</v>
      </c>
      <c r="BG629" t="s">
        <v>1243</v>
      </c>
      <c r="BH629" t="s">
        <v>23</v>
      </c>
      <c r="BI629" t="s">
        <v>1933</v>
      </c>
      <c r="BJ629" t="s">
        <v>13</v>
      </c>
      <c r="BK629">
        <v>20</v>
      </c>
      <c r="BL629" t="s">
        <v>56</v>
      </c>
      <c r="BM629" t="s">
        <v>250</v>
      </c>
      <c r="BN629" t="s">
        <v>29</v>
      </c>
      <c r="BO629" t="s">
        <v>29</v>
      </c>
      <c r="BP629" t="s">
        <v>29</v>
      </c>
      <c r="BQ629" t="s">
        <v>275</v>
      </c>
      <c r="BR629" t="s">
        <v>1935</v>
      </c>
      <c r="BS629" t="s">
        <v>29</v>
      </c>
      <c r="BT629" t="s">
        <v>29</v>
      </c>
      <c r="BU629" t="s">
        <v>29</v>
      </c>
      <c r="BV629" t="s">
        <v>275</v>
      </c>
      <c r="BW629" t="s">
        <v>1936</v>
      </c>
      <c r="BX629" t="s">
        <v>29</v>
      </c>
      <c r="BY629" t="s">
        <v>29</v>
      </c>
      <c r="BZ629" t="s">
        <v>29</v>
      </c>
      <c r="EJ629" s="9"/>
      <c r="EK629" s="9"/>
      <c r="EL629" s="9"/>
      <c r="EM629" s="9"/>
      <c r="EN629" s="9"/>
      <c r="EO629" s="9"/>
      <c r="EP629" s="9"/>
      <c r="EQ629" s="9"/>
      <c r="ER629" s="9"/>
      <c r="ES629" s="9"/>
      <c r="ET629" s="9"/>
      <c r="EU629" s="9"/>
      <c r="EV629" s="9"/>
      <c r="EW629" s="9"/>
      <c r="EX629" s="9"/>
      <c r="EY629" s="9"/>
      <c r="EZ629" s="9"/>
      <c r="FA629" s="9"/>
      <c r="FB629" s="9"/>
      <c r="FC629" s="9"/>
      <c r="FD629" s="9"/>
      <c r="FE629" s="9"/>
      <c r="FF629" s="9"/>
      <c r="FG629" s="9"/>
      <c r="FH629" s="9"/>
      <c r="FI629" s="9"/>
      <c r="FJ629" s="9"/>
      <c r="FK629" s="9"/>
      <c r="FL629" s="9"/>
      <c r="FM629" s="9"/>
      <c r="FN629" s="9"/>
      <c r="FO629" s="9"/>
      <c r="FP629" s="9"/>
      <c r="FQ629" s="9"/>
      <c r="FR629" s="9"/>
      <c r="FS629" s="9"/>
      <c r="FT629" s="9"/>
      <c r="FU629" s="9"/>
      <c r="FV629" s="9"/>
      <c r="FW629" s="9"/>
      <c r="FX629" s="9"/>
      <c r="FY629" s="9"/>
      <c r="FZ629" s="9"/>
      <c r="GA629" s="9"/>
      <c r="GB629" s="9"/>
      <c r="GC629" s="9"/>
      <c r="GD629" s="9"/>
      <c r="GE629" s="9"/>
      <c r="GF629" s="9"/>
      <c r="GG629" s="9"/>
      <c r="GH629" s="9"/>
      <c r="GI629" s="9"/>
      <c r="GJ629" s="9"/>
      <c r="GK629" s="9"/>
      <c r="GL629" s="9"/>
      <c r="GM629" s="9"/>
      <c r="GN629" s="9"/>
      <c r="GO629" s="9"/>
      <c r="GP629" s="9"/>
      <c r="GQ629" s="9"/>
      <c r="GR629" s="9"/>
      <c r="GS629" s="9"/>
      <c r="GT629" s="9"/>
      <c r="GU629" s="9"/>
      <c r="GV629" s="9"/>
      <c r="GW629" s="9"/>
      <c r="GX629" s="9"/>
      <c r="GY629" s="9"/>
      <c r="GZ629" s="9"/>
      <c r="HA629" s="9"/>
      <c r="HB629" s="9"/>
      <c r="HC629" s="9"/>
      <c r="HD629" s="9"/>
      <c r="HE629" s="9"/>
      <c r="HF629" s="9"/>
      <c r="HG629" s="9"/>
      <c r="HH629" s="9"/>
      <c r="HI629" s="9"/>
      <c r="HJ629" s="9"/>
      <c r="HK629" s="9"/>
      <c r="HL629" s="9"/>
      <c r="HM629" s="9"/>
      <c r="HU629" s="58">
        <v>42539</v>
      </c>
      <c r="IN629" t="s">
        <v>1919</v>
      </c>
      <c r="IO629" s="54" t="s">
        <v>1938</v>
      </c>
      <c r="IR629">
        <v>2016</v>
      </c>
      <c r="JI629" t="s">
        <v>1958</v>
      </c>
      <c r="JK629" t="s">
        <v>14</v>
      </c>
      <c r="JO629" t="s">
        <v>13</v>
      </c>
      <c r="JP629">
        <v>125</v>
      </c>
      <c r="JS629">
        <v>60</v>
      </c>
      <c r="JT629">
        <v>30</v>
      </c>
      <c r="KD629" t="s">
        <v>1940</v>
      </c>
      <c r="KE629" s="84" t="s">
        <v>1561</v>
      </c>
      <c r="KF629" t="s">
        <v>1960</v>
      </c>
      <c r="KG629">
        <v>2</v>
      </c>
      <c r="KH629" t="s">
        <v>1959</v>
      </c>
      <c r="KJ629" s="8" t="s">
        <v>1962</v>
      </c>
      <c r="KK629" t="s">
        <v>1963</v>
      </c>
      <c r="KL629">
        <v>3</v>
      </c>
      <c r="KN629" s="8" t="s">
        <v>1941</v>
      </c>
      <c r="KO629" t="s">
        <v>234</v>
      </c>
      <c r="KP629" t="s">
        <v>234</v>
      </c>
      <c r="KR629" t="s">
        <v>1942</v>
      </c>
      <c r="KS629" t="s">
        <v>234</v>
      </c>
      <c r="KT629" t="s">
        <v>234</v>
      </c>
      <c r="LO629" t="s">
        <v>1964</v>
      </c>
      <c r="LS629" t="s">
        <v>1944</v>
      </c>
      <c r="LT629">
        <v>206.25</v>
      </c>
      <c r="LU629" s="4" t="s">
        <v>29</v>
      </c>
      <c r="MC629" s="58">
        <v>42997</v>
      </c>
      <c r="MD629" s="58">
        <v>42997</v>
      </c>
      <c r="MS629" t="s">
        <v>1945</v>
      </c>
      <c r="MT629" t="s">
        <v>234</v>
      </c>
      <c r="MU629" t="s">
        <v>1920</v>
      </c>
      <c r="MW629" t="s">
        <v>168</v>
      </c>
      <c r="MX629" t="s">
        <v>250</v>
      </c>
      <c r="ND629" t="s">
        <v>1969</v>
      </c>
      <c r="NE629" t="s">
        <v>1927</v>
      </c>
      <c r="NF629" t="s">
        <v>1930</v>
      </c>
      <c r="NG629" s="4" t="s">
        <v>1931</v>
      </c>
      <c r="NH629" s="6"/>
      <c r="NQ629" t="s">
        <v>6</v>
      </c>
      <c r="NR629">
        <v>1.3</v>
      </c>
      <c r="NS629" t="s">
        <v>234</v>
      </c>
      <c r="NT629" t="s">
        <v>234</v>
      </c>
      <c r="NW629" s="15">
        <v>3</v>
      </c>
      <c r="OH629" t="s">
        <v>1943</v>
      </c>
      <c r="OI629" t="s">
        <v>6</v>
      </c>
      <c r="OK629">
        <v>2016</v>
      </c>
      <c r="OL629">
        <v>2017</v>
      </c>
      <c r="OO629" t="s">
        <v>1178</v>
      </c>
      <c r="OP629" s="58">
        <v>46129</v>
      </c>
    </row>
    <row r="630" spans="1:406" ht="15.75" thickBot="1">
      <c r="A630" t="s">
        <v>248</v>
      </c>
      <c r="B630" t="s">
        <v>1903</v>
      </c>
      <c r="C630" t="s">
        <v>1904</v>
      </c>
      <c r="D630" s="4" t="s">
        <v>1955</v>
      </c>
      <c r="E630" s="90" t="s">
        <v>1974</v>
      </c>
      <c r="F630" t="s">
        <v>31</v>
      </c>
      <c r="G630" t="s">
        <v>2</v>
      </c>
      <c r="H630" t="s">
        <v>30</v>
      </c>
      <c r="I630">
        <v>30.9</v>
      </c>
      <c r="J630">
        <v>75.75</v>
      </c>
      <c r="K630" t="s">
        <v>29</v>
      </c>
      <c r="AV630" t="s">
        <v>838</v>
      </c>
      <c r="AW630" t="s">
        <v>234</v>
      </c>
      <c r="AX630" t="s">
        <v>234</v>
      </c>
      <c r="AY630">
        <v>2</v>
      </c>
      <c r="AZ630" t="s">
        <v>1956</v>
      </c>
      <c r="BA630">
        <v>2016</v>
      </c>
      <c r="BB630">
        <v>2018</v>
      </c>
      <c r="BD630" t="s">
        <v>1910</v>
      </c>
      <c r="BE630" s="3" t="s">
        <v>1921</v>
      </c>
      <c r="BF630" t="s">
        <v>252</v>
      </c>
      <c r="BG630" t="s">
        <v>1243</v>
      </c>
      <c r="BH630" t="s">
        <v>23</v>
      </c>
      <c r="BI630" t="s">
        <v>1933</v>
      </c>
      <c r="BJ630" t="s">
        <v>13</v>
      </c>
      <c r="BK630">
        <v>20</v>
      </c>
      <c r="BL630" t="s">
        <v>275</v>
      </c>
      <c r="BM630" t="s">
        <v>1937</v>
      </c>
      <c r="BN630" t="s">
        <v>29</v>
      </c>
      <c r="BO630" t="s">
        <v>29</v>
      </c>
      <c r="BP630" t="s">
        <v>29</v>
      </c>
      <c r="BQ630" t="s">
        <v>275</v>
      </c>
      <c r="BR630" t="s">
        <v>1935</v>
      </c>
      <c r="BS630" t="s">
        <v>29</v>
      </c>
      <c r="BT630" t="s">
        <v>29</v>
      </c>
      <c r="BU630" t="s">
        <v>29</v>
      </c>
      <c r="BV630" t="s">
        <v>275</v>
      </c>
      <c r="BW630" t="s">
        <v>1936</v>
      </c>
      <c r="BX630" t="s">
        <v>29</v>
      </c>
      <c r="BY630" t="s">
        <v>29</v>
      </c>
      <c r="BZ630" t="s">
        <v>29</v>
      </c>
      <c r="EJ630" s="9"/>
      <c r="EK630" s="9"/>
      <c r="EL630" s="9"/>
      <c r="EM630" s="9"/>
      <c r="EN630" s="9"/>
      <c r="EO630" s="9"/>
      <c r="EP630" s="9"/>
      <c r="EQ630" s="9"/>
      <c r="ER630" s="9"/>
      <c r="ES630" s="9"/>
      <c r="ET630" s="9"/>
      <c r="EU630" s="9"/>
      <c r="EV630" s="9"/>
      <c r="EW630" s="9"/>
      <c r="EX630" s="9"/>
      <c r="EY630" s="9"/>
      <c r="EZ630" s="9"/>
      <c r="FA630" s="9"/>
      <c r="FB630" s="9"/>
      <c r="FC630" s="9"/>
      <c r="FD630" s="9"/>
      <c r="FE630" s="9"/>
      <c r="FF630" s="9"/>
      <c r="FG630" s="9"/>
      <c r="FH630" s="9"/>
      <c r="FI630" s="9"/>
      <c r="FJ630" s="9"/>
      <c r="FK630" s="9"/>
      <c r="FL630" s="9"/>
      <c r="FM630" s="9"/>
      <c r="FN630" s="9"/>
      <c r="FO630" s="9"/>
      <c r="FP630" s="9"/>
      <c r="FQ630" s="9"/>
      <c r="FR630" s="9"/>
      <c r="FS630" s="9"/>
      <c r="FT630" s="9"/>
      <c r="FU630" s="9"/>
      <c r="FV630" s="9"/>
      <c r="FW630" s="9"/>
      <c r="FX630" s="9"/>
      <c r="FY630" s="9"/>
      <c r="FZ630" s="9"/>
      <c r="GA630" s="9"/>
      <c r="GB630" s="9"/>
      <c r="GC630" s="9"/>
      <c r="GD630" s="9"/>
      <c r="GE630" s="9"/>
      <c r="GF630" s="9"/>
      <c r="GG630" s="9"/>
      <c r="GH630" s="9"/>
      <c r="GI630" s="9"/>
      <c r="GJ630" s="9"/>
      <c r="GK630" s="9"/>
      <c r="GL630" s="9"/>
      <c r="GM630" s="9"/>
      <c r="GN630" s="9"/>
      <c r="GO630" s="9"/>
      <c r="GP630" s="9"/>
      <c r="GQ630" s="9"/>
      <c r="GR630" s="9"/>
      <c r="GS630" s="9"/>
      <c r="GT630" s="9"/>
      <c r="GU630" s="9"/>
      <c r="GV630" s="9"/>
      <c r="GW630" s="9"/>
      <c r="GX630" s="9"/>
      <c r="GY630" s="9"/>
      <c r="GZ630" s="9"/>
      <c r="HA630" s="9"/>
      <c r="HB630" s="9"/>
      <c r="HC630" s="9"/>
      <c r="HD630" s="9"/>
      <c r="HE630" s="9"/>
      <c r="HF630" s="9"/>
      <c r="HG630" s="9"/>
      <c r="HH630" s="9"/>
      <c r="HI630" s="9"/>
      <c r="HJ630" s="9"/>
      <c r="HK630" s="9"/>
      <c r="HL630" s="9"/>
      <c r="HM630" s="9"/>
      <c r="HU630" s="58">
        <v>42539</v>
      </c>
      <c r="IN630" t="s">
        <v>1921</v>
      </c>
      <c r="IO630" s="54" t="s">
        <v>1938</v>
      </c>
      <c r="IR630">
        <v>2016</v>
      </c>
      <c r="JI630" t="s">
        <v>1958</v>
      </c>
      <c r="JK630" t="s">
        <v>14</v>
      </c>
      <c r="JO630" t="s">
        <v>13</v>
      </c>
      <c r="JP630">
        <v>125</v>
      </c>
      <c r="JS630">
        <v>60</v>
      </c>
      <c r="JT630">
        <v>30</v>
      </c>
      <c r="KD630" t="s">
        <v>1940</v>
      </c>
      <c r="KE630" s="84" t="s">
        <v>1561</v>
      </c>
      <c r="KF630" t="s">
        <v>1960</v>
      </c>
      <c r="KG630">
        <v>2</v>
      </c>
      <c r="KH630" t="s">
        <v>1959</v>
      </c>
      <c r="KJ630" s="8" t="s">
        <v>1962</v>
      </c>
      <c r="KK630" t="s">
        <v>1963</v>
      </c>
      <c r="KL630">
        <v>3</v>
      </c>
      <c r="KN630" s="8" t="s">
        <v>1941</v>
      </c>
      <c r="KO630" t="s">
        <v>234</v>
      </c>
      <c r="KP630" t="s">
        <v>234</v>
      </c>
      <c r="KR630" t="s">
        <v>1942</v>
      </c>
      <c r="KS630" t="s">
        <v>234</v>
      </c>
      <c r="KT630" t="s">
        <v>234</v>
      </c>
      <c r="LO630" t="s">
        <v>1964</v>
      </c>
      <c r="LS630" t="s">
        <v>1944</v>
      </c>
      <c r="LT630">
        <v>206.25</v>
      </c>
      <c r="LU630" s="4" t="s">
        <v>29</v>
      </c>
      <c r="MC630" s="58">
        <v>42997</v>
      </c>
      <c r="MD630" s="58">
        <v>42997</v>
      </c>
      <c r="MS630" t="s">
        <v>1945</v>
      </c>
      <c r="MT630" t="s">
        <v>234</v>
      </c>
      <c r="MU630" t="s">
        <v>1922</v>
      </c>
      <c r="MW630" t="s">
        <v>168</v>
      </c>
      <c r="ND630" t="s">
        <v>1969</v>
      </c>
      <c r="NE630" t="s">
        <v>1927</v>
      </c>
      <c r="NF630" t="s">
        <v>1930</v>
      </c>
      <c r="NG630" s="4" t="s">
        <v>1931</v>
      </c>
      <c r="NH630" s="6"/>
      <c r="NQ630" t="s">
        <v>6</v>
      </c>
      <c r="NR630">
        <v>1.05</v>
      </c>
      <c r="NS630" t="s">
        <v>234</v>
      </c>
      <c r="NT630" t="s">
        <v>234</v>
      </c>
      <c r="NW630" s="15">
        <v>3</v>
      </c>
      <c r="OH630" t="s">
        <v>1943</v>
      </c>
      <c r="OI630" t="s">
        <v>6</v>
      </c>
      <c r="OK630">
        <v>2016</v>
      </c>
      <c r="OL630">
        <v>2017</v>
      </c>
      <c r="OO630" t="s">
        <v>1178</v>
      </c>
      <c r="OP630" s="58">
        <v>46129</v>
      </c>
    </row>
    <row r="631" spans="1:406" ht="15.75" thickBot="1">
      <c r="A631" t="s">
        <v>248</v>
      </c>
      <c r="B631" t="s">
        <v>1903</v>
      </c>
      <c r="C631" t="s">
        <v>1904</v>
      </c>
      <c r="D631" s="4" t="s">
        <v>1955</v>
      </c>
      <c r="E631" s="90" t="s">
        <v>1974</v>
      </c>
      <c r="F631" t="s">
        <v>31</v>
      </c>
      <c r="G631" t="s">
        <v>2</v>
      </c>
      <c r="H631" t="s">
        <v>30</v>
      </c>
      <c r="I631">
        <v>30.9</v>
      </c>
      <c r="J631">
        <v>75.75</v>
      </c>
      <c r="K631" t="s">
        <v>29</v>
      </c>
      <c r="AV631" t="s">
        <v>838</v>
      </c>
      <c r="AW631" t="s">
        <v>234</v>
      </c>
      <c r="AX631" t="s">
        <v>234</v>
      </c>
      <c r="AY631">
        <v>2</v>
      </c>
      <c r="AZ631" t="s">
        <v>1956</v>
      </c>
      <c r="BA631">
        <v>2016</v>
      </c>
      <c r="BB631">
        <v>2018</v>
      </c>
      <c r="BD631" t="s">
        <v>1910</v>
      </c>
      <c r="BE631" s="15" t="s">
        <v>1973</v>
      </c>
      <c r="BF631" t="s">
        <v>236</v>
      </c>
      <c r="BG631" t="s">
        <v>1243</v>
      </c>
      <c r="BH631" t="s">
        <v>23</v>
      </c>
      <c r="BI631" t="s">
        <v>1933</v>
      </c>
      <c r="BJ631" t="s">
        <v>13</v>
      </c>
      <c r="BK631">
        <v>20</v>
      </c>
      <c r="BL631" t="s">
        <v>56</v>
      </c>
      <c r="BM631" t="s">
        <v>250</v>
      </c>
      <c r="BN631" t="s">
        <v>29</v>
      </c>
      <c r="BO631" t="s">
        <v>29</v>
      </c>
      <c r="BP631" t="s">
        <v>29</v>
      </c>
      <c r="BQ631" t="s">
        <v>275</v>
      </c>
      <c r="BR631" t="s">
        <v>1937</v>
      </c>
      <c r="BS631" t="s">
        <v>29</v>
      </c>
      <c r="BT631" t="s">
        <v>29</v>
      </c>
      <c r="BU631" t="s">
        <v>29</v>
      </c>
      <c r="BV631" t="s">
        <v>275</v>
      </c>
      <c r="BW631" t="s">
        <v>1935</v>
      </c>
      <c r="BX631" t="s">
        <v>29</v>
      </c>
      <c r="BY631" t="s">
        <v>29</v>
      </c>
      <c r="BZ631" t="s">
        <v>29</v>
      </c>
      <c r="CA631" t="s">
        <v>275</v>
      </c>
      <c r="CB631" t="s">
        <v>1936</v>
      </c>
      <c r="CC631" t="s">
        <v>29</v>
      </c>
      <c r="CD631" t="s">
        <v>29</v>
      </c>
      <c r="CE631" t="s">
        <v>29</v>
      </c>
      <c r="EJ631" s="9"/>
      <c r="EK631" s="9"/>
      <c r="EL631" s="9"/>
      <c r="EM631" s="9"/>
      <c r="EN631" s="9"/>
      <c r="EO631" s="9"/>
      <c r="EP631" s="9"/>
      <c r="EQ631" s="9"/>
      <c r="ER631" s="9"/>
      <c r="ES631" s="9"/>
      <c r="ET631" s="9"/>
      <c r="EU631" s="9"/>
      <c r="EV631" s="9"/>
      <c r="EW631" s="9"/>
      <c r="EX631" s="9"/>
      <c r="EY631" s="9"/>
      <c r="EZ631" s="9"/>
      <c r="FA631" s="9"/>
      <c r="FB631" s="9"/>
      <c r="FC631" s="9"/>
      <c r="FD631" s="9"/>
      <c r="FE631" s="9"/>
      <c r="FF631" s="9"/>
      <c r="FG631" s="9"/>
      <c r="FH631" s="9"/>
      <c r="FI631" s="9"/>
      <c r="FJ631" s="9"/>
      <c r="FK631" s="9"/>
      <c r="FL631" s="9"/>
      <c r="FM631" s="9"/>
      <c r="FN631" s="9"/>
      <c r="FO631" s="9"/>
      <c r="FP631" s="9"/>
      <c r="FQ631" s="9"/>
      <c r="FR631" s="9"/>
      <c r="FS631" s="9"/>
      <c r="FT631" s="9"/>
      <c r="FU631" s="9"/>
      <c r="FV631" s="9"/>
      <c r="FW631" s="9"/>
      <c r="FX631" s="9"/>
      <c r="FY631" s="9"/>
      <c r="FZ631" s="9"/>
      <c r="GA631" s="9"/>
      <c r="GB631" s="9"/>
      <c r="GC631" s="9"/>
      <c r="GD631" s="9"/>
      <c r="GE631" s="9"/>
      <c r="GF631" s="9"/>
      <c r="GG631" s="9"/>
      <c r="GH631" s="9"/>
      <c r="GI631" s="9"/>
      <c r="GJ631" s="9"/>
      <c r="GK631" s="9"/>
      <c r="GL631" s="9"/>
      <c r="GM631" s="9"/>
      <c r="GN631" s="9"/>
      <c r="GO631" s="9"/>
      <c r="GP631" s="9"/>
      <c r="GQ631" s="9"/>
      <c r="GR631" s="9"/>
      <c r="GS631" s="9"/>
      <c r="GT631" s="9"/>
      <c r="GU631" s="9"/>
      <c r="GV631" s="9"/>
      <c r="GW631" s="9"/>
      <c r="GX631" s="9"/>
      <c r="GY631" s="9"/>
      <c r="GZ631" s="9"/>
      <c r="HA631" s="9"/>
      <c r="HB631" s="9"/>
      <c r="HC631" s="9"/>
      <c r="HD631" s="9"/>
      <c r="HE631" s="9"/>
      <c r="HF631" s="9"/>
      <c r="HG631" s="9"/>
      <c r="HH631" s="9"/>
      <c r="HI631" s="9"/>
      <c r="HJ631" s="9"/>
      <c r="HK631" s="9"/>
      <c r="HL631" s="9"/>
      <c r="HM631" s="9"/>
      <c r="HU631" s="58">
        <v>42539</v>
      </c>
      <c r="IN631" t="s">
        <v>1923</v>
      </c>
      <c r="IO631" s="54" t="s">
        <v>1938</v>
      </c>
      <c r="IR631">
        <v>2016</v>
      </c>
      <c r="JI631" t="s">
        <v>1958</v>
      </c>
      <c r="JK631" t="s">
        <v>14</v>
      </c>
      <c r="JO631" t="s">
        <v>13</v>
      </c>
      <c r="JP631">
        <v>125</v>
      </c>
      <c r="JS631">
        <v>60</v>
      </c>
      <c r="JT631">
        <v>30</v>
      </c>
      <c r="KD631" t="s">
        <v>1940</v>
      </c>
      <c r="KE631" s="84" t="s">
        <v>1561</v>
      </c>
      <c r="KF631" t="s">
        <v>1960</v>
      </c>
      <c r="KG631">
        <v>2</v>
      </c>
      <c r="KH631" t="s">
        <v>1959</v>
      </c>
      <c r="KJ631" s="8" t="s">
        <v>1962</v>
      </c>
      <c r="KK631" t="s">
        <v>1963</v>
      </c>
      <c r="KL631">
        <v>3</v>
      </c>
      <c r="KN631" s="8" t="s">
        <v>1941</v>
      </c>
      <c r="KO631" t="s">
        <v>234</v>
      </c>
      <c r="KP631" t="s">
        <v>234</v>
      </c>
      <c r="KR631" t="s">
        <v>1942</v>
      </c>
      <c r="KS631" t="s">
        <v>234</v>
      </c>
      <c r="KT631" t="s">
        <v>234</v>
      </c>
      <c r="LO631" t="s">
        <v>1964</v>
      </c>
      <c r="LS631" t="s">
        <v>1944</v>
      </c>
      <c r="LT631">
        <v>206.25</v>
      </c>
      <c r="LU631" s="4" t="s">
        <v>29</v>
      </c>
      <c r="MC631" s="58">
        <v>42997</v>
      </c>
      <c r="MD631" s="58">
        <v>42997</v>
      </c>
      <c r="MS631" t="s">
        <v>1945</v>
      </c>
      <c r="MT631" t="s">
        <v>234</v>
      </c>
      <c r="MU631" t="s">
        <v>1924</v>
      </c>
      <c r="MW631" t="s">
        <v>168</v>
      </c>
      <c r="MX631" t="s">
        <v>250</v>
      </c>
      <c r="ND631" t="s">
        <v>1969</v>
      </c>
      <c r="NE631" t="s">
        <v>1927</v>
      </c>
      <c r="NF631" t="s">
        <v>1930</v>
      </c>
      <c r="NG631" s="4" t="s">
        <v>1931</v>
      </c>
      <c r="NH631" s="6"/>
      <c r="NQ631" t="s">
        <v>6</v>
      </c>
      <c r="NR631">
        <v>1.33</v>
      </c>
      <c r="NS631" t="s">
        <v>234</v>
      </c>
      <c r="NT631" t="s">
        <v>234</v>
      </c>
      <c r="NW631" s="15">
        <v>3</v>
      </c>
      <c r="OH631" t="s">
        <v>1943</v>
      </c>
      <c r="OI631" t="s">
        <v>6</v>
      </c>
      <c r="OK631">
        <v>2016</v>
      </c>
      <c r="OL631">
        <v>2017</v>
      </c>
      <c r="OO631" t="s">
        <v>1178</v>
      </c>
      <c r="OP631" s="58">
        <v>46129</v>
      </c>
    </row>
    <row r="632" spans="1:406" ht="15.75" thickBot="1">
      <c r="A632" t="s">
        <v>248</v>
      </c>
      <c r="B632" t="s">
        <v>1903</v>
      </c>
      <c r="C632" t="s">
        <v>1904</v>
      </c>
      <c r="D632" s="4" t="s">
        <v>1955</v>
      </c>
      <c r="E632" s="90" t="s">
        <v>1974</v>
      </c>
      <c r="F632" t="s">
        <v>31</v>
      </c>
      <c r="G632" t="s">
        <v>2</v>
      </c>
      <c r="H632" t="s">
        <v>30</v>
      </c>
      <c r="I632">
        <v>30.9</v>
      </c>
      <c r="J632">
        <v>75.75</v>
      </c>
      <c r="K632" t="s">
        <v>29</v>
      </c>
      <c r="AV632" t="s">
        <v>838</v>
      </c>
      <c r="AW632" t="s">
        <v>234</v>
      </c>
      <c r="AX632" t="s">
        <v>234</v>
      </c>
      <c r="AY632">
        <v>2</v>
      </c>
      <c r="AZ632" t="s">
        <v>1956</v>
      </c>
      <c r="BA632">
        <v>2016</v>
      </c>
      <c r="BB632">
        <v>2018</v>
      </c>
      <c r="BD632" t="s">
        <v>1905</v>
      </c>
      <c r="BE632" t="s">
        <v>1906</v>
      </c>
      <c r="BF632" t="s">
        <v>39</v>
      </c>
      <c r="BG632" t="s">
        <v>1243</v>
      </c>
      <c r="BH632" t="s">
        <v>23</v>
      </c>
      <c r="BI632" t="s">
        <v>1933</v>
      </c>
      <c r="BJ632" t="s">
        <v>13</v>
      </c>
      <c r="BK632">
        <v>20</v>
      </c>
      <c r="BL632" t="s">
        <v>275</v>
      </c>
      <c r="BM632" t="s">
        <v>1907</v>
      </c>
      <c r="BN632" t="s">
        <v>29</v>
      </c>
      <c r="BO632" t="s">
        <v>29</v>
      </c>
      <c r="BP632" t="s">
        <v>29</v>
      </c>
      <c r="HU632" s="58">
        <v>42907</v>
      </c>
      <c r="IN632" t="s">
        <v>1906</v>
      </c>
      <c r="IO632" s="54" t="s">
        <v>1939</v>
      </c>
      <c r="IR632">
        <v>2016</v>
      </c>
      <c r="JI632" t="s">
        <v>1958</v>
      </c>
      <c r="JK632" t="s">
        <v>14</v>
      </c>
      <c r="JO632" t="s">
        <v>13</v>
      </c>
      <c r="JP632">
        <v>125</v>
      </c>
      <c r="JS632">
        <v>60</v>
      </c>
      <c r="JT632">
        <v>30</v>
      </c>
      <c r="KD632" t="s">
        <v>1940</v>
      </c>
      <c r="KE632" s="84" t="s">
        <v>1561</v>
      </c>
      <c r="KF632" t="s">
        <v>1960</v>
      </c>
      <c r="KG632">
        <v>2</v>
      </c>
      <c r="KH632" t="s">
        <v>1959</v>
      </c>
      <c r="KJ632" s="8" t="s">
        <v>1962</v>
      </c>
      <c r="KK632" t="s">
        <v>1963</v>
      </c>
      <c r="KL632">
        <v>3</v>
      </c>
      <c r="KN632" s="8" t="s">
        <v>1941</v>
      </c>
      <c r="KO632" t="s">
        <v>234</v>
      </c>
      <c r="KP632" t="s">
        <v>234</v>
      </c>
      <c r="KR632" t="s">
        <v>1942</v>
      </c>
      <c r="KS632" t="s">
        <v>234</v>
      </c>
      <c r="KT632" t="s">
        <v>234</v>
      </c>
      <c r="LO632" t="s">
        <v>1964</v>
      </c>
      <c r="LS632" t="s">
        <v>1944</v>
      </c>
      <c r="LT632">
        <v>225</v>
      </c>
      <c r="LU632" s="4" t="s">
        <v>29</v>
      </c>
      <c r="MC632" s="58">
        <v>43362</v>
      </c>
      <c r="MD632" s="58">
        <v>43362</v>
      </c>
      <c r="MS632" t="s">
        <v>1945</v>
      </c>
      <c r="MT632" t="s">
        <v>234</v>
      </c>
      <c r="MU632" t="s">
        <v>1908</v>
      </c>
      <c r="MW632" t="s">
        <v>168</v>
      </c>
      <c r="ND632" t="s">
        <v>1969</v>
      </c>
      <c r="NE632" t="s">
        <v>1927</v>
      </c>
      <c r="NF632" t="s">
        <v>1930</v>
      </c>
      <c r="NG632" s="4" t="s">
        <v>1931</v>
      </c>
      <c r="NH632" s="6"/>
      <c r="NP632" t="s">
        <v>1571</v>
      </c>
      <c r="NQ632" t="s">
        <v>6</v>
      </c>
      <c r="NR632">
        <v>1.1599999999999999</v>
      </c>
      <c r="NS632" t="s">
        <v>234</v>
      </c>
      <c r="NT632" t="s">
        <v>234</v>
      </c>
      <c r="NW632" s="15">
        <v>3</v>
      </c>
      <c r="OH632" t="s">
        <v>1943</v>
      </c>
      <c r="OI632" t="s">
        <v>6</v>
      </c>
      <c r="OK632">
        <v>2017</v>
      </c>
      <c r="OL632">
        <v>2018</v>
      </c>
      <c r="OO632" t="s">
        <v>1178</v>
      </c>
      <c r="OP632" s="58">
        <v>46129</v>
      </c>
    </row>
    <row r="633" spans="1:406" ht="15.75" thickBot="1">
      <c r="A633" t="s">
        <v>248</v>
      </c>
      <c r="B633" t="s">
        <v>1903</v>
      </c>
      <c r="C633" t="s">
        <v>1904</v>
      </c>
      <c r="D633" s="4" t="s">
        <v>1955</v>
      </c>
      <c r="E633" s="90" t="s">
        <v>1974</v>
      </c>
      <c r="F633" t="s">
        <v>31</v>
      </c>
      <c r="G633" t="s">
        <v>2</v>
      </c>
      <c r="H633" t="s">
        <v>30</v>
      </c>
      <c r="I633">
        <v>30.9</v>
      </c>
      <c r="J633">
        <v>75.75</v>
      </c>
      <c r="K633" t="s">
        <v>29</v>
      </c>
      <c r="AV633" t="s">
        <v>838</v>
      </c>
      <c r="AW633" t="s">
        <v>234</v>
      </c>
      <c r="AX633" t="s">
        <v>234</v>
      </c>
      <c r="AY633">
        <v>2</v>
      </c>
      <c r="AZ633" t="s">
        <v>1956</v>
      </c>
      <c r="BA633">
        <v>2016</v>
      </c>
      <c r="BB633">
        <v>2018</v>
      </c>
      <c r="BD633" t="s">
        <v>1910</v>
      </c>
      <c r="BE633" t="s">
        <v>1925</v>
      </c>
      <c r="BF633" t="s">
        <v>64</v>
      </c>
      <c r="BG633" t="s">
        <v>1243</v>
      </c>
      <c r="BH633" t="s">
        <v>23</v>
      </c>
      <c r="BI633" t="s">
        <v>1933</v>
      </c>
      <c r="BJ633" t="s">
        <v>13</v>
      </c>
      <c r="BK633">
        <v>20</v>
      </c>
      <c r="BL633" t="s">
        <v>275</v>
      </c>
      <c r="BM633" t="s">
        <v>1913</v>
      </c>
      <c r="BN633" t="s">
        <v>29</v>
      </c>
      <c r="BO633" t="s">
        <v>29</v>
      </c>
      <c r="BP633" t="s">
        <v>29</v>
      </c>
      <c r="BQ633" t="s">
        <v>275</v>
      </c>
      <c r="BR633" t="s">
        <v>1912</v>
      </c>
      <c r="BS633" t="s">
        <v>29</v>
      </c>
      <c r="BT633" t="s">
        <v>29</v>
      </c>
      <c r="BU633" t="s">
        <v>29</v>
      </c>
      <c r="BV633" t="s">
        <v>56</v>
      </c>
      <c r="BW633" t="s">
        <v>1184</v>
      </c>
      <c r="BX633" t="s">
        <v>29</v>
      </c>
      <c r="BY633" t="s">
        <v>29</v>
      </c>
      <c r="BZ633" t="s">
        <v>29</v>
      </c>
      <c r="HU633" s="58">
        <v>42907</v>
      </c>
      <c r="IN633" t="s">
        <v>1911</v>
      </c>
      <c r="IO633" s="54" t="s">
        <v>1938</v>
      </c>
      <c r="IR633">
        <v>2016</v>
      </c>
      <c r="JI633" t="s">
        <v>1958</v>
      </c>
      <c r="JK633" t="s">
        <v>14</v>
      </c>
      <c r="JO633" t="s">
        <v>13</v>
      </c>
      <c r="JP633">
        <v>125</v>
      </c>
      <c r="JS633">
        <v>60</v>
      </c>
      <c r="JT633">
        <v>30</v>
      </c>
      <c r="KD633" t="s">
        <v>1940</v>
      </c>
      <c r="KE633" s="84" t="s">
        <v>1561</v>
      </c>
      <c r="KF633" t="s">
        <v>1960</v>
      </c>
      <c r="KG633">
        <v>2</v>
      </c>
      <c r="KH633" t="s">
        <v>1959</v>
      </c>
      <c r="KJ633" s="8" t="s">
        <v>1962</v>
      </c>
      <c r="KK633" t="s">
        <v>1963</v>
      </c>
      <c r="KL633">
        <v>3</v>
      </c>
      <c r="KN633" s="8" t="s">
        <v>1941</v>
      </c>
      <c r="KO633" t="s">
        <v>234</v>
      </c>
      <c r="KP633" t="s">
        <v>234</v>
      </c>
      <c r="KR633" t="s">
        <v>1942</v>
      </c>
      <c r="KS633" t="s">
        <v>234</v>
      </c>
      <c r="KT633" t="s">
        <v>234</v>
      </c>
      <c r="LO633" t="s">
        <v>1964</v>
      </c>
      <c r="LS633" t="s">
        <v>1944</v>
      </c>
      <c r="LT633">
        <v>225</v>
      </c>
      <c r="LU633" s="4" t="s">
        <v>29</v>
      </c>
      <c r="MC633" s="58">
        <v>43362</v>
      </c>
      <c r="MD633" s="58">
        <v>43362</v>
      </c>
      <c r="MS633" t="s">
        <v>1945</v>
      </c>
      <c r="MT633" t="s">
        <v>234</v>
      </c>
      <c r="MU633" t="s">
        <v>1914</v>
      </c>
      <c r="MW633" t="s">
        <v>168</v>
      </c>
      <c r="ND633" t="s">
        <v>1969</v>
      </c>
      <c r="NE633" t="s">
        <v>1927</v>
      </c>
      <c r="NF633" t="s">
        <v>1930</v>
      </c>
      <c r="NG633" s="4" t="s">
        <v>1931</v>
      </c>
      <c r="NH633" s="6"/>
      <c r="NQ633" t="s">
        <v>6</v>
      </c>
      <c r="NR633">
        <v>1.19</v>
      </c>
      <c r="NS633" t="s">
        <v>234</v>
      </c>
      <c r="NT633" t="s">
        <v>234</v>
      </c>
      <c r="NW633" s="15">
        <v>3</v>
      </c>
      <c r="OH633" t="s">
        <v>1943</v>
      </c>
      <c r="OI633" t="s">
        <v>6</v>
      </c>
      <c r="OK633">
        <v>2017</v>
      </c>
      <c r="OL633">
        <v>2018</v>
      </c>
      <c r="OO633" t="s">
        <v>1178</v>
      </c>
      <c r="OP633" s="58">
        <v>46129</v>
      </c>
    </row>
    <row r="634" spans="1:406" ht="15.75" thickBot="1">
      <c r="A634" t="s">
        <v>248</v>
      </c>
      <c r="B634" t="s">
        <v>1903</v>
      </c>
      <c r="C634" t="s">
        <v>1904</v>
      </c>
      <c r="D634" s="4" t="s">
        <v>1955</v>
      </c>
      <c r="E634" s="90" t="s">
        <v>1974</v>
      </c>
      <c r="F634" t="s">
        <v>31</v>
      </c>
      <c r="G634" t="s">
        <v>2</v>
      </c>
      <c r="H634" t="s">
        <v>30</v>
      </c>
      <c r="I634">
        <v>30.9</v>
      </c>
      <c r="J634">
        <v>75.75</v>
      </c>
      <c r="K634" t="s">
        <v>29</v>
      </c>
      <c r="AV634" t="s">
        <v>838</v>
      </c>
      <c r="AW634" t="s">
        <v>234</v>
      </c>
      <c r="AX634" t="s">
        <v>234</v>
      </c>
      <c r="AY634">
        <v>2</v>
      </c>
      <c r="AZ634" t="s">
        <v>1956</v>
      </c>
      <c r="BA634">
        <v>2016</v>
      </c>
      <c r="BB634">
        <v>2018</v>
      </c>
      <c r="BD634" t="s">
        <v>1910</v>
      </c>
      <c r="BE634" t="s">
        <v>1970</v>
      </c>
      <c r="BF634" t="s">
        <v>57</v>
      </c>
      <c r="BG634" t="s">
        <v>1243</v>
      </c>
      <c r="BH634" t="s">
        <v>23</v>
      </c>
      <c r="BI634" t="s">
        <v>1933</v>
      </c>
      <c r="BJ634" t="s">
        <v>13</v>
      </c>
      <c r="BK634">
        <v>20</v>
      </c>
      <c r="BL634" t="s">
        <v>56</v>
      </c>
      <c r="BM634" t="s">
        <v>250</v>
      </c>
      <c r="BN634" t="s">
        <v>29</v>
      </c>
      <c r="BO634" t="s">
        <v>29</v>
      </c>
      <c r="BP634" t="s">
        <v>29</v>
      </c>
      <c r="BQ634" t="s">
        <v>275</v>
      </c>
      <c r="BR634" t="s">
        <v>1913</v>
      </c>
      <c r="BS634" t="s">
        <v>29</v>
      </c>
      <c r="BT634" t="s">
        <v>29</v>
      </c>
      <c r="BU634" t="s">
        <v>29</v>
      </c>
      <c r="BV634" t="s">
        <v>275</v>
      </c>
      <c r="BW634" t="s">
        <v>1912</v>
      </c>
      <c r="BX634" t="s">
        <v>29</v>
      </c>
      <c r="BY634" t="s">
        <v>29</v>
      </c>
      <c r="BZ634" t="s">
        <v>29</v>
      </c>
      <c r="CA634" t="s">
        <v>56</v>
      </c>
      <c r="CB634" t="s">
        <v>1184</v>
      </c>
      <c r="CC634" t="s">
        <v>29</v>
      </c>
      <c r="CD634" t="s">
        <v>29</v>
      </c>
      <c r="CE634" t="s">
        <v>29</v>
      </c>
      <c r="HU634" s="58">
        <v>42907</v>
      </c>
      <c r="IN634" t="s">
        <v>1915</v>
      </c>
      <c r="IO634" s="54" t="s">
        <v>1938</v>
      </c>
      <c r="IR634">
        <v>2016</v>
      </c>
      <c r="JI634" t="s">
        <v>1958</v>
      </c>
      <c r="JK634" t="s">
        <v>14</v>
      </c>
      <c r="JO634" t="s">
        <v>13</v>
      </c>
      <c r="JP634">
        <v>125</v>
      </c>
      <c r="JS634">
        <v>60</v>
      </c>
      <c r="JT634">
        <v>30</v>
      </c>
      <c r="KD634" t="s">
        <v>1940</v>
      </c>
      <c r="KE634" s="84" t="s">
        <v>1561</v>
      </c>
      <c r="KF634" t="s">
        <v>1960</v>
      </c>
      <c r="KG634">
        <v>2</v>
      </c>
      <c r="KH634" t="s">
        <v>1959</v>
      </c>
      <c r="KJ634" s="8" t="s">
        <v>1962</v>
      </c>
      <c r="KK634" t="s">
        <v>1963</v>
      </c>
      <c r="KL634">
        <v>3</v>
      </c>
      <c r="KN634" s="8" t="s">
        <v>1941</v>
      </c>
      <c r="KO634" t="s">
        <v>234</v>
      </c>
      <c r="KP634" t="s">
        <v>234</v>
      </c>
      <c r="KR634" t="s">
        <v>1942</v>
      </c>
      <c r="KS634" t="s">
        <v>234</v>
      </c>
      <c r="KT634" t="s">
        <v>234</v>
      </c>
      <c r="LO634" t="s">
        <v>1964</v>
      </c>
      <c r="LS634" t="s">
        <v>1944</v>
      </c>
      <c r="LT634">
        <v>225</v>
      </c>
      <c r="LU634" s="4" t="s">
        <v>29</v>
      </c>
      <c r="MC634" s="58">
        <v>43362</v>
      </c>
      <c r="MD634" s="58">
        <v>43362</v>
      </c>
      <c r="MS634" t="s">
        <v>1945</v>
      </c>
      <c r="MT634" t="s">
        <v>234</v>
      </c>
      <c r="MU634" t="s">
        <v>1916</v>
      </c>
      <c r="MW634" t="s">
        <v>168</v>
      </c>
      <c r="MX634" t="s">
        <v>250</v>
      </c>
      <c r="ND634" t="s">
        <v>1969</v>
      </c>
      <c r="NE634" t="s">
        <v>1927</v>
      </c>
      <c r="NF634" t="s">
        <v>1930</v>
      </c>
      <c r="NG634" s="4" t="s">
        <v>1931</v>
      </c>
      <c r="NH634" s="6"/>
      <c r="NQ634" t="s">
        <v>6</v>
      </c>
      <c r="NR634">
        <v>1.47</v>
      </c>
      <c r="NS634" t="s">
        <v>234</v>
      </c>
      <c r="NT634" t="s">
        <v>234</v>
      </c>
      <c r="NW634" s="15">
        <v>3</v>
      </c>
      <c r="OH634" t="s">
        <v>1943</v>
      </c>
      <c r="OI634" t="s">
        <v>6</v>
      </c>
      <c r="OK634">
        <v>2017</v>
      </c>
      <c r="OL634">
        <v>2018</v>
      </c>
      <c r="OO634" t="s">
        <v>1178</v>
      </c>
      <c r="OP634" s="58">
        <v>46129</v>
      </c>
    </row>
    <row r="635" spans="1:406" ht="15.75" thickBot="1">
      <c r="A635" t="s">
        <v>248</v>
      </c>
      <c r="B635" t="s">
        <v>1903</v>
      </c>
      <c r="C635" t="s">
        <v>1904</v>
      </c>
      <c r="D635" s="4" t="s">
        <v>1955</v>
      </c>
      <c r="E635" s="90" t="s">
        <v>1974</v>
      </c>
      <c r="F635" t="s">
        <v>31</v>
      </c>
      <c r="G635" t="s">
        <v>2</v>
      </c>
      <c r="H635" t="s">
        <v>30</v>
      </c>
      <c r="I635">
        <v>30.9</v>
      </c>
      <c r="J635">
        <v>75.75</v>
      </c>
      <c r="K635" t="s">
        <v>29</v>
      </c>
      <c r="AV635" t="s">
        <v>838</v>
      </c>
      <c r="AW635" t="s">
        <v>234</v>
      </c>
      <c r="AX635" t="s">
        <v>234</v>
      </c>
      <c r="AY635">
        <v>2</v>
      </c>
      <c r="AZ635" t="s">
        <v>1956</v>
      </c>
      <c r="BA635">
        <v>2016</v>
      </c>
      <c r="BB635">
        <v>2018</v>
      </c>
      <c r="BD635" t="s">
        <v>1910</v>
      </c>
      <c r="BE635" t="s">
        <v>1971</v>
      </c>
      <c r="BF635" t="s">
        <v>48</v>
      </c>
      <c r="BG635" t="s">
        <v>1243</v>
      </c>
      <c r="BH635" t="s">
        <v>23</v>
      </c>
      <c r="BI635" t="s">
        <v>1933</v>
      </c>
      <c r="BJ635" t="s">
        <v>13</v>
      </c>
      <c r="BK635">
        <v>20</v>
      </c>
      <c r="BL635" t="s">
        <v>56</v>
      </c>
      <c r="BM635" t="s">
        <v>250</v>
      </c>
      <c r="BN635" t="s">
        <v>29</v>
      </c>
      <c r="BO635" t="s">
        <v>29</v>
      </c>
      <c r="BP635" t="s">
        <v>29</v>
      </c>
      <c r="BQ635" t="s">
        <v>275</v>
      </c>
      <c r="BR635" t="s">
        <v>1913</v>
      </c>
      <c r="BS635" t="s">
        <v>29</v>
      </c>
      <c r="BT635" t="s">
        <v>29</v>
      </c>
      <c r="BU635" t="s">
        <v>29</v>
      </c>
      <c r="HU635" s="58">
        <v>42907</v>
      </c>
      <c r="IN635" t="s">
        <v>1917</v>
      </c>
      <c r="IO635" s="54" t="s">
        <v>1938</v>
      </c>
      <c r="IR635">
        <v>2016</v>
      </c>
      <c r="JI635" t="s">
        <v>1958</v>
      </c>
      <c r="JK635" t="s">
        <v>14</v>
      </c>
      <c r="JO635" t="s">
        <v>13</v>
      </c>
      <c r="JP635">
        <v>125</v>
      </c>
      <c r="JS635">
        <v>60</v>
      </c>
      <c r="JT635">
        <v>30</v>
      </c>
      <c r="KD635" t="s">
        <v>1940</v>
      </c>
      <c r="KE635" s="84" t="s">
        <v>1561</v>
      </c>
      <c r="KF635" t="s">
        <v>1960</v>
      </c>
      <c r="KG635">
        <v>2</v>
      </c>
      <c r="KH635" t="s">
        <v>1959</v>
      </c>
      <c r="KJ635" s="8" t="s">
        <v>1962</v>
      </c>
      <c r="KK635" t="s">
        <v>1963</v>
      </c>
      <c r="KL635">
        <v>3</v>
      </c>
      <c r="KN635" s="8" t="s">
        <v>1941</v>
      </c>
      <c r="KO635" t="s">
        <v>234</v>
      </c>
      <c r="KP635" t="s">
        <v>234</v>
      </c>
      <c r="KR635" t="s">
        <v>1942</v>
      </c>
      <c r="KS635" t="s">
        <v>234</v>
      </c>
      <c r="KT635" t="s">
        <v>234</v>
      </c>
      <c r="LO635" t="s">
        <v>1964</v>
      </c>
      <c r="LS635" t="s">
        <v>1944</v>
      </c>
      <c r="LT635">
        <v>225</v>
      </c>
      <c r="LU635" s="4" t="s">
        <v>29</v>
      </c>
      <c r="MC635" s="58">
        <v>43362</v>
      </c>
      <c r="MD635" s="58">
        <v>43362</v>
      </c>
      <c r="MS635" t="s">
        <v>1945</v>
      </c>
      <c r="MT635" t="s">
        <v>234</v>
      </c>
      <c r="MU635" t="s">
        <v>1918</v>
      </c>
      <c r="MW635" t="s">
        <v>168</v>
      </c>
      <c r="MX635" t="s">
        <v>250</v>
      </c>
      <c r="ND635" t="s">
        <v>1969</v>
      </c>
      <c r="NE635" t="s">
        <v>1927</v>
      </c>
      <c r="NF635" t="s">
        <v>1930</v>
      </c>
      <c r="NG635" s="4" t="s">
        <v>1931</v>
      </c>
      <c r="NH635" s="6"/>
      <c r="NQ635" t="s">
        <v>6</v>
      </c>
      <c r="NR635">
        <v>1.46</v>
      </c>
      <c r="NS635" t="s">
        <v>234</v>
      </c>
      <c r="NT635" t="s">
        <v>234</v>
      </c>
      <c r="NW635" s="15">
        <v>3</v>
      </c>
      <c r="OH635" t="s">
        <v>1943</v>
      </c>
      <c r="OI635" t="s">
        <v>6</v>
      </c>
      <c r="OK635">
        <v>2017</v>
      </c>
      <c r="OL635">
        <v>2018</v>
      </c>
      <c r="OO635" t="s">
        <v>1178</v>
      </c>
      <c r="OP635" s="58">
        <v>46129</v>
      </c>
    </row>
    <row r="636" spans="1:406" ht="15.75" thickBot="1">
      <c r="A636" t="s">
        <v>248</v>
      </c>
      <c r="B636" t="s">
        <v>1903</v>
      </c>
      <c r="C636" t="s">
        <v>1904</v>
      </c>
      <c r="D636" s="4" t="s">
        <v>1955</v>
      </c>
      <c r="E636" s="90" t="s">
        <v>1974</v>
      </c>
      <c r="F636" t="s">
        <v>31</v>
      </c>
      <c r="G636" t="s">
        <v>2</v>
      </c>
      <c r="H636" t="s">
        <v>30</v>
      </c>
      <c r="I636">
        <v>30.9</v>
      </c>
      <c r="J636">
        <v>75.75</v>
      </c>
      <c r="K636" t="s">
        <v>29</v>
      </c>
      <c r="AV636" t="s">
        <v>838</v>
      </c>
      <c r="AW636" t="s">
        <v>234</v>
      </c>
      <c r="AX636" t="s">
        <v>234</v>
      </c>
      <c r="AY636">
        <v>2</v>
      </c>
      <c r="AZ636" t="s">
        <v>1956</v>
      </c>
      <c r="BA636">
        <v>2016</v>
      </c>
      <c r="BB636">
        <v>2018</v>
      </c>
      <c r="BD636" t="s">
        <v>1910</v>
      </c>
      <c r="BE636" t="s">
        <v>1972</v>
      </c>
      <c r="BF636" t="s">
        <v>43</v>
      </c>
      <c r="BG636" t="s">
        <v>1243</v>
      </c>
      <c r="BH636" t="s">
        <v>23</v>
      </c>
      <c r="BI636" t="s">
        <v>1933</v>
      </c>
      <c r="BJ636" t="s">
        <v>13</v>
      </c>
      <c r="BK636">
        <v>20</v>
      </c>
      <c r="BL636" t="s">
        <v>56</v>
      </c>
      <c r="BM636" t="s">
        <v>250</v>
      </c>
      <c r="BN636" t="s">
        <v>29</v>
      </c>
      <c r="BO636" t="s">
        <v>29</v>
      </c>
      <c r="BP636" t="s">
        <v>29</v>
      </c>
      <c r="BQ636" t="s">
        <v>275</v>
      </c>
      <c r="BR636" t="s">
        <v>1935</v>
      </c>
      <c r="BS636" t="s">
        <v>29</v>
      </c>
      <c r="BT636" t="s">
        <v>29</v>
      </c>
      <c r="BU636" t="s">
        <v>29</v>
      </c>
      <c r="BV636" t="s">
        <v>275</v>
      </c>
      <c r="BW636" t="s">
        <v>1936</v>
      </c>
      <c r="BX636" t="s">
        <v>29</v>
      </c>
      <c r="BY636" t="s">
        <v>29</v>
      </c>
      <c r="BZ636" t="s">
        <v>29</v>
      </c>
      <c r="HU636" s="58">
        <v>42907</v>
      </c>
      <c r="IN636" t="s">
        <v>1919</v>
      </c>
      <c r="IO636" s="54" t="s">
        <v>1938</v>
      </c>
      <c r="IR636">
        <v>2016</v>
      </c>
      <c r="JI636" t="s">
        <v>1958</v>
      </c>
      <c r="JK636" t="s">
        <v>14</v>
      </c>
      <c r="JO636" t="s">
        <v>13</v>
      </c>
      <c r="JP636">
        <v>125</v>
      </c>
      <c r="JS636">
        <v>60</v>
      </c>
      <c r="JT636">
        <v>30</v>
      </c>
      <c r="KD636" t="s">
        <v>1940</v>
      </c>
      <c r="KE636" s="84" t="s">
        <v>1561</v>
      </c>
      <c r="KF636" t="s">
        <v>1960</v>
      </c>
      <c r="KG636">
        <v>2</v>
      </c>
      <c r="KH636" t="s">
        <v>1959</v>
      </c>
      <c r="KJ636" s="8" t="s">
        <v>1962</v>
      </c>
      <c r="KK636" t="s">
        <v>1963</v>
      </c>
      <c r="KL636">
        <v>3</v>
      </c>
      <c r="KN636" s="8" t="s">
        <v>1941</v>
      </c>
      <c r="KO636" t="s">
        <v>234</v>
      </c>
      <c r="KP636" t="s">
        <v>234</v>
      </c>
      <c r="KR636" t="s">
        <v>1942</v>
      </c>
      <c r="KS636" t="s">
        <v>234</v>
      </c>
      <c r="KT636" t="s">
        <v>234</v>
      </c>
      <c r="LO636" t="s">
        <v>1964</v>
      </c>
      <c r="LS636" t="s">
        <v>1944</v>
      </c>
      <c r="LT636">
        <v>225</v>
      </c>
      <c r="LU636" s="4" t="s">
        <v>29</v>
      </c>
      <c r="MC636" s="58">
        <v>43362</v>
      </c>
      <c r="MD636" s="58">
        <v>43362</v>
      </c>
      <c r="MS636" t="s">
        <v>1945</v>
      </c>
      <c r="MT636" t="s">
        <v>234</v>
      </c>
      <c r="MU636" t="s">
        <v>1920</v>
      </c>
      <c r="MW636" t="s">
        <v>168</v>
      </c>
      <c r="MX636" t="s">
        <v>250</v>
      </c>
      <c r="ND636" t="s">
        <v>1969</v>
      </c>
      <c r="NE636" t="s">
        <v>1927</v>
      </c>
      <c r="NF636" t="s">
        <v>1930</v>
      </c>
      <c r="NG636" s="4" t="s">
        <v>1931</v>
      </c>
      <c r="NH636" s="6"/>
      <c r="NQ636" t="s">
        <v>6</v>
      </c>
      <c r="NR636">
        <v>1.52</v>
      </c>
      <c r="NS636" t="s">
        <v>234</v>
      </c>
      <c r="NT636" t="s">
        <v>234</v>
      </c>
      <c r="NW636" s="15">
        <v>3</v>
      </c>
      <c r="OH636" t="s">
        <v>1943</v>
      </c>
      <c r="OI636" t="s">
        <v>6</v>
      </c>
      <c r="OK636">
        <v>2017</v>
      </c>
      <c r="OL636">
        <v>2018</v>
      </c>
      <c r="OO636" t="s">
        <v>1178</v>
      </c>
      <c r="OP636" s="58">
        <v>46129</v>
      </c>
    </row>
    <row r="637" spans="1:406" ht="15.75" thickBot="1">
      <c r="A637" t="s">
        <v>248</v>
      </c>
      <c r="B637" t="s">
        <v>1903</v>
      </c>
      <c r="C637" t="s">
        <v>1904</v>
      </c>
      <c r="D637" s="4" t="s">
        <v>1955</v>
      </c>
      <c r="E637" s="90" t="s">
        <v>1974</v>
      </c>
      <c r="F637" t="s">
        <v>31</v>
      </c>
      <c r="G637" t="s">
        <v>2</v>
      </c>
      <c r="H637" t="s">
        <v>30</v>
      </c>
      <c r="I637">
        <v>30.9</v>
      </c>
      <c r="J637">
        <v>75.75</v>
      </c>
      <c r="K637" t="s">
        <v>29</v>
      </c>
      <c r="AV637" t="s">
        <v>838</v>
      </c>
      <c r="AW637" t="s">
        <v>234</v>
      </c>
      <c r="AX637" t="s">
        <v>234</v>
      </c>
      <c r="AY637">
        <v>2</v>
      </c>
      <c r="AZ637" t="s">
        <v>1956</v>
      </c>
      <c r="BA637">
        <v>2016</v>
      </c>
      <c r="BB637">
        <v>2018</v>
      </c>
      <c r="BD637" t="s">
        <v>1910</v>
      </c>
      <c r="BE637" s="3" t="s">
        <v>1921</v>
      </c>
      <c r="BF637" t="s">
        <v>252</v>
      </c>
      <c r="BG637" t="s">
        <v>1243</v>
      </c>
      <c r="BH637" t="s">
        <v>23</v>
      </c>
      <c r="BI637" t="s">
        <v>1933</v>
      </c>
      <c r="BJ637" t="s">
        <v>13</v>
      </c>
      <c r="BK637">
        <v>20</v>
      </c>
      <c r="BL637" t="s">
        <v>275</v>
      </c>
      <c r="BM637" t="s">
        <v>1937</v>
      </c>
      <c r="BN637" t="s">
        <v>29</v>
      </c>
      <c r="BO637" t="s">
        <v>29</v>
      </c>
      <c r="BP637" t="s">
        <v>29</v>
      </c>
      <c r="BQ637" t="s">
        <v>275</v>
      </c>
      <c r="BR637" t="s">
        <v>1935</v>
      </c>
      <c r="BS637" t="s">
        <v>29</v>
      </c>
      <c r="BT637" t="s">
        <v>29</v>
      </c>
      <c r="BU637" t="s">
        <v>29</v>
      </c>
      <c r="BV637" t="s">
        <v>275</v>
      </c>
      <c r="BW637" t="s">
        <v>1936</v>
      </c>
      <c r="BX637" t="s">
        <v>29</v>
      </c>
      <c r="BY637" t="s">
        <v>29</v>
      </c>
      <c r="BZ637" t="s">
        <v>29</v>
      </c>
      <c r="HU637" s="58">
        <v>42907</v>
      </c>
      <c r="IN637" t="s">
        <v>1921</v>
      </c>
      <c r="IO637" s="54" t="s">
        <v>1938</v>
      </c>
      <c r="IR637">
        <v>2016</v>
      </c>
      <c r="JI637" t="s">
        <v>1958</v>
      </c>
      <c r="JK637" t="s">
        <v>14</v>
      </c>
      <c r="JO637" t="s">
        <v>13</v>
      </c>
      <c r="JP637">
        <v>125</v>
      </c>
      <c r="JS637">
        <v>60</v>
      </c>
      <c r="JT637">
        <v>30</v>
      </c>
      <c r="KD637" t="s">
        <v>1940</v>
      </c>
      <c r="KE637" s="84" t="s">
        <v>1561</v>
      </c>
      <c r="KF637" t="s">
        <v>1960</v>
      </c>
      <c r="KG637">
        <v>2</v>
      </c>
      <c r="KH637" t="s">
        <v>1959</v>
      </c>
      <c r="KJ637" s="8" t="s">
        <v>1962</v>
      </c>
      <c r="KK637" t="s">
        <v>1963</v>
      </c>
      <c r="KL637">
        <v>3</v>
      </c>
      <c r="KN637" s="8" t="s">
        <v>1941</v>
      </c>
      <c r="KO637" t="s">
        <v>234</v>
      </c>
      <c r="KP637" t="s">
        <v>234</v>
      </c>
      <c r="KR637" t="s">
        <v>1942</v>
      </c>
      <c r="KS637" t="s">
        <v>234</v>
      </c>
      <c r="KT637" t="s">
        <v>234</v>
      </c>
      <c r="LO637" t="s">
        <v>1964</v>
      </c>
      <c r="LS637" t="s">
        <v>1944</v>
      </c>
      <c r="LT637">
        <v>225</v>
      </c>
      <c r="LU637" s="4" t="s">
        <v>29</v>
      </c>
      <c r="MC637" s="58">
        <v>43362</v>
      </c>
      <c r="MD637" s="58">
        <v>43362</v>
      </c>
      <c r="MS637" t="s">
        <v>1945</v>
      </c>
      <c r="MT637" t="s">
        <v>234</v>
      </c>
      <c r="MU637" t="s">
        <v>1922</v>
      </c>
      <c r="MW637" t="s">
        <v>168</v>
      </c>
      <c r="ND637" t="s">
        <v>1969</v>
      </c>
      <c r="NE637" t="s">
        <v>1927</v>
      </c>
      <c r="NF637" t="s">
        <v>1930</v>
      </c>
      <c r="NG637" s="4" t="s">
        <v>1931</v>
      </c>
      <c r="NH637" s="6"/>
      <c r="NQ637" t="s">
        <v>6</v>
      </c>
      <c r="NR637">
        <v>1.2</v>
      </c>
      <c r="NS637" t="s">
        <v>234</v>
      </c>
      <c r="NT637" t="s">
        <v>234</v>
      </c>
      <c r="NW637" s="15">
        <v>3</v>
      </c>
      <c r="OH637" t="s">
        <v>1943</v>
      </c>
      <c r="OI637" t="s">
        <v>6</v>
      </c>
      <c r="OK637">
        <v>2017</v>
      </c>
      <c r="OL637">
        <v>2018</v>
      </c>
      <c r="OO637" t="s">
        <v>1178</v>
      </c>
      <c r="OP637" s="58">
        <v>46129</v>
      </c>
    </row>
    <row r="638" spans="1:406" ht="15.75" thickBot="1">
      <c r="A638" t="s">
        <v>248</v>
      </c>
      <c r="B638" t="s">
        <v>1903</v>
      </c>
      <c r="C638" t="s">
        <v>1904</v>
      </c>
      <c r="D638" s="4" t="s">
        <v>1955</v>
      </c>
      <c r="E638" s="90" t="s">
        <v>1974</v>
      </c>
      <c r="F638" t="s">
        <v>31</v>
      </c>
      <c r="G638" t="s">
        <v>2</v>
      </c>
      <c r="H638" t="s">
        <v>30</v>
      </c>
      <c r="I638">
        <v>30.9</v>
      </c>
      <c r="J638">
        <v>75.75</v>
      </c>
      <c r="K638" t="s">
        <v>29</v>
      </c>
      <c r="AV638" t="s">
        <v>838</v>
      </c>
      <c r="AW638" t="s">
        <v>234</v>
      </c>
      <c r="AX638" t="s">
        <v>234</v>
      </c>
      <c r="AY638">
        <v>2</v>
      </c>
      <c r="AZ638" t="s">
        <v>1956</v>
      </c>
      <c r="BA638">
        <v>2016</v>
      </c>
      <c r="BB638">
        <v>2018</v>
      </c>
      <c r="BD638" t="s">
        <v>1910</v>
      </c>
      <c r="BE638" s="15" t="s">
        <v>1973</v>
      </c>
      <c r="BF638" t="s">
        <v>236</v>
      </c>
      <c r="BG638" t="s">
        <v>1243</v>
      </c>
      <c r="BH638" t="s">
        <v>23</v>
      </c>
      <c r="BI638" t="s">
        <v>1933</v>
      </c>
      <c r="BJ638" t="s">
        <v>13</v>
      </c>
      <c r="BK638">
        <v>20</v>
      </c>
      <c r="BL638" t="s">
        <v>56</v>
      </c>
      <c r="BM638" t="s">
        <v>250</v>
      </c>
      <c r="BN638" t="s">
        <v>29</v>
      </c>
      <c r="BO638" t="s">
        <v>29</v>
      </c>
      <c r="BP638" t="s">
        <v>29</v>
      </c>
      <c r="BQ638" t="s">
        <v>275</v>
      </c>
      <c r="BR638" t="s">
        <v>1937</v>
      </c>
      <c r="BS638" t="s">
        <v>29</v>
      </c>
      <c r="BT638" t="s">
        <v>29</v>
      </c>
      <c r="BU638" t="s">
        <v>29</v>
      </c>
      <c r="BV638" t="s">
        <v>275</v>
      </c>
      <c r="BW638" t="s">
        <v>1935</v>
      </c>
      <c r="BX638" t="s">
        <v>29</v>
      </c>
      <c r="BY638" t="s">
        <v>29</v>
      </c>
      <c r="BZ638" t="s">
        <v>29</v>
      </c>
      <c r="CA638" t="s">
        <v>275</v>
      </c>
      <c r="CB638" t="s">
        <v>1936</v>
      </c>
      <c r="CC638" t="s">
        <v>29</v>
      </c>
      <c r="CD638" t="s">
        <v>29</v>
      </c>
      <c r="CE638" t="s">
        <v>29</v>
      </c>
      <c r="HU638" s="58">
        <v>42907</v>
      </c>
      <c r="IN638" t="s">
        <v>1923</v>
      </c>
      <c r="IO638" s="54" t="s">
        <v>1938</v>
      </c>
      <c r="IR638">
        <v>2016</v>
      </c>
      <c r="JI638" t="s">
        <v>1958</v>
      </c>
      <c r="JK638" t="s">
        <v>14</v>
      </c>
      <c r="JO638" t="s">
        <v>13</v>
      </c>
      <c r="JP638">
        <v>125</v>
      </c>
      <c r="JS638">
        <v>60</v>
      </c>
      <c r="JT638">
        <v>30</v>
      </c>
      <c r="KD638" t="s">
        <v>1940</v>
      </c>
      <c r="KE638" s="84" t="s">
        <v>1561</v>
      </c>
      <c r="KF638" t="s">
        <v>1960</v>
      </c>
      <c r="KG638">
        <v>2</v>
      </c>
      <c r="KH638" t="s">
        <v>1959</v>
      </c>
      <c r="KJ638" s="8" t="s">
        <v>1962</v>
      </c>
      <c r="KK638" t="s">
        <v>1963</v>
      </c>
      <c r="KL638">
        <v>3</v>
      </c>
      <c r="KN638" s="8" t="s">
        <v>1941</v>
      </c>
      <c r="KO638" t="s">
        <v>234</v>
      </c>
      <c r="KP638" t="s">
        <v>234</v>
      </c>
      <c r="KR638" t="s">
        <v>1942</v>
      </c>
      <c r="KS638" t="s">
        <v>234</v>
      </c>
      <c r="KT638" t="s">
        <v>234</v>
      </c>
      <c r="LO638" t="s">
        <v>1964</v>
      </c>
      <c r="LS638" t="s">
        <v>1944</v>
      </c>
      <c r="LT638">
        <v>225</v>
      </c>
      <c r="LU638" s="4" t="s">
        <v>29</v>
      </c>
      <c r="MC638" s="58">
        <v>43362</v>
      </c>
      <c r="MD638" s="58">
        <v>43362</v>
      </c>
      <c r="MS638" t="s">
        <v>1945</v>
      </c>
      <c r="MT638" t="s">
        <v>234</v>
      </c>
      <c r="MU638" t="s">
        <v>1924</v>
      </c>
      <c r="MW638" t="s">
        <v>168</v>
      </c>
      <c r="MX638" t="s">
        <v>250</v>
      </c>
      <c r="ND638" t="s">
        <v>1969</v>
      </c>
      <c r="NE638" t="s">
        <v>1927</v>
      </c>
      <c r="NF638" t="s">
        <v>1930</v>
      </c>
      <c r="NG638" s="4" t="s">
        <v>1931</v>
      </c>
      <c r="NH638" s="6"/>
      <c r="NQ638" t="s">
        <v>6</v>
      </c>
      <c r="NR638">
        <v>1.54</v>
      </c>
      <c r="NS638" t="s">
        <v>234</v>
      </c>
      <c r="NT638" t="s">
        <v>234</v>
      </c>
      <c r="NW638" s="15">
        <v>3</v>
      </c>
      <c r="OH638" t="s">
        <v>1943</v>
      </c>
      <c r="OI638" t="s">
        <v>6</v>
      </c>
      <c r="OK638">
        <v>2017</v>
      </c>
      <c r="OL638">
        <v>2018</v>
      </c>
      <c r="OO638" t="s">
        <v>1178</v>
      </c>
      <c r="OP638" s="58">
        <v>46129</v>
      </c>
    </row>
    <row r="639" spans="1:406" ht="15.75" thickBot="1">
      <c r="A639" t="s">
        <v>248</v>
      </c>
      <c r="B639" t="s">
        <v>1903</v>
      </c>
      <c r="C639" t="s">
        <v>1904</v>
      </c>
      <c r="D639" s="4" t="s">
        <v>1955</v>
      </c>
      <c r="E639" s="90" t="s">
        <v>1974</v>
      </c>
      <c r="F639" t="s">
        <v>31</v>
      </c>
      <c r="G639" t="s">
        <v>2</v>
      </c>
      <c r="H639" t="s">
        <v>30</v>
      </c>
      <c r="I639">
        <v>30.9</v>
      </c>
      <c r="J639">
        <v>75.75</v>
      </c>
      <c r="K639" t="s">
        <v>29</v>
      </c>
      <c r="AV639" t="s">
        <v>838</v>
      </c>
      <c r="AW639" t="s">
        <v>234</v>
      </c>
      <c r="AX639" t="s">
        <v>234</v>
      </c>
      <c r="AY639">
        <v>2</v>
      </c>
      <c r="AZ639" t="s">
        <v>1956</v>
      </c>
      <c r="BA639">
        <v>2016</v>
      </c>
      <c r="BB639">
        <v>2018</v>
      </c>
      <c r="BD639" t="s">
        <v>1905</v>
      </c>
      <c r="BE639" t="s">
        <v>1906</v>
      </c>
      <c r="BF639" t="s">
        <v>39</v>
      </c>
      <c r="BG639" t="s">
        <v>1243</v>
      </c>
      <c r="BH639" t="s">
        <v>23</v>
      </c>
      <c r="BI639" t="s">
        <v>1933</v>
      </c>
      <c r="BJ639" t="s">
        <v>13</v>
      </c>
      <c r="BK639">
        <v>20</v>
      </c>
      <c r="BL639" t="s">
        <v>275</v>
      </c>
      <c r="BM639" t="s">
        <v>1907</v>
      </c>
      <c r="BN639" t="s">
        <v>29</v>
      </c>
      <c r="BO639" t="s">
        <v>29</v>
      </c>
      <c r="BP639" t="s">
        <v>29</v>
      </c>
      <c r="HU639" s="58"/>
      <c r="IN639" t="s">
        <v>1906</v>
      </c>
      <c r="IO639" s="54" t="s">
        <v>1939</v>
      </c>
      <c r="IR639">
        <v>2016</v>
      </c>
      <c r="JI639" t="s">
        <v>1958</v>
      </c>
      <c r="JK639" t="s">
        <v>14</v>
      </c>
      <c r="JO639" t="s">
        <v>13</v>
      </c>
      <c r="JP639">
        <v>125</v>
      </c>
      <c r="JS639">
        <v>60</v>
      </c>
      <c r="JT639">
        <v>30</v>
      </c>
      <c r="KD639" t="s">
        <v>1940</v>
      </c>
      <c r="KE639" s="84" t="s">
        <v>1561</v>
      </c>
      <c r="KF639" t="s">
        <v>1960</v>
      </c>
      <c r="KG639">
        <v>2</v>
      </c>
      <c r="KH639" t="s">
        <v>1959</v>
      </c>
      <c r="KJ639" s="8" t="s">
        <v>1962</v>
      </c>
      <c r="KK639" t="s">
        <v>1963</v>
      </c>
      <c r="KL639">
        <v>3</v>
      </c>
      <c r="KN639" s="8" t="s">
        <v>1941</v>
      </c>
      <c r="KO639" t="s">
        <v>234</v>
      </c>
      <c r="KP639" t="s">
        <v>234</v>
      </c>
      <c r="KR639" t="s">
        <v>1942</v>
      </c>
      <c r="KS639" t="s">
        <v>234</v>
      </c>
      <c r="KT639" t="s">
        <v>234</v>
      </c>
      <c r="LO639" t="s">
        <v>1964</v>
      </c>
      <c r="LS639" t="s">
        <v>1944</v>
      </c>
      <c r="LT639">
        <v>431.25</v>
      </c>
      <c r="LU639" s="4" t="s">
        <v>29</v>
      </c>
      <c r="MS639" t="s">
        <v>1945</v>
      </c>
      <c r="MT639" t="s">
        <v>234</v>
      </c>
      <c r="MU639" t="s">
        <v>1946</v>
      </c>
      <c r="MW639" t="s">
        <v>168</v>
      </c>
      <c r="NE639" t="s">
        <v>1951</v>
      </c>
      <c r="NG639" s="4" t="s">
        <v>8</v>
      </c>
      <c r="NH639" s="6" t="s">
        <v>1948</v>
      </c>
      <c r="NP639" t="s">
        <v>1571</v>
      </c>
      <c r="NQ639" t="s">
        <v>6</v>
      </c>
      <c r="NR639">
        <v>46.86</v>
      </c>
      <c r="NS639" t="s">
        <v>234</v>
      </c>
      <c r="NT639" t="s">
        <v>234</v>
      </c>
      <c r="NW639" s="3">
        <v>3</v>
      </c>
      <c r="OH639" t="s">
        <v>1947</v>
      </c>
      <c r="OI639" t="s">
        <v>6</v>
      </c>
      <c r="OK639">
        <v>2016</v>
      </c>
      <c r="OL639">
        <v>2018</v>
      </c>
      <c r="OO639" t="s">
        <v>1178</v>
      </c>
      <c r="OP639" s="58">
        <v>46129</v>
      </c>
    </row>
    <row r="640" spans="1:406" ht="15.75" thickBot="1">
      <c r="A640" t="s">
        <v>248</v>
      </c>
      <c r="B640" t="s">
        <v>1903</v>
      </c>
      <c r="C640" t="s">
        <v>1904</v>
      </c>
      <c r="D640" s="4" t="s">
        <v>1955</v>
      </c>
      <c r="E640" s="90" t="s">
        <v>1974</v>
      </c>
      <c r="F640" t="s">
        <v>31</v>
      </c>
      <c r="G640" t="s">
        <v>2</v>
      </c>
      <c r="H640" t="s">
        <v>30</v>
      </c>
      <c r="I640">
        <v>30.9</v>
      </c>
      <c r="J640">
        <v>75.75</v>
      </c>
      <c r="K640" t="s">
        <v>29</v>
      </c>
      <c r="AV640" t="s">
        <v>838</v>
      </c>
      <c r="AW640" t="s">
        <v>234</v>
      </c>
      <c r="AX640" t="s">
        <v>234</v>
      </c>
      <c r="AY640">
        <v>2</v>
      </c>
      <c r="AZ640" t="s">
        <v>1956</v>
      </c>
      <c r="BA640">
        <v>2016</v>
      </c>
      <c r="BB640">
        <v>2018</v>
      </c>
      <c r="BD640" t="s">
        <v>1910</v>
      </c>
      <c r="BE640" t="s">
        <v>1925</v>
      </c>
      <c r="BF640" t="s">
        <v>64</v>
      </c>
      <c r="BG640" t="s">
        <v>1243</v>
      </c>
      <c r="BH640" t="s">
        <v>23</v>
      </c>
      <c r="BI640" t="s">
        <v>1933</v>
      </c>
      <c r="BJ640" t="s">
        <v>13</v>
      </c>
      <c r="BK640">
        <v>20</v>
      </c>
      <c r="BL640" t="s">
        <v>275</v>
      </c>
      <c r="BM640" t="s">
        <v>1913</v>
      </c>
      <c r="BN640" t="s">
        <v>29</v>
      </c>
      <c r="BO640" t="s">
        <v>29</v>
      </c>
      <c r="BP640" t="s">
        <v>29</v>
      </c>
      <c r="BQ640" t="s">
        <v>275</v>
      </c>
      <c r="BR640" t="s">
        <v>1912</v>
      </c>
      <c r="BS640" t="s">
        <v>29</v>
      </c>
      <c r="BT640" t="s">
        <v>29</v>
      </c>
      <c r="BU640" t="s">
        <v>29</v>
      </c>
      <c r="BV640" t="s">
        <v>56</v>
      </c>
      <c r="BW640" t="s">
        <v>1184</v>
      </c>
      <c r="BX640" t="s">
        <v>29</v>
      </c>
      <c r="BY640" t="s">
        <v>29</v>
      </c>
      <c r="BZ640" t="s">
        <v>29</v>
      </c>
      <c r="HU640" s="58"/>
      <c r="IN640" t="s">
        <v>1911</v>
      </c>
      <c r="IO640" s="54" t="s">
        <v>1938</v>
      </c>
      <c r="IR640">
        <v>2016</v>
      </c>
      <c r="JI640" t="s">
        <v>1958</v>
      </c>
      <c r="JK640" t="s">
        <v>14</v>
      </c>
      <c r="JO640" t="s">
        <v>13</v>
      </c>
      <c r="JP640">
        <v>125</v>
      </c>
      <c r="JS640">
        <v>60</v>
      </c>
      <c r="JT640">
        <v>30</v>
      </c>
      <c r="KD640" t="s">
        <v>1940</v>
      </c>
      <c r="KE640" s="84" t="s">
        <v>1561</v>
      </c>
      <c r="KF640" t="s">
        <v>1960</v>
      </c>
      <c r="KG640">
        <v>2</v>
      </c>
      <c r="KH640" t="s">
        <v>1959</v>
      </c>
      <c r="KJ640" s="8" t="s">
        <v>1962</v>
      </c>
      <c r="KK640" t="s">
        <v>1963</v>
      </c>
      <c r="KL640">
        <v>3</v>
      </c>
      <c r="KN640" s="8" t="s">
        <v>1941</v>
      </c>
      <c r="KO640" t="s">
        <v>234</v>
      </c>
      <c r="KP640" t="s">
        <v>234</v>
      </c>
      <c r="KR640" t="s">
        <v>1942</v>
      </c>
      <c r="KS640" t="s">
        <v>234</v>
      </c>
      <c r="KT640" t="s">
        <v>234</v>
      </c>
      <c r="LO640" t="s">
        <v>1964</v>
      </c>
      <c r="LS640" t="s">
        <v>1944</v>
      </c>
      <c r="LT640">
        <v>431.25</v>
      </c>
      <c r="LU640" s="4" t="s">
        <v>29</v>
      </c>
      <c r="MS640" t="s">
        <v>1945</v>
      </c>
      <c r="MT640" t="s">
        <v>234</v>
      </c>
      <c r="MU640" t="s">
        <v>1946</v>
      </c>
      <c r="MW640" t="s">
        <v>168</v>
      </c>
      <c r="NE640" t="s">
        <v>1951</v>
      </c>
      <c r="NG640" s="4" t="s">
        <v>8</v>
      </c>
      <c r="NH640" s="6" t="s">
        <v>1948</v>
      </c>
      <c r="NQ640" t="s">
        <v>6</v>
      </c>
      <c r="NR640">
        <v>47.31</v>
      </c>
      <c r="NS640" t="s">
        <v>234</v>
      </c>
      <c r="NT640" t="s">
        <v>234</v>
      </c>
      <c r="NW640" s="3">
        <v>3</v>
      </c>
      <c r="OH640" t="s">
        <v>1947</v>
      </c>
      <c r="OI640" t="s">
        <v>6</v>
      </c>
      <c r="OK640">
        <v>2016</v>
      </c>
      <c r="OL640">
        <v>2018</v>
      </c>
      <c r="OO640" t="s">
        <v>1178</v>
      </c>
      <c r="OP640" s="58">
        <v>46129</v>
      </c>
    </row>
    <row r="641" spans="1:406" ht="15.75" thickBot="1">
      <c r="A641" t="s">
        <v>248</v>
      </c>
      <c r="B641" t="s">
        <v>1903</v>
      </c>
      <c r="C641" t="s">
        <v>1904</v>
      </c>
      <c r="D641" s="4" t="s">
        <v>1955</v>
      </c>
      <c r="E641" s="90" t="s">
        <v>1974</v>
      </c>
      <c r="F641" t="s">
        <v>31</v>
      </c>
      <c r="G641" t="s">
        <v>2</v>
      </c>
      <c r="H641" t="s">
        <v>30</v>
      </c>
      <c r="I641">
        <v>30.9</v>
      </c>
      <c r="J641">
        <v>75.75</v>
      </c>
      <c r="K641" t="s">
        <v>29</v>
      </c>
      <c r="AV641" t="s">
        <v>838</v>
      </c>
      <c r="AW641" t="s">
        <v>234</v>
      </c>
      <c r="AX641" t="s">
        <v>234</v>
      </c>
      <c r="AY641">
        <v>2</v>
      </c>
      <c r="AZ641" t="s">
        <v>1956</v>
      </c>
      <c r="BA641">
        <v>2016</v>
      </c>
      <c r="BB641">
        <v>2018</v>
      </c>
      <c r="BD641" t="s">
        <v>1910</v>
      </c>
      <c r="BE641" t="s">
        <v>1970</v>
      </c>
      <c r="BF641" t="s">
        <v>57</v>
      </c>
      <c r="BG641" t="s">
        <v>1243</v>
      </c>
      <c r="BH641" t="s">
        <v>23</v>
      </c>
      <c r="BI641" t="s">
        <v>1933</v>
      </c>
      <c r="BJ641" t="s">
        <v>13</v>
      </c>
      <c r="BK641">
        <v>20</v>
      </c>
      <c r="BL641" t="s">
        <v>56</v>
      </c>
      <c r="BM641" t="s">
        <v>250</v>
      </c>
      <c r="BN641" t="s">
        <v>29</v>
      </c>
      <c r="BO641" t="s">
        <v>29</v>
      </c>
      <c r="BP641" t="s">
        <v>29</v>
      </c>
      <c r="BQ641" t="s">
        <v>275</v>
      </c>
      <c r="BR641" t="s">
        <v>1913</v>
      </c>
      <c r="BS641" t="s">
        <v>29</v>
      </c>
      <c r="BT641" t="s">
        <v>29</v>
      </c>
      <c r="BU641" t="s">
        <v>29</v>
      </c>
      <c r="BV641" t="s">
        <v>275</v>
      </c>
      <c r="BW641" t="s">
        <v>1912</v>
      </c>
      <c r="BX641" t="s">
        <v>29</v>
      </c>
      <c r="BY641" t="s">
        <v>29</v>
      </c>
      <c r="BZ641" t="s">
        <v>29</v>
      </c>
      <c r="CA641" t="s">
        <v>56</v>
      </c>
      <c r="CB641" t="s">
        <v>1184</v>
      </c>
      <c r="CC641" t="s">
        <v>29</v>
      </c>
      <c r="CD641" t="s">
        <v>29</v>
      </c>
      <c r="CE641" t="s">
        <v>29</v>
      </c>
      <c r="HU641" s="58"/>
      <c r="IN641" t="s">
        <v>1915</v>
      </c>
      <c r="IO641" s="54" t="s">
        <v>1938</v>
      </c>
      <c r="IR641">
        <v>2016</v>
      </c>
      <c r="JI641" t="s">
        <v>1958</v>
      </c>
      <c r="JK641" t="s">
        <v>14</v>
      </c>
      <c r="JO641" t="s">
        <v>13</v>
      </c>
      <c r="JP641">
        <v>125</v>
      </c>
      <c r="JS641">
        <v>60</v>
      </c>
      <c r="JT641">
        <v>30</v>
      </c>
      <c r="KD641" t="s">
        <v>1940</v>
      </c>
      <c r="KE641" s="84" t="s">
        <v>1561</v>
      </c>
      <c r="KF641" t="s">
        <v>1960</v>
      </c>
      <c r="KG641">
        <v>2</v>
      </c>
      <c r="KH641" t="s">
        <v>1959</v>
      </c>
      <c r="KJ641" s="8" t="s">
        <v>1962</v>
      </c>
      <c r="KK641" t="s">
        <v>1963</v>
      </c>
      <c r="KL641">
        <v>3</v>
      </c>
      <c r="KN641" s="8" t="s">
        <v>1941</v>
      </c>
      <c r="KO641" t="s">
        <v>234</v>
      </c>
      <c r="KP641" t="s">
        <v>234</v>
      </c>
      <c r="KR641" t="s">
        <v>1942</v>
      </c>
      <c r="KS641" t="s">
        <v>234</v>
      </c>
      <c r="KT641" t="s">
        <v>234</v>
      </c>
      <c r="LO641" t="s">
        <v>1964</v>
      </c>
      <c r="LS641" t="s">
        <v>1944</v>
      </c>
      <c r="LT641">
        <v>431.25</v>
      </c>
      <c r="LU641" s="4" t="s">
        <v>29</v>
      </c>
      <c r="MS641" t="s">
        <v>1945</v>
      </c>
      <c r="MT641" t="s">
        <v>234</v>
      </c>
      <c r="MU641" t="s">
        <v>1946</v>
      </c>
      <c r="MW641" t="s">
        <v>168</v>
      </c>
      <c r="NE641" t="s">
        <v>1951</v>
      </c>
      <c r="NG641" s="4" t="s">
        <v>8</v>
      </c>
      <c r="NH641" s="6" t="s">
        <v>1948</v>
      </c>
      <c r="NQ641" t="s">
        <v>6</v>
      </c>
      <c r="NR641">
        <v>48.5</v>
      </c>
      <c r="NS641" t="s">
        <v>234</v>
      </c>
      <c r="NT641" t="s">
        <v>234</v>
      </c>
      <c r="NW641" s="3">
        <v>3</v>
      </c>
      <c r="OH641" t="s">
        <v>1947</v>
      </c>
      <c r="OI641" t="s">
        <v>6</v>
      </c>
      <c r="OK641">
        <v>2016</v>
      </c>
      <c r="OL641">
        <v>2018</v>
      </c>
      <c r="OO641" t="s">
        <v>1178</v>
      </c>
      <c r="OP641" s="58">
        <v>46129</v>
      </c>
    </row>
    <row r="642" spans="1:406" ht="15.75" thickBot="1">
      <c r="A642" t="s">
        <v>248</v>
      </c>
      <c r="B642" t="s">
        <v>1903</v>
      </c>
      <c r="C642" t="s">
        <v>1904</v>
      </c>
      <c r="D642" s="4" t="s">
        <v>1955</v>
      </c>
      <c r="E642" s="90" t="s">
        <v>1974</v>
      </c>
      <c r="F642" t="s">
        <v>31</v>
      </c>
      <c r="G642" t="s">
        <v>2</v>
      </c>
      <c r="H642" t="s">
        <v>30</v>
      </c>
      <c r="I642">
        <v>30.9</v>
      </c>
      <c r="J642">
        <v>75.75</v>
      </c>
      <c r="K642" t="s">
        <v>29</v>
      </c>
      <c r="AV642" t="s">
        <v>838</v>
      </c>
      <c r="AW642" t="s">
        <v>234</v>
      </c>
      <c r="AX642" t="s">
        <v>234</v>
      </c>
      <c r="AY642">
        <v>2</v>
      </c>
      <c r="AZ642" t="s">
        <v>1956</v>
      </c>
      <c r="BA642">
        <v>2016</v>
      </c>
      <c r="BB642">
        <v>2018</v>
      </c>
      <c r="BD642" t="s">
        <v>1910</v>
      </c>
      <c r="BE642" t="s">
        <v>1971</v>
      </c>
      <c r="BF642" t="s">
        <v>48</v>
      </c>
      <c r="BG642" t="s">
        <v>1243</v>
      </c>
      <c r="BH642" t="s">
        <v>23</v>
      </c>
      <c r="BI642" t="s">
        <v>1933</v>
      </c>
      <c r="BJ642" t="s">
        <v>13</v>
      </c>
      <c r="BK642">
        <v>20</v>
      </c>
      <c r="BL642" t="s">
        <v>56</v>
      </c>
      <c r="BM642" t="s">
        <v>250</v>
      </c>
      <c r="BN642" t="s">
        <v>29</v>
      </c>
      <c r="BO642" t="s">
        <v>29</v>
      </c>
      <c r="BP642" t="s">
        <v>29</v>
      </c>
      <c r="BQ642" t="s">
        <v>275</v>
      </c>
      <c r="BR642" t="s">
        <v>1913</v>
      </c>
      <c r="BS642" t="s">
        <v>29</v>
      </c>
      <c r="BT642" t="s">
        <v>29</v>
      </c>
      <c r="BU642" t="s">
        <v>29</v>
      </c>
      <c r="HU642" s="58"/>
      <c r="IN642" t="s">
        <v>1917</v>
      </c>
      <c r="IO642" s="54" t="s">
        <v>1938</v>
      </c>
      <c r="IR642">
        <v>2016</v>
      </c>
      <c r="JI642" t="s">
        <v>1958</v>
      </c>
      <c r="JK642" t="s">
        <v>14</v>
      </c>
      <c r="JO642" t="s">
        <v>13</v>
      </c>
      <c r="JP642">
        <v>125</v>
      </c>
      <c r="JS642">
        <v>60</v>
      </c>
      <c r="JT642">
        <v>30</v>
      </c>
      <c r="KD642" t="s">
        <v>1940</v>
      </c>
      <c r="KE642" s="84" t="s">
        <v>1561</v>
      </c>
      <c r="KF642" t="s">
        <v>1960</v>
      </c>
      <c r="KG642">
        <v>2</v>
      </c>
      <c r="KH642" t="s">
        <v>1959</v>
      </c>
      <c r="KJ642" s="8" t="s">
        <v>1962</v>
      </c>
      <c r="KK642" t="s">
        <v>1963</v>
      </c>
      <c r="KL642">
        <v>3</v>
      </c>
      <c r="KN642" s="8" t="s">
        <v>1941</v>
      </c>
      <c r="KO642" t="s">
        <v>234</v>
      </c>
      <c r="KP642" t="s">
        <v>234</v>
      </c>
      <c r="KR642" t="s">
        <v>1942</v>
      </c>
      <c r="KS642" t="s">
        <v>234</v>
      </c>
      <c r="KT642" t="s">
        <v>234</v>
      </c>
      <c r="LO642" t="s">
        <v>1964</v>
      </c>
      <c r="LS642" t="s">
        <v>1944</v>
      </c>
      <c r="LT642">
        <v>431.25</v>
      </c>
      <c r="LU642" s="4" t="s">
        <v>29</v>
      </c>
      <c r="MS642" t="s">
        <v>1945</v>
      </c>
      <c r="MT642" t="s">
        <v>234</v>
      </c>
      <c r="MU642" t="s">
        <v>1946</v>
      </c>
      <c r="MW642" t="s">
        <v>168</v>
      </c>
      <c r="NE642" t="s">
        <v>1951</v>
      </c>
      <c r="NG642" s="4" t="s">
        <v>8</v>
      </c>
      <c r="NH642" s="6" t="s">
        <v>1948</v>
      </c>
      <c r="NQ642" t="s">
        <v>6</v>
      </c>
      <c r="NR642">
        <v>48.83</v>
      </c>
      <c r="NS642" t="s">
        <v>234</v>
      </c>
      <c r="NT642" t="s">
        <v>234</v>
      </c>
      <c r="NW642" s="3">
        <v>3</v>
      </c>
      <c r="OH642" t="s">
        <v>1947</v>
      </c>
      <c r="OI642" t="s">
        <v>6</v>
      </c>
      <c r="OK642">
        <v>2016</v>
      </c>
      <c r="OL642">
        <v>2018</v>
      </c>
      <c r="OO642" t="s">
        <v>1178</v>
      </c>
      <c r="OP642" s="58">
        <v>46129</v>
      </c>
    </row>
    <row r="643" spans="1:406" ht="15.75" thickBot="1">
      <c r="A643" t="s">
        <v>248</v>
      </c>
      <c r="B643" t="s">
        <v>1903</v>
      </c>
      <c r="C643" t="s">
        <v>1904</v>
      </c>
      <c r="D643" s="4" t="s">
        <v>1955</v>
      </c>
      <c r="E643" s="90" t="s">
        <v>1974</v>
      </c>
      <c r="F643" t="s">
        <v>31</v>
      </c>
      <c r="G643" t="s">
        <v>2</v>
      </c>
      <c r="H643" t="s">
        <v>30</v>
      </c>
      <c r="I643">
        <v>30.9</v>
      </c>
      <c r="J643">
        <v>75.75</v>
      </c>
      <c r="K643" t="s">
        <v>29</v>
      </c>
      <c r="AV643" t="s">
        <v>838</v>
      </c>
      <c r="AW643" t="s">
        <v>234</v>
      </c>
      <c r="AX643" t="s">
        <v>234</v>
      </c>
      <c r="AY643">
        <v>2</v>
      </c>
      <c r="AZ643" t="s">
        <v>1956</v>
      </c>
      <c r="BA643">
        <v>2016</v>
      </c>
      <c r="BB643">
        <v>2018</v>
      </c>
      <c r="BD643" t="s">
        <v>1910</v>
      </c>
      <c r="BE643" t="s">
        <v>1972</v>
      </c>
      <c r="BF643" t="s">
        <v>43</v>
      </c>
      <c r="BG643" t="s">
        <v>1243</v>
      </c>
      <c r="BH643" t="s">
        <v>23</v>
      </c>
      <c r="BI643" t="s">
        <v>1933</v>
      </c>
      <c r="BJ643" t="s">
        <v>13</v>
      </c>
      <c r="BK643">
        <v>20</v>
      </c>
      <c r="BL643" t="s">
        <v>56</v>
      </c>
      <c r="BM643" t="s">
        <v>250</v>
      </c>
      <c r="BN643" t="s">
        <v>29</v>
      </c>
      <c r="BO643" t="s">
        <v>29</v>
      </c>
      <c r="BP643" t="s">
        <v>29</v>
      </c>
      <c r="BQ643" t="s">
        <v>275</v>
      </c>
      <c r="BR643" t="s">
        <v>1935</v>
      </c>
      <c r="BS643" t="s">
        <v>29</v>
      </c>
      <c r="BT643" t="s">
        <v>29</v>
      </c>
      <c r="BU643" t="s">
        <v>29</v>
      </c>
      <c r="BV643" t="s">
        <v>275</v>
      </c>
      <c r="BW643" t="s">
        <v>1936</v>
      </c>
      <c r="BX643" t="s">
        <v>29</v>
      </c>
      <c r="BY643" t="s">
        <v>29</v>
      </c>
      <c r="BZ643" t="s">
        <v>29</v>
      </c>
      <c r="HU643" s="58"/>
      <c r="IN643" t="s">
        <v>1919</v>
      </c>
      <c r="IO643" s="54" t="s">
        <v>1938</v>
      </c>
      <c r="IR643">
        <v>2016</v>
      </c>
      <c r="JI643" t="s">
        <v>1958</v>
      </c>
      <c r="JK643" t="s">
        <v>14</v>
      </c>
      <c r="JO643" t="s">
        <v>13</v>
      </c>
      <c r="JP643">
        <v>125</v>
      </c>
      <c r="JS643">
        <v>60</v>
      </c>
      <c r="JT643">
        <v>30</v>
      </c>
      <c r="KD643" t="s">
        <v>1940</v>
      </c>
      <c r="KE643" s="84" t="s">
        <v>1561</v>
      </c>
      <c r="KF643" t="s">
        <v>1960</v>
      </c>
      <c r="KG643">
        <v>2</v>
      </c>
      <c r="KH643" t="s">
        <v>1959</v>
      </c>
      <c r="KJ643" s="8" t="s">
        <v>1962</v>
      </c>
      <c r="KK643" t="s">
        <v>1963</v>
      </c>
      <c r="KL643">
        <v>3</v>
      </c>
      <c r="KN643" s="8" t="s">
        <v>1941</v>
      </c>
      <c r="KO643" t="s">
        <v>234</v>
      </c>
      <c r="KP643" t="s">
        <v>234</v>
      </c>
      <c r="KR643" t="s">
        <v>1942</v>
      </c>
      <c r="KS643" t="s">
        <v>234</v>
      </c>
      <c r="KT643" t="s">
        <v>234</v>
      </c>
      <c r="LO643" t="s">
        <v>1964</v>
      </c>
      <c r="LS643" t="s">
        <v>1944</v>
      </c>
      <c r="LT643">
        <v>431.25</v>
      </c>
      <c r="LU643" s="4" t="s">
        <v>29</v>
      </c>
      <c r="MS643" t="s">
        <v>1945</v>
      </c>
      <c r="MT643" t="s">
        <v>234</v>
      </c>
      <c r="MU643" t="s">
        <v>1946</v>
      </c>
      <c r="MW643" t="s">
        <v>168</v>
      </c>
      <c r="NE643" t="s">
        <v>1951</v>
      </c>
      <c r="NG643" s="4" t="s">
        <v>8</v>
      </c>
      <c r="NH643" s="6" t="s">
        <v>1948</v>
      </c>
      <c r="NQ643" t="s">
        <v>6</v>
      </c>
      <c r="NR643">
        <v>49.19</v>
      </c>
      <c r="NS643" t="s">
        <v>234</v>
      </c>
      <c r="NT643" t="s">
        <v>234</v>
      </c>
      <c r="NW643" s="3">
        <v>3</v>
      </c>
      <c r="OH643" t="s">
        <v>1947</v>
      </c>
      <c r="OI643" t="s">
        <v>6</v>
      </c>
      <c r="OK643">
        <v>2016</v>
      </c>
      <c r="OL643">
        <v>2018</v>
      </c>
      <c r="OO643" t="s">
        <v>1178</v>
      </c>
      <c r="OP643" s="58">
        <v>46129</v>
      </c>
    </row>
    <row r="644" spans="1:406" ht="15.75" thickBot="1">
      <c r="A644" t="s">
        <v>248</v>
      </c>
      <c r="B644" t="s">
        <v>1903</v>
      </c>
      <c r="C644" t="s">
        <v>1904</v>
      </c>
      <c r="D644" s="4" t="s">
        <v>1955</v>
      </c>
      <c r="E644" s="90" t="s">
        <v>1974</v>
      </c>
      <c r="F644" t="s">
        <v>31</v>
      </c>
      <c r="G644" t="s">
        <v>2</v>
      </c>
      <c r="H644" t="s">
        <v>30</v>
      </c>
      <c r="I644">
        <v>30.9</v>
      </c>
      <c r="J644">
        <v>75.75</v>
      </c>
      <c r="K644" t="s">
        <v>29</v>
      </c>
      <c r="AV644" t="s">
        <v>838</v>
      </c>
      <c r="AW644" t="s">
        <v>234</v>
      </c>
      <c r="AX644" t="s">
        <v>234</v>
      </c>
      <c r="AY644">
        <v>2</v>
      </c>
      <c r="AZ644" t="s">
        <v>1956</v>
      </c>
      <c r="BA644">
        <v>2016</v>
      </c>
      <c r="BB644">
        <v>2018</v>
      </c>
      <c r="BD644" t="s">
        <v>1910</v>
      </c>
      <c r="BE644" s="3" t="s">
        <v>1921</v>
      </c>
      <c r="BF644" t="s">
        <v>252</v>
      </c>
      <c r="BG644" t="s">
        <v>1243</v>
      </c>
      <c r="BH644" t="s">
        <v>23</v>
      </c>
      <c r="BI644" t="s">
        <v>1933</v>
      </c>
      <c r="BJ644" t="s">
        <v>13</v>
      </c>
      <c r="BK644">
        <v>20</v>
      </c>
      <c r="BL644" t="s">
        <v>275</v>
      </c>
      <c r="BM644" t="s">
        <v>1937</v>
      </c>
      <c r="BN644" t="s">
        <v>29</v>
      </c>
      <c r="BO644" t="s">
        <v>29</v>
      </c>
      <c r="BP644" t="s">
        <v>29</v>
      </c>
      <c r="BQ644" t="s">
        <v>275</v>
      </c>
      <c r="BR644" t="s">
        <v>1935</v>
      </c>
      <c r="BS644" t="s">
        <v>29</v>
      </c>
      <c r="BT644" t="s">
        <v>29</v>
      </c>
      <c r="BU644" t="s">
        <v>29</v>
      </c>
      <c r="BV644" t="s">
        <v>275</v>
      </c>
      <c r="BW644" t="s">
        <v>1936</v>
      </c>
      <c r="BX644" t="s">
        <v>29</v>
      </c>
      <c r="BY644" t="s">
        <v>29</v>
      </c>
      <c r="BZ644" t="s">
        <v>29</v>
      </c>
      <c r="HU644" s="58"/>
      <c r="IN644" t="s">
        <v>1921</v>
      </c>
      <c r="IO644" s="54" t="s">
        <v>1938</v>
      </c>
      <c r="IR644">
        <v>2016</v>
      </c>
      <c r="JI644" t="s">
        <v>1958</v>
      </c>
      <c r="JK644" t="s">
        <v>14</v>
      </c>
      <c r="JO644" t="s">
        <v>13</v>
      </c>
      <c r="JP644">
        <v>125</v>
      </c>
      <c r="JS644">
        <v>60</v>
      </c>
      <c r="JT644">
        <v>30</v>
      </c>
      <c r="KD644" t="s">
        <v>1940</v>
      </c>
      <c r="KE644" s="84" t="s">
        <v>1561</v>
      </c>
      <c r="KF644" t="s">
        <v>1960</v>
      </c>
      <c r="KG644">
        <v>2</v>
      </c>
      <c r="KH644" t="s">
        <v>1959</v>
      </c>
      <c r="KJ644" s="8" t="s">
        <v>1962</v>
      </c>
      <c r="KK644" t="s">
        <v>1963</v>
      </c>
      <c r="KL644">
        <v>3</v>
      </c>
      <c r="KN644" s="8" t="s">
        <v>1941</v>
      </c>
      <c r="KO644" t="s">
        <v>234</v>
      </c>
      <c r="KP644" t="s">
        <v>234</v>
      </c>
      <c r="KR644" t="s">
        <v>1942</v>
      </c>
      <c r="KS644" t="s">
        <v>234</v>
      </c>
      <c r="KT644" t="s">
        <v>234</v>
      </c>
      <c r="LO644" t="s">
        <v>1964</v>
      </c>
      <c r="LS644" t="s">
        <v>1944</v>
      </c>
      <c r="LT644">
        <v>431.25</v>
      </c>
      <c r="LU644" s="4" t="s">
        <v>29</v>
      </c>
      <c r="MS644" t="s">
        <v>1945</v>
      </c>
      <c r="MT644" t="s">
        <v>234</v>
      </c>
      <c r="MU644" t="s">
        <v>1946</v>
      </c>
      <c r="MW644" t="s">
        <v>168</v>
      </c>
      <c r="NE644" t="s">
        <v>1951</v>
      </c>
      <c r="NG644" s="4" t="s">
        <v>8</v>
      </c>
      <c r="NH644" s="6" t="s">
        <v>1948</v>
      </c>
      <c r="NQ644" t="s">
        <v>6</v>
      </c>
      <c r="NR644">
        <v>47.04</v>
      </c>
      <c r="NS644" t="s">
        <v>234</v>
      </c>
      <c r="NT644" t="s">
        <v>234</v>
      </c>
      <c r="NW644" s="3">
        <v>3</v>
      </c>
      <c r="OH644" t="s">
        <v>1947</v>
      </c>
      <c r="OI644" t="s">
        <v>6</v>
      </c>
      <c r="OK644">
        <v>2016</v>
      </c>
      <c r="OL644">
        <v>2018</v>
      </c>
      <c r="OO644" t="s">
        <v>1178</v>
      </c>
      <c r="OP644" s="58">
        <v>46129</v>
      </c>
    </row>
    <row r="645" spans="1:406" ht="15.75" thickBot="1">
      <c r="A645" t="s">
        <v>248</v>
      </c>
      <c r="B645" t="s">
        <v>1903</v>
      </c>
      <c r="C645" t="s">
        <v>1904</v>
      </c>
      <c r="D645" s="4" t="s">
        <v>1955</v>
      </c>
      <c r="E645" s="90" t="s">
        <v>1974</v>
      </c>
      <c r="F645" t="s">
        <v>31</v>
      </c>
      <c r="G645" t="s">
        <v>2</v>
      </c>
      <c r="H645" t="s">
        <v>30</v>
      </c>
      <c r="I645">
        <v>30.9</v>
      </c>
      <c r="J645">
        <v>75.75</v>
      </c>
      <c r="K645" t="s">
        <v>29</v>
      </c>
      <c r="AV645" t="s">
        <v>838</v>
      </c>
      <c r="AW645" t="s">
        <v>234</v>
      </c>
      <c r="AX645" t="s">
        <v>234</v>
      </c>
      <c r="AY645">
        <v>2</v>
      </c>
      <c r="AZ645" t="s">
        <v>1956</v>
      </c>
      <c r="BA645">
        <v>2016</v>
      </c>
      <c r="BB645">
        <v>2018</v>
      </c>
      <c r="BD645" t="s">
        <v>1910</v>
      </c>
      <c r="BE645" s="15" t="s">
        <v>1973</v>
      </c>
      <c r="BF645" t="s">
        <v>236</v>
      </c>
      <c r="BG645" t="s">
        <v>1243</v>
      </c>
      <c r="BH645" t="s">
        <v>23</v>
      </c>
      <c r="BI645" t="s">
        <v>1933</v>
      </c>
      <c r="BJ645" t="s">
        <v>13</v>
      </c>
      <c r="BK645">
        <v>20</v>
      </c>
      <c r="BL645" t="s">
        <v>56</v>
      </c>
      <c r="BM645" t="s">
        <v>250</v>
      </c>
      <c r="BN645" t="s">
        <v>29</v>
      </c>
      <c r="BO645" t="s">
        <v>29</v>
      </c>
      <c r="BP645" t="s">
        <v>29</v>
      </c>
      <c r="BQ645" t="s">
        <v>275</v>
      </c>
      <c r="BR645" t="s">
        <v>1937</v>
      </c>
      <c r="BS645" t="s">
        <v>29</v>
      </c>
      <c r="BT645" t="s">
        <v>29</v>
      </c>
      <c r="BU645" t="s">
        <v>29</v>
      </c>
      <c r="BV645" t="s">
        <v>275</v>
      </c>
      <c r="BW645" t="s">
        <v>1935</v>
      </c>
      <c r="BX645" t="s">
        <v>29</v>
      </c>
      <c r="BY645" t="s">
        <v>29</v>
      </c>
      <c r="BZ645" t="s">
        <v>29</v>
      </c>
      <c r="CA645" t="s">
        <v>275</v>
      </c>
      <c r="CB645" t="s">
        <v>1936</v>
      </c>
      <c r="CC645" t="s">
        <v>29</v>
      </c>
      <c r="CD645" t="s">
        <v>29</v>
      </c>
      <c r="CE645" t="s">
        <v>29</v>
      </c>
      <c r="HU645" s="58"/>
      <c r="IN645" t="s">
        <v>1923</v>
      </c>
      <c r="IO645" s="54" t="s">
        <v>1938</v>
      </c>
      <c r="IR645">
        <v>2016</v>
      </c>
      <c r="JI645" t="s">
        <v>1958</v>
      </c>
      <c r="JK645" t="s">
        <v>14</v>
      </c>
      <c r="JO645" t="s">
        <v>13</v>
      </c>
      <c r="JP645">
        <v>125</v>
      </c>
      <c r="JS645">
        <v>60</v>
      </c>
      <c r="JT645">
        <v>30</v>
      </c>
      <c r="KD645" t="s">
        <v>1940</v>
      </c>
      <c r="KE645" s="84" t="s">
        <v>1561</v>
      </c>
      <c r="KF645" t="s">
        <v>1960</v>
      </c>
      <c r="KG645">
        <v>2</v>
      </c>
      <c r="KH645" t="s">
        <v>1959</v>
      </c>
      <c r="KJ645" s="8" t="s">
        <v>1962</v>
      </c>
      <c r="KK645" t="s">
        <v>1963</v>
      </c>
      <c r="KL645">
        <v>3</v>
      </c>
      <c r="KN645" s="8" t="s">
        <v>1941</v>
      </c>
      <c r="KO645" t="s">
        <v>234</v>
      </c>
      <c r="KP645" t="s">
        <v>234</v>
      </c>
      <c r="KR645" t="s">
        <v>1942</v>
      </c>
      <c r="KS645" t="s">
        <v>234</v>
      </c>
      <c r="KT645" t="s">
        <v>234</v>
      </c>
      <c r="LO645" t="s">
        <v>1964</v>
      </c>
      <c r="LS645" t="s">
        <v>1944</v>
      </c>
      <c r="LT645">
        <v>431.25</v>
      </c>
      <c r="LU645" s="4" t="s">
        <v>29</v>
      </c>
      <c r="MS645" t="s">
        <v>1945</v>
      </c>
      <c r="MT645" t="s">
        <v>234</v>
      </c>
      <c r="MU645" t="s">
        <v>1946</v>
      </c>
      <c r="MW645" t="s">
        <v>168</v>
      </c>
      <c r="NE645" t="s">
        <v>1951</v>
      </c>
      <c r="NG645" s="4" t="s">
        <v>8</v>
      </c>
      <c r="NH645" s="6" t="s">
        <v>1948</v>
      </c>
      <c r="NQ645" t="s">
        <v>6</v>
      </c>
      <c r="NR645">
        <v>49.59</v>
      </c>
      <c r="NS645" t="s">
        <v>234</v>
      </c>
      <c r="NT645" t="s">
        <v>234</v>
      </c>
      <c r="NW645" s="3">
        <v>3</v>
      </c>
      <c r="OH645" t="s">
        <v>1947</v>
      </c>
      <c r="OI645" t="s">
        <v>6</v>
      </c>
      <c r="OK645">
        <v>2016</v>
      </c>
      <c r="OL645">
        <v>2018</v>
      </c>
      <c r="OO645" t="s">
        <v>1178</v>
      </c>
      <c r="OP645" s="58">
        <v>46129</v>
      </c>
    </row>
    <row r="646" spans="1:406" ht="15.75" thickBot="1">
      <c r="A646" t="s">
        <v>248</v>
      </c>
      <c r="B646" t="s">
        <v>1903</v>
      </c>
      <c r="C646" t="s">
        <v>1904</v>
      </c>
      <c r="D646" s="4" t="s">
        <v>1955</v>
      </c>
      <c r="E646" s="90" t="s">
        <v>1974</v>
      </c>
      <c r="F646" t="s">
        <v>31</v>
      </c>
      <c r="G646" t="s">
        <v>2</v>
      </c>
      <c r="H646" t="s">
        <v>30</v>
      </c>
      <c r="I646">
        <v>30.9</v>
      </c>
      <c r="J646">
        <v>75.75</v>
      </c>
      <c r="K646" t="s">
        <v>29</v>
      </c>
      <c r="AV646" t="s">
        <v>838</v>
      </c>
      <c r="AW646" t="s">
        <v>234</v>
      </c>
      <c r="AX646" t="s">
        <v>234</v>
      </c>
      <c r="AY646">
        <v>2</v>
      </c>
      <c r="AZ646" t="s">
        <v>1956</v>
      </c>
      <c r="BA646">
        <v>2016</v>
      </c>
      <c r="BB646">
        <v>2018</v>
      </c>
      <c r="BD646" t="s">
        <v>1905</v>
      </c>
      <c r="BE646" t="s">
        <v>1906</v>
      </c>
      <c r="BF646" t="s">
        <v>39</v>
      </c>
      <c r="BG646" t="s">
        <v>1243</v>
      </c>
      <c r="BH646" t="s">
        <v>23</v>
      </c>
      <c r="BI646" t="s">
        <v>1933</v>
      </c>
      <c r="BJ646" t="s">
        <v>13</v>
      </c>
      <c r="BK646">
        <v>20</v>
      </c>
      <c r="BL646" t="s">
        <v>275</v>
      </c>
      <c r="BM646" t="s">
        <v>1907</v>
      </c>
      <c r="BN646" t="s">
        <v>29</v>
      </c>
      <c r="BO646" t="s">
        <v>29</v>
      </c>
      <c r="BP646" t="s">
        <v>29</v>
      </c>
      <c r="HU646" s="58">
        <v>42539</v>
      </c>
      <c r="IN646" t="s">
        <v>1906</v>
      </c>
      <c r="IO646" s="54" t="s">
        <v>1939</v>
      </c>
      <c r="IR646">
        <v>2016</v>
      </c>
      <c r="JI646" t="s">
        <v>1958</v>
      </c>
      <c r="JK646" t="s">
        <v>14</v>
      </c>
      <c r="JO646" t="s">
        <v>13</v>
      </c>
      <c r="JP646">
        <v>125</v>
      </c>
      <c r="JS646">
        <v>60</v>
      </c>
      <c r="JT646">
        <v>30</v>
      </c>
      <c r="KD646" t="s">
        <v>1940</v>
      </c>
      <c r="KE646" s="84" t="s">
        <v>1561</v>
      </c>
      <c r="KF646" t="s">
        <v>1960</v>
      </c>
      <c r="KG646">
        <v>2</v>
      </c>
      <c r="KH646" t="s">
        <v>1959</v>
      </c>
      <c r="KJ646" s="8" t="s">
        <v>1962</v>
      </c>
      <c r="KK646" t="s">
        <v>1963</v>
      </c>
      <c r="KL646">
        <v>3</v>
      </c>
      <c r="KN646" s="8" t="s">
        <v>1941</v>
      </c>
      <c r="KO646" t="s">
        <v>234</v>
      </c>
      <c r="KP646" t="s">
        <v>234</v>
      </c>
      <c r="KR646" t="s">
        <v>1942</v>
      </c>
      <c r="KS646" t="s">
        <v>234</v>
      </c>
      <c r="KT646" t="s">
        <v>234</v>
      </c>
      <c r="LO646" t="s">
        <v>1964</v>
      </c>
      <c r="LS646" t="s">
        <v>1944</v>
      </c>
      <c r="LT646">
        <v>206.25</v>
      </c>
      <c r="LU646" s="4" t="s">
        <v>29</v>
      </c>
      <c r="MC646" s="58">
        <v>42997</v>
      </c>
      <c r="MD646" s="58">
        <v>42997</v>
      </c>
      <c r="MS646" t="s">
        <v>1945</v>
      </c>
      <c r="MT646" t="s">
        <v>234</v>
      </c>
      <c r="MW646" t="s">
        <v>168</v>
      </c>
      <c r="ND646" t="s">
        <v>1952</v>
      </c>
      <c r="NE646" t="s">
        <v>1954</v>
      </c>
      <c r="NF646" t="s">
        <v>1953</v>
      </c>
      <c r="NG646" s="4" t="s">
        <v>1950</v>
      </c>
      <c r="NH646" s="6" t="s">
        <v>1949</v>
      </c>
      <c r="NP646" t="s">
        <v>1571</v>
      </c>
      <c r="NQ646" t="s">
        <v>6</v>
      </c>
      <c r="NR646">
        <v>2.41</v>
      </c>
      <c r="NS646" t="s">
        <v>234</v>
      </c>
      <c r="NT646" t="s">
        <v>234</v>
      </c>
      <c r="NW646" s="3">
        <v>3</v>
      </c>
      <c r="OH646" t="s">
        <v>1947</v>
      </c>
      <c r="OI646" t="s">
        <v>6</v>
      </c>
      <c r="OK646">
        <v>2016</v>
      </c>
      <c r="OL646">
        <v>2017</v>
      </c>
      <c r="OO646" t="s">
        <v>1178</v>
      </c>
      <c r="OP646" s="58">
        <v>46129</v>
      </c>
    </row>
    <row r="647" spans="1:406" ht="15.75" thickBot="1">
      <c r="A647" t="s">
        <v>248</v>
      </c>
      <c r="B647" t="s">
        <v>1903</v>
      </c>
      <c r="C647" t="s">
        <v>1904</v>
      </c>
      <c r="D647" s="4" t="s">
        <v>1955</v>
      </c>
      <c r="E647" s="90" t="s">
        <v>1974</v>
      </c>
      <c r="F647" t="s">
        <v>31</v>
      </c>
      <c r="G647" t="s">
        <v>2</v>
      </c>
      <c r="H647" t="s">
        <v>30</v>
      </c>
      <c r="I647">
        <v>30.9</v>
      </c>
      <c r="J647">
        <v>75.75</v>
      </c>
      <c r="K647" t="s">
        <v>29</v>
      </c>
      <c r="AV647" t="s">
        <v>838</v>
      </c>
      <c r="AW647" t="s">
        <v>234</v>
      </c>
      <c r="AX647" t="s">
        <v>234</v>
      </c>
      <c r="AY647">
        <v>2</v>
      </c>
      <c r="AZ647" t="s">
        <v>1956</v>
      </c>
      <c r="BA647">
        <v>2016</v>
      </c>
      <c r="BB647">
        <v>2018</v>
      </c>
      <c r="BD647" t="s">
        <v>1910</v>
      </c>
      <c r="BE647" t="s">
        <v>1925</v>
      </c>
      <c r="BF647" t="s">
        <v>64</v>
      </c>
      <c r="BG647" t="s">
        <v>1243</v>
      </c>
      <c r="BH647" t="s">
        <v>23</v>
      </c>
      <c r="BI647" t="s">
        <v>1933</v>
      </c>
      <c r="BJ647" t="s">
        <v>13</v>
      </c>
      <c r="BK647">
        <v>20</v>
      </c>
      <c r="BL647" t="s">
        <v>275</v>
      </c>
      <c r="BM647" t="s">
        <v>1913</v>
      </c>
      <c r="BN647" t="s">
        <v>29</v>
      </c>
      <c r="BO647" t="s">
        <v>29</v>
      </c>
      <c r="BP647" t="s">
        <v>29</v>
      </c>
      <c r="BQ647" t="s">
        <v>275</v>
      </c>
      <c r="BR647" t="s">
        <v>1912</v>
      </c>
      <c r="BS647" t="s">
        <v>29</v>
      </c>
      <c r="BT647" t="s">
        <v>29</v>
      </c>
      <c r="BU647" t="s">
        <v>29</v>
      </c>
      <c r="BV647" t="s">
        <v>56</v>
      </c>
      <c r="BW647" t="s">
        <v>1184</v>
      </c>
      <c r="BX647" t="s">
        <v>29</v>
      </c>
      <c r="BY647" t="s">
        <v>29</v>
      </c>
      <c r="BZ647" t="s">
        <v>29</v>
      </c>
      <c r="HU647" s="58">
        <v>42539</v>
      </c>
      <c r="IN647" t="s">
        <v>1911</v>
      </c>
      <c r="IO647" s="54" t="s">
        <v>1938</v>
      </c>
      <c r="IR647">
        <v>2016</v>
      </c>
      <c r="JI647" t="s">
        <v>1958</v>
      </c>
      <c r="JK647" t="s">
        <v>14</v>
      </c>
      <c r="JO647" t="s">
        <v>13</v>
      </c>
      <c r="JP647">
        <v>125</v>
      </c>
      <c r="JS647">
        <v>60</v>
      </c>
      <c r="JT647">
        <v>30</v>
      </c>
      <c r="KD647" t="s">
        <v>1940</v>
      </c>
      <c r="KE647" s="84" t="s">
        <v>1561</v>
      </c>
      <c r="KF647" t="s">
        <v>1960</v>
      </c>
      <c r="KG647">
        <v>2</v>
      </c>
      <c r="KH647" t="s">
        <v>1959</v>
      </c>
      <c r="KJ647" s="8" t="s">
        <v>1962</v>
      </c>
      <c r="KK647" t="s">
        <v>1963</v>
      </c>
      <c r="KL647">
        <v>3</v>
      </c>
      <c r="KN647" s="8" t="s">
        <v>1941</v>
      </c>
      <c r="KO647" t="s">
        <v>234</v>
      </c>
      <c r="KP647" t="s">
        <v>234</v>
      </c>
      <c r="KR647" t="s">
        <v>1942</v>
      </c>
      <c r="KS647" t="s">
        <v>234</v>
      </c>
      <c r="KT647" t="s">
        <v>234</v>
      </c>
      <c r="LO647" t="s">
        <v>1964</v>
      </c>
      <c r="LS647" t="s">
        <v>1944</v>
      </c>
      <c r="LT647">
        <v>206.25</v>
      </c>
      <c r="LU647" s="4" t="s">
        <v>29</v>
      </c>
      <c r="MC647" s="58">
        <v>42997</v>
      </c>
      <c r="MD647" s="58">
        <v>42997</v>
      </c>
      <c r="MS647" t="s">
        <v>1945</v>
      </c>
      <c r="MT647" t="s">
        <v>234</v>
      </c>
      <c r="MW647" t="s">
        <v>168</v>
      </c>
      <c r="ND647" t="s">
        <v>1952</v>
      </c>
      <c r="NE647" t="s">
        <v>1954</v>
      </c>
      <c r="NF647" t="s">
        <v>1953</v>
      </c>
      <c r="NG647" s="4" t="s">
        <v>1950</v>
      </c>
      <c r="NH647" s="6" t="s">
        <v>1949</v>
      </c>
      <c r="NQ647" t="s">
        <v>6</v>
      </c>
      <c r="NR647">
        <v>2.42</v>
      </c>
      <c r="NS647" t="s">
        <v>234</v>
      </c>
      <c r="NT647" t="s">
        <v>234</v>
      </c>
      <c r="NW647" s="3">
        <v>3</v>
      </c>
      <c r="OH647" t="s">
        <v>1947</v>
      </c>
      <c r="OI647" t="s">
        <v>6</v>
      </c>
      <c r="OK647">
        <v>2016</v>
      </c>
      <c r="OL647">
        <v>2017</v>
      </c>
      <c r="OO647" t="s">
        <v>1178</v>
      </c>
      <c r="OP647" s="58">
        <v>46129</v>
      </c>
    </row>
    <row r="648" spans="1:406" ht="15.75" thickBot="1">
      <c r="A648" t="s">
        <v>248</v>
      </c>
      <c r="B648" t="s">
        <v>1903</v>
      </c>
      <c r="C648" t="s">
        <v>1904</v>
      </c>
      <c r="D648" s="4" t="s">
        <v>1955</v>
      </c>
      <c r="E648" s="90" t="s">
        <v>1974</v>
      </c>
      <c r="F648" t="s">
        <v>31</v>
      </c>
      <c r="G648" t="s">
        <v>2</v>
      </c>
      <c r="H648" t="s">
        <v>30</v>
      </c>
      <c r="I648">
        <v>30.9</v>
      </c>
      <c r="J648">
        <v>75.75</v>
      </c>
      <c r="K648" t="s">
        <v>29</v>
      </c>
      <c r="AV648" t="s">
        <v>838</v>
      </c>
      <c r="AW648" t="s">
        <v>234</v>
      </c>
      <c r="AX648" t="s">
        <v>234</v>
      </c>
      <c r="AY648">
        <v>2</v>
      </c>
      <c r="AZ648" t="s">
        <v>1956</v>
      </c>
      <c r="BA648">
        <v>2016</v>
      </c>
      <c r="BB648">
        <v>2018</v>
      </c>
      <c r="BD648" t="s">
        <v>1910</v>
      </c>
      <c r="BE648" t="s">
        <v>1970</v>
      </c>
      <c r="BF648" t="s">
        <v>57</v>
      </c>
      <c r="BG648" t="s">
        <v>1243</v>
      </c>
      <c r="BH648" t="s">
        <v>23</v>
      </c>
      <c r="BI648" t="s">
        <v>1933</v>
      </c>
      <c r="BJ648" t="s">
        <v>13</v>
      </c>
      <c r="BK648">
        <v>20</v>
      </c>
      <c r="BL648" t="s">
        <v>56</v>
      </c>
      <c r="BM648" t="s">
        <v>250</v>
      </c>
      <c r="BN648" t="s">
        <v>29</v>
      </c>
      <c r="BO648" t="s">
        <v>29</v>
      </c>
      <c r="BP648" t="s">
        <v>29</v>
      </c>
      <c r="BQ648" t="s">
        <v>275</v>
      </c>
      <c r="BR648" t="s">
        <v>1913</v>
      </c>
      <c r="BS648" t="s">
        <v>29</v>
      </c>
      <c r="BT648" t="s">
        <v>29</v>
      </c>
      <c r="BU648" t="s">
        <v>29</v>
      </c>
      <c r="BV648" t="s">
        <v>275</v>
      </c>
      <c r="BW648" t="s">
        <v>1912</v>
      </c>
      <c r="BX648" t="s">
        <v>29</v>
      </c>
      <c r="BY648" t="s">
        <v>29</v>
      </c>
      <c r="BZ648" t="s">
        <v>29</v>
      </c>
      <c r="CA648" t="s">
        <v>56</v>
      </c>
      <c r="CB648" t="s">
        <v>1184</v>
      </c>
      <c r="CC648" t="s">
        <v>29</v>
      </c>
      <c r="CD648" t="s">
        <v>29</v>
      </c>
      <c r="CE648" t="s">
        <v>29</v>
      </c>
      <c r="HU648" s="58">
        <v>42539</v>
      </c>
      <c r="IN648" t="s">
        <v>1915</v>
      </c>
      <c r="IO648" s="54" t="s">
        <v>1938</v>
      </c>
      <c r="IR648">
        <v>2016</v>
      </c>
      <c r="JI648" t="s">
        <v>1958</v>
      </c>
      <c r="JK648" t="s">
        <v>14</v>
      </c>
      <c r="JO648" t="s">
        <v>13</v>
      </c>
      <c r="JP648">
        <v>125</v>
      </c>
      <c r="JS648">
        <v>60</v>
      </c>
      <c r="JT648">
        <v>30</v>
      </c>
      <c r="KD648" t="s">
        <v>1940</v>
      </c>
      <c r="KE648" s="84" t="s">
        <v>1561</v>
      </c>
      <c r="KF648" t="s">
        <v>1960</v>
      </c>
      <c r="KG648">
        <v>2</v>
      </c>
      <c r="KH648" t="s">
        <v>1959</v>
      </c>
      <c r="KJ648" s="8" t="s">
        <v>1962</v>
      </c>
      <c r="KK648" t="s">
        <v>1963</v>
      </c>
      <c r="KL648">
        <v>3</v>
      </c>
      <c r="KN648" s="8" t="s">
        <v>1941</v>
      </c>
      <c r="KO648" t="s">
        <v>234</v>
      </c>
      <c r="KP648" t="s">
        <v>234</v>
      </c>
      <c r="KR648" t="s">
        <v>1942</v>
      </c>
      <c r="KS648" t="s">
        <v>234</v>
      </c>
      <c r="KT648" t="s">
        <v>234</v>
      </c>
      <c r="LO648" t="s">
        <v>1964</v>
      </c>
      <c r="LS648" t="s">
        <v>1944</v>
      </c>
      <c r="LT648">
        <v>206.25</v>
      </c>
      <c r="LU648" s="4" t="s">
        <v>29</v>
      </c>
      <c r="MC648" s="58">
        <v>42997</v>
      </c>
      <c r="MD648" s="58">
        <v>42997</v>
      </c>
      <c r="MS648" t="s">
        <v>1945</v>
      </c>
      <c r="MT648" t="s">
        <v>234</v>
      </c>
      <c r="MW648" t="s">
        <v>168</v>
      </c>
      <c r="ND648" t="s">
        <v>1952</v>
      </c>
      <c r="NE648" t="s">
        <v>1954</v>
      </c>
      <c r="NF648" t="s">
        <v>1953</v>
      </c>
      <c r="NG648" s="4" t="s">
        <v>1950</v>
      </c>
      <c r="NH648" s="6" t="s">
        <v>1949</v>
      </c>
      <c r="NQ648" t="s">
        <v>6</v>
      </c>
      <c r="NR648">
        <v>2.44</v>
      </c>
      <c r="NS648" t="s">
        <v>234</v>
      </c>
      <c r="NT648" t="s">
        <v>234</v>
      </c>
      <c r="NW648" s="3">
        <v>3</v>
      </c>
      <c r="OH648" t="s">
        <v>1947</v>
      </c>
      <c r="OI648" t="s">
        <v>6</v>
      </c>
      <c r="OK648">
        <v>2016</v>
      </c>
      <c r="OL648">
        <v>2017</v>
      </c>
      <c r="OO648" t="s">
        <v>1178</v>
      </c>
      <c r="OP648" s="58">
        <v>46129</v>
      </c>
    </row>
    <row r="649" spans="1:406" ht="15.75" thickBot="1">
      <c r="A649" t="s">
        <v>248</v>
      </c>
      <c r="B649" t="s">
        <v>1903</v>
      </c>
      <c r="C649" t="s">
        <v>1904</v>
      </c>
      <c r="D649" s="4" t="s">
        <v>1955</v>
      </c>
      <c r="E649" s="90" t="s">
        <v>1974</v>
      </c>
      <c r="F649" t="s">
        <v>31</v>
      </c>
      <c r="G649" t="s">
        <v>2</v>
      </c>
      <c r="H649" t="s">
        <v>30</v>
      </c>
      <c r="I649">
        <v>30.9</v>
      </c>
      <c r="J649">
        <v>75.75</v>
      </c>
      <c r="K649" t="s">
        <v>29</v>
      </c>
      <c r="AV649" t="s">
        <v>838</v>
      </c>
      <c r="AW649" t="s">
        <v>234</v>
      </c>
      <c r="AX649" t="s">
        <v>234</v>
      </c>
      <c r="AY649">
        <v>2</v>
      </c>
      <c r="AZ649" t="s">
        <v>1956</v>
      </c>
      <c r="BA649">
        <v>2016</v>
      </c>
      <c r="BB649">
        <v>2018</v>
      </c>
      <c r="BD649" t="s">
        <v>1910</v>
      </c>
      <c r="BE649" t="s">
        <v>1971</v>
      </c>
      <c r="BF649" t="s">
        <v>48</v>
      </c>
      <c r="BG649" t="s">
        <v>1243</v>
      </c>
      <c r="BH649" t="s">
        <v>23</v>
      </c>
      <c r="BI649" t="s">
        <v>1933</v>
      </c>
      <c r="BJ649" t="s">
        <v>13</v>
      </c>
      <c r="BK649">
        <v>20</v>
      </c>
      <c r="BL649" t="s">
        <v>56</v>
      </c>
      <c r="BM649" t="s">
        <v>250</v>
      </c>
      <c r="BN649" t="s">
        <v>29</v>
      </c>
      <c r="BO649" t="s">
        <v>29</v>
      </c>
      <c r="BP649" t="s">
        <v>29</v>
      </c>
      <c r="BQ649" t="s">
        <v>275</v>
      </c>
      <c r="BR649" t="s">
        <v>1913</v>
      </c>
      <c r="BS649" t="s">
        <v>29</v>
      </c>
      <c r="BT649" t="s">
        <v>29</v>
      </c>
      <c r="BU649" t="s">
        <v>29</v>
      </c>
      <c r="HU649" s="58">
        <v>42539</v>
      </c>
      <c r="IN649" t="s">
        <v>1917</v>
      </c>
      <c r="IO649" s="54" t="s">
        <v>1938</v>
      </c>
      <c r="IR649">
        <v>2016</v>
      </c>
      <c r="JI649" t="s">
        <v>1958</v>
      </c>
      <c r="JK649" t="s">
        <v>14</v>
      </c>
      <c r="JO649" t="s">
        <v>13</v>
      </c>
      <c r="JP649">
        <v>125</v>
      </c>
      <c r="JS649">
        <v>60</v>
      </c>
      <c r="JT649">
        <v>30</v>
      </c>
      <c r="KD649" t="s">
        <v>1940</v>
      </c>
      <c r="KE649" s="84" t="s">
        <v>1561</v>
      </c>
      <c r="KF649" t="s">
        <v>1960</v>
      </c>
      <c r="KG649">
        <v>2</v>
      </c>
      <c r="KH649" t="s">
        <v>1959</v>
      </c>
      <c r="KJ649" s="8" t="s">
        <v>1962</v>
      </c>
      <c r="KK649" t="s">
        <v>1963</v>
      </c>
      <c r="KL649">
        <v>3</v>
      </c>
      <c r="KN649" s="8" t="s">
        <v>1941</v>
      </c>
      <c r="KO649" t="s">
        <v>234</v>
      </c>
      <c r="KP649" t="s">
        <v>234</v>
      </c>
      <c r="KR649" t="s">
        <v>1942</v>
      </c>
      <c r="KS649" t="s">
        <v>234</v>
      </c>
      <c r="KT649" t="s">
        <v>234</v>
      </c>
      <c r="LO649" t="s">
        <v>1964</v>
      </c>
      <c r="LS649" t="s">
        <v>1944</v>
      </c>
      <c r="LT649">
        <v>206.25</v>
      </c>
      <c r="LU649" s="4" t="s">
        <v>29</v>
      </c>
      <c r="MC649" s="58">
        <v>42997</v>
      </c>
      <c r="MD649" s="58">
        <v>42997</v>
      </c>
      <c r="MS649" t="s">
        <v>1945</v>
      </c>
      <c r="MT649" t="s">
        <v>234</v>
      </c>
      <c r="MW649" t="s">
        <v>168</v>
      </c>
      <c r="ND649" t="s">
        <v>1952</v>
      </c>
      <c r="NE649" t="s">
        <v>1954</v>
      </c>
      <c r="NF649" t="s">
        <v>1953</v>
      </c>
      <c r="NG649" s="4" t="s">
        <v>1950</v>
      </c>
      <c r="NH649" s="6" t="s">
        <v>1949</v>
      </c>
      <c r="NQ649" t="s">
        <v>6</v>
      </c>
      <c r="NR649">
        <v>2.4700000000000002</v>
      </c>
      <c r="NS649" t="s">
        <v>234</v>
      </c>
      <c r="NT649" t="s">
        <v>234</v>
      </c>
      <c r="NW649" s="3">
        <v>3</v>
      </c>
      <c r="OH649" t="s">
        <v>1947</v>
      </c>
      <c r="OI649" t="s">
        <v>6</v>
      </c>
      <c r="OK649">
        <v>2016</v>
      </c>
      <c r="OL649">
        <v>2017</v>
      </c>
      <c r="OO649" t="s">
        <v>1178</v>
      </c>
      <c r="OP649" s="58">
        <v>46129</v>
      </c>
    </row>
    <row r="650" spans="1:406" ht="15.75" thickBot="1">
      <c r="A650" t="s">
        <v>248</v>
      </c>
      <c r="B650" t="s">
        <v>1903</v>
      </c>
      <c r="C650" t="s">
        <v>1904</v>
      </c>
      <c r="D650" s="4" t="s">
        <v>1955</v>
      </c>
      <c r="E650" s="90" t="s">
        <v>1974</v>
      </c>
      <c r="F650" t="s">
        <v>31</v>
      </c>
      <c r="G650" t="s">
        <v>2</v>
      </c>
      <c r="H650" t="s">
        <v>30</v>
      </c>
      <c r="I650">
        <v>30.9</v>
      </c>
      <c r="J650">
        <v>75.75</v>
      </c>
      <c r="K650" t="s">
        <v>29</v>
      </c>
      <c r="AV650" t="s">
        <v>838</v>
      </c>
      <c r="AW650" t="s">
        <v>234</v>
      </c>
      <c r="AX650" t="s">
        <v>234</v>
      </c>
      <c r="AY650">
        <v>2</v>
      </c>
      <c r="AZ650" t="s">
        <v>1956</v>
      </c>
      <c r="BA650">
        <v>2016</v>
      </c>
      <c r="BB650">
        <v>2018</v>
      </c>
      <c r="BD650" t="s">
        <v>1910</v>
      </c>
      <c r="BE650" t="s">
        <v>1972</v>
      </c>
      <c r="BF650" t="s">
        <v>43</v>
      </c>
      <c r="BG650" t="s">
        <v>1243</v>
      </c>
      <c r="BH650" t="s">
        <v>23</v>
      </c>
      <c r="BI650" t="s">
        <v>1933</v>
      </c>
      <c r="BJ650" t="s">
        <v>13</v>
      </c>
      <c r="BK650">
        <v>20</v>
      </c>
      <c r="BL650" t="s">
        <v>56</v>
      </c>
      <c r="BM650" t="s">
        <v>250</v>
      </c>
      <c r="BN650" t="s">
        <v>29</v>
      </c>
      <c r="BO650" t="s">
        <v>29</v>
      </c>
      <c r="BP650" t="s">
        <v>29</v>
      </c>
      <c r="BQ650" t="s">
        <v>275</v>
      </c>
      <c r="BR650" t="s">
        <v>1935</v>
      </c>
      <c r="BS650" t="s">
        <v>29</v>
      </c>
      <c r="BT650" t="s">
        <v>29</v>
      </c>
      <c r="BU650" t="s">
        <v>29</v>
      </c>
      <c r="BV650" t="s">
        <v>275</v>
      </c>
      <c r="BW650" t="s">
        <v>1936</v>
      </c>
      <c r="BX650" t="s">
        <v>29</v>
      </c>
      <c r="BY650" t="s">
        <v>29</v>
      </c>
      <c r="BZ650" t="s">
        <v>29</v>
      </c>
      <c r="HU650" s="58">
        <v>42539</v>
      </c>
      <c r="IN650" t="s">
        <v>1919</v>
      </c>
      <c r="IO650" s="54" t="s">
        <v>1938</v>
      </c>
      <c r="IR650">
        <v>2016</v>
      </c>
      <c r="JI650" t="s">
        <v>1958</v>
      </c>
      <c r="JK650" t="s">
        <v>14</v>
      </c>
      <c r="JO650" t="s">
        <v>13</v>
      </c>
      <c r="JP650">
        <v>125</v>
      </c>
      <c r="JS650">
        <v>60</v>
      </c>
      <c r="JT650">
        <v>30</v>
      </c>
      <c r="KD650" t="s">
        <v>1940</v>
      </c>
      <c r="KE650" s="84" t="s">
        <v>1561</v>
      </c>
      <c r="KF650" t="s">
        <v>1960</v>
      </c>
      <c r="KG650">
        <v>2</v>
      </c>
      <c r="KH650" t="s">
        <v>1959</v>
      </c>
      <c r="KJ650" s="8" t="s">
        <v>1962</v>
      </c>
      <c r="KK650" t="s">
        <v>1963</v>
      </c>
      <c r="KL650">
        <v>3</v>
      </c>
      <c r="KN650" s="8" t="s">
        <v>1941</v>
      </c>
      <c r="KO650" t="s">
        <v>234</v>
      </c>
      <c r="KP650" t="s">
        <v>234</v>
      </c>
      <c r="KR650" t="s">
        <v>1942</v>
      </c>
      <c r="KS650" t="s">
        <v>234</v>
      </c>
      <c r="KT650" t="s">
        <v>234</v>
      </c>
      <c r="LO650" t="s">
        <v>1964</v>
      </c>
      <c r="LS650" t="s">
        <v>1944</v>
      </c>
      <c r="LT650">
        <v>206.25</v>
      </c>
      <c r="LU650" s="4" t="s">
        <v>29</v>
      </c>
      <c r="MC650" s="58">
        <v>42997</v>
      </c>
      <c r="MD650" s="58">
        <v>42997</v>
      </c>
      <c r="MS650" t="s">
        <v>1945</v>
      </c>
      <c r="MT650" t="s">
        <v>234</v>
      </c>
      <c r="MW650" t="s">
        <v>168</v>
      </c>
      <c r="ND650" t="s">
        <v>1952</v>
      </c>
      <c r="NE650" t="s">
        <v>1954</v>
      </c>
      <c r="NF650" t="s">
        <v>1953</v>
      </c>
      <c r="NG650" s="4" t="s">
        <v>1950</v>
      </c>
      <c r="NH650" s="6" t="s">
        <v>1949</v>
      </c>
      <c r="NQ650" t="s">
        <v>6</v>
      </c>
      <c r="NR650">
        <v>2.46</v>
      </c>
      <c r="NS650" t="s">
        <v>234</v>
      </c>
      <c r="NT650" t="s">
        <v>234</v>
      </c>
      <c r="NW650" s="3">
        <v>3</v>
      </c>
      <c r="OH650" t="s">
        <v>1947</v>
      </c>
      <c r="OI650" t="s">
        <v>6</v>
      </c>
      <c r="OK650">
        <v>2016</v>
      </c>
      <c r="OL650">
        <v>2017</v>
      </c>
      <c r="OO650" t="s">
        <v>1178</v>
      </c>
      <c r="OP650" s="58">
        <v>46129</v>
      </c>
    </row>
    <row r="651" spans="1:406" ht="15.75" thickBot="1">
      <c r="A651" t="s">
        <v>248</v>
      </c>
      <c r="B651" t="s">
        <v>1903</v>
      </c>
      <c r="C651" t="s">
        <v>1904</v>
      </c>
      <c r="D651" s="4" t="s">
        <v>1955</v>
      </c>
      <c r="E651" s="90" t="s">
        <v>1974</v>
      </c>
      <c r="F651" t="s">
        <v>31</v>
      </c>
      <c r="G651" t="s">
        <v>2</v>
      </c>
      <c r="H651" t="s">
        <v>30</v>
      </c>
      <c r="I651">
        <v>30.9</v>
      </c>
      <c r="J651">
        <v>75.75</v>
      </c>
      <c r="K651" t="s">
        <v>29</v>
      </c>
      <c r="AV651" t="s">
        <v>838</v>
      </c>
      <c r="AW651" t="s">
        <v>234</v>
      </c>
      <c r="AX651" t="s">
        <v>234</v>
      </c>
      <c r="AY651">
        <v>2</v>
      </c>
      <c r="AZ651" t="s">
        <v>1956</v>
      </c>
      <c r="BA651">
        <v>2016</v>
      </c>
      <c r="BB651">
        <v>2018</v>
      </c>
      <c r="BD651" t="s">
        <v>1910</v>
      </c>
      <c r="BE651" s="3" t="s">
        <v>1921</v>
      </c>
      <c r="BF651" t="s">
        <v>252</v>
      </c>
      <c r="BG651" t="s">
        <v>1243</v>
      </c>
      <c r="BH651" t="s">
        <v>23</v>
      </c>
      <c r="BI651" t="s">
        <v>1933</v>
      </c>
      <c r="BJ651" t="s">
        <v>13</v>
      </c>
      <c r="BK651">
        <v>20</v>
      </c>
      <c r="BL651" t="s">
        <v>275</v>
      </c>
      <c r="BM651" t="s">
        <v>1937</v>
      </c>
      <c r="BN651" t="s">
        <v>29</v>
      </c>
      <c r="BO651" t="s">
        <v>29</v>
      </c>
      <c r="BP651" t="s">
        <v>29</v>
      </c>
      <c r="BQ651" t="s">
        <v>275</v>
      </c>
      <c r="BR651" t="s">
        <v>1935</v>
      </c>
      <c r="BS651" t="s">
        <v>29</v>
      </c>
      <c r="BT651" t="s">
        <v>29</v>
      </c>
      <c r="BU651" t="s">
        <v>29</v>
      </c>
      <c r="BV651" t="s">
        <v>275</v>
      </c>
      <c r="BW651" t="s">
        <v>1936</v>
      </c>
      <c r="BX651" t="s">
        <v>29</v>
      </c>
      <c r="BY651" t="s">
        <v>29</v>
      </c>
      <c r="BZ651" t="s">
        <v>29</v>
      </c>
      <c r="HU651" s="58">
        <v>42539</v>
      </c>
      <c r="IN651" t="s">
        <v>1921</v>
      </c>
      <c r="IO651" s="54" t="s">
        <v>1938</v>
      </c>
      <c r="IR651">
        <v>2016</v>
      </c>
      <c r="JI651" t="s">
        <v>1958</v>
      </c>
      <c r="JK651" t="s">
        <v>14</v>
      </c>
      <c r="JO651" t="s">
        <v>13</v>
      </c>
      <c r="JP651">
        <v>125</v>
      </c>
      <c r="JS651">
        <v>60</v>
      </c>
      <c r="JT651">
        <v>30</v>
      </c>
      <c r="KD651" t="s">
        <v>1940</v>
      </c>
      <c r="KE651" s="84" t="s">
        <v>1561</v>
      </c>
      <c r="KF651" t="s">
        <v>1960</v>
      </c>
      <c r="KG651">
        <v>2</v>
      </c>
      <c r="KH651" t="s">
        <v>1959</v>
      </c>
      <c r="KJ651" s="8" t="s">
        <v>1962</v>
      </c>
      <c r="KK651" t="s">
        <v>1963</v>
      </c>
      <c r="KL651">
        <v>3</v>
      </c>
      <c r="KN651" s="8" t="s">
        <v>1941</v>
      </c>
      <c r="KO651" t="s">
        <v>234</v>
      </c>
      <c r="KP651" t="s">
        <v>234</v>
      </c>
      <c r="KR651" t="s">
        <v>1942</v>
      </c>
      <c r="KS651" t="s">
        <v>234</v>
      </c>
      <c r="KT651" t="s">
        <v>234</v>
      </c>
      <c r="LO651" t="s">
        <v>1964</v>
      </c>
      <c r="LS651" t="s">
        <v>1944</v>
      </c>
      <c r="LT651">
        <v>206.25</v>
      </c>
      <c r="LU651" s="4" t="s">
        <v>29</v>
      </c>
      <c r="MC651" s="58">
        <v>42997</v>
      </c>
      <c r="MD651" s="58">
        <v>42997</v>
      </c>
      <c r="MS651" t="s">
        <v>1945</v>
      </c>
      <c r="MT651" t="s">
        <v>234</v>
      </c>
      <c r="MW651" t="s">
        <v>168</v>
      </c>
      <c r="ND651" t="s">
        <v>1952</v>
      </c>
      <c r="NE651" t="s">
        <v>1954</v>
      </c>
      <c r="NF651" t="s">
        <v>1953</v>
      </c>
      <c r="NG651" s="4" t="s">
        <v>1950</v>
      </c>
      <c r="NH651" s="6" t="s">
        <v>1949</v>
      </c>
      <c r="NQ651" t="s">
        <v>6</v>
      </c>
      <c r="NR651">
        <v>2.39</v>
      </c>
      <c r="NS651" t="s">
        <v>234</v>
      </c>
      <c r="NT651" t="s">
        <v>234</v>
      </c>
      <c r="NW651" s="3">
        <v>3</v>
      </c>
      <c r="OH651" t="s">
        <v>1947</v>
      </c>
      <c r="OI651" t="s">
        <v>6</v>
      </c>
      <c r="OK651">
        <v>2016</v>
      </c>
      <c r="OL651">
        <v>2017</v>
      </c>
      <c r="OO651" t="s">
        <v>1178</v>
      </c>
      <c r="OP651" s="58">
        <v>46129</v>
      </c>
    </row>
    <row r="652" spans="1:406" ht="15.75" thickBot="1">
      <c r="A652" t="s">
        <v>248</v>
      </c>
      <c r="B652" t="s">
        <v>1903</v>
      </c>
      <c r="C652" t="s">
        <v>1904</v>
      </c>
      <c r="D652" s="4" t="s">
        <v>1955</v>
      </c>
      <c r="E652" s="90" t="s">
        <v>1974</v>
      </c>
      <c r="F652" t="s">
        <v>31</v>
      </c>
      <c r="G652" t="s">
        <v>2</v>
      </c>
      <c r="H652" t="s">
        <v>30</v>
      </c>
      <c r="I652">
        <v>30.9</v>
      </c>
      <c r="J652">
        <v>75.75</v>
      </c>
      <c r="K652" t="s">
        <v>29</v>
      </c>
      <c r="AV652" t="s">
        <v>838</v>
      </c>
      <c r="AW652" t="s">
        <v>234</v>
      </c>
      <c r="AX652" t="s">
        <v>234</v>
      </c>
      <c r="AY652">
        <v>2</v>
      </c>
      <c r="AZ652" t="s">
        <v>1956</v>
      </c>
      <c r="BA652">
        <v>2016</v>
      </c>
      <c r="BB652">
        <v>2018</v>
      </c>
      <c r="BD652" t="s">
        <v>1910</v>
      </c>
      <c r="BE652" s="15" t="s">
        <v>1973</v>
      </c>
      <c r="BF652" t="s">
        <v>236</v>
      </c>
      <c r="BG652" t="s">
        <v>1243</v>
      </c>
      <c r="BH652" t="s">
        <v>23</v>
      </c>
      <c r="BI652" t="s">
        <v>1933</v>
      </c>
      <c r="BJ652" t="s">
        <v>13</v>
      </c>
      <c r="BK652">
        <v>20</v>
      </c>
      <c r="BL652" t="s">
        <v>56</v>
      </c>
      <c r="BM652" t="s">
        <v>250</v>
      </c>
      <c r="BN652" t="s">
        <v>29</v>
      </c>
      <c r="BO652" t="s">
        <v>29</v>
      </c>
      <c r="BP652" t="s">
        <v>29</v>
      </c>
      <c r="BQ652" t="s">
        <v>275</v>
      </c>
      <c r="BR652" t="s">
        <v>1937</v>
      </c>
      <c r="BS652" t="s">
        <v>29</v>
      </c>
      <c r="BT652" t="s">
        <v>29</v>
      </c>
      <c r="BU652" t="s">
        <v>29</v>
      </c>
      <c r="BV652" t="s">
        <v>275</v>
      </c>
      <c r="BW652" t="s">
        <v>1935</v>
      </c>
      <c r="BX652" t="s">
        <v>29</v>
      </c>
      <c r="BY652" t="s">
        <v>29</v>
      </c>
      <c r="BZ652" t="s">
        <v>29</v>
      </c>
      <c r="CA652" t="s">
        <v>275</v>
      </c>
      <c r="CB652" t="s">
        <v>1936</v>
      </c>
      <c r="CC652" t="s">
        <v>29</v>
      </c>
      <c r="CD652" t="s">
        <v>29</v>
      </c>
      <c r="CE652" t="s">
        <v>29</v>
      </c>
      <c r="HU652" s="58">
        <v>42539</v>
      </c>
      <c r="IN652" t="s">
        <v>1923</v>
      </c>
      <c r="IO652" s="54" t="s">
        <v>1938</v>
      </c>
      <c r="IR652">
        <v>2016</v>
      </c>
      <c r="JI652" t="s">
        <v>1958</v>
      </c>
      <c r="JK652" t="s">
        <v>14</v>
      </c>
      <c r="JO652" t="s">
        <v>13</v>
      </c>
      <c r="JP652">
        <v>125</v>
      </c>
      <c r="JS652">
        <v>60</v>
      </c>
      <c r="JT652">
        <v>30</v>
      </c>
      <c r="KD652" t="s">
        <v>1940</v>
      </c>
      <c r="KE652" s="84" t="s">
        <v>1561</v>
      </c>
      <c r="KF652" t="s">
        <v>1960</v>
      </c>
      <c r="KG652">
        <v>2</v>
      </c>
      <c r="KH652" t="s">
        <v>1959</v>
      </c>
      <c r="KJ652" s="8" t="s">
        <v>1962</v>
      </c>
      <c r="KK652" t="s">
        <v>1963</v>
      </c>
      <c r="KL652">
        <v>3</v>
      </c>
      <c r="KN652" s="8" t="s">
        <v>1941</v>
      </c>
      <c r="KO652" t="s">
        <v>234</v>
      </c>
      <c r="KP652" t="s">
        <v>234</v>
      </c>
      <c r="KR652" t="s">
        <v>1942</v>
      </c>
      <c r="KS652" t="s">
        <v>234</v>
      </c>
      <c r="KT652" t="s">
        <v>234</v>
      </c>
      <c r="LO652" t="s">
        <v>1964</v>
      </c>
      <c r="LS652" t="s">
        <v>1944</v>
      </c>
      <c r="LT652">
        <v>206.25</v>
      </c>
      <c r="LU652" s="4" t="s">
        <v>29</v>
      </c>
      <c r="MC652" s="58">
        <v>42997</v>
      </c>
      <c r="MD652" s="58">
        <v>42997</v>
      </c>
      <c r="MS652" t="s">
        <v>1945</v>
      </c>
      <c r="MT652" t="s">
        <v>234</v>
      </c>
      <c r="MW652" t="s">
        <v>168</v>
      </c>
      <c r="ND652" t="s">
        <v>1952</v>
      </c>
      <c r="NE652" t="s">
        <v>1954</v>
      </c>
      <c r="NF652" t="s">
        <v>1953</v>
      </c>
      <c r="NG652" s="4" t="s">
        <v>1950</v>
      </c>
      <c r="NH652" s="6" t="s">
        <v>1949</v>
      </c>
      <c r="NQ652" t="s">
        <v>6</v>
      </c>
      <c r="NR652">
        <v>2.48</v>
      </c>
      <c r="NS652" t="s">
        <v>234</v>
      </c>
      <c r="NT652" t="s">
        <v>234</v>
      </c>
      <c r="NW652" s="3">
        <v>3</v>
      </c>
      <c r="OH652" t="s">
        <v>1947</v>
      </c>
      <c r="OI652" t="s">
        <v>6</v>
      </c>
      <c r="OK652">
        <v>2016</v>
      </c>
      <c r="OL652">
        <v>2017</v>
      </c>
      <c r="OO652" t="s">
        <v>1178</v>
      </c>
      <c r="OP652" s="58">
        <v>46129</v>
      </c>
    </row>
    <row r="653" spans="1:406" ht="15.75" thickBot="1">
      <c r="A653" t="s">
        <v>248</v>
      </c>
      <c r="B653" t="s">
        <v>1903</v>
      </c>
      <c r="C653" t="s">
        <v>1904</v>
      </c>
      <c r="D653" s="4" t="s">
        <v>1955</v>
      </c>
      <c r="E653" s="90" t="s">
        <v>1974</v>
      </c>
      <c r="F653" t="s">
        <v>31</v>
      </c>
      <c r="G653" t="s">
        <v>2</v>
      </c>
      <c r="H653" t="s">
        <v>30</v>
      </c>
      <c r="I653">
        <v>30.9</v>
      </c>
      <c r="J653">
        <v>75.75</v>
      </c>
      <c r="K653" t="s">
        <v>29</v>
      </c>
      <c r="AV653" t="s">
        <v>838</v>
      </c>
      <c r="AW653" t="s">
        <v>234</v>
      </c>
      <c r="AX653" t="s">
        <v>234</v>
      </c>
      <c r="AY653">
        <v>2</v>
      </c>
      <c r="AZ653" t="s">
        <v>1956</v>
      </c>
      <c r="BA653">
        <v>2016</v>
      </c>
      <c r="BB653">
        <v>2018</v>
      </c>
      <c r="BD653" t="s">
        <v>1905</v>
      </c>
      <c r="BE653" t="s">
        <v>1906</v>
      </c>
      <c r="BF653" t="s">
        <v>39</v>
      </c>
      <c r="BG653" t="s">
        <v>1243</v>
      </c>
      <c r="BH653" t="s">
        <v>23</v>
      </c>
      <c r="BI653" t="s">
        <v>1933</v>
      </c>
      <c r="BJ653" t="s">
        <v>13</v>
      </c>
      <c r="BK653">
        <v>20</v>
      </c>
      <c r="BL653" t="s">
        <v>275</v>
      </c>
      <c r="BM653" t="s">
        <v>1907</v>
      </c>
      <c r="BN653" t="s">
        <v>29</v>
      </c>
      <c r="BO653" t="s">
        <v>29</v>
      </c>
      <c r="BP653" t="s">
        <v>29</v>
      </c>
      <c r="HU653" s="58">
        <v>42907</v>
      </c>
      <c r="IN653" t="s">
        <v>1906</v>
      </c>
      <c r="IO653" s="54" t="s">
        <v>1939</v>
      </c>
      <c r="IR653">
        <v>2016</v>
      </c>
      <c r="JI653" t="s">
        <v>1958</v>
      </c>
      <c r="JK653" t="s">
        <v>14</v>
      </c>
      <c r="JO653" t="s">
        <v>13</v>
      </c>
      <c r="JP653">
        <v>125</v>
      </c>
      <c r="JS653">
        <v>60</v>
      </c>
      <c r="JT653">
        <v>30</v>
      </c>
      <c r="KD653" t="s">
        <v>1940</v>
      </c>
      <c r="KE653" s="84" t="s">
        <v>1561</v>
      </c>
      <c r="KF653" t="s">
        <v>1960</v>
      </c>
      <c r="KG653">
        <v>2</v>
      </c>
      <c r="KH653" t="s">
        <v>1959</v>
      </c>
      <c r="KJ653" s="8" t="s">
        <v>1962</v>
      </c>
      <c r="KK653" t="s">
        <v>1963</v>
      </c>
      <c r="KL653">
        <v>3</v>
      </c>
      <c r="KN653" s="8" t="s">
        <v>1941</v>
      </c>
      <c r="KO653" t="s">
        <v>234</v>
      </c>
      <c r="KP653" t="s">
        <v>234</v>
      </c>
      <c r="KR653" t="s">
        <v>1942</v>
      </c>
      <c r="KS653" t="s">
        <v>234</v>
      </c>
      <c r="KT653" t="s">
        <v>234</v>
      </c>
      <c r="LO653" t="s">
        <v>1964</v>
      </c>
      <c r="LS653" t="s">
        <v>1944</v>
      </c>
      <c r="LT653">
        <v>225</v>
      </c>
      <c r="LU653" s="4" t="s">
        <v>29</v>
      </c>
      <c r="MC653" s="58">
        <v>43362</v>
      </c>
      <c r="MD653" s="58">
        <v>43362</v>
      </c>
      <c r="MS653" t="s">
        <v>1945</v>
      </c>
      <c r="MT653" t="s">
        <v>234</v>
      </c>
      <c r="MW653" t="s">
        <v>168</v>
      </c>
      <c r="ND653" t="s">
        <v>1952</v>
      </c>
      <c r="NE653" t="s">
        <v>1954</v>
      </c>
      <c r="NF653" t="s">
        <v>1953</v>
      </c>
      <c r="NG653" s="4" t="s">
        <v>1950</v>
      </c>
      <c r="NH653" s="6" t="s">
        <v>1949</v>
      </c>
      <c r="NP653" t="s">
        <v>1571</v>
      </c>
      <c r="NQ653" t="s">
        <v>6</v>
      </c>
      <c r="NR653">
        <v>2.3199999999999998</v>
      </c>
      <c r="NS653" t="s">
        <v>234</v>
      </c>
      <c r="NT653" t="s">
        <v>234</v>
      </c>
      <c r="NW653" s="3">
        <v>3</v>
      </c>
      <c r="OH653" t="s">
        <v>1947</v>
      </c>
      <c r="OI653" t="s">
        <v>6</v>
      </c>
      <c r="OK653">
        <v>2017</v>
      </c>
      <c r="OL653">
        <v>2018</v>
      </c>
      <c r="OO653" t="s">
        <v>1178</v>
      </c>
      <c r="OP653" s="58">
        <v>46129</v>
      </c>
    </row>
    <row r="654" spans="1:406" ht="15.75" thickBot="1">
      <c r="A654" t="s">
        <v>248</v>
      </c>
      <c r="B654" t="s">
        <v>1903</v>
      </c>
      <c r="C654" t="s">
        <v>1904</v>
      </c>
      <c r="D654" s="4" t="s">
        <v>1955</v>
      </c>
      <c r="E654" s="90" t="s">
        <v>1974</v>
      </c>
      <c r="F654" t="s">
        <v>31</v>
      </c>
      <c r="G654" t="s">
        <v>2</v>
      </c>
      <c r="H654" t="s">
        <v>30</v>
      </c>
      <c r="I654">
        <v>30.9</v>
      </c>
      <c r="J654">
        <v>75.75</v>
      </c>
      <c r="K654" t="s">
        <v>29</v>
      </c>
      <c r="AV654" t="s">
        <v>838</v>
      </c>
      <c r="AW654" t="s">
        <v>234</v>
      </c>
      <c r="AX654" t="s">
        <v>234</v>
      </c>
      <c r="AY654">
        <v>2</v>
      </c>
      <c r="AZ654" t="s">
        <v>1956</v>
      </c>
      <c r="BA654">
        <v>2016</v>
      </c>
      <c r="BB654">
        <v>2018</v>
      </c>
      <c r="BD654" t="s">
        <v>1910</v>
      </c>
      <c r="BE654" t="s">
        <v>1925</v>
      </c>
      <c r="BF654" t="s">
        <v>64</v>
      </c>
      <c r="BG654" t="s">
        <v>1243</v>
      </c>
      <c r="BH654" t="s">
        <v>23</v>
      </c>
      <c r="BI654" t="s">
        <v>1933</v>
      </c>
      <c r="BJ654" t="s">
        <v>13</v>
      </c>
      <c r="BK654">
        <v>20</v>
      </c>
      <c r="BL654" t="s">
        <v>275</v>
      </c>
      <c r="BM654" t="s">
        <v>1913</v>
      </c>
      <c r="BN654" t="s">
        <v>29</v>
      </c>
      <c r="BO654" t="s">
        <v>29</v>
      </c>
      <c r="BP654" t="s">
        <v>29</v>
      </c>
      <c r="BQ654" t="s">
        <v>275</v>
      </c>
      <c r="BR654" t="s">
        <v>1912</v>
      </c>
      <c r="BS654" t="s">
        <v>29</v>
      </c>
      <c r="BT654" t="s">
        <v>29</v>
      </c>
      <c r="BU654" t="s">
        <v>29</v>
      </c>
      <c r="BV654" t="s">
        <v>56</v>
      </c>
      <c r="BW654" t="s">
        <v>1184</v>
      </c>
      <c r="BX654" t="s">
        <v>29</v>
      </c>
      <c r="BY654" t="s">
        <v>29</v>
      </c>
      <c r="BZ654" t="s">
        <v>29</v>
      </c>
      <c r="HU654" s="58">
        <v>42907</v>
      </c>
      <c r="IN654" t="s">
        <v>1911</v>
      </c>
      <c r="IO654" s="54" t="s">
        <v>1938</v>
      </c>
      <c r="IR654">
        <v>2016</v>
      </c>
      <c r="JI654" t="s">
        <v>1958</v>
      </c>
      <c r="JK654" t="s">
        <v>14</v>
      </c>
      <c r="JO654" t="s">
        <v>13</v>
      </c>
      <c r="JP654">
        <v>125</v>
      </c>
      <c r="JS654">
        <v>60</v>
      </c>
      <c r="JT654">
        <v>30</v>
      </c>
      <c r="KD654" t="s">
        <v>1940</v>
      </c>
      <c r="KE654" s="84" t="s">
        <v>1561</v>
      </c>
      <c r="KF654" t="s">
        <v>1960</v>
      </c>
      <c r="KG654">
        <v>2</v>
      </c>
      <c r="KH654" t="s">
        <v>1959</v>
      </c>
      <c r="KJ654" s="8" t="s">
        <v>1962</v>
      </c>
      <c r="KK654" t="s">
        <v>1963</v>
      </c>
      <c r="KL654">
        <v>3</v>
      </c>
      <c r="KN654" s="8" t="s">
        <v>1941</v>
      </c>
      <c r="KO654" t="s">
        <v>234</v>
      </c>
      <c r="KP654" t="s">
        <v>234</v>
      </c>
      <c r="KR654" t="s">
        <v>1942</v>
      </c>
      <c r="KS654" t="s">
        <v>234</v>
      </c>
      <c r="KT654" t="s">
        <v>234</v>
      </c>
      <c r="LO654" t="s">
        <v>1964</v>
      </c>
      <c r="LS654" t="s">
        <v>1944</v>
      </c>
      <c r="LT654">
        <v>225</v>
      </c>
      <c r="LU654" s="4" t="s">
        <v>29</v>
      </c>
      <c r="MC654" s="58">
        <v>43362</v>
      </c>
      <c r="MD654" s="58">
        <v>43362</v>
      </c>
      <c r="MS654" t="s">
        <v>1945</v>
      </c>
      <c r="MT654" t="s">
        <v>234</v>
      </c>
      <c r="MW654" t="s">
        <v>168</v>
      </c>
      <c r="ND654" t="s">
        <v>1952</v>
      </c>
      <c r="NE654" t="s">
        <v>1954</v>
      </c>
      <c r="NF654" t="s">
        <v>1953</v>
      </c>
      <c r="NG654" s="4" t="s">
        <v>1950</v>
      </c>
      <c r="NH654" s="6" t="s">
        <v>1949</v>
      </c>
      <c r="NQ654" t="s">
        <v>6</v>
      </c>
      <c r="NR654">
        <v>2.35</v>
      </c>
      <c r="NS654" t="s">
        <v>234</v>
      </c>
      <c r="NT654" t="s">
        <v>234</v>
      </c>
      <c r="NW654" s="3">
        <v>3</v>
      </c>
      <c r="OH654" t="s">
        <v>1947</v>
      </c>
      <c r="OI654" t="s">
        <v>6</v>
      </c>
      <c r="OK654">
        <v>2017</v>
      </c>
      <c r="OL654">
        <v>2018</v>
      </c>
      <c r="OO654" t="s">
        <v>1178</v>
      </c>
      <c r="OP654" s="58">
        <v>46129</v>
      </c>
    </row>
    <row r="655" spans="1:406" ht="15.75" thickBot="1">
      <c r="A655" t="s">
        <v>248</v>
      </c>
      <c r="B655" t="s">
        <v>1903</v>
      </c>
      <c r="C655" t="s">
        <v>1904</v>
      </c>
      <c r="D655" s="4" t="s">
        <v>1955</v>
      </c>
      <c r="E655" s="90" t="s">
        <v>1974</v>
      </c>
      <c r="F655" t="s">
        <v>31</v>
      </c>
      <c r="G655" t="s">
        <v>2</v>
      </c>
      <c r="H655" t="s">
        <v>30</v>
      </c>
      <c r="I655">
        <v>30.9</v>
      </c>
      <c r="J655">
        <v>75.75</v>
      </c>
      <c r="K655" t="s">
        <v>29</v>
      </c>
      <c r="AV655" t="s">
        <v>838</v>
      </c>
      <c r="AW655" t="s">
        <v>234</v>
      </c>
      <c r="AX655" t="s">
        <v>234</v>
      </c>
      <c r="AY655">
        <v>2</v>
      </c>
      <c r="AZ655" t="s">
        <v>1956</v>
      </c>
      <c r="BA655">
        <v>2016</v>
      </c>
      <c r="BB655">
        <v>2018</v>
      </c>
      <c r="BD655" t="s">
        <v>1910</v>
      </c>
      <c r="BE655" t="s">
        <v>1970</v>
      </c>
      <c r="BF655" t="s">
        <v>57</v>
      </c>
      <c r="BG655" t="s">
        <v>1243</v>
      </c>
      <c r="BH655" t="s">
        <v>23</v>
      </c>
      <c r="BI655" t="s">
        <v>1933</v>
      </c>
      <c r="BJ655" t="s">
        <v>13</v>
      </c>
      <c r="BK655">
        <v>20</v>
      </c>
      <c r="BL655" t="s">
        <v>56</v>
      </c>
      <c r="BM655" t="s">
        <v>250</v>
      </c>
      <c r="BN655" t="s">
        <v>29</v>
      </c>
      <c r="BO655" t="s">
        <v>29</v>
      </c>
      <c r="BP655" t="s">
        <v>29</v>
      </c>
      <c r="BQ655" t="s">
        <v>275</v>
      </c>
      <c r="BR655" t="s">
        <v>1913</v>
      </c>
      <c r="BS655" t="s">
        <v>29</v>
      </c>
      <c r="BT655" t="s">
        <v>29</v>
      </c>
      <c r="BU655" t="s">
        <v>29</v>
      </c>
      <c r="BV655" t="s">
        <v>275</v>
      </c>
      <c r="BW655" t="s">
        <v>1912</v>
      </c>
      <c r="BX655" t="s">
        <v>29</v>
      </c>
      <c r="BY655" t="s">
        <v>29</v>
      </c>
      <c r="BZ655" t="s">
        <v>29</v>
      </c>
      <c r="CA655" t="s">
        <v>56</v>
      </c>
      <c r="CB655" t="s">
        <v>1184</v>
      </c>
      <c r="CC655" t="s">
        <v>29</v>
      </c>
      <c r="CD655" t="s">
        <v>29</v>
      </c>
      <c r="CE655" t="s">
        <v>29</v>
      </c>
      <c r="HU655" s="58">
        <v>42907</v>
      </c>
      <c r="IN655" t="s">
        <v>1915</v>
      </c>
      <c r="IO655" s="54" t="s">
        <v>1938</v>
      </c>
      <c r="IR655">
        <v>2016</v>
      </c>
      <c r="JI655" t="s">
        <v>1958</v>
      </c>
      <c r="JK655" t="s">
        <v>14</v>
      </c>
      <c r="JO655" t="s">
        <v>13</v>
      </c>
      <c r="JP655">
        <v>125</v>
      </c>
      <c r="JS655">
        <v>60</v>
      </c>
      <c r="JT655">
        <v>30</v>
      </c>
      <c r="KD655" t="s">
        <v>1940</v>
      </c>
      <c r="KE655" s="84" t="s">
        <v>1561</v>
      </c>
      <c r="KF655" t="s">
        <v>1960</v>
      </c>
      <c r="KG655">
        <v>2</v>
      </c>
      <c r="KH655" t="s">
        <v>1959</v>
      </c>
      <c r="KJ655" s="8" t="s">
        <v>1962</v>
      </c>
      <c r="KK655" t="s">
        <v>1963</v>
      </c>
      <c r="KL655">
        <v>3</v>
      </c>
      <c r="KN655" s="8" t="s">
        <v>1941</v>
      </c>
      <c r="KO655" t="s">
        <v>234</v>
      </c>
      <c r="KP655" t="s">
        <v>234</v>
      </c>
      <c r="KR655" t="s">
        <v>1942</v>
      </c>
      <c r="KS655" t="s">
        <v>234</v>
      </c>
      <c r="KT655" t="s">
        <v>234</v>
      </c>
      <c r="LO655" t="s">
        <v>1964</v>
      </c>
      <c r="LS655" t="s">
        <v>1944</v>
      </c>
      <c r="LT655">
        <v>225</v>
      </c>
      <c r="LU655" s="4" t="s">
        <v>29</v>
      </c>
      <c r="MC655" s="58">
        <v>43362</v>
      </c>
      <c r="MD655" s="58">
        <v>43362</v>
      </c>
      <c r="MS655" t="s">
        <v>1945</v>
      </c>
      <c r="MT655" t="s">
        <v>234</v>
      </c>
      <c r="MW655" t="s">
        <v>168</v>
      </c>
      <c r="ND655" t="s">
        <v>1952</v>
      </c>
      <c r="NE655" t="s">
        <v>1954</v>
      </c>
      <c r="NF655" t="s">
        <v>1953</v>
      </c>
      <c r="NG655" s="4" t="s">
        <v>1950</v>
      </c>
      <c r="NH655" s="6" t="s">
        <v>1949</v>
      </c>
      <c r="NQ655" t="s">
        <v>6</v>
      </c>
      <c r="NR655">
        <v>2.42</v>
      </c>
      <c r="NS655" t="s">
        <v>234</v>
      </c>
      <c r="NT655" t="s">
        <v>234</v>
      </c>
      <c r="NW655" s="3">
        <v>3</v>
      </c>
      <c r="OH655" t="s">
        <v>1947</v>
      </c>
      <c r="OI655" t="s">
        <v>6</v>
      </c>
      <c r="OK655">
        <v>2017</v>
      </c>
      <c r="OL655">
        <v>2018</v>
      </c>
      <c r="OO655" t="s">
        <v>1178</v>
      </c>
      <c r="OP655" s="58">
        <v>46129</v>
      </c>
    </row>
    <row r="656" spans="1:406" ht="15.75" thickBot="1">
      <c r="A656" t="s">
        <v>248</v>
      </c>
      <c r="B656" t="s">
        <v>1903</v>
      </c>
      <c r="C656" t="s">
        <v>1904</v>
      </c>
      <c r="D656" s="4" t="s">
        <v>1955</v>
      </c>
      <c r="E656" s="90" t="s">
        <v>1974</v>
      </c>
      <c r="F656" t="s">
        <v>31</v>
      </c>
      <c r="G656" t="s">
        <v>2</v>
      </c>
      <c r="H656" t="s">
        <v>30</v>
      </c>
      <c r="I656">
        <v>30.9</v>
      </c>
      <c r="J656">
        <v>75.75</v>
      </c>
      <c r="K656" t="s">
        <v>29</v>
      </c>
      <c r="AV656" t="s">
        <v>838</v>
      </c>
      <c r="AW656" t="s">
        <v>234</v>
      </c>
      <c r="AX656" t="s">
        <v>234</v>
      </c>
      <c r="AY656">
        <v>2</v>
      </c>
      <c r="AZ656" t="s">
        <v>1956</v>
      </c>
      <c r="BA656">
        <v>2016</v>
      </c>
      <c r="BB656">
        <v>2018</v>
      </c>
      <c r="BD656" t="s">
        <v>1910</v>
      </c>
      <c r="BE656" t="s">
        <v>1971</v>
      </c>
      <c r="BF656" t="s">
        <v>48</v>
      </c>
      <c r="BG656" t="s">
        <v>1243</v>
      </c>
      <c r="BH656" t="s">
        <v>23</v>
      </c>
      <c r="BI656" t="s">
        <v>1933</v>
      </c>
      <c r="BJ656" t="s">
        <v>13</v>
      </c>
      <c r="BK656">
        <v>20</v>
      </c>
      <c r="BL656" t="s">
        <v>56</v>
      </c>
      <c r="BM656" t="s">
        <v>250</v>
      </c>
      <c r="BN656" t="s">
        <v>29</v>
      </c>
      <c r="BO656" t="s">
        <v>29</v>
      </c>
      <c r="BP656" t="s">
        <v>29</v>
      </c>
      <c r="BQ656" t="s">
        <v>275</v>
      </c>
      <c r="BR656" t="s">
        <v>1913</v>
      </c>
      <c r="BS656" t="s">
        <v>29</v>
      </c>
      <c r="BT656" t="s">
        <v>29</v>
      </c>
      <c r="BU656" t="s">
        <v>29</v>
      </c>
      <c r="HU656" s="58">
        <v>42907</v>
      </c>
      <c r="IN656" t="s">
        <v>1917</v>
      </c>
      <c r="IO656" s="54" t="s">
        <v>1938</v>
      </c>
      <c r="IR656">
        <v>2016</v>
      </c>
      <c r="JI656" t="s">
        <v>1958</v>
      </c>
      <c r="JK656" t="s">
        <v>14</v>
      </c>
      <c r="JO656" t="s">
        <v>13</v>
      </c>
      <c r="JP656">
        <v>125</v>
      </c>
      <c r="JS656">
        <v>60</v>
      </c>
      <c r="JT656">
        <v>30</v>
      </c>
      <c r="KD656" t="s">
        <v>1940</v>
      </c>
      <c r="KE656" s="84" t="s">
        <v>1561</v>
      </c>
      <c r="KF656" t="s">
        <v>1960</v>
      </c>
      <c r="KG656">
        <v>2</v>
      </c>
      <c r="KH656" t="s">
        <v>1959</v>
      </c>
      <c r="KJ656" s="8" t="s">
        <v>1962</v>
      </c>
      <c r="KK656" t="s">
        <v>1963</v>
      </c>
      <c r="KL656">
        <v>3</v>
      </c>
      <c r="KN656" s="8" t="s">
        <v>1941</v>
      </c>
      <c r="KO656" t="s">
        <v>234</v>
      </c>
      <c r="KP656" t="s">
        <v>234</v>
      </c>
      <c r="KR656" t="s">
        <v>1942</v>
      </c>
      <c r="KS656" t="s">
        <v>234</v>
      </c>
      <c r="KT656" t="s">
        <v>234</v>
      </c>
      <c r="LO656" t="s">
        <v>1964</v>
      </c>
      <c r="LS656" t="s">
        <v>1944</v>
      </c>
      <c r="LT656">
        <v>225</v>
      </c>
      <c r="LU656" s="4" t="s">
        <v>29</v>
      </c>
      <c r="MC656" s="58">
        <v>43362</v>
      </c>
      <c r="MD656" s="58">
        <v>43362</v>
      </c>
      <c r="MS656" t="s">
        <v>1945</v>
      </c>
      <c r="MT656" t="s">
        <v>234</v>
      </c>
      <c r="MW656" t="s">
        <v>168</v>
      </c>
      <c r="ND656" t="s">
        <v>1952</v>
      </c>
      <c r="NE656" t="s">
        <v>1954</v>
      </c>
      <c r="NF656" t="s">
        <v>1953</v>
      </c>
      <c r="NG656" s="4" t="s">
        <v>1950</v>
      </c>
      <c r="NH656" s="6" t="s">
        <v>1949</v>
      </c>
      <c r="NQ656" t="s">
        <v>6</v>
      </c>
      <c r="NR656">
        <v>2.4500000000000002</v>
      </c>
      <c r="NS656" t="s">
        <v>234</v>
      </c>
      <c r="NT656" t="s">
        <v>234</v>
      </c>
      <c r="NW656" s="3">
        <v>3</v>
      </c>
      <c r="OH656" t="s">
        <v>1947</v>
      </c>
      <c r="OI656" t="s">
        <v>6</v>
      </c>
      <c r="OK656">
        <v>2017</v>
      </c>
      <c r="OL656">
        <v>2018</v>
      </c>
      <c r="OO656" t="s">
        <v>1178</v>
      </c>
      <c r="OP656" s="58">
        <v>46129</v>
      </c>
    </row>
    <row r="657" spans="1:406" ht="15.75" thickBot="1">
      <c r="A657" t="s">
        <v>248</v>
      </c>
      <c r="B657" t="s">
        <v>1903</v>
      </c>
      <c r="C657" t="s">
        <v>1904</v>
      </c>
      <c r="D657" s="4" t="s">
        <v>1955</v>
      </c>
      <c r="E657" s="90" t="s">
        <v>1974</v>
      </c>
      <c r="F657" t="s">
        <v>31</v>
      </c>
      <c r="G657" t="s">
        <v>2</v>
      </c>
      <c r="H657" t="s">
        <v>30</v>
      </c>
      <c r="I657">
        <v>30.9</v>
      </c>
      <c r="J657">
        <v>75.75</v>
      </c>
      <c r="K657" t="s">
        <v>29</v>
      </c>
      <c r="AV657" t="s">
        <v>838</v>
      </c>
      <c r="AW657" t="s">
        <v>234</v>
      </c>
      <c r="AX657" t="s">
        <v>234</v>
      </c>
      <c r="AY657">
        <v>2</v>
      </c>
      <c r="AZ657" t="s">
        <v>1956</v>
      </c>
      <c r="BA657">
        <v>2016</v>
      </c>
      <c r="BB657">
        <v>2018</v>
      </c>
      <c r="BD657" t="s">
        <v>1910</v>
      </c>
      <c r="BE657" t="s">
        <v>1972</v>
      </c>
      <c r="BF657" t="s">
        <v>43</v>
      </c>
      <c r="BG657" t="s">
        <v>1243</v>
      </c>
      <c r="BH657" t="s">
        <v>23</v>
      </c>
      <c r="BI657" t="s">
        <v>1933</v>
      </c>
      <c r="BJ657" t="s">
        <v>13</v>
      </c>
      <c r="BK657">
        <v>20</v>
      </c>
      <c r="BL657" t="s">
        <v>56</v>
      </c>
      <c r="BM657" t="s">
        <v>250</v>
      </c>
      <c r="BN657" t="s">
        <v>29</v>
      </c>
      <c r="BO657" t="s">
        <v>29</v>
      </c>
      <c r="BP657" t="s">
        <v>29</v>
      </c>
      <c r="BQ657" t="s">
        <v>275</v>
      </c>
      <c r="BR657" t="s">
        <v>1935</v>
      </c>
      <c r="BS657" t="s">
        <v>29</v>
      </c>
      <c r="BT657" t="s">
        <v>29</v>
      </c>
      <c r="BU657" t="s">
        <v>29</v>
      </c>
      <c r="BV657" t="s">
        <v>275</v>
      </c>
      <c r="BW657" t="s">
        <v>1936</v>
      </c>
      <c r="BX657" t="s">
        <v>29</v>
      </c>
      <c r="BY657" t="s">
        <v>29</v>
      </c>
      <c r="BZ657" t="s">
        <v>29</v>
      </c>
      <c r="HU657" s="58">
        <v>42907</v>
      </c>
      <c r="IN657" t="s">
        <v>1919</v>
      </c>
      <c r="IO657" s="54" t="s">
        <v>1938</v>
      </c>
      <c r="IR657">
        <v>2016</v>
      </c>
      <c r="JI657" t="s">
        <v>1958</v>
      </c>
      <c r="JK657" t="s">
        <v>14</v>
      </c>
      <c r="JO657" t="s">
        <v>13</v>
      </c>
      <c r="JP657">
        <v>125</v>
      </c>
      <c r="JS657">
        <v>60</v>
      </c>
      <c r="JT657">
        <v>30</v>
      </c>
      <c r="KD657" t="s">
        <v>1940</v>
      </c>
      <c r="KE657" s="84" t="s">
        <v>1561</v>
      </c>
      <c r="KF657" t="s">
        <v>1960</v>
      </c>
      <c r="KG657">
        <v>2</v>
      </c>
      <c r="KH657" t="s">
        <v>1959</v>
      </c>
      <c r="KJ657" s="8" t="s">
        <v>1962</v>
      </c>
      <c r="KK657" t="s">
        <v>1963</v>
      </c>
      <c r="KL657">
        <v>3</v>
      </c>
      <c r="KN657" s="8" t="s">
        <v>1941</v>
      </c>
      <c r="KO657" t="s">
        <v>234</v>
      </c>
      <c r="KP657" t="s">
        <v>234</v>
      </c>
      <c r="KR657" t="s">
        <v>1942</v>
      </c>
      <c r="KS657" t="s">
        <v>234</v>
      </c>
      <c r="KT657" t="s">
        <v>234</v>
      </c>
      <c r="LO657" t="s">
        <v>1964</v>
      </c>
      <c r="LS657" t="s">
        <v>1944</v>
      </c>
      <c r="LT657">
        <v>225</v>
      </c>
      <c r="LU657" s="4" t="s">
        <v>29</v>
      </c>
      <c r="MC657" s="58">
        <v>43362</v>
      </c>
      <c r="MD657" s="58">
        <v>43362</v>
      </c>
      <c r="MS657" t="s">
        <v>1945</v>
      </c>
      <c r="MT657" t="s">
        <v>234</v>
      </c>
      <c r="MW657" t="s">
        <v>168</v>
      </c>
      <c r="ND657" t="s">
        <v>1952</v>
      </c>
      <c r="NE657" t="s">
        <v>1954</v>
      </c>
      <c r="NF657" t="s">
        <v>1953</v>
      </c>
      <c r="NG657" s="4" t="s">
        <v>1950</v>
      </c>
      <c r="NH657" s="6" t="s">
        <v>1949</v>
      </c>
      <c r="NQ657" t="s">
        <v>6</v>
      </c>
      <c r="NR657">
        <v>2.4700000000000002</v>
      </c>
      <c r="NS657" t="s">
        <v>234</v>
      </c>
      <c r="NT657" t="s">
        <v>234</v>
      </c>
      <c r="NW657" s="3">
        <v>3</v>
      </c>
      <c r="OH657" t="s">
        <v>1947</v>
      </c>
      <c r="OI657" t="s">
        <v>6</v>
      </c>
      <c r="OK657">
        <v>2017</v>
      </c>
      <c r="OL657">
        <v>2018</v>
      </c>
      <c r="OO657" t="s">
        <v>1178</v>
      </c>
      <c r="OP657" s="58">
        <v>46129</v>
      </c>
    </row>
    <row r="658" spans="1:406" ht="15.75" thickBot="1">
      <c r="A658" t="s">
        <v>248</v>
      </c>
      <c r="B658" t="s">
        <v>1903</v>
      </c>
      <c r="C658" t="s">
        <v>1904</v>
      </c>
      <c r="D658" s="4" t="s">
        <v>1955</v>
      </c>
      <c r="E658" s="90" t="s">
        <v>1974</v>
      </c>
      <c r="F658" t="s">
        <v>31</v>
      </c>
      <c r="G658" t="s">
        <v>2</v>
      </c>
      <c r="H658" t="s">
        <v>30</v>
      </c>
      <c r="I658">
        <v>30.9</v>
      </c>
      <c r="J658">
        <v>75.75</v>
      </c>
      <c r="K658" t="s">
        <v>29</v>
      </c>
      <c r="AV658" t="s">
        <v>838</v>
      </c>
      <c r="AW658" t="s">
        <v>234</v>
      </c>
      <c r="AX658" t="s">
        <v>234</v>
      </c>
      <c r="AY658">
        <v>2</v>
      </c>
      <c r="AZ658" t="s">
        <v>1956</v>
      </c>
      <c r="BA658">
        <v>2016</v>
      </c>
      <c r="BB658">
        <v>2018</v>
      </c>
      <c r="BD658" t="s">
        <v>1910</v>
      </c>
      <c r="BE658" s="3" t="s">
        <v>1921</v>
      </c>
      <c r="BF658" t="s">
        <v>252</v>
      </c>
      <c r="BG658" t="s">
        <v>1243</v>
      </c>
      <c r="BH658" t="s">
        <v>23</v>
      </c>
      <c r="BI658" t="s">
        <v>1933</v>
      </c>
      <c r="BJ658" t="s">
        <v>13</v>
      </c>
      <c r="BK658">
        <v>20</v>
      </c>
      <c r="BL658" t="s">
        <v>275</v>
      </c>
      <c r="BM658" t="s">
        <v>1937</v>
      </c>
      <c r="BN658" t="s">
        <v>29</v>
      </c>
      <c r="BO658" t="s">
        <v>29</v>
      </c>
      <c r="BP658" t="s">
        <v>29</v>
      </c>
      <c r="BQ658" t="s">
        <v>275</v>
      </c>
      <c r="BR658" t="s">
        <v>1935</v>
      </c>
      <c r="BS658" t="s">
        <v>29</v>
      </c>
      <c r="BT658" t="s">
        <v>29</v>
      </c>
      <c r="BU658" t="s">
        <v>29</v>
      </c>
      <c r="BV658" t="s">
        <v>275</v>
      </c>
      <c r="BW658" t="s">
        <v>1936</v>
      </c>
      <c r="BX658" t="s">
        <v>29</v>
      </c>
      <c r="BY658" t="s">
        <v>29</v>
      </c>
      <c r="BZ658" t="s">
        <v>29</v>
      </c>
      <c r="HU658" s="58">
        <v>42907</v>
      </c>
      <c r="IN658" t="s">
        <v>1921</v>
      </c>
      <c r="IO658" s="54" t="s">
        <v>1938</v>
      </c>
      <c r="IR658">
        <v>2016</v>
      </c>
      <c r="JI658" t="s">
        <v>1958</v>
      </c>
      <c r="JK658" t="s">
        <v>14</v>
      </c>
      <c r="JO658" t="s">
        <v>13</v>
      </c>
      <c r="JP658">
        <v>125</v>
      </c>
      <c r="JS658">
        <v>60</v>
      </c>
      <c r="JT658">
        <v>30</v>
      </c>
      <c r="KD658" t="s">
        <v>1940</v>
      </c>
      <c r="KE658" s="84" t="s">
        <v>1561</v>
      </c>
      <c r="KF658" t="s">
        <v>1960</v>
      </c>
      <c r="KG658">
        <v>2</v>
      </c>
      <c r="KH658" t="s">
        <v>1959</v>
      </c>
      <c r="KJ658" s="8" t="s">
        <v>1962</v>
      </c>
      <c r="KK658" t="s">
        <v>1963</v>
      </c>
      <c r="KL658">
        <v>3</v>
      </c>
      <c r="KN658" s="8" t="s">
        <v>1941</v>
      </c>
      <c r="KO658" t="s">
        <v>234</v>
      </c>
      <c r="KP658" t="s">
        <v>234</v>
      </c>
      <c r="KR658" t="s">
        <v>1942</v>
      </c>
      <c r="KS658" t="s">
        <v>234</v>
      </c>
      <c r="KT658" t="s">
        <v>234</v>
      </c>
      <c r="LO658" t="s">
        <v>1964</v>
      </c>
      <c r="LS658" t="s">
        <v>1944</v>
      </c>
      <c r="LT658">
        <v>225</v>
      </c>
      <c r="LU658" s="4" t="s">
        <v>29</v>
      </c>
      <c r="MC658" s="58">
        <v>43362</v>
      </c>
      <c r="MD658" s="58">
        <v>43362</v>
      </c>
      <c r="MS658" t="s">
        <v>1945</v>
      </c>
      <c r="MT658" t="s">
        <v>234</v>
      </c>
      <c r="MW658" t="s">
        <v>168</v>
      </c>
      <c r="ND658" t="s">
        <v>1952</v>
      </c>
      <c r="NE658" t="s">
        <v>1954</v>
      </c>
      <c r="NF658" t="s">
        <v>1953</v>
      </c>
      <c r="NG658" s="4" t="s">
        <v>1950</v>
      </c>
      <c r="NH658" s="6" t="s">
        <v>1949</v>
      </c>
      <c r="NQ658" t="s">
        <v>6</v>
      </c>
      <c r="NR658">
        <v>2.33</v>
      </c>
      <c r="NS658" t="s">
        <v>234</v>
      </c>
      <c r="NT658" t="s">
        <v>234</v>
      </c>
      <c r="NW658" s="3">
        <v>3</v>
      </c>
      <c r="OH658" t="s">
        <v>1947</v>
      </c>
      <c r="OI658" t="s">
        <v>6</v>
      </c>
      <c r="OK658">
        <v>2017</v>
      </c>
      <c r="OL658">
        <v>2018</v>
      </c>
      <c r="OO658" t="s">
        <v>1178</v>
      </c>
      <c r="OP658" s="58">
        <v>46129</v>
      </c>
    </row>
    <row r="659" spans="1:406" ht="15.75" thickBot="1">
      <c r="A659" t="s">
        <v>248</v>
      </c>
      <c r="B659" t="s">
        <v>1903</v>
      </c>
      <c r="C659" t="s">
        <v>1904</v>
      </c>
      <c r="D659" s="4" t="s">
        <v>1955</v>
      </c>
      <c r="E659" s="90" t="s">
        <v>1974</v>
      </c>
      <c r="F659" t="s">
        <v>31</v>
      </c>
      <c r="G659" t="s">
        <v>2</v>
      </c>
      <c r="H659" t="s">
        <v>30</v>
      </c>
      <c r="I659">
        <v>30.9</v>
      </c>
      <c r="J659">
        <v>75.75</v>
      </c>
      <c r="K659" t="s">
        <v>29</v>
      </c>
      <c r="AV659" t="s">
        <v>838</v>
      </c>
      <c r="AW659" t="s">
        <v>234</v>
      </c>
      <c r="AX659" t="s">
        <v>234</v>
      </c>
      <c r="AY659">
        <v>2</v>
      </c>
      <c r="AZ659" t="s">
        <v>1956</v>
      </c>
      <c r="BA659">
        <v>2016</v>
      </c>
      <c r="BB659">
        <v>2018</v>
      </c>
      <c r="BD659" t="s">
        <v>1910</v>
      </c>
      <c r="BE659" s="15" t="s">
        <v>1973</v>
      </c>
      <c r="BF659" t="s">
        <v>236</v>
      </c>
      <c r="BG659" t="s">
        <v>1243</v>
      </c>
      <c r="BH659" t="s">
        <v>23</v>
      </c>
      <c r="BI659" t="s">
        <v>1933</v>
      </c>
      <c r="BJ659" t="s">
        <v>13</v>
      </c>
      <c r="BK659">
        <v>20</v>
      </c>
      <c r="BL659" t="s">
        <v>56</v>
      </c>
      <c r="BM659" t="s">
        <v>250</v>
      </c>
      <c r="BN659" t="s">
        <v>29</v>
      </c>
      <c r="BO659" t="s">
        <v>29</v>
      </c>
      <c r="BP659" t="s">
        <v>29</v>
      </c>
      <c r="BQ659" t="s">
        <v>275</v>
      </c>
      <c r="BR659" t="s">
        <v>1937</v>
      </c>
      <c r="BS659" t="s">
        <v>29</v>
      </c>
      <c r="BT659" t="s">
        <v>29</v>
      </c>
      <c r="BU659" t="s">
        <v>29</v>
      </c>
      <c r="BV659" t="s">
        <v>275</v>
      </c>
      <c r="BW659" t="s">
        <v>1935</v>
      </c>
      <c r="BX659" t="s">
        <v>29</v>
      </c>
      <c r="BY659" t="s">
        <v>29</v>
      </c>
      <c r="BZ659" t="s">
        <v>29</v>
      </c>
      <c r="CA659" t="s">
        <v>275</v>
      </c>
      <c r="CB659" t="s">
        <v>1936</v>
      </c>
      <c r="CC659" t="s">
        <v>29</v>
      </c>
      <c r="CD659" t="s">
        <v>29</v>
      </c>
      <c r="CE659" t="s">
        <v>29</v>
      </c>
      <c r="HU659" s="58">
        <v>42907</v>
      </c>
      <c r="IN659" t="s">
        <v>1923</v>
      </c>
      <c r="IO659" s="54" t="s">
        <v>1938</v>
      </c>
      <c r="IR659">
        <v>2016</v>
      </c>
      <c r="JI659" t="s">
        <v>1958</v>
      </c>
      <c r="JK659" t="s">
        <v>14</v>
      </c>
      <c r="JO659" t="s">
        <v>13</v>
      </c>
      <c r="JP659">
        <v>125</v>
      </c>
      <c r="JS659">
        <v>60</v>
      </c>
      <c r="JT659">
        <v>30</v>
      </c>
      <c r="KD659" t="s">
        <v>1940</v>
      </c>
      <c r="KE659" s="84" t="s">
        <v>1561</v>
      </c>
      <c r="KF659" t="s">
        <v>1960</v>
      </c>
      <c r="KG659">
        <v>2</v>
      </c>
      <c r="KH659" t="s">
        <v>1959</v>
      </c>
      <c r="KJ659" s="8" t="s">
        <v>1962</v>
      </c>
      <c r="KK659" t="s">
        <v>1963</v>
      </c>
      <c r="KL659">
        <v>3</v>
      </c>
      <c r="KN659" s="8" t="s">
        <v>1941</v>
      </c>
      <c r="KO659" t="s">
        <v>234</v>
      </c>
      <c r="KP659" t="s">
        <v>234</v>
      </c>
      <c r="KR659" t="s">
        <v>1942</v>
      </c>
      <c r="KS659" t="s">
        <v>234</v>
      </c>
      <c r="KT659" t="s">
        <v>234</v>
      </c>
      <c r="LO659" t="s">
        <v>1964</v>
      </c>
      <c r="LS659" t="s">
        <v>1944</v>
      </c>
      <c r="LT659">
        <v>225</v>
      </c>
      <c r="LU659" s="4" t="s">
        <v>29</v>
      </c>
      <c r="MC659" s="58">
        <v>43362</v>
      </c>
      <c r="MD659" s="58">
        <v>43362</v>
      </c>
      <c r="MS659" t="s">
        <v>1945</v>
      </c>
      <c r="MT659" t="s">
        <v>234</v>
      </c>
      <c r="MW659" t="s">
        <v>168</v>
      </c>
      <c r="ND659" t="s">
        <v>1952</v>
      </c>
      <c r="NE659" t="s">
        <v>1954</v>
      </c>
      <c r="NF659" t="s">
        <v>1953</v>
      </c>
      <c r="NG659" s="4" t="s">
        <v>1950</v>
      </c>
      <c r="NH659" s="6" t="s">
        <v>1949</v>
      </c>
      <c r="NQ659" t="s">
        <v>6</v>
      </c>
      <c r="NR659">
        <v>2.4900000000000002</v>
      </c>
      <c r="NS659" t="s">
        <v>234</v>
      </c>
      <c r="NT659" t="s">
        <v>234</v>
      </c>
      <c r="NW659" s="3">
        <v>3</v>
      </c>
      <c r="OH659" t="s">
        <v>1947</v>
      </c>
      <c r="OI659" t="s">
        <v>6</v>
      </c>
      <c r="OK659">
        <v>2017</v>
      </c>
      <c r="OL659">
        <v>2018</v>
      </c>
      <c r="OO659" t="s">
        <v>1178</v>
      </c>
      <c r="OP659" s="58">
        <v>46129</v>
      </c>
    </row>
    <row r="660" spans="1:406" ht="15.75" thickBot="1">
      <c r="A660" t="s">
        <v>248</v>
      </c>
      <c r="B660" t="s">
        <v>1903</v>
      </c>
      <c r="C660" t="s">
        <v>1904</v>
      </c>
      <c r="D660" s="4" t="s">
        <v>1955</v>
      </c>
      <c r="E660" s="90" t="s">
        <v>1974</v>
      </c>
      <c r="F660" t="s">
        <v>31</v>
      </c>
      <c r="G660" t="s">
        <v>2</v>
      </c>
      <c r="H660" t="s">
        <v>30</v>
      </c>
      <c r="I660">
        <v>30.9</v>
      </c>
      <c r="J660">
        <v>75.75</v>
      </c>
      <c r="K660" t="s">
        <v>29</v>
      </c>
      <c r="AV660" t="s">
        <v>838</v>
      </c>
      <c r="AW660" t="s">
        <v>234</v>
      </c>
      <c r="AX660" t="s">
        <v>234</v>
      </c>
      <c r="AY660">
        <v>2</v>
      </c>
      <c r="AZ660" t="s">
        <v>1956</v>
      </c>
      <c r="BA660">
        <v>2016</v>
      </c>
      <c r="BB660">
        <v>2018</v>
      </c>
      <c r="BD660" t="s">
        <v>1905</v>
      </c>
      <c r="BE660" t="s">
        <v>1906</v>
      </c>
      <c r="BF660" t="s">
        <v>39</v>
      </c>
      <c r="BG660" t="s">
        <v>1243</v>
      </c>
      <c r="BH660" t="s">
        <v>23</v>
      </c>
      <c r="BI660" t="s">
        <v>1933</v>
      </c>
      <c r="BJ660" t="s">
        <v>13</v>
      </c>
      <c r="BK660">
        <v>20</v>
      </c>
      <c r="BL660" t="s">
        <v>275</v>
      </c>
      <c r="BM660" t="s">
        <v>1907</v>
      </c>
      <c r="BN660" t="s">
        <v>29</v>
      </c>
      <c r="BO660" t="s">
        <v>29</v>
      </c>
      <c r="BP660" t="s">
        <v>29</v>
      </c>
      <c r="HU660" s="58">
        <v>42539</v>
      </c>
      <c r="IN660" t="s">
        <v>1906</v>
      </c>
      <c r="IO660" s="54" t="s">
        <v>1939</v>
      </c>
      <c r="IR660">
        <v>2016</v>
      </c>
      <c r="JI660" t="s">
        <v>1958</v>
      </c>
      <c r="JK660" t="s">
        <v>14</v>
      </c>
      <c r="JO660" t="s">
        <v>13</v>
      </c>
      <c r="JP660">
        <v>125</v>
      </c>
      <c r="JS660">
        <v>60</v>
      </c>
      <c r="JT660">
        <v>30</v>
      </c>
      <c r="KD660" t="s">
        <v>1940</v>
      </c>
      <c r="KE660" s="84" t="s">
        <v>1561</v>
      </c>
      <c r="KF660" t="s">
        <v>1960</v>
      </c>
      <c r="KG660">
        <v>2</v>
      </c>
      <c r="KH660" t="s">
        <v>1959</v>
      </c>
      <c r="KJ660" s="8" t="s">
        <v>1962</v>
      </c>
      <c r="KK660" t="s">
        <v>1963</v>
      </c>
      <c r="KL660">
        <v>3</v>
      </c>
      <c r="KN660" s="8" t="s">
        <v>1941</v>
      </c>
      <c r="KO660" t="s">
        <v>234</v>
      </c>
      <c r="KP660" t="s">
        <v>234</v>
      </c>
      <c r="KR660" t="s">
        <v>1942</v>
      </c>
      <c r="KS660" t="s">
        <v>234</v>
      </c>
      <c r="KT660" t="s">
        <v>234</v>
      </c>
      <c r="LO660" t="s">
        <v>1964</v>
      </c>
      <c r="LS660" t="s">
        <v>1944</v>
      </c>
      <c r="LT660">
        <v>206.25</v>
      </c>
      <c r="LU660" s="4" t="s">
        <v>29</v>
      </c>
      <c r="MC660" s="58">
        <v>42997</v>
      </c>
      <c r="MD660" s="58">
        <v>42997</v>
      </c>
      <c r="MS660" t="s">
        <v>1945</v>
      </c>
      <c r="MT660" t="s">
        <v>234</v>
      </c>
      <c r="MW660" t="s">
        <v>168</v>
      </c>
      <c r="ND660" t="s">
        <v>1969</v>
      </c>
      <c r="NE660" t="s">
        <v>1967</v>
      </c>
      <c r="NF660" t="s">
        <v>1968</v>
      </c>
      <c r="NG660" s="4" t="s">
        <v>1966</v>
      </c>
      <c r="NH660" s="6" t="s">
        <v>1965</v>
      </c>
      <c r="NP660" t="s">
        <v>1571</v>
      </c>
      <c r="NQ660" t="s">
        <v>6</v>
      </c>
      <c r="NR660">
        <v>325.74</v>
      </c>
      <c r="NS660" t="s">
        <v>234</v>
      </c>
      <c r="NT660" t="s">
        <v>234</v>
      </c>
      <c r="NW660" s="3">
        <v>3</v>
      </c>
      <c r="OH660" t="s">
        <v>1943</v>
      </c>
      <c r="OI660" t="s">
        <v>6</v>
      </c>
      <c r="OK660">
        <v>2016</v>
      </c>
      <c r="OL660">
        <v>2017</v>
      </c>
      <c r="OO660" t="s">
        <v>1178</v>
      </c>
      <c r="OP660" s="58">
        <v>46129</v>
      </c>
    </row>
    <row r="661" spans="1:406" ht="15.75" thickBot="1">
      <c r="A661" t="s">
        <v>248</v>
      </c>
      <c r="B661" t="s">
        <v>1903</v>
      </c>
      <c r="C661" t="s">
        <v>1904</v>
      </c>
      <c r="D661" s="4" t="s">
        <v>1955</v>
      </c>
      <c r="E661" s="90" t="s">
        <v>1974</v>
      </c>
      <c r="F661" t="s">
        <v>31</v>
      </c>
      <c r="G661" t="s">
        <v>2</v>
      </c>
      <c r="H661" t="s">
        <v>30</v>
      </c>
      <c r="I661">
        <v>30.9</v>
      </c>
      <c r="J661">
        <v>75.75</v>
      </c>
      <c r="K661" t="s">
        <v>29</v>
      </c>
      <c r="AV661" t="s">
        <v>838</v>
      </c>
      <c r="AW661" t="s">
        <v>234</v>
      </c>
      <c r="AX661" t="s">
        <v>234</v>
      </c>
      <c r="AY661">
        <v>2</v>
      </c>
      <c r="AZ661" t="s">
        <v>1956</v>
      </c>
      <c r="BA661">
        <v>2016</v>
      </c>
      <c r="BB661">
        <v>2018</v>
      </c>
      <c r="BD661" t="s">
        <v>1910</v>
      </c>
      <c r="BE661" t="s">
        <v>1925</v>
      </c>
      <c r="BF661" t="s">
        <v>64</v>
      </c>
      <c r="BG661" t="s">
        <v>1243</v>
      </c>
      <c r="BH661" t="s">
        <v>23</v>
      </c>
      <c r="BI661" t="s">
        <v>1933</v>
      </c>
      <c r="BJ661" t="s">
        <v>13</v>
      </c>
      <c r="BK661">
        <v>20</v>
      </c>
      <c r="BL661" t="s">
        <v>275</v>
      </c>
      <c r="BM661" t="s">
        <v>1913</v>
      </c>
      <c r="BN661" t="s">
        <v>29</v>
      </c>
      <c r="BO661" t="s">
        <v>29</v>
      </c>
      <c r="BP661" t="s">
        <v>29</v>
      </c>
      <c r="BQ661" t="s">
        <v>275</v>
      </c>
      <c r="BR661" t="s">
        <v>1912</v>
      </c>
      <c r="BS661" t="s">
        <v>29</v>
      </c>
      <c r="BT661" t="s">
        <v>29</v>
      </c>
      <c r="BU661" t="s">
        <v>29</v>
      </c>
      <c r="BV661" t="s">
        <v>56</v>
      </c>
      <c r="BW661" t="s">
        <v>1184</v>
      </c>
      <c r="BX661" t="s">
        <v>29</v>
      </c>
      <c r="BY661" t="s">
        <v>29</v>
      </c>
      <c r="BZ661" t="s">
        <v>29</v>
      </c>
      <c r="HU661" s="58">
        <v>42539</v>
      </c>
      <c r="IN661" t="s">
        <v>1911</v>
      </c>
      <c r="IO661" s="54" t="s">
        <v>1938</v>
      </c>
      <c r="IR661">
        <v>2016</v>
      </c>
      <c r="JI661" t="s">
        <v>1958</v>
      </c>
      <c r="JK661" t="s">
        <v>14</v>
      </c>
      <c r="JO661" t="s">
        <v>13</v>
      </c>
      <c r="JP661">
        <v>125</v>
      </c>
      <c r="JS661">
        <v>60</v>
      </c>
      <c r="JT661">
        <v>30</v>
      </c>
      <c r="KD661" t="s">
        <v>1940</v>
      </c>
      <c r="KE661" s="84" t="s">
        <v>1561</v>
      </c>
      <c r="KF661" t="s">
        <v>1960</v>
      </c>
      <c r="KG661">
        <v>2</v>
      </c>
      <c r="KH661" t="s">
        <v>1959</v>
      </c>
      <c r="KJ661" s="8" t="s">
        <v>1962</v>
      </c>
      <c r="KK661" t="s">
        <v>1963</v>
      </c>
      <c r="KL661">
        <v>3</v>
      </c>
      <c r="KN661" s="8" t="s">
        <v>1941</v>
      </c>
      <c r="KO661" t="s">
        <v>234</v>
      </c>
      <c r="KP661" t="s">
        <v>234</v>
      </c>
      <c r="KR661" t="s">
        <v>1942</v>
      </c>
      <c r="KS661" t="s">
        <v>234</v>
      </c>
      <c r="KT661" t="s">
        <v>234</v>
      </c>
      <c r="LO661" t="s">
        <v>1964</v>
      </c>
      <c r="LS661" t="s">
        <v>1944</v>
      </c>
      <c r="LT661">
        <v>206.25</v>
      </c>
      <c r="LU661" s="4" t="s">
        <v>29</v>
      </c>
      <c r="MC661" s="58">
        <v>42997</v>
      </c>
      <c r="MD661" s="58">
        <v>42997</v>
      </c>
      <c r="MS661" t="s">
        <v>1945</v>
      </c>
      <c r="MT661" t="s">
        <v>234</v>
      </c>
      <c r="MW661" t="s">
        <v>168</v>
      </c>
      <c r="ND661" t="s">
        <v>1969</v>
      </c>
      <c r="NE661" t="s">
        <v>1967</v>
      </c>
      <c r="NF661" t="s">
        <v>1968</v>
      </c>
      <c r="NG661" s="4" t="s">
        <v>1966</v>
      </c>
      <c r="NH661" s="6" t="s">
        <v>1965</v>
      </c>
      <c r="NQ661" t="s">
        <v>6</v>
      </c>
      <c r="NR661">
        <v>326.20999999999998</v>
      </c>
      <c r="NS661" t="s">
        <v>234</v>
      </c>
      <c r="NT661" t="s">
        <v>234</v>
      </c>
      <c r="NW661" s="3">
        <v>3</v>
      </c>
      <c r="OH661" t="s">
        <v>1943</v>
      </c>
      <c r="OI661" t="s">
        <v>6</v>
      </c>
      <c r="OK661">
        <v>2016</v>
      </c>
      <c r="OL661">
        <v>2017</v>
      </c>
      <c r="OO661" t="s">
        <v>1178</v>
      </c>
      <c r="OP661" s="58">
        <v>46129</v>
      </c>
    </row>
    <row r="662" spans="1:406" ht="15.75" thickBot="1">
      <c r="A662" t="s">
        <v>248</v>
      </c>
      <c r="B662" t="s">
        <v>1903</v>
      </c>
      <c r="C662" t="s">
        <v>1904</v>
      </c>
      <c r="D662" s="4" t="s">
        <v>1955</v>
      </c>
      <c r="E662" s="90" t="s">
        <v>1974</v>
      </c>
      <c r="F662" t="s">
        <v>31</v>
      </c>
      <c r="G662" t="s">
        <v>2</v>
      </c>
      <c r="H662" t="s">
        <v>30</v>
      </c>
      <c r="I662">
        <v>30.9</v>
      </c>
      <c r="J662">
        <v>75.75</v>
      </c>
      <c r="K662" t="s">
        <v>29</v>
      </c>
      <c r="AV662" t="s">
        <v>838</v>
      </c>
      <c r="AW662" t="s">
        <v>234</v>
      </c>
      <c r="AX662" t="s">
        <v>234</v>
      </c>
      <c r="AY662">
        <v>2</v>
      </c>
      <c r="AZ662" t="s">
        <v>1956</v>
      </c>
      <c r="BA662">
        <v>2016</v>
      </c>
      <c r="BB662">
        <v>2018</v>
      </c>
      <c r="BD662" t="s">
        <v>1910</v>
      </c>
      <c r="BE662" t="s">
        <v>1970</v>
      </c>
      <c r="BF662" t="s">
        <v>57</v>
      </c>
      <c r="BG662" t="s">
        <v>1243</v>
      </c>
      <c r="BH662" t="s">
        <v>23</v>
      </c>
      <c r="BI662" t="s">
        <v>1933</v>
      </c>
      <c r="BJ662" t="s">
        <v>13</v>
      </c>
      <c r="BK662">
        <v>20</v>
      </c>
      <c r="BL662" t="s">
        <v>56</v>
      </c>
      <c r="BM662" t="s">
        <v>250</v>
      </c>
      <c r="BN662" t="s">
        <v>29</v>
      </c>
      <c r="BO662" t="s">
        <v>29</v>
      </c>
      <c r="BP662" t="s">
        <v>29</v>
      </c>
      <c r="BQ662" t="s">
        <v>275</v>
      </c>
      <c r="BR662" t="s">
        <v>1913</v>
      </c>
      <c r="BS662" t="s">
        <v>29</v>
      </c>
      <c r="BT662" t="s">
        <v>29</v>
      </c>
      <c r="BU662" t="s">
        <v>29</v>
      </c>
      <c r="BV662" t="s">
        <v>275</v>
      </c>
      <c r="BW662" t="s">
        <v>1912</v>
      </c>
      <c r="BX662" t="s">
        <v>29</v>
      </c>
      <c r="BY662" t="s">
        <v>29</v>
      </c>
      <c r="BZ662" t="s">
        <v>29</v>
      </c>
      <c r="CA662" t="s">
        <v>56</v>
      </c>
      <c r="CB662" t="s">
        <v>1184</v>
      </c>
      <c r="CC662" t="s">
        <v>29</v>
      </c>
      <c r="CD662" t="s">
        <v>29</v>
      </c>
      <c r="CE662" t="s">
        <v>29</v>
      </c>
      <c r="HU662" s="58">
        <v>42539</v>
      </c>
      <c r="IN662" t="s">
        <v>1915</v>
      </c>
      <c r="IO662" s="54" t="s">
        <v>1938</v>
      </c>
      <c r="IR662">
        <v>2016</v>
      </c>
      <c r="JI662" t="s">
        <v>1958</v>
      </c>
      <c r="JK662" t="s">
        <v>14</v>
      </c>
      <c r="JO662" t="s">
        <v>13</v>
      </c>
      <c r="JP662">
        <v>125</v>
      </c>
      <c r="JS662">
        <v>60</v>
      </c>
      <c r="JT662">
        <v>30</v>
      </c>
      <c r="KD662" t="s">
        <v>1940</v>
      </c>
      <c r="KE662" s="84" t="s">
        <v>1561</v>
      </c>
      <c r="KF662" t="s">
        <v>1960</v>
      </c>
      <c r="KG662">
        <v>2</v>
      </c>
      <c r="KH662" t="s">
        <v>1959</v>
      </c>
      <c r="KJ662" s="8" t="s">
        <v>1962</v>
      </c>
      <c r="KK662" t="s">
        <v>1963</v>
      </c>
      <c r="KL662">
        <v>3</v>
      </c>
      <c r="KN662" s="8" t="s">
        <v>1941</v>
      </c>
      <c r="KO662" t="s">
        <v>234</v>
      </c>
      <c r="KP662" t="s">
        <v>234</v>
      </c>
      <c r="KR662" t="s">
        <v>1942</v>
      </c>
      <c r="KS662" t="s">
        <v>234</v>
      </c>
      <c r="KT662" t="s">
        <v>234</v>
      </c>
      <c r="LO662" t="s">
        <v>1964</v>
      </c>
      <c r="LS662" t="s">
        <v>1944</v>
      </c>
      <c r="LT662">
        <v>206.25</v>
      </c>
      <c r="LU662" s="4" t="s">
        <v>29</v>
      </c>
      <c r="MC662" s="58">
        <v>42997</v>
      </c>
      <c r="MD662" s="58">
        <v>42997</v>
      </c>
      <c r="MS662" t="s">
        <v>1945</v>
      </c>
      <c r="MT662" t="s">
        <v>234</v>
      </c>
      <c r="MW662" t="s">
        <v>168</v>
      </c>
      <c r="ND662" t="s">
        <v>1969</v>
      </c>
      <c r="NE662" t="s">
        <v>1967</v>
      </c>
      <c r="NF662" t="s">
        <v>1968</v>
      </c>
      <c r="NG662" s="4" t="s">
        <v>1966</v>
      </c>
      <c r="NH662" s="6" t="s">
        <v>1965</v>
      </c>
      <c r="NQ662" t="s">
        <v>6</v>
      </c>
      <c r="NR662">
        <v>243.27</v>
      </c>
      <c r="NS662" t="s">
        <v>234</v>
      </c>
      <c r="NT662" t="s">
        <v>234</v>
      </c>
      <c r="NW662" s="3">
        <v>3</v>
      </c>
      <c r="OH662" t="s">
        <v>1943</v>
      </c>
      <c r="OI662" t="s">
        <v>6</v>
      </c>
      <c r="OK662">
        <v>2016</v>
      </c>
      <c r="OL662">
        <v>2017</v>
      </c>
      <c r="OO662" t="s">
        <v>1178</v>
      </c>
      <c r="OP662" s="58">
        <v>46129</v>
      </c>
    </row>
    <row r="663" spans="1:406" ht="15.75" thickBot="1">
      <c r="A663" t="s">
        <v>248</v>
      </c>
      <c r="B663" t="s">
        <v>1903</v>
      </c>
      <c r="C663" t="s">
        <v>1904</v>
      </c>
      <c r="D663" s="4" t="s">
        <v>1955</v>
      </c>
      <c r="E663" s="90" t="s">
        <v>1974</v>
      </c>
      <c r="F663" t="s">
        <v>31</v>
      </c>
      <c r="G663" t="s">
        <v>2</v>
      </c>
      <c r="H663" t="s">
        <v>30</v>
      </c>
      <c r="I663">
        <v>30.9</v>
      </c>
      <c r="J663">
        <v>75.75</v>
      </c>
      <c r="K663" t="s">
        <v>29</v>
      </c>
      <c r="AV663" t="s">
        <v>838</v>
      </c>
      <c r="AW663" t="s">
        <v>234</v>
      </c>
      <c r="AX663" t="s">
        <v>234</v>
      </c>
      <c r="AY663">
        <v>2</v>
      </c>
      <c r="AZ663" t="s">
        <v>1956</v>
      </c>
      <c r="BA663">
        <v>2016</v>
      </c>
      <c r="BB663">
        <v>2018</v>
      </c>
      <c r="BD663" t="s">
        <v>1910</v>
      </c>
      <c r="BE663" t="s">
        <v>1971</v>
      </c>
      <c r="BF663" t="s">
        <v>48</v>
      </c>
      <c r="BG663" t="s">
        <v>1243</v>
      </c>
      <c r="BH663" t="s">
        <v>23</v>
      </c>
      <c r="BI663" t="s">
        <v>1933</v>
      </c>
      <c r="BJ663" t="s">
        <v>13</v>
      </c>
      <c r="BK663">
        <v>20</v>
      </c>
      <c r="BL663" t="s">
        <v>56</v>
      </c>
      <c r="BM663" t="s">
        <v>250</v>
      </c>
      <c r="BN663" t="s">
        <v>29</v>
      </c>
      <c r="BO663" t="s">
        <v>29</v>
      </c>
      <c r="BP663" t="s">
        <v>29</v>
      </c>
      <c r="BQ663" t="s">
        <v>275</v>
      </c>
      <c r="BR663" t="s">
        <v>1913</v>
      </c>
      <c r="BS663" t="s">
        <v>29</v>
      </c>
      <c r="BT663" t="s">
        <v>29</v>
      </c>
      <c r="BU663" t="s">
        <v>29</v>
      </c>
      <c r="HU663" s="58">
        <v>42539</v>
      </c>
      <c r="IN663" t="s">
        <v>1917</v>
      </c>
      <c r="IO663" s="54" t="s">
        <v>1938</v>
      </c>
      <c r="IR663">
        <v>2016</v>
      </c>
      <c r="JI663" t="s">
        <v>1958</v>
      </c>
      <c r="JK663" t="s">
        <v>14</v>
      </c>
      <c r="JO663" t="s">
        <v>13</v>
      </c>
      <c r="JP663">
        <v>125</v>
      </c>
      <c r="JS663">
        <v>60</v>
      </c>
      <c r="JT663">
        <v>30</v>
      </c>
      <c r="KD663" t="s">
        <v>1940</v>
      </c>
      <c r="KE663" s="84" t="s">
        <v>1561</v>
      </c>
      <c r="KF663" t="s">
        <v>1960</v>
      </c>
      <c r="KG663">
        <v>2</v>
      </c>
      <c r="KH663" t="s">
        <v>1959</v>
      </c>
      <c r="KJ663" s="8" t="s">
        <v>1962</v>
      </c>
      <c r="KK663" t="s">
        <v>1963</v>
      </c>
      <c r="KL663">
        <v>3</v>
      </c>
      <c r="KN663" s="8" t="s">
        <v>1941</v>
      </c>
      <c r="KO663" t="s">
        <v>234</v>
      </c>
      <c r="KP663" t="s">
        <v>234</v>
      </c>
      <c r="KR663" t="s">
        <v>1942</v>
      </c>
      <c r="KS663" t="s">
        <v>234</v>
      </c>
      <c r="KT663" t="s">
        <v>234</v>
      </c>
      <c r="LO663" t="s">
        <v>1964</v>
      </c>
      <c r="LS663" t="s">
        <v>1944</v>
      </c>
      <c r="LT663">
        <v>206.25</v>
      </c>
      <c r="LU663" s="4" t="s">
        <v>29</v>
      </c>
      <c r="MC663" s="58">
        <v>42997</v>
      </c>
      <c r="MD663" s="58">
        <v>42997</v>
      </c>
      <c r="MS663" t="s">
        <v>1945</v>
      </c>
      <c r="MT663" t="s">
        <v>234</v>
      </c>
      <c r="MW663" t="s">
        <v>168</v>
      </c>
      <c r="ND663" t="s">
        <v>1969</v>
      </c>
      <c r="NE663" t="s">
        <v>1967</v>
      </c>
      <c r="NF663" t="s">
        <v>1968</v>
      </c>
      <c r="NG663" s="4" t="s">
        <v>1966</v>
      </c>
      <c r="NH663" s="6" t="s">
        <v>1965</v>
      </c>
      <c r="NQ663" t="s">
        <v>6</v>
      </c>
      <c r="NR663">
        <v>247.77</v>
      </c>
      <c r="NS663" t="s">
        <v>234</v>
      </c>
      <c r="NT663" t="s">
        <v>234</v>
      </c>
      <c r="NW663" s="3">
        <v>3</v>
      </c>
      <c r="OH663" t="s">
        <v>1943</v>
      </c>
      <c r="OI663" t="s">
        <v>6</v>
      </c>
      <c r="OK663">
        <v>2016</v>
      </c>
      <c r="OL663">
        <v>2017</v>
      </c>
      <c r="OO663" t="s">
        <v>1178</v>
      </c>
      <c r="OP663" s="58">
        <v>46129</v>
      </c>
    </row>
    <row r="664" spans="1:406" ht="15.75" thickBot="1">
      <c r="A664" t="s">
        <v>248</v>
      </c>
      <c r="B664" t="s">
        <v>1903</v>
      </c>
      <c r="C664" t="s">
        <v>1904</v>
      </c>
      <c r="D664" s="4" t="s">
        <v>1955</v>
      </c>
      <c r="E664" s="90" t="s">
        <v>1974</v>
      </c>
      <c r="F664" t="s">
        <v>31</v>
      </c>
      <c r="G664" t="s">
        <v>2</v>
      </c>
      <c r="H664" t="s">
        <v>30</v>
      </c>
      <c r="I664">
        <v>30.9</v>
      </c>
      <c r="J664">
        <v>75.75</v>
      </c>
      <c r="K664" t="s">
        <v>29</v>
      </c>
      <c r="AV664" t="s">
        <v>838</v>
      </c>
      <c r="AW664" t="s">
        <v>234</v>
      </c>
      <c r="AX664" t="s">
        <v>234</v>
      </c>
      <c r="AY664">
        <v>2</v>
      </c>
      <c r="AZ664" t="s">
        <v>1956</v>
      </c>
      <c r="BA664">
        <v>2016</v>
      </c>
      <c r="BB664">
        <v>2018</v>
      </c>
      <c r="BD664" t="s">
        <v>1910</v>
      </c>
      <c r="BE664" t="s">
        <v>1972</v>
      </c>
      <c r="BF664" t="s">
        <v>43</v>
      </c>
      <c r="BG664" t="s">
        <v>1243</v>
      </c>
      <c r="BH664" t="s">
        <v>23</v>
      </c>
      <c r="BI664" t="s">
        <v>1933</v>
      </c>
      <c r="BJ664" t="s">
        <v>13</v>
      </c>
      <c r="BK664">
        <v>20</v>
      </c>
      <c r="BL664" t="s">
        <v>56</v>
      </c>
      <c r="BM664" t="s">
        <v>250</v>
      </c>
      <c r="BN664" t="s">
        <v>29</v>
      </c>
      <c r="BO664" t="s">
        <v>29</v>
      </c>
      <c r="BP664" t="s">
        <v>29</v>
      </c>
      <c r="BQ664" t="s">
        <v>275</v>
      </c>
      <c r="BR664" t="s">
        <v>1935</v>
      </c>
      <c r="BS664" t="s">
        <v>29</v>
      </c>
      <c r="BT664" t="s">
        <v>29</v>
      </c>
      <c r="BU664" t="s">
        <v>29</v>
      </c>
      <c r="BV664" t="s">
        <v>275</v>
      </c>
      <c r="BW664" t="s">
        <v>1936</v>
      </c>
      <c r="BX664" t="s">
        <v>29</v>
      </c>
      <c r="BY664" t="s">
        <v>29</v>
      </c>
      <c r="BZ664" t="s">
        <v>29</v>
      </c>
      <c r="HU664" s="58">
        <v>42539</v>
      </c>
      <c r="IN664" t="s">
        <v>1919</v>
      </c>
      <c r="IO664" s="54" t="s">
        <v>1938</v>
      </c>
      <c r="IR664">
        <v>2016</v>
      </c>
      <c r="JI664" t="s">
        <v>1958</v>
      </c>
      <c r="JK664" t="s">
        <v>14</v>
      </c>
      <c r="JO664" t="s">
        <v>13</v>
      </c>
      <c r="JP664">
        <v>125</v>
      </c>
      <c r="JS664">
        <v>60</v>
      </c>
      <c r="JT664">
        <v>30</v>
      </c>
      <c r="KD664" t="s">
        <v>1940</v>
      </c>
      <c r="KE664" s="84" t="s">
        <v>1561</v>
      </c>
      <c r="KF664" t="s">
        <v>1960</v>
      </c>
      <c r="KG664">
        <v>2</v>
      </c>
      <c r="KH664" t="s">
        <v>1959</v>
      </c>
      <c r="KJ664" s="8" t="s">
        <v>1962</v>
      </c>
      <c r="KK664" t="s">
        <v>1963</v>
      </c>
      <c r="KL664">
        <v>3</v>
      </c>
      <c r="KN664" s="8" t="s">
        <v>1941</v>
      </c>
      <c r="KO664" t="s">
        <v>234</v>
      </c>
      <c r="KP664" t="s">
        <v>234</v>
      </c>
      <c r="KR664" t="s">
        <v>1942</v>
      </c>
      <c r="KS664" t="s">
        <v>234</v>
      </c>
      <c r="KT664" t="s">
        <v>234</v>
      </c>
      <c r="LO664" t="s">
        <v>1964</v>
      </c>
      <c r="LS664" t="s">
        <v>1944</v>
      </c>
      <c r="LT664">
        <v>206.25</v>
      </c>
      <c r="LU664" s="4" t="s">
        <v>29</v>
      </c>
      <c r="MC664" s="58">
        <v>42997</v>
      </c>
      <c r="MD664" s="58">
        <v>42997</v>
      </c>
      <c r="MS664" t="s">
        <v>1945</v>
      </c>
      <c r="MT664" t="s">
        <v>234</v>
      </c>
      <c r="MW664" t="s">
        <v>168</v>
      </c>
      <c r="ND664" t="s">
        <v>1969</v>
      </c>
      <c r="NE664" t="s">
        <v>1967</v>
      </c>
      <c r="NF664" t="s">
        <v>1968</v>
      </c>
      <c r="NG664" s="4" t="s">
        <v>1966</v>
      </c>
      <c r="NH664" s="6" t="s">
        <v>1965</v>
      </c>
      <c r="NQ664" t="s">
        <v>6</v>
      </c>
      <c r="NR664">
        <v>244.99</v>
      </c>
      <c r="NS664" t="s">
        <v>234</v>
      </c>
      <c r="NT664" t="s">
        <v>234</v>
      </c>
      <c r="NW664" s="3">
        <v>3</v>
      </c>
      <c r="OH664" t="s">
        <v>1943</v>
      </c>
      <c r="OI664" t="s">
        <v>6</v>
      </c>
      <c r="OK664">
        <v>2016</v>
      </c>
      <c r="OL664">
        <v>2017</v>
      </c>
      <c r="OO664" t="s">
        <v>1178</v>
      </c>
      <c r="OP664" s="58">
        <v>46129</v>
      </c>
    </row>
    <row r="665" spans="1:406" ht="15.75" thickBot="1">
      <c r="A665" t="s">
        <v>248</v>
      </c>
      <c r="B665" t="s">
        <v>1903</v>
      </c>
      <c r="C665" t="s">
        <v>1904</v>
      </c>
      <c r="D665" s="4" t="s">
        <v>1955</v>
      </c>
      <c r="E665" s="90" t="s">
        <v>1974</v>
      </c>
      <c r="F665" t="s">
        <v>31</v>
      </c>
      <c r="G665" t="s">
        <v>2</v>
      </c>
      <c r="H665" t="s">
        <v>30</v>
      </c>
      <c r="I665">
        <v>30.9</v>
      </c>
      <c r="J665">
        <v>75.75</v>
      </c>
      <c r="K665" t="s">
        <v>29</v>
      </c>
      <c r="AV665" t="s">
        <v>838</v>
      </c>
      <c r="AW665" t="s">
        <v>234</v>
      </c>
      <c r="AX665" t="s">
        <v>234</v>
      </c>
      <c r="AY665">
        <v>2</v>
      </c>
      <c r="AZ665" t="s">
        <v>1956</v>
      </c>
      <c r="BA665">
        <v>2016</v>
      </c>
      <c r="BB665">
        <v>2018</v>
      </c>
      <c r="BD665" t="s">
        <v>1910</v>
      </c>
      <c r="BE665" s="3" t="s">
        <v>1921</v>
      </c>
      <c r="BF665" t="s">
        <v>252</v>
      </c>
      <c r="BG665" t="s">
        <v>1243</v>
      </c>
      <c r="BH665" t="s">
        <v>23</v>
      </c>
      <c r="BI665" t="s">
        <v>1933</v>
      </c>
      <c r="BJ665" t="s">
        <v>13</v>
      </c>
      <c r="BK665">
        <v>20</v>
      </c>
      <c r="BL665" t="s">
        <v>275</v>
      </c>
      <c r="BM665" t="s">
        <v>1937</v>
      </c>
      <c r="BN665" t="s">
        <v>29</v>
      </c>
      <c r="BO665" t="s">
        <v>29</v>
      </c>
      <c r="BP665" t="s">
        <v>29</v>
      </c>
      <c r="BQ665" t="s">
        <v>275</v>
      </c>
      <c r="BR665" t="s">
        <v>1935</v>
      </c>
      <c r="BS665" t="s">
        <v>29</v>
      </c>
      <c r="BT665" t="s">
        <v>29</v>
      </c>
      <c r="BU665" t="s">
        <v>29</v>
      </c>
      <c r="BV665" t="s">
        <v>275</v>
      </c>
      <c r="BW665" t="s">
        <v>1936</v>
      </c>
      <c r="BX665" t="s">
        <v>29</v>
      </c>
      <c r="BY665" t="s">
        <v>29</v>
      </c>
      <c r="BZ665" t="s">
        <v>29</v>
      </c>
      <c r="HU665" s="58">
        <v>42539</v>
      </c>
      <c r="IN665" t="s">
        <v>1921</v>
      </c>
      <c r="IO665" s="54" t="s">
        <v>1938</v>
      </c>
      <c r="IR665">
        <v>2016</v>
      </c>
      <c r="JI665" t="s">
        <v>1958</v>
      </c>
      <c r="JK665" t="s">
        <v>14</v>
      </c>
      <c r="JO665" t="s">
        <v>13</v>
      </c>
      <c r="JP665">
        <v>125</v>
      </c>
      <c r="JS665">
        <v>60</v>
      </c>
      <c r="JT665">
        <v>30</v>
      </c>
      <c r="KD665" t="s">
        <v>1940</v>
      </c>
      <c r="KE665" s="84" t="s">
        <v>1561</v>
      </c>
      <c r="KF665" t="s">
        <v>1960</v>
      </c>
      <c r="KG665">
        <v>2</v>
      </c>
      <c r="KH665" t="s">
        <v>1959</v>
      </c>
      <c r="KJ665" s="8" t="s">
        <v>1962</v>
      </c>
      <c r="KK665" t="s">
        <v>1963</v>
      </c>
      <c r="KL665">
        <v>3</v>
      </c>
      <c r="KN665" s="8" t="s">
        <v>1941</v>
      </c>
      <c r="KO665" t="s">
        <v>234</v>
      </c>
      <c r="KP665" t="s">
        <v>234</v>
      </c>
      <c r="KR665" t="s">
        <v>1942</v>
      </c>
      <c r="KS665" t="s">
        <v>234</v>
      </c>
      <c r="KT665" t="s">
        <v>234</v>
      </c>
      <c r="LO665" t="s">
        <v>1964</v>
      </c>
      <c r="LS665" t="s">
        <v>1944</v>
      </c>
      <c r="LT665">
        <v>206.25</v>
      </c>
      <c r="LU665" s="4" t="s">
        <v>29</v>
      </c>
      <c r="MC665" s="58">
        <v>42997</v>
      </c>
      <c r="MD665" s="58">
        <v>42997</v>
      </c>
      <c r="MS665" t="s">
        <v>1945</v>
      </c>
      <c r="MT665" t="s">
        <v>234</v>
      </c>
      <c r="MW665" t="s">
        <v>168</v>
      </c>
      <c r="ND665" t="s">
        <v>1969</v>
      </c>
      <c r="NE665" t="s">
        <v>1967</v>
      </c>
      <c r="NF665" t="s">
        <v>1968</v>
      </c>
      <c r="NG665" s="4" t="s">
        <v>1966</v>
      </c>
      <c r="NH665" s="6" t="s">
        <v>1965</v>
      </c>
      <c r="NQ665" t="s">
        <v>6</v>
      </c>
      <c r="NR665">
        <v>323.24</v>
      </c>
      <c r="NS665" t="s">
        <v>234</v>
      </c>
      <c r="NT665" t="s">
        <v>234</v>
      </c>
      <c r="NW665" s="3">
        <v>3</v>
      </c>
      <c r="OH665" t="s">
        <v>1943</v>
      </c>
      <c r="OI665" t="s">
        <v>6</v>
      </c>
      <c r="OK665">
        <v>2016</v>
      </c>
      <c r="OL665">
        <v>2017</v>
      </c>
      <c r="OO665" t="s">
        <v>1178</v>
      </c>
      <c r="OP665" s="58">
        <v>46129</v>
      </c>
    </row>
    <row r="666" spans="1:406" ht="15.75" thickBot="1">
      <c r="A666" t="s">
        <v>248</v>
      </c>
      <c r="B666" t="s">
        <v>1903</v>
      </c>
      <c r="C666" t="s">
        <v>1904</v>
      </c>
      <c r="D666" s="4" t="s">
        <v>1955</v>
      </c>
      <c r="E666" s="90" t="s">
        <v>1974</v>
      </c>
      <c r="F666" t="s">
        <v>31</v>
      </c>
      <c r="G666" t="s">
        <v>2</v>
      </c>
      <c r="H666" t="s">
        <v>30</v>
      </c>
      <c r="I666">
        <v>30.9</v>
      </c>
      <c r="J666">
        <v>75.75</v>
      </c>
      <c r="K666" t="s">
        <v>29</v>
      </c>
      <c r="AV666" t="s">
        <v>838</v>
      </c>
      <c r="AW666" t="s">
        <v>234</v>
      </c>
      <c r="AX666" t="s">
        <v>234</v>
      </c>
      <c r="AY666">
        <v>2</v>
      </c>
      <c r="AZ666" t="s">
        <v>1956</v>
      </c>
      <c r="BA666">
        <v>2016</v>
      </c>
      <c r="BB666">
        <v>2018</v>
      </c>
      <c r="BD666" t="s">
        <v>1910</v>
      </c>
      <c r="BE666" s="15" t="s">
        <v>1973</v>
      </c>
      <c r="BF666" t="s">
        <v>236</v>
      </c>
      <c r="BG666" t="s">
        <v>1243</v>
      </c>
      <c r="BH666" t="s">
        <v>23</v>
      </c>
      <c r="BI666" t="s">
        <v>1933</v>
      </c>
      <c r="BJ666" t="s">
        <v>13</v>
      </c>
      <c r="BK666">
        <v>20</v>
      </c>
      <c r="BL666" t="s">
        <v>56</v>
      </c>
      <c r="BM666" t="s">
        <v>250</v>
      </c>
      <c r="BN666" t="s">
        <v>29</v>
      </c>
      <c r="BO666" t="s">
        <v>29</v>
      </c>
      <c r="BP666" t="s">
        <v>29</v>
      </c>
      <c r="BQ666" t="s">
        <v>275</v>
      </c>
      <c r="BR666" t="s">
        <v>1937</v>
      </c>
      <c r="BS666" t="s">
        <v>29</v>
      </c>
      <c r="BT666" t="s">
        <v>29</v>
      </c>
      <c r="BU666" t="s">
        <v>29</v>
      </c>
      <c r="BV666" t="s">
        <v>275</v>
      </c>
      <c r="BW666" t="s">
        <v>1935</v>
      </c>
      <c r="BX666" t="s">
        <v>29</v>
      </c>
      <c r="BY666" t="s">
        <v>29</v>
      </c>
      <c r="BZ666" t="s">
        <v>29</v>
      </c>
      <c r="CA666" t="s">
        <v>275</v>
      </c>
      <c r="CB666" t="s">
        <v>1936</v>
      </c>
      <c r="CC666" t="s">
        <v>29</v>
      </c>
      <c r="CD666" t="s">
        <v>29</v>
      </c>
      <c r="CE666" t="s">
        <v>29</v>
      </c>
      <c r="HU666" s="58">
        <v>42539</v>
      </c>
      <c r="IN666" t="s">
        <v>1923</v>
      </c>
      <c r="IO666" s="54" t="s">
        <v>1938</v>
      </c>
      <c r="IR666">
        <v>2016</v>
      </c>
      <c r="JI666" t="s">
        <v>1958</v>
      </c>
      <c r="JK666" t="s">
        <v>14</v>
      </c>
      <c r="JO666" t="s">
        <v>13</v>
      </c>
      <c r="JP666">
        <v>125</v>
      </c>
      <c r="JS666">
        <v>60</v>
      </c>
      <c r="JT666">
        <v>30</v>
      </c>
      <c r="KD666" t="s">
        <v>1940</v>
      </c>
      <c r="KE666" s="84" t="s">
        <v>1561</v>
      </c>
      <c r="KF666" t="s">
        <v>1960</v>
      </c>
      <c r="KG666">
        <v>2</v>
      </c>
      <c r="KH666" t="s">
        <v>1959</v>
      </c>
      <c r="KJ666" s="8" t="s">
        <v>1962</v>
      </c>
      <c r="KK666" t="s">
        <v>1963</v>
      </c>
      <c r="KL666">
        <v>3</v>
      </c>
      <c r="KN666" s="8" t="s">
        <v>1941</v>
      </c>
      <c r="KO666" t="s">
        <v>234</v>
      </c>
      <c r="KP666" t="s">
        <v>234</v>
      </c>
      <c r="KR666" t="s">
        <v>1942</v>
      </c>
      <c r="KS666" t="s">
        <v>234</v>
      </c>
      <c r="KT666" t="s">
        <v>234</v>
      </c>
      <c r="LO666" t="s">
        <v>1964</v>
      </c>
      <c r="LS666" t="s">
        <v>1944</v>
      </c>
      <c r="LT666">
        <v>206.25</v>
      </c>
      <c r="LU666" s="4" t="s">
        <v>29</v>
      </c>
      <c r="MC666" s="58">
        <v>42997</v>
      </c>
      <c r="MD666" s="58">
        <v>42997</v>
      </c>
      <c r="MS666" t="s">
        <v>1945</v>
      </c>
      <c r="MT666" t="s">
        <v>234</v>
      </c>
      <c r="MW666" t="s">
        <v>168</v>
      </c>
      <c r="ND666" t="s">
        <v>1969</v>
      </c>
      <c r="NE666" t="s">
        <v>1967</v>
      </c>
      <c r="NF666" t="s">
        <v>1968</v>
      </c>
      <c r="NG666" s="4" t="s">
        <v>1966</v>
      </c>
      <c r="NH666" s="6" t="s">
        <v>1965</v>
      </c>
      <c r="NQ666" t="s">
        <v>6</v>
      </c>
      <c r="NR666">
        <v>246.99</v>
      </c>
      <c r="NS666" t="s">
        <v>234</v>
      </c>
      <c r="NT666" t="s">
        <v>234</v>
      </c>
      <c r="NW666" s="3">
        <v>3</v>
      </c>
      <c r="OH666" t="s">
        <v>1943</v>
      </c>
      <c r="OI666" t="s">
        <v>6</v>
      </c>
      <c r="OK666">
        <v>2016</v>
      </c>
      <c r="OL666">
        <v>2017</v>
      </c>
      <c r="OO666" t="s">
        <v>1178</v>
      </c>
      <c r="OP666" s="58">
        <v>46129</v>
      </c>
    </row>
    <row r="667" spans="1:406" ht="15.75" thickBot="1">
      <c r="A667" t="s">
        <v>248</v>
      </c>
      <c r="B667" t="s">
        <v>1903</v>
      </c>
      <c r="C667" t="s">
        <v>1904</v>
      </c>
      <c r="D667" s="4" t="s">
        <v>1955</v>
      </c>
      <c r="E667" s="90" t="s">
        <v>1974</v>
      </c>
      <c r="F667" t="s">
        <v>31</v>
      </c>
      <c r="G667" t="s">
        <v>2</v>
      </c>
      <c r="H667" t="s">
        <v>30</v>
      </c>
      <c r="I667">
        <v>30.9</v>
      </c>
      <c r="J667">
        <v>75.75</v>
      </c>
      <c r="K667" t="s">
        <v>29</v>
      </c>
      <c r="AV667" t="s">
        <v>838</v>
      </c>
      <c r="AW667" t="s">
        <v>234</v>
      </c>
      <c r="AX667" t="s">
        <v>234</v>
      </c>
      <c r="AY667">
        <v>2</v>
      </c>
      <c r="AZ667" t="s">
        <v>1956</v>
      </c>
      <c r="BA667">
        <v>2016</v>
      </c>
      <c r="BB667">
        <v>2018</v>
      </c>
      <c r="BD667" t="s">
        <v>1905</v>
      </c>
      <c r="BE667" t="s">
        <v>1906</v>
      </c>
      <c r="BF667" t="s">
        <v>39</v>
      </c>
      <c r="BG667" t="s">
        <v>1243</v>
      </c>
      <c r="BH667" t="s">
        <v>23</v>
      </c>
      <c r="BI667" t="s">
        <v>1933</v>
      </c>
      <c r="BJ667" t="s">
        <v>13</v>
      </c>
      <c r="BK667">
        <v>20</v>
      </c>
      <c r="BL667" t="s">
        <v>275</v>
      </c>
      <c r="BM667" t="s">
        <v>1907</v>
      </c>
      <c r="BN667" t="s">
        <v>29</v>
      </c>
      <c r="BO667" t="s">
        <v>29</v>
      </c>
      <c r="BP667" t="s">
        <v>29</v>
      </c>
      <c r="HU667" s="58">
        <v>42907</v>
      </c>
      <c r="IN667" t="s">
        <v>1906</v>
      </c>
      <c r="IO667" s="54" t="s">
        <v>1939</v>
      </c>
      <c r="IR667">
        <v>2016</v>
      </c>
      <c r="JI667" t="s">
        <v>1958</v>
      </c>
      <c r="JK667" t="s">
        <v>14</v>
      </c>
      <c r="JO667" t="s">
        <v>13</v>
      </c>
      <c r="JP667">
        <v>125</v>
      </c>
      <c r="JS667">
        <v>60</v>
      </c>
      <c r="JT667">
        <v>30</v>
      </c>
      <c r="KD667" t="s">
        <v>1940</v>
      </c>
      <c r="KE667" s="84" t="s">
        <v>1561</v>
      </c>
      <c r="KF667" t="s">
        <v>1960</v>
      </c>
      <c r="KG667">
        <v>2</v>
      </c>
      <c r="KH667" t="s">
        <v>1959</v>
      </c>
      <c r="KJ667" s="8" t="s">
        <v>1962</v>
      </c>
      <c r="KK667" t="s">
        <v>1963</v>
      </c>
      <c r="KL667">
        <v>3</v>
      </c>
      <c r="KN667" s="8" t="s">
        <v>1941</v>
      </c>
      <c r="KO667" t="s">
        <v>234</v>
      </c>
      <c r="KP667" t="s">
        <v>234</v>
      </c>
      <c r="KR667" t="s">
        <v>1942</v>
      </c>
      <c r="KS667" t="s">
        <v>234</v>
      </c>
      <c r="KT667" t="s">
        <v>234</v>
      </c>
      <c r="LO667" t="s">
        <v>1964</v>
      </c>
      <c r="LS667" t="s">
        <v>1944</v>
      </c>
      <c r="LT667">
        <v>225</v>
      </c>
      <c r="LU667" s="4" t="s">
        <v>29</v>
      </c>
      <c r="MC667" s="58">
        <v>43362</v>
      </c>
      <c r="MD667" s="58">
        <v>43362</v>
      </c>
      <c r="MS667" t="s">
        <v>1945</v>
      </c>
      <c r="MT667" t="s">
        <v>234</v>
      </c>
      <c r="MW667" t="s">
        <v>168</v>
      </c>
      <c r="ND667" t="s">
        <v>1969</v>
      </c>
      <c r="NE667" t="s">
        <v>1967</v>
      </c>
      <c r="NF667" t="s">
        <v>1968</v>
      </c>
      <c r="NG667" s="4" t="s">
        <v>1966</v>
      </c>
      <c r="NH667" s="6" t="s">
        <v>1965</v>
      </c>
      <c r="NP667" t="s">
        <v>1571</v>
      </c>
      <c r="NQ667" t="s">
        <v>6</v>
      </c>
      <c r="NR667">
        <v>328.04</v>
      </c>
      <c r="NS667" t="s">
        <v>234</v>
      </c>
      <c r="NT667" t="s">
        <v>234</v>
      </c>
      <c r="NW667" s="3">
        <v>3</v>
      </c>
      <c r="OH667" t="s">
        <v>1943</v>
      </c>
      <c r="OI667" t="s">
        <v>6</v>
      </c>
      <c r="OK667">
        <v>2017</v>
      </c>
      <c r="OL667">
        <v>2018</v>
      </c>
      <c r="OO667" t="s">
        <v>1178</v>
      </c>
      <c r="OP667" s="58">
        <v>46129</v>
      </c>
    </row>
    <row r="668" spans="1:406" ht="15.75" thickBot="1">
      <c r="A668" t="s">
        <v>248</v>
      </c>
      <c r="B668" t="s">
        <v>1903</v>
      </c>
      <c r="C668" t="s">
        <v>1904</v>
      </c>
      <c r="D668" s="4" t="s">
        <v>1955</v>
      </c>
      <c r="E668" s="90" t="s">
        <v>1974</v>
      </c>
      <c r="F668" t="s">
        <v>31</v>
      </c>
      <c r="G668" t="s">
        <v>2</v>
      </c>
      <c r="H668" t="s">
        <v>30</v>
      </c>
      <c r="I668">
        <v>30.9</v>
      </c>
      <c r="J668">
        <v>75.75</v>
      </c>
      <c r="K668" t="s">
        <v>29</v>
      </c>
      <c r="AV668" t="s">
        <v>838</v>
      </c>
      <c r="AW668" t="s">
        <v>234</v>
      </c>
      <c r="AX668" t="s">
        <v>234</v>
      </c>
      <c r="AY668">
        <v>2</v>
      </c>
      <c r="AZ668" t="s">
        <v>1956</v>
      </c>
      <c r="BA668">
        <v>2016</v>
      </c>
      <c r="BB668">
        <v>2018</v>
      </c>
      <c r="BD668" t="s">
        <v>1910</v>
      </c>
      <c r="BE668" t="s">
        <v>1925</v>
      </c>
      <c r="BF668" t="s">
        <v>64</v>
      </c>
      <c r="BG668" t="s">
        <v>1243</v>
      </c>
      <c r="BH668" t="s">
        <v>23</v>
      </c>
      <c r="BI668" t="s">
        <v>1933</v>
      </c>
      <c r="BJ668" t="s">
        <v>13</v>
      </c>
      <c r="BK668">
        <v>20</v>
      </c>
      <c r="BL668" t="s">
        <v>275</v>
      </c>
      <c r="BM668" t="s">
        <v>1913</v>
      </c>
      <c r="BN668" t="s">
        <v>29</v>
      </c>
      <c r="BO668" t="s">
        <v>29</v>
      </c>
      <c r="BP668" t="s">
        <v>29</v>
      </c>
      <c r="BQ668" t="s">
        <v>275</v>
      </c>
      <c r="BR668" t="s">
        <v>1912</v>
      </c>
      <c r="BS668" t="s">
        <v>29</v>
      </c>
      <c r="BT668" t="s">
        <v>29</v>
      </c>
      <c r="BU668" t="s">
        <v>29</v>
      </c>
      <c r="BV668" t="s">
        <v>56</v>
      </c>
      <c r="BW668" t="s">
        <v>1184</v>
      </c>
      <c r="BX668" t="s">
        <v>29</v>
      </c>
      <c r="BY668" t="s">
        <v>29</v>
      </c>
      <c r="BZ668" t="s">
        <v>29</v>
      </c>
      <c r="HU668" s="58">
        <v>42907</v>
      </c>
      <c r="IN668" t="s">
        <v>1911</v>
      </c>
      <c r="IO668" s="54" t="s">
        <v>1938</v>
      </c>
      <c r="IR668">
        <v>2016</v>
      </c>
      <c r="JI668" t="s">
        <v>1958</v>
      </c>
      <c r="JK668" t="s">
        <v>14</v>
      </c>
      <c r="JO668" t="s">
        <v>13</v>
      </c>
      <c r="JP668">
        <v>125</v>
      </c>
      <c r="JS668">
        <v>60</v>
      </c>
      <c r="JT668">
        <v>30</v>
      </c>
      <c r="KD668" t="s">
        <v>1940</v>
      </c>
      <c r="KE668" s="84" t="s">
        <v>1561</v>
      </c>
      <c r="KF668" t="s">
        <v>1960</v>
      </c>
      <c r="KG668">
        <v>2</v>
      </c>
      <c r="KH668" t="s">
        <v>1959</v>
      </c>
      <c r="KJ668" s="8" t="s">
        <v>1962</v>
      </c>
      <c r="KK668" t="s">
        <v>1963</v>
      </c>
      <c r="KL668">
        <v>3</v>
      </c>
      <c r="KN668" s="8" t="s">
        <v>1941</v>
      </c>
      <c r="KO668" t="s">
        <v>234</v>
      </c>
      <c r="KP668" t="s">
        <v>234</v>
      </c>
      <c r="KR668" t="s">
        <v>1942</v>
      </c>
      <c r="KS668" t="s">
        <v>234</v>
      </c>
      <c r="KT668" t="s">
        <v>234</v>
      </c>
      <c r="LO668" t="s">
        <v>1964</v>
      </c>
      <c r="LS668" t="s">
        <v>1944</v>
      </c>
      <c r="LT668">
        <v>225</v>
      </c>
      <c r="LU668" s="4" t="s">
        <v>29</v>
      </c>
      <c r="MC668" s="58">
        <v>43362</v>
      </c>
      <c r="MD668" s="58">
        <v>43362</v>
      </c>
      <c r="MS668" t="s">
        <v>1945</v>
      </c>
      <c r="MT668" t="s">
        <v>234</v>
      </c>
      <c r="MW668" t="s">
        <v>168</v>
      </c>
      <c r="ND668" t="s">
        <v>1969</v>
      </c>
      <c r="NE668" t="s">
        <v>1967</v>
      </c>
      <c r="NF668" t="s">
        <v>1968</v>
      </c>
      <c r="NG668" s="4" t="s">
        <v>1966</v>
      </c>
      <c r="NH668" s="6" t="s">
        <v>1965</v>
      </c>
      <c r="NQ668" t="s">
        <v>6</v>
      </c>
      <c r="NR668">
        <v>333.82</v>
      </c>
      <c r="NS668" t="s">
        <v>234</v>
      </c>
      <c r="NT668" t="s">
        <v>234</v>
      </c>
      <c r="NW668" s="3">
        <v>3</v>
      </c>
      <c r="OH668" t="s">
        <v>1943</v>
      </c>
      <c r="OI668" t="s">
        <v>6</v>
      </c>
      <c r="OK668">
        <v>2017</v>
      </c>
      <c r="OL668">
        <v>2018</v>
      </c>
      <c r="OO668" t="s">
        <v>1178</v>
      </c>
      <c r="OP668" s="58">
        <v>46129</v>
      </c>
    </row>
    <row r="669" spans="1:406" ht="15.75" thickBot="1">
      <c r="A669" t="s">
        <v>248</v>
      </c>
      <c r="B669" t="s">
        <v>1903</v>
      </c>
      <c r="C669" t="s">
        <v>1904</v>
      </c>
      <c r="D669" s="4" t="s">
        <v>1955</v>
      </c>
      <c r="E669" s="90" t="s">
        <v>1974</v>
      </c>
      <c r="F669" t="s">
        <v>31</v>
      </c>
      <c r="G669" t="s">
        <v>2</v>
      </c>
      <c r="H669" t="s">
        <v>30</v>
      </c>
      <c r="I669">
        <v>30.9</v>
      </c>
      <c r="J669">
        <v>75.75</v>
      </c>
      <c r="K669" t="s">
        <v>29</v>
      </c>
      <c r="AV669" t="s">
        <v>838</v>
      </c>
      <c r="AW669" t="s">
        <v>234</v>
      </c>
      <c r="AX669" t="s">
        <v>234</v>
      </c>
      <c r="AY669">
        <v>2</v>
      </c>
      <c r="AZ669" t="s">
        <v>1956</v>
      </c>
      <c r="BA669">
        <v>2016</v>
      </c>
      <c r="BB669">
        <v>2018</v>
      </c>
      <c r="BD669" t="s">
        <v>1910</v>
      </c>
      <c r="BE669" t="s">
        <v>1970</v>
      </c>
      <c r="BF669" t="s">
        <v>57</v>
      </c>
      <c r="BG669" t="s">
        <v>1243</v>
      </c>
      <c r="BH669" t="s">
        <v>23</v>
      </c>
      <c r="BI669" t="s">
        <v>1933</v>
      </c>
      <c r="BJ669" t="s">
        <v>13</v>
      </c>
      <c r="BK669">
        <v>20</v>
      </c>
      <c r="BL669" t="s">
        <v>56</v>
      </c>
      <c r="BM669" t="s">
        <v>250</v>
      </c>
      <c r="BN669" t="s">
        <v>29</v>
      </c>
      <c r="BO669" t="s">
        <v>29</v>
      </c>
      <c r="BP669" t="s">
        <v>29</v>
      </c>
      <c r="BQ669" t="s">
        <v>275</v>
      </c>
      <c r="BR669" t="s">
        <v>1913</v>
      </c>
      <c r="BS669" t="s">
        <v>29</v>
      </c>
      <c r="BT669" t="s">
        <v>29</v>
      </c>
      <c r="BU669" t="s">
        <v>29</v>
      </c>
      <c r="BV669" t="s">
        <v>275</v>
      </c>
      <c r="BW669" t="s">
        <v>1912</v>
      </c>
      <c r="BX669" t="s">
        <v>29</v>
      </c>
      <c r="BY669" t="s">
        <v>29</v>
      </c>
      <c r="BZ669" t="s">
        <v>29</v>
      </c>
      <c r="CA669" t="s">
        <v>56</v>
      </c>
      <c r="CB669" t="s">
        <v>1184</v>
      </c>
      <c r="CC669" t="s">
        <v>29</v>
      </c>
      <c r="CD669" t="s">
        <v>29</v>
      </c>
      <c r="CE669" t="s">
        <v>29</v>
      </c>
      <c r="HU669" s="58">
        <v>42907</v>
      </c>
      <c r="IN669" t="s">
        <v>1915</v>
      </c>
      <c r="IO669" s="54" t="s">
        <v>1938</v>
      </c>
      <c r="IR669">
        <v>2016</v>
      </c>
      <c r="JI669" t="s">
        <v>1958</v>
      </c>
      <c r="JK669" t="s">
        <v>14</v>
      </c>
      <c r="JO669" t="s">
        <v>13</v>
      </c>
      <c r="JP669">
        <v>125</v>
      </c>
      <c r="JS669">
        <v>60</v>
      </c>
      <c r="JT669">
        <v>30</v>
      </c>
      <c r="KD669" t="s">
        <v>1940</v>
      </c>
      <c r="KE669" s="84" t="s">
        <v>1561</v>
      </c>
      <c r="KF669" t="s">
        <v>1960</v>
      </c>
      <c r="KG669">
        <v>2</v>
      </c>
      <c r="KH669" t="s">
        <v>1959</v>
      </c>
      <c r="KJ669" s="8" t="s">
        <v>1962</v>
      </c>
      <c r="KK669" t="s">
        <v>1963</v>
      </c>
      <c r="KL669">
        <v>3</v>
      </c>
      <c r="KN669" s="8" t="s">
        <v>1941</v>
      </c>
      <c r="KO669" t="s">
        <v>234</v>
      </c>
      <c r="KP669" t="s">
        <v>234</v>
      </c>
      <c r="KR669" t="s">
        <v>1942</v>
      </c>
      <c r="KS669" t="s">
        <v>234</v>
      </c>
      <c r="KT669" t="s">
        <v>234</v>
      </c>
      <c r="LO669" t="s">
        <v>1964</v>
      </c>
      <c r="LS669" t="s">
        <v>1944</v>
      </c>
      <c r="LT669">
        <v>225</v>
      </c>
      <c r="LU669" s="4" t="s">
        <v>29</v>
      </c>
      <c r="MC669" s="58">
        <v>43362</v>
      </c>
      <c r="MD669" s="58">
        <v>43362</v>
      </c>
      <c r="MS669" t="s">
        <v>1945</v>
      </c>
      <c r="MT669" t="s">
        <v>234</v>
      </c>
      <c r="MW669" t="s">
        <v>168</v>
      </c>
      <c r="ND669" t="s">
        <v>1969</v>
      </c>
      <c r="NE669" t="s">
        <v>1967</v>
      </c>
      <c r="NF669" t="s">
        <v>1968</v>
      </c>
      <c r="NG669" s="4" t="s">
        <v>1966</v>
      </c>
      <c r="NH669" s="6" t="s">
        <v>1965</v>
      </c>
      <c r="NQ669" t="s">
        <v>6</v>
      </c>
      <c r="NR669">
        <v>256.81</v>
      </c>
      <c r="NS669" t="s">
        <v>234</v>
      </c>
      <c r="NT669" t="s">
        <v>234</v>
      </c>
      <c r="NW669" s="3">
        <v>3</v>
      </c>
      <c r="OH669" t="s">
        <v>1943</v>
      </c>
      <c r="OI669" t="s">
        <v>6</v>
      </c>
      <c r="OK669">
        <v>2017</v>
      </c>
      <c r="OL669">
        <v>2018</v>
      </c>
      <c r="OO669" t="s">
        <v>1178</v>
      </c>
      <c r="OP669" s="58">
        <v>46129</v>
      </c>
    </row>
    <row r="670" spans="1:406" ht="15.75" thickBot="1">
      <c r="A670" t="s">
        <v>248</v>
      </c>
      <c r="B670" t="s">
        <v>1903</v>
      </c>
      <c r="C670" t="s">
        <v>1904</v>
      </c>
      <c r="D670" s="4" t="s">
        <v>1955</v>
      </c>
      <c r="E670" s="90" t="s">
        <v>1974</v>
      </c>
      <c r="F670" t="s">
        <v>31</v>
      </c>
      <c r="G670" t="s">
        <v>2</v>
      </c>
      <c r="H670" t="s">
        <v>30</v>
      </c>
      <c r="I670">
        <v>30.9</v>
      </c>
      <c r="J670">
        <v>75.75</v>
      </c>
      <c r="K670" t="s">
        <v>29</v>
      </c>
      <c r="AV670" t="s">
        <v>838</v>
      </c>
      <c r="AW670" t="s">
        <v>234</v>
      </c>
      <c r="AX670" t="s">
        <v>234</v>
      </c>
      <c r="AY670">
        <v>2</v>
      </c>
      <c r="AZ670" t="s">
        <v>1956</v>
      </c>
      <c r="BA670">
        <v>2016</v>
      </c>
      <c r="BB670">
        <v>2018</v>
      </c>
      <c r="BD670" t="s">
        <v>1910</v>
      </c>
      <c r="BE670" t="s">
        <v>1971</v>
      </c>
      <c r="BF670" t="s">
        <v>48</v>
      </c>
      <c r="BG670" t="s">
        <v>1243</v>
      </c>
      <c r="BH670" t="s">
        <v>23</v>
      </c>
      <c r="BI670" t="s">
        <v>1933</v>
      </c>
      <c r="BJ670" t="s">
        <v>13</v>
      </c>
      <c r="BK670">
        <v>20</v>
      </c>
      <c r="BL670" t="s">
        <v>56</v>
      </c>
      <c r="BM670" t="s">
        <v>250</v>
      </c>
      <c r="BN670" t="s">
        <v>29</v>
      </c>
      <c r="BO670" t="s">
        <v>29</v>
      </c>
      <c r="BP670" t="s">
        <v>29</v>
      </c>
      <c r="BQ670" t="s">
        <v>275</v>
      </c>
      <c r="BR670" t="s">
        <v>1913</v>
      </c>
      <c r="BS670" t="s">
        <v>29</v>
      </c>
      <c r="BT670" t="s">
        <v>29</v>
      </c>
      <c r="BU670" t="s">
        <v>29</v>
      </c>
      <c r="HU670" s="58">
        <v>42907</v>
      </c>
      <c r="IN670" t="s">
        <v>1917</v>
      </c>
      <c r="IO670" s="54" t="s">
        <v>1938</v>
      </c>
      <c r="IR670">
        <v>2016</v>
      </c>
      <c r="JI670" t="s">
        <v>1958</v>
      </c>
      <c r="JK670" t="s">
        <v>14</v>
      </c>
      <c r="JO670" t="s">
        <v>13</v>
      </c>
      <c r="JP670">
        <v>125</v>
      </c>
      <c r="JS670">
        <v>60</v>
      </c>
      <c r="JT670">
        <v>30</v>
      </c>
      <c r="KD670" t="s">
        <v>1940</v>
      </c>
      <c r="KE670" s="84" t="s">
        <v>1561</v>
      </c>
      <c r="KF670" t="s">
        <v>1960</v>
      </c>
      <c r="KG670">
        <v>2</v>
      </c>
      <c r="KH670" t="s">
        <v>1959</v>
      </c>
      <c r="KJ670" s="8" t="s">
        <v>1962</v>
      </c>
      <c r="KK670" t="s">
        <v>1963</v>
      </c>
      <c r="KL670">
        <v>3</v>
      </c>
      <c r="KN670" s="8" t="s">
        <v>1941</v>
      </c>
      <c r="KO670" t="s">
        <v>234</v>
      </c>
      <c r="KP670" t="s">
        <v>234</v>
      </c>
      <c r="KR670" t="s">
        <v>1942</v>
      </c>
      <c r="KS670" t="s">
        <v>234</v>
      </c>
      <c r="KT670" t="s">
        <v>234</v>
      </c>
      <c r="LO670" t="s">
        <v>1964</v>
      </c>
      <c r="LS670" t="s">
        <v>1944</v>
      </c>
      <c r="LT670">
        <v>225</v>
      </c>
      <c r="LU670" s="4" t="s">
        <v>29</v>
      </c>
      <c r="MC670" s="58">
        <v>43362</v>
      </c>
      <c r="MD670" s="58">
        <v>43362</v>
      </c>
      <c r="MS670" t="s">
        <v>1945</v>
      </c>
      <c r="MT670" t="s">
        <v>234</v>
      </c>
      <c r="MW670" t="s">
        <v>168</v>
      </c>
      <c r="ND670" t="s">
        <v>1969</v>
      </c>
      <c r="NE670" t="s">
        <v>1967</v>
      </c>
      <c r="NF670" t="s">
        <v>1968</v>
      </c>
      <c r="NG670" s="4" t="s">
        <v>1966</v>
      </c>
      <c r="NH670" s="6" t="s">
        <v>1965</v>
      </c>
      <c r="NQ670" t="s">
        <v>6</v>
      </c>
      <c r="NR670">
        <v>255.22</v>
      </c>
      <c r="NS670" t="s">
        <v>234</v>
      </c>
      <c r="NT670" t="s">
        <v>234</v>
      </c>
      <c r="NW670" s="3">
        <v>3</v>
      </c>
      <c r="OH670" t="s">
        <v>1943</v>
      </c>
      <c r="OI670" t="s">
        <v>6</v>
      </c>
      <c r="OK670">
        <v>2017</v>
      </c>
      <c r="OL670">
        <v>2018</v>
      </c>
      <c r="OO670" t="s">
        <v>1178</v>
      </c>
      <c r="OP670" s="58">
        <v>46129</v>
      </c>
    </row>
    <row r="671" spans="1:406" ht="15.75" thickBot="1">
      <c r="A671" t="s">
        <v>248</v>
      </c>
      <c r="B671" t="s">
        <v>1903</v>
      </c>
      <c r="C671" t="s">
        <v>1904</v>
      </c>
      <c r="D671" s="4" t="s">
        <v>1955</v>
      </c>
      <c r="E671" s="90" t="s">
        <v>1974</v>
      </c>
      <c r="F671" t="s">
        <v>31</v>
      </c>
      <c r="G671" t="s">
        <v>2</v>
      </c>
      <c r="H671" t="s">
        <v>30</v>
      </c>
      <c r="I671">
        <v>30.9</v>
      </c>
      <c r="J671">
        <v>75.75</v>
      </c>
      <c r="K671" t="s">
        <v>29</v>
      </c>
      <c r="AV671" t="s">
        <v>838</v>
      </c>
      <c r="AW671" t="s">
        <v>234</v>
      </c>
      <c r="AX671" t="s">
        <v>234</v>
      </c>
      <c r="AY671">
        <v>2</v>
      </c>
      <c r="AZ671" t="s">
        <v>1956</v>
      </c>
      <c r="BA671">
        <v>2016</v>
      </c>
      <c r="BB671">
        <v>2018</v>
      </c>
      <c r="BD671" t="s">
        <v>1910</v>
      </c>
      <c r="BE671" t="s">
        <v>1972</v>
      </c>
      <c r="BF671" t="s">
        <v>43</v>
      </c>
      <c r="BG671" t="s">
        <v>1243</v>
      </c>
      <c r="BH671" t="s">
        <v>23</v>
      </c>
      <c r="BI671" t="s">
        <v>1933</v>
      </c>
      <c r="BJ671" t="s">
        <v>13</v>
      </c>
      <c r="BK671">
        <v>20</v>
      </c>
      <c r="BL671" t="s">
        <v>56</v>
      </c>
      <c r="BM671" t="s">
        <v>250</v>
      </c>
      <c r="BN671" t="s">
        <v>29</v>
      </c>
      <c r="BO671" t="s">
        <v>29</v>
      </c>
      <c r="BP671" t="s">
        <v>29</v>
      </c>
      <c r="BQ671" t="s">
        <v>275</v>
      </c>
      <c r="BR671" t="s">
        <v>1935</v>
      </c>
      <c r="BS671" t="s">
        <v>29</v>
      </c>
      <c r="BT671" t="s">
        <v>29</v>
      </c>
      <c r="BU671" t="s">
        <v>29</v>
      </c>
      <c r="BV671" t="s">
        <v>275</v>
      </c>
      <c r="BW671" t="s">
        <v>1936</v>
      </c>
      <c r="BX671" t="s">
        <v>29</v>
      </c>
      <c r="BY671" t="s">
        <v>29</v>
      </c>
      <c r="BZ671" t="s">
        <v>29</v>
      </c>
      <c r="HU671" s="58">
        <v>42907</v>
      </c>
      <c r="IN671" t="s">
        <v>1919</v>
      </c>
      <c r="IO671" s="54" t="s">
        <v>1938</v>
      </c>
      <c r="IR671">
        <v>2016</v>
      </c>
      <c r="JI671" t="s">
        <v>1958</v>
      </c>
      <c r="JK671" t="s">
        <v>14</v>
      </c>
      <c r="JO671" t="s">
        <v>13</v>
      </c>
      <c r="JP671">
        <v>125</v>
      </c>
      <c r="JS671">
        <v>60</v>
      </c>
      <c r="JT671">
        <v>30</v>
      </c>
      <c r="KD671" t="s">
        <v>1940</v>
      </c>
      <c r="KE671" s="84" t="s">
        <v>1561</v>
      </c>
      <c r="KF671" t="s">
        <v>1960</v>
      </c>
      <c r="KG671">
        <v>2</v>
      </c>
      <c r="KH671" t="s">
        <v>1959</v>
      </c>
      <c r="KJ671" s="8" t="s">
        <v>1962</v>
      </c>
      <c r="KK671" t="s">
        <v>1963</v>
      </c>
      <c r="KL671">
        <v>3</v>
      </c>
      <c r="KN671" s="8" t="s">
        <v>1941</v>
      </c>
      <c r="KO671" t="s">
        <v>234</v>
      </c>
      <c r="KP671" t="s">
        <v>234</v>
      </c>
      <c r="KR671" t="s">
        <v>1942</v>
      </c>
      <c r="KS671" t="s">
        <v>234</v>
      </c>
      <c r="KT671" t="s">
        <v>234</v>
      </c>
      <c r="LO671" t="s">
        <v>1964</v>
      </c>
      <c r="LS671" t="s">
        <v>1944</v>
      </c>
      <c r="LT671">
        <v>225</v>
      </c>
      <c r="LU671" s="4" t="s">
        <v>29</v>
      </c>
      <c r="MC671" s="58">
        <v>43362</v>
      </c>
      <c r="MD671" s="58">
        <v>43362</v>
      </c>
      <c r="MS671" t="s">
        <v>1945</v>
      </c>
      <c r="MT671" t="s">
        <v>234</v>
      </c>
      <c r="MW671" t="s">
        <v>168</v>
      </c>
      <c r="ND671" t="s">
        <v>1969</v>
      </c>
      <c r="NE671" t="s">
        <v>1967</v>
      </c>
      <c r="NF671" t="s">
        <v>1968</v>
      </c>
      <c r="NG671" s="4" t="s">
        <v>1966</v>
      </c>
      <c r="NH671" s="6" t="s">
        <v>1965</v>
      </c>
      <c r="NQ671" t="s">
        <v>6</v>
      </c>
      <c r="NR671">
        <v>261.61</v>
      </c>
      <c r="NS671" t="s">
        <v>234</v>
      </c>
      <c r="NT671" t="s">
        <v>234</v>
      </c>
      <c r="NW671" s="3">
        <v>3</v>
      </c>
      <c r="OH671" t="s">
        <v>1943</v>
      </c>
      <c r="OI671" t="s">
        <v>6</v>
      </c>
      <c r="OK671">
        <v>2017</v>
      </c>
      <c r="OL671">
        <v>2018</v>
      </c>
      <c r="OO671" t="s">
        <v>1178</v>
      </c>
      <c r="OP671" s="58">
        <v>46129</v>
      </c>
    </row>
    <row r="672" spans="1:406" ht="15.75" thickBot="1">
      <c r="A672" t="s">
        <v>248</v>
      </c>
      <c r="B672" t="s">
        <v>1903</v>
      </c>
      <c r="C672" t="s">
        <v>1904</v>
      </c>
      <c r="D672" s="4" t="s">
        <v>1955</v>
      </c>
      <c r="E672" s="90" t="s">
        <v>1974</v>
      </c>
      <c r="F672" t="s">
        <v>31</v>
      </c>
      <c r="G672" t="s">
        <v>2</v>
      </c>
      <c r="H672" t="s">
        <v>30</v>
      </c>
      <c r="I672">
        <v>30.9</v>
      </c>
      <c r="J672">
        <v>75.75</v>
      </c>
      <c r="K672" t="s">
        <v>29</v>
      </c>
      <c r="AV672" t="s">
        <v>838</v>
      </c>
      <c r="AW672" t="s">
        <v>234</v>
      </c>
      <c r="AX672" t="s">
        <v>234</v>
      </c>
      <c r="AY672">
        <v>2</v>
      </c>
      <c r="AZ672" t="s">
        <v>1956</v>
      </c>
      <c r="BA672">
        <v>2016</v>
      </c>
      <c r="BB672">
        <v>2018</v>
      </c>
      <c r="BD672" t="s">
        <v>1910</v>
      </c>
      <c r="BE672" s="3" t="s">
        <v>1921</v>
      </c>
      <c r="BF672" t="s">
        <v>252</v>
      </c>
      <c r="BG672" t="s">
        <v>1243</v>
      </c>
      <c r="BH672" t="s">
        <v>23</v>
      </c>
      <c r="BI672" t="s">
        <v>1933</v>
      </c>
      <c r="BJ672" t="s">
        <v>13</v>
      </c>
      <c r="BK672">
        <v>20</v>
      </c>
      <c r="BL672" t="s">
        <v>275</v>
      </c>
      <c r="BM672" t="s">
        <v>1937</v>
      </c>
      <c r="BN672" t="s">
        <v>29</v>
      </c>
      <c r="BO672" t="s">
        <v>29</v>
      </c>
      <c r="BP672" t="s">
        <v>29</v>
      </c>
      <c r="BQ672" t="s">
        <v>275</v>
      </c>
      <c r="BR672" t="s">
        <v>1935</v>
      </c>
      <c r="BS672" t="s">
        <v>29</v>
      </c>
      <c r="BT672" t="s">
        <v>29</v>
      </c>
      <c r="BU672" t="s">
        <v>29</v>
      </c>
      <c r="BV672" t="s">
        <v>275</v>
      </c>
      <c r="BW672" t="s">
        <v>1936</v>
      </c>
      <c r="BX672" t="s">
        <v>29</v>
      </c>
      <c r="BY672" t="s">
        <v>29</v>
      </c>
      <c r="BZ672" t="s">
        <v>29</v>
      </c>
      <c r="HU672" s="58">
        <v>42907</v>
      </c>
      <c r="IN672" t="s">
        <v>1921</v>
      </c>
      <c r="IO672" s="54" t="s">
        <v>1938</v>
      </c>
      <c r="IR672">
        <v>2016</v>
      </c>
      <c r="JI672" t="s">
        <v>1958</v>
      </c>
      <c r="JK672" t="s">
        <v>14</v>
      </c>
      <c r="JO672" t="s">
        <v>13</v>
      </c>
      <c r="JP672">
        <v>125</v>
      </c>
      <c r="JS672">
        <v>60</v>
      </c>
      <c r="JT672">
        <v>30</v>
      </c>
      <c r="KD672" t="s">
        <v>1940</v>
      </c>
      <c r="KE672" s="84" t="s">
        <v>1561</v>
      </c>
      <c r="KF672" t="s">
        <v>1960</v>
      </c>
      <c r="KG672">
        <v>2</v>
      </c>
      <c r="KH672" t="s">
        <v>1959</v>
      </c>
      <c r="KJ672" s="8" t="s">
        <v>1962</v>
      </c>
      <c r="KK672" t="s">
        <v>1963</v>
      </c>
      <c r="KL672">
        <v>3</v>
      </c>
      <c r="KN672" s="8" t="s">
        <v>1941</v>
      </c>
      <c r="KO672" t="s">
        <v>234</v>
      </c>
      <c r="KP672" t="s">
        <v>234</v>
      </c>
      <c r="KR672" t="s">
        <v>1942</v>
      </c>
      <c r="KS672" t="s">
        <v>234</v>
      </c>
      <c r="KT672" t="s">
        <v>234</v>
      </c>
      <c r="LO672" t="s">
        <v>1964</v>
      </c>
      <c r="LS672" t="s">
        <v>1944</v>
      </c>
      <c r="LT672">
        <v>225</v>
      </c>
      <c r="LU672" s="4" t="s">
        <v>29</v>
      </c>
      <c r="MC672" s="58">
        <v>43362</v>
      </c>
      <c r="MD672" s="58">
        <v>43362</v>
      </c>
      <c r="MS672" t="s">
        <v>1945</v>
      </c>
      <c r="MT672" t="s">
        <v>234</v>
      </c>
      <c r="MW672" t="s">
        <v>168</v>
      </c>
      <c r="ND672" t="s">
        <v>1969</v>
      </c>
      <c r="NE672" t="s">
        <v>1967</v>
      </c>
      <c r="NF672" t="s">
        <v>1968</v>
      </c>
      <c r="NG672" s="4" t="s">
        <v>1966</v>
      </c>
      <c r="NH672" s="6" t="s">
        <v>1965</v>
      </c>
      <c r="NQ672" t="s">
        <v>6</v>
      </c>
      <c r="NR672">
        <v>332.78</v>
      </c>
      <c r="NS672" t="s">
        <v>234</v>
      </c>
      <c r="NT672" t="s">
        <v>234</v>
      </c>
      <c r="NW672" s="3">
        <v>3</v>
      </c>
      <c r="OH672" t="s">
        <v>1943</v>
      </c>
      <c r="OI672" t="s">
        <v>6</v>
      </c>
      <c r="OK672">
        <v>2017</v>
      </c>
      <c r="OL672">
        <v>2018</v>
      </c>
      <c r="OO672" t="s">
        <v>1178</v>
      </c>
      <c r="OP672" s="58">
        <v>46129</v>
      </c>
    </row>
    <row r="673" spans="1:411" ht="15.75" thickBot="1">
      <c r="A673" t="s">
        <v>248</v>
      </c>
      <c r="B673" t="s">
        <v>1903</v>
      </c>
      <c r="C673" t="s">
        <v>1904</v>
      </c>
      <c r="D673" s="4" t="s">
        <v>1955</v>
      </c>
      <c r="E673" s="90" t="s">
        <v>1974</v>
      </c>
      <c r="F673" t="s">
        <v>31</v>
      </c>
      <c r="G673" t="s">
        <v>2</v>
      </c>
      <c r="H673" t="s">
        <v>30</v>
      </c>
      <c r="I673">
        <v>30.9</v>
      </c>
      <c r="J673">
        <v>75.75</v>
      </c>
      <c r="K673" t="s">
        <v>29</v>
      </c>
      <c r="AV673" t="s">
        <v>838</v>
      </c>
      <c r="AW673" t="s">
        <v>234</v>
      </c>
      <c r="AX673" t="s">
        <v>234</v>
      </c>
      <c r="AY673">
        <v>2</v>
      </c>
      <c r="AZ673" t="s">
        <v>1956</v>
      </c>
      <c r="BA673">
        <v>2016</v>
      </c>
      <c r="BB673">
        <v>2018</v>
      </c>
      <c r="BD673" t="s">
        <v>1910</v>
      </c>
      <c r="BE673" s="15" t="s">
        <v>1973</v>
      </c>
      <c r="BF673" t="s">
        <v>236</v>
      </c>
      <c r="BG673" t="s">
        <v>1243</v>
      </c>
      <c r="BH673" t="s">
        <v>23</v>
      </c>
      <c r="BI673" t="s">
        <v>1933</v>
      </c>
      <c r="BJ673" t="s">
        <v>13</v>
      </c>
      <c r="BK673">
        <v>20</v>
      </c>
      <c r="BL673" t="s">
        <v>56</v>
      </c>
      <c r="BM673" t="s">
        <v>250</v>
      </c>
      <c r="BN673" t="s">
        <v>29</v>
      </c>
      <c r="BO673" t="s">
        <v>29</v>
      </c>
      <c r="BP673" t="s">
        <v>29</v>
      </c>
      <c r="BQ673" t="s">
        <v>275</v>
      </c>
      <c r="BR673" t="s">
        <v>1937</v>
      </c>
      <c r="BS673" t="s">
        <v>29</v>
      </c>
      <c r="BT673" t="s">
        <v>29</v>
      </c>
      <c r="BU673" t="s">
        <v>29</v>
      </c>
      <c r="BV673" t="s">
        <v>275</v>
      </c>
      <c r="BW673" t="s">
        <v>1935</v>
      </c>
      <c r="BX673" t="s">
        <v>29</v>
      </c>
      <c r="BY673" t="s">
        <v>29</v>
      </c>
      <c r="BZ673" t="s">
        <v>29</v>
      </c>
      <c r="CA673" t="s">
        <v>275</v>
      </c>
      <c r="CB673" t="s">
        <v>1936</v>
      </c>
      <c r="CC673" t="s">
        <v>29</v>
      </c>
      <c r="CD673" t="s">
        <v>29</v>
      </c>
      <c r="CE673" t="s">
        <v>29</v>
      </c>
      <c r="HU673" s="58">
        <v>42907</v>
      </c>
      <c r="IN673" t="s">
        <v>1923</v>
      </c>
      <c r="IO673" s="54" t="s">
        <v>1938</v>
      </c>
      <c r="IR673">
        <v>2016</v>
      </c>
      <c r="JI673" t="s">
        <v>1958</v>
      </c>
      <c r="JK673" t="s">
        <v>14</v>
      </c>
      <c r="JO673" t="s">
        <v>13</v>
      </c>
      <c r="JP673">
        <v>125</v>
      </c>
      <c r="JS673">
        <v>60</v>
      </c>
      <c r="JT673">
        <v>30</v>
      </c>
      <c r="KD673" t="s">
        <v>1940</v>
      </c>
      <c r="KE673" s="84" t="s">
        <v>1561</v>
      </c>
      <c r="KF673" t="s">
        <v>1960</v>
      </c>
      <c r="KG673">
        <v>2</v>
      </c>
      <c r="KH673" t="s">
        <v>1959</v>
      </c>
      <c r="KJ673" s="8" t="s">
        <v>1962</v>
      </c>
      <c r="KK673" t="s">
        <v>1963</v>
      </c>
      <c r="KL673">
        <v>3</v>
      </c>
      <c r="KN673" s="8" t="s">
        <v>1941</v>
      </c>
      <c r="KO673" t="s">
        <v>234</v>
      </c>
      <c r="KP673" t="s">
        <v>234</v>
      </c>
      <c r="KR673" t="s">
        <v>1942</v>
      </c>
      <c r="KS673" t="s">
        <v>234</v>
      </c>
      <c r="KT673" t="s">
        <v>234</v>
      </c>
      <c r="LO673" t="s">
        <v>1964</v>
      </c>
      <c r="LS673" t="s">
        <v>1944</v>
      </c>
      <c r="LT673">
        <v>225</v>
      </c>
      <c r="LU673" s="4" t="s">
        <v>29</v>
      </c>
      <c r="MC673" s="58">
        <v>43362</v>
      </c>
      <c r="MD673" s="58">
        <v>43362</v>
      </c>
      <c r="MS673" t="s">
        <v>1945</v>
      </c>
      <c r="MT673" t="s">
        <v>234</v>
      </c>
      <c r="MW673" t="s">
        <v>168</v>
      </c>
      <c r="ND673" t="s">
        <v>1969</v>
      </c>
      <c r="NE673" t="s">
        <v>1967</v>
      </c>
      <c r="NF673" t="s">
        <v>1968</v>
      </c>
      <c r="NG673" s="4" t="s">
        <v>1966</v>
      </c>
      <c r="NH673" s="6" t="s">
        <v>1965</v>
      </c>
      <c r="NQ673" t="s">
        <v>6</v>
      </c>
      <c r="NR673">
        <v>263.26</v>
      </c>
      <c r="NS673" t="s">
        <v>234</v>
      </c>
      <c r="NT673" t="s">
        <v>234</v>
      </c>
      <c r="NW673" s="3">
        <v>3</v>
      </c>
      <c r="OH673" t="s">
        <v>1943</v>
      </c>
      <c r="OI673" t="s">
        <v>6</v>
      </c>
      <c r="OK673">
        <v>2017</v>
      </c>
      <c r="OL673">
        <v>2018</v>
      </c>
      <c r="OO673" t="s">
        <v>1178</v>
      </c>
      <c r="OP673" s="58">
        <v>46129</v>
      </c>
    </row>
    <row r="674" spans="1:411">
      <c r="A674" s="87" t="s">
        <v>36</v>
      </c>
      <c r="B674" s="87" t="s">
        <v>1975</v>
      </c>
      <c r="C674" s="87" t="s">
        <v>1976</v>
      </c>
      <c r="D674" s="87" t="s">
        <v>1955</v>
      </c>
      <c r="E674" s="87" t="s">
        <v>1977</v>
      </c>
      <c r="F674" s="87" t="s">
        <v>1978</v>
      </c>
      <c r="G674" s="87" t="s">
        <v>2</v>
      </c>
      <c r="H674" s="87" t="s">
        <v>30</v>
      </c>
      <c r="I674" s="87">
        <v>-8.9</v>
      </c>
      <c r="J674" s="87">
        <v>-74.983000000000004</v>
      </c>
      <c r="K674" s="87"/>
      <c r="L674" s="87" t="s">
        <v>1976</v>
      </c>
      <c r="M674" s="87" t="s">
        <v>245</v>
      </c>
      <c r="N674" s="87" t="s">
        <v>1979</v>
      </c>
      <c r="O674" s="87" t="s">
        <v>1980</v>
      </c>
      <c r="P674" s="87" t="s">
        <v>2</v>
      </c>
      <c r="Q674" s="87" t="s">
        <v>30</v>
      </c>
      <c r="R674" s="87">
        <v>-8.5169999999999995</v>
      </c>
      <c r="S674" s="87">
        <v>-74.766999999999996</v>
      </c>
      <c r="T674" s="87"/>
      <c r="U674" s="87"/>
      <c r="V674" s="87"/>
      <c r="W674" s="87"/>
      <c r="X674" s="87"/>
      <c r="Y674" s="87"/>
      <c r="Z674" s="87"/>
      <c r="AA674" s="87"/>
      <c r="AB674" s="87"/>
      <c r="AC674" s="87"/>
      <c r="AD674" s="87"/>
      <c r="AE674" s="87"/>
      <c r="AF674" s="87"/>
      <c r="AG674" s="87"/>
      <c r="AH674" s="87"/>
      <c r="AI674" s="87"/>
      <c r="AJ674" s="87"/>
      <c r="AK674" s="87"/>
      <c r="AL674" s="87"/>
      <c r="AM674" s="87"/>
      <c r="AN674" s="87"/>
      <c r="AO674" s="87"/>
      <c r="AP674" s="87"/>
      <c r="AQ674" s="87"/>
      <c r="AR674" s="87"/>
      <c r="AS674" s="87"/>
      <c r="AT674" s="87"/>
      <c r="AU674" s="87"/>
      <c r="AV674" s="87" t="s">
        <v>1981</v>
      </c>
      <c r="AW674" s="87">
        <v>625</v>
      </c>
      <c r="AX674" s="87" t="s">
        <v>29</v>
      </c>
      <c r="AY674" s="87">
        <v>2</v>
      </c>
      <c r="AZ674" s="87" t="s">
        <v>1982</v>
      </c>
      <c r="BA674" s="87">
        <v>2009</v>
      </c>
      <c r="BB674" s="87">
        <v>2010</v>
      </c>
      <c r="BC674" s="87" t="s">
        <v>1983</v>
      </c>
      <c r="BD674" s="87" t="s">
        <v>1985</v>
      </c>
      <c r="BE674" s="87" t="s">
        <v>1984</v>
      </c>
      <c r="BF674" s="87" t="s">
        <v>39</v>
      </c>
      <c r="BG674" s="87" t="s">
        <v>1762</v>
      </c>
      <c r="BH674" s="87"/>
      <c r="BI674" s="87"/>
      <c r="BJ674" s="87"/>
      <c r="BK674" s="87"/>
      <c r="BL674" s="87"/>
      <c r="BM674" s="87"/>
      <c r="BN674" s="87"/>
      <c r="BO674" s="87"/>
      <c r="BP674" s="87"/>
      <c r="BQ674" s="87"/>
      <c r="BR674" s="87"/>
      <c r="BS674" s="87"/>
      <c r="BT674" s="87"/>
      <c r="BU674" s="87"/>
      <c r="BV674" s="87"/>
      <c r="BW674" s="87"/>
      <c r="BX674" s="87"/>
      <c r="BY674" s="87"/>
      <c r="BZ674" s="87"/>
      <c r="CA674" s="87"/>
      <c r="CB674" s="87"/>
      <c r="CC674" s="87"/>
      <c r="CD674" s="87"/>
      <c r="CE674" s="87"/>
      <c r="CF674" s="87"/>
      <c r="CG674" s="87"/>
      <c r="CH674" s="87"/>
      <c r="CI674" s="87"/>
      <c r="CJ674" s="87"/>
      <c r="CK674" s="87"/>
      <c r="CL674" s="87"/>
      <c r="CM674" s="87"/>
      <c r="CN674" s="87"/>
      <c r="CO674" s="87"/>
      <c r="CP674" s="87"/>
      <c r="CQ674" s="87"/>
      <c r="CR674" s="87"/>
      <c r="CS674" s="87"/>
      <c r="CT674" s="87"/>
      <c r="CU674" s="87"/>
      <c r="CV674" s="87"/>
      <c r="CW674" s="87"/>
      <c r="CX674" s="87"/>
      <c r="CY674" s="87"/>
      <c r="CZ674" s="87"/>
      <c r="DA674" s="87"/>
      <c r="DB674" s="87"/>
      <c r="DC674" s="87"/>
      <c r="DD674" s="87"/>
      <c r="DE674" s="87"/>
      <c r="DF674" s="87"/>
      <c r="DG674" s="87"/>
      <c r="DH674" s="87"/>
      <c r="DI674" s="87"/>
      <c r="DJ674" s="87"/>
      <c r="DK674" s="87"/>
      <c r="DL674" s="87"/>
      <c r="DM674" s="87"/>
      <c r="DN674" s="87"/>
      <c r="DO674" s="87"/>
      <c r="DP674" s="87"/>
      <c r="DQ674" s="87"/>
      <c r="DR674" s="87"/>
      <c r="DS674" s="87"/>
      <c r="DT674" s="87"/>
      <c r="DU674" s="87"/>
      <c r="DV674" s="87"/>
      <c r="DW674" s="87"/>
      <c r="DX674" s="87"/>
      <c r="DY674" s="87"/>
      <c r="DZ674" s="87"/>
      <c r="EA674" s="87"/>
      <c r="EB674" s="87"/>
      <c r="EC674" s="87"/>
      <c r="ED674" s="87"/>
      <c r="EE674" s="87"/>
      <c r="EF674" s="87"/>
      <c r="EG674" s="87"/>
      <c r="EH674" s="87"/>
      <c r="EI674" s="87"/>
      <c r="EJ674" s="144"/>
      <c r="EK674" s="144"/>
      <c r="EL674" s="144"/>
      <c r="EM674" s="144"/>
      <c r="EN674" s="144"/>
      <c r="EO674" s="144"/>
      <c r="EP674" s="144"/>
      <c r="EQ674" s="144"/>
      <c r="ER674" s="144"/>
      <c r="ES674" s="144"/>
      <c r="ET674" s="144"/>
      <c r="EU674" s="144"/>
      <c r="EV674" s="144"/>
      <c r="EW674" s="144"/>
      <c r="EX674" s="144"/>
      <c r="EY674" s="144"/>
      <c r="EZ674" s="144"/>
      <c r="FA674" s="144"/>
      <c r="FB674" s="144"/>
      <c r="FC674" s="144"/>
      <c r="FD674" s="144"/>
      <c r="FE674" s="144"/>
      <c r="FF674" s="144"/>
      <c r="FG674" s="144"/>
      <c r="FH674" s="144"/>
      <c r="FI674" s="144"/>
      <c r="FJ674" s="144"/>
      <c r="FK674" s="144"/>
      <c r="FL674" s="144"/>
      <c r="FM674" s="144"/>
      <c r="FN674" s="144"/>
      <c r="FO674" s="144"/>
      <c r="FP674" s="144"/>
      <c r="FQ674" s="144"/>
      <c r="FR674" s="144"/>
      <c r="FS674" s="144"/>
      <c r="FT674" s="144"/>
      <c r="FU674" s="144"/>
      <c r="FV674" s="144"/>
      <c r="FW674" s="144"/>
      <c r="FX674" s="144"/>
      <c r="FY674" s="144"/>
      <c r="FZ674" s="144"/>
      <c r="GA674" s="144"/>
      <c r="GB674" s="144"/>
      <c r="GC674" s="144"/>
      <c r="GD674" s="144"/>
      <c r="GE674" s="144"/>
      <c r="GF674" s="144"/>
      <c r="GG674" s="144"/>
      <c r="GH674" s="144"/>
      <c r="GI674" s="144"/>
      <c r="GJ674" s="144"/>
      <c r="GK674" s="144"/>
      <c r="GL674" s="144"/>
      <c r="GM674" s="144"/>
      <c r="GN674" s="144"/>
      <c r="GO674" s="144"/>
      <c r="GP674" s="144"/>
      <c r="GQ674" s="144"/>
      <c r="GR674" s="144"/>
      <c r="GS674" s="144"/>
      <c r="GT674" s="144"/>
      <c r="GU674" s="144"/>
      <c r="GV674" s="144"/>
      <c r="GW674" s="144"/>
      <c r="GX674" s="144"/>
      <c r="GY674" s="144"/>
      <c r="GZ674" s="144"/>
      <c r="HA674" s="144"/>
      <c r="HB674" s="144"/>
      <c r="HC674" s="144"/>
      <c r="HD674" s="144"/>
      <c r="HE674" s="144"/>
      <c r="HF674" s="144"/>
      <c r="HG674" s="144"/>
      <c r="HH674" s="144"/>
      <c r="HI674" s="144"/>
      <c r="HJ674" s="144"/>
      <c r="HK674" s="144"/>
      <c r="HL674" s="144" t="s">
        <v>1986</v>
      </c>
      <c r="HM674" s="144" t="s">
        <v>232</v>
      </c>
      <c r="HN674" s="87"/>
      <c r="HO674" s="87"/>
      <c r="HP674" s="87"/>
      <c r="HQ674" s="87"/>
      <c r="HR674" s="87"/>
      <c r="HS674" s="87"/>
      <c r="HT674" s="87"/>
      <c r="HU674" s="87"/>
      <c r="HV674" s="87"/>
      <c r="HW674" s="87"/>
      <c r="HX674" s="87"/>
      <c r="HY674" s="145"/>
      <c r="HZ674" s="87"/>
      <c r="IA674" s="87"/>
      <c r="IB674" s="87"/>
      <c r="IC674" s="87"/>
      <c r="ID674" s="87"/>
      <c r="IE674" s="87"/>
      <c r="IF674" s="87"/>
      <c r="IG674" s="87"/>
      <c r="IH674" s="87"/>
      <c r="II674" s="87"/>
      <c r="IJ674" s="87"/>
      <c r="IK674" s="87"/>
      <c r="IL674" s="87"/>
      <c r="IM674" s="87"/>
      <c r="IN674" s="87"/>
      <c r="IO674" s="87"/>
      <c r="IP674" s="87"/>
      <c r="IQ674" s="87"/>
      <c r="IR674" s="87"/>
      <c r="IS674" s="87"/>
      <c r="IT674" s="87"/>
      <c r="IU674" s="87"/>
      <c r="IV674" s="87"/>
      <c r="IW674" s="87"/>
      <c r="IX674" s="87"/>
      <c r="IY674" s="87">
        <v>20</v>
      </c>
      <c r="IZ674" s="87">
        <v>95</v>
      </c>
      <c r="JA674" s="87"/>
      <c r="JB674" s="87"/>
      <c r="JC674" s="87"/>
      <c r="JD674" s="87"/>
      <c r="JE674" s="87"/>
      <c r="JF674" s="87"/>
      <c r="JG674" s="87"/>
      <c r="JH674" s="87"/>
      <c r="JI674" s="87"/>
      <c r="JJ674" s="87"/>
      <c r="JK674" s="87"/>
      <c r="JL674" s="87"/>
      <c r="JM674" s="87"/>
      <c r="JN674" s="87"/>
      <c r="JO674" s="151"/>
      <c r="JP674" s="87"/>
      <c r="JQ674" s="87"/>
      <c r="JR674" s="87"/>
      <c r="JS674" s="87"/>
      <c r="JT674" s="87"/>
      <c r="JU674" s="87"/>
      <c r="JV674" s="87"/>
      <c r="JW674" s="87"/>
      <c r="JX674" s="87"/>
      <c r="JY674" s="151"/>
      <c r="JZ674" s="87"/>
      <c r="KA674" s="87"/>
      <c r="KB674" s="87"/>
      <c r="KC674" s="87"/>
      <c r="KD674" s="87"/>
      <c r="KE674" s="87"/>
      <c r="KF674" s="87"/>
      <c r="KG674" s="87"/>
      <c r="KH674" s="87"/>
      <c r="KI674" s="87"/>
      <c r="KJ674" s="87"/>
      <c r="KK674" s="87"/>
      <c r="KL674" s="87"/>
      <c r="KM674" s="87"/>
      <c r="KN674" s="87"/>
      <c r="KO674" s="87"/>
      <c r="KP674" s="87"/>
      <c r="KQ674" s="151"/>
      <c r="KR674" s="151"/>
      <c r="KS674" s="151"/>
      <c r="KT674" s="151"/>
      <c r="KU674" s="87"/>
      <c r="KV674" s="87"/>
      <c r="KW674" s="87"/>
      <c r="KX674" s="87"/>
      <c r="KY674" s="87"/>
      <c r="KZ674" s="87"/>
      <c r="LA674" s="87"/>
      <c r="LB674" s="87"/>
      <c r="LC674" s="87"/>
      <c r="LD674" s="87"/>
      <c r="LE674" s="87"/>
      <c r="LF674" s="87"/>
      <c r="LG674" s="87"/>
      <c r="LH674" s="87"/>
      <c r="LI674" s="87"/>
      <c r="LJ674" s="87"/>
      <c r="LK674" s="87"/>
      <c r="LL674" s="87"/>
      <c r="LM674" s="87"/>
      <c r="LN674" s="87"/>
      <c r="LO674" s="87"/>
      <c r="LP674" s="87"/>
      <c r="LQ674" s="87"/>
      <c r="LR674" s="87"/>
      <c r="LS674" s="87"/>
      <c r="LT674" s="87"/>
      <c r="LU674" s="87"/>
      <c r="LV674" s="87"/>
      <c r="LW674" s="87"/>
      <c r="LX674" s="87"/>
      <c r="LY674" s="87"/>
      <c r="LZ674" s="87"/>
      <c r="MA674" s="87"/>
      <c r="MB674" s="87"/>
      <c r="MC674" s="87"/>
      <c r="MD674" s="87"/>
      <c r="ME674" s="87"/>
      <c r="MF674" s="87"/>
      <c r="MG674" s="87"/>
      <c r="MH674" s="87"/>
      <c r="MI674" s="87"/>
      <c r="MJ674" s="87"/>
      <c r="MK674" s="87"/>
      <c r="ML674" s="87"/>
      <c r="MM674" s="87"/>
      <c r="MN674" s="87"/>
      <c r="MO674" s="87"/>
      <c r="MP674" s="87"/>
      <c r="MQ674" s="87"/>
      <c r="MR674" s="87"/>
      <c r="MS674" s="87" t="s">
        <v>1987</v>
      </c>
      <c r="MT674" s="87">
        <v>625</v>
      </c>
      <c r="MU674" s="87" t="s">
        <v>1988</v>
      </c>
      <c r="MV674" s="87"/>
      <c r="MW674" s="87" t="s">
        <v>1992</v>
      </c>
      <c r="MX674" s="87" t="s">
        <v>1993</v>
      </c>
      <c r="MY674" s="87" t="s">
        <v>1994</v>
      </c>
      <c r="MZ674" s="87" t="s">
        <v>1995</v>
      </c>
      <c r="NA674" s="87" t="s">
        <v>1996</v>
      </c>
      <c r="NB674" s="87"/>
      <c r="NC674" s="87"/>
      <c r="ND674" s="87"/>
      <c r="NE674" s="87" t="s">
        <v>1989</v>
      </c>
      <c r="NF674" s="87" t="s">
        <v>1990</v>
      </c>
      <c r="NG674" s="87" t="s">
        <v>203</v>
      </c>
      <c r="NH674" s="87" t="s">
        <v>1991</v>
      </c>
      <c r="NI674" s="87"/>
      <c r="NJ674" s="87"/>
      <c r="NK674" s="87"/>
      <c r="NL674" s="87"/>
      <c r="NM674" s="87"/>
      <c r="NN674" s="87"/>
      <c r="NO674" s="87"/>
      <c r="NP674" s="87" t="s">
        <v>1997</v>
      </c>
      <c r="NQ674" s="87" t="s">
        <v>1998</v>
      </c>
      <c r="NR674" s="87">
        <v>1348</v>
      </c>
      <c r="NS674" s="87" t="s">
        <v>29</v>
      </c>
      <c r="NT674" s="87" t="s">
        <v>29</v>
      </c>
      <c r="NU674" s="87"/>
      <c r="NV674" s="87"/>
      <c r="NW674" s="87">
        <v>8</v>
      </c>
      <c r="NX674" s="87"/>
      <c r="NY674" s="87"/>
      <c r="NZ674" s="87"/>
      <c r="OA674" s="87"/>
      <c r="OB674" s="87"/>
      <c r="OC674" s="87"/>
      <c r="OD674" s="87"/>
      <c r="OE674" s="87"/>
      <c r="OF674" s="87"/>
      <c r="OG674" s="87"/>
      <c r="OH674" s="87" t="s">
        <v>1999</v>
      </c>
      <c r="OI674" s="149"/>
      <c r="OJ674" s="87"/>
      <c r="OK674" s="87">
        <v>2009</v>
      </c>
      <c r="OL674" s="87">
        <v>2010</v>
      </c>
      <c r="OM674" s="87"/>
      <c r="ON674" s="87"/>
      <c r="OO674" s="87" t="s">
        <v>2000</v>
      </c>
      <c r="OP674" s="145">
        <v>46133</v>
      </c>
      <c r="OQ674" s="87"/>
      <c r="OR674" s="87"/>
      <c r="OS674" s="87"/>
      <c r="OT674" s="87"/>
      <c r="OU674" s="143"/>
    </row>
    <row r="675" spans="1:411">
      <c r="A675" t="s">
        <v>36</v>
      </c>
      <c r="B675" t="s">
        <v>1975</v>
      </c>
      <c r="C675" t="s">
        <v>1976</v>
      </c>
      <c r="D675" t="s">
        <v>245</v>
      </c>
      <c r="E675" t="s">
        <v>1979</v>
      </c>
      <c r="F675" t="s">
        <v>1980</v>
      </c>
      <c r="G675" t="s">
        <v>2</v>
      </c>
      <c r="H675" t="s">
        <v>30</v>
      </c>
      <c r="I675">
        <v>-8.5169999999999995</v>
      </c>
      <c r="J675">
        <v>-74.766999999999996</v>
      </c>
      <c r="L675" t="s">
        <v>1976</v>
      </c>
      <c r="M675" t="s">
        <v>245</v>
      </c>
      <c r="N675" t="s">
        <v>2001</v>
      </c>
      <c r="O675" t="s">
        <v>1980</v>
      </c>
      <c r="P675" t="s">
        <v>2</v>
      </c>
      <c r="Q675" t="s">
        <v>30</v>
      </c>
      <c r="R675">
        <v>-8.3670000000000009</v>
      </c>
      <c r="S675">
        <v>-74.7</v>
      </c>
      <c r="AV675" t="s">
        <v>1981</v>
      </c>
      <c r="AW675">
        <v>625</v>
      </c>
      <c r="AX675" t="s">
        <v>29</v>
      </c>
      <c r="AY675">
        <v>2</v>
      </c>
      <c r="AZ675" t="s">
        <v>1982</v>
      </c>
      <c r="BA675">
        <v>2009</v>
      </c>
      <c r="BB675">
        <v>2010</v>
      </c>
      <c r="BC675" t="s">
        <v>1983</v>
      </c>
      <c r="BD675" t="s">
        <v>2009</v>
      </c>
      <c r="BE675" t="s">
        <v>2003</v>
      </c>
      <c r="BF675" t="s">
        <v>64</v>
      </c>
      <c r="BG675" t="s">
        <v>1243</v>
      </c>
      <c r="BH675" t="s">
        <v>2004</v>
      </c>
      <c r="BI675" t="s">
        <v>29</v>
      </c>
      <c r="BJ675" t="s">
        <v>29</v>
      </c>
      <c r="BK675" t="s">
        <v>29</v>
      </c>
      <c r="EE675" t="s">
        <v>2005</v>
      </c>
      <c r="EF675" t="s">
        <v>2006</v>
      </c>
      <c r="EG675">
        <v>0.24</v>
      </c>
      <c r="EH675" t="s">
        <v>2009</v>
      </c>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c r="HL675" s="9" t="s">
        <v>2007</v>
      </c>
      <c r="HM675" s="9" t="s">
        <v>232</v>
      </c>
      <c r="HY675" s="58"/>
      <c r="IU675" t="s">
        <v>2008</v>
      </c>
      <c r="IV675" t="s">
        <v>2009</v>
      </c>
      <c r="IW675" t="s">
        <v>2010</v>
      </c>
      <c r="IY675">
        <v>6</v>
      </c>
      <c r="IZ675">
        <v>77.5</v>
      </c>
      <c r="JA675">
        <v>75</v>
      </c>
      <c r="JB675">
        <v>80</v>
      </c>
      <c r="JC675">
        <v>7.5</v>
      </c>
      <c r="JD675">
        <v>6</v>
      </c>
      <c r="JE675">
        <v>9</v>
      </c>
      <c r="JO675" s="9"/>
      <c r="JY675" s="9"/>
      <c r="KQ675" s="9"/>
      <c r="KR675" s="9"/>
      <c r="KS675" s="9"/>
      <c r="KT675" s="9"/>
      <c r="MS675" t="s">
        <v>1987</v>
      </c>
      <c r="MT675">
        <v>625</v>
      </c>
      <c r="MU675" t="s">
        <v>1988</v>
      </c>
      <c r="MW675" t="s">
        <v>1992</v>
      </c>
      <c r="MX675" t="s">
        <v>1993</v>
      </c>
      <c r="MY675" t="s">
        <v>1994</v>
      </c>
      <c r="MZ675" t="s">
        <v>1995</v>
      </c>
      <c r="NA675" t="s">
        <v>1996</v>
      </c>
      <c r="NE675" t="s">
        <v>1989</v>
      </c>
      <c r="NF675" t="s">
        <v>1990</v>
      </c>
      <c r="NG675" t="s">
        <v>203</v>
      </c>
      <c r="NH675" t="s">
        <v>1991</v>
      </c>
      <c r="NP675" t="s">
        <v>2011</v>
      </c>
      <c r="NQ675" t="s">
        <v>1998</v>
      </c>
      <c r="NR675">
        <v>992</v>
      </c>
      <c r="NS675" t="s">
        <v>29</v>
      </c>
      <c r="NT675" t="s">
        <v>29</v>
      </c>
      <c r="NW675">
        <v>31</v>
      </c>
      <c r="OH675" t="s">
        <v>1999</v>
      </c>
      <c r="OI675" s="19"/>
      <c r="OK675">
        <v>2009</v>
      </c>
      <c r="OL675">
        <v>2010</v>
      </c>
      <c r="OO675" t="s">
        <v>2000</v>
      </c>
      <c r="OP675" s="58">
        <v>46133</v>
      </c>
    </row>
    <row r="676" spans="1:411">
      <c r="A676" s="87" t="s">
        <v>36</v>
      </c>
      <c r="B676" s="87" t="s">
        <v>1975</v>
      </c>
      <c r="C676" s="87" t="s">
        <v>1976</v>
      </c>
      <c r="D676" s="87" t="s">
        <v>245</v>
      </c>
      <c r="E676" s="87" t="s">
        <v>2012</v>
      </c>
      <c r="F676" s="87" t="s">
        <v>1980</v>
      </c>
      <c r="G676" s="87" t="s">
        <v>2</v>
      </c>
      <c r="H676" s="87" t="s">
        <v>30</v>
      </c>
      <c r="I676" s="87">
        <v>-8.8170000000000002</v>
      </c>
      <c r="J676" s="87">
        <v>-75.2</v>
      </c>
      <c r="K676" s="87"/>
      <c r="L676" s="87" t="s">
        <v>1976</v>
      </c>
      <c r="M676" s="87" t="s">
        <v>245</v>
      </c>
      <c r="N676" s="87" t="s">
        <v>1979</v>
      </c>
      <c r="O676" s="87" t="s">
        <v>1980</v>
      </c>
      <c r="P676" s="87" t="s">
        <v>2</v>
      </c>
      <c r="Q676" s="87" t="s">
        <v>30</v>
      </c>
      <c r="R676" s="87">
        <v>-8.5169999999999995</v>
      </c>
      <c r="S676" s="87">
        <v>-74.766999999999996</v>
      </c>
      <c r="T676" s="87"/>
      <c r="U676" s="87"/>
      <c r="V676" s="87"/>
      <c r="W676" s="87"/>
      <c r="X676" s="87"/>
      <c r="Y676" s="87"/>
      <c r="Z676" s="87"/>
      <c r="AA676" s="87"/>
      <c r="AB676" s="87"/>
      <c r="AC676" s="87"/>
      <c r="AD676" s="87"/>
      <c r="AE676" s="87"/>
      <c r="AF676" s="87"/>
      <c r="AG676" s="87"/>
      <c r="AH676" s="87"/>
      <c r="AI676" s="87"/>
      <c r="AJ676" s="87"/>
      <c r="AK676" s="87"/>
      <c r="AL676" s="87"/>
      <c r="AM676" s="87"/>
      <c r="AN676" s="87"/>
      <c r="AO676" s="87"/>
      <c r="AP676" s="87"/>
      <c r="AQ676" s="87"/>
      <c r="AR676" s="87"/>
      <c r="AS676" s="87"/>
      <c r="AT676" s="87"/>
      <c r="AU676" s="87"/>
      <c r="AV676" s="87" t="s">
        <v>1981</v>
      </c>
      <c r="AW676" s="87">
        <v>625</v>
      </c>
      <c r="AX676" s="87" t="s">
        <v>29</v>
      </c>
      <c r="AY676" s="87">
        <v>2</v>
      </c>
      <c r="AZ676" s="87" t="s">
        <v>1982</v>
      </c>
      <c r="BA676" s="87">
        <v>2009</v>
      </c>
      <c r="BB676" s="87">
        <v>2010</v>
      </c>
      <c r="BC676" s="87" t="s">
        <v>1983</v>
      </c>
      <c r="BD676" s="87" t="s">
        <v>2002</v>
      </c>
      <c r="BE676" s="87" t="s">
        <v>2013</v>
      </c>
      <c r="BF676" s="87" t="s">
        <v>57</v>
      </c>
      <c r="BG676" s="87" t="s">
        <v>1243</v>
      </c>
      <c r="BH676" s="87" t="s">
        <v>2014</v>
      </c>
      <c r="BI676" s="87" t="s">
        <v>29</v>
      </c>
      <c r="BJ676" s="87" t="s">
        <v>29</v>
      </c>
      <c r="BK676" s="87" t="s">
        <v>29</v>
      </c>
      <c r="BL676" s="87"/>
      <c r="BM676" s="87"/>
      <c r="BN676" s="87"/>
      <c r="BO676" s="87"/>
      <c r="BP676" s="87"/>
      <c r="BQ676" s="87"/>
      <c r="BR676" s="87"/>
      <c r="BS676" s="87"/>
      <c r="BT676" s="87"/>
      <c r="BU676" s="87"/>
      <c r="BV676" s="87"/>
      <c r="BW676" s="87"/>
      <c r="BX676" s="87"/>
      <c r="BY676" s="87"/>
      <c r="BZ676" s="87"/>
      <c r="CA676" s="87"/>
      <c r="CB676" s="87"/>
      <c r="CC676" s="87"/>
      <c r="CD676" s="87"/>
      <c r="CE676" s="87"/>
      <c r="CF676" s="87"/>
      <c r="CG676" s="87"/>
      <c r="CH676" s="87"/>
      <c r="CI676" s="87"/>
      <c r="CJ676" s="87"/>
      <c r="CK676" s="87"/>
      <c r="CL676" s="87"/>
      <c r="CM676" s="87"/>
      <c r="CN676" s="87"/>
      <c r="CO676" s="87"/>
      <c r="CP676" s="87"/>
      <c r="CQ676" s="87"/>
      <c r="CR676" s="87"/>
      <c r="CS676" s="87"/>
      <c r="CT676" s="87"/>
      <c r="CU676" s="87"/>
      <c r="CV676" s="87"/>
      <c r="CW676" s="87"/>
      <c r="CX676" s="87"/>
      <c r="CY676" s="87"/>
      <c r="CZ676" s="87"/>
      <c r="DA676" s="87"/>
      <c r="DB676" s="87"/>
      <c r="DC676" s="87"/>
      <c r="DD676" s="87"/>
      <c r="DE676" s="87"/>
      <c r="DF676" s="87"/>
      <c r="DG676" s="87"/>
      <c r="DH676" s="87"/>
      <c r="DI676" s="87"/>
      <c r="DJ676" s="87"/>
      <c r="DK676" s="87"/>
      <c r="DL676" s="87"/>
      <c r="DM676" s="87"/>
      <c r="DN676" s="87"/>
      <c r="DO676" s="87"/>
      <c r="DP676" s="87"/>
      <c r="DQ676" s="87"/>
      <c r="DR676" s="87"/>
      <c r="DS676" s="87"/>
      <c r="DT676" s="87"/>
      <c r="DU676" s="87"/>
      <c r="DV676" s="87"/>
      <c r="DW676" s="87"/>
      <c r="DX676" s="87"/>
      <c r="DY676" s="87"/>
      <c r="DZ676" s="87"/>
      <c r="EA676" s="87"/>
      <c r="EB676" s="87"/>
      <c r="EC676" s="87"/>
      <c r="ED676" s="87"/>
      <c r="EE676" s="87" t="s">
        <v>2015</v>
      </c>
      <c r="EF676" s="87" t="s">
        <v>2006</v>
      </c>
      <c r="EG676" s="87">
        <v>0.24</v>
      </c>
      <c r="EH676" s="87" t="s">
        <v>2056</v>
      </c>
      <c r="EI676" s="87" t="s">
        <v>2016</v>
      </c>
      <c r="EJ676" s="144" t="s">
        <v>2006</v>
      </c>
      <c r="EK676" s="144">
        <v>0.24</v>
      </c>
      <c r="EL676" s="144"/>
      <c r="EM676" s="144" t="s">
        <v>2017</v>
      </c>
      <c r="EN676" s="144" t="s">
        <v>2006</v>
      </c>
      <c r="EO676" s="144" t="s">
        <v>29</v>
      </c>
      <c r="EP676" s="144"/>
      <c r="EQ676" s="144" t="s">
        <v>2018</v>
      </c>
      <c r="ER676" s="144" t="s">
        <v>2006</v>
      </c>
      <c r="ES676" s="144" t="s">
        <v>29</v>
      </c>
      <c r="ET676" s="144"/>
      <c r="EU676" s="144" t="s">
        <v>2019</v>
      </c>
      <c r="EV676" s="144" t="s">
        <v>2006</v>
      </c>
      <c r="EW676" s="144" t="s">
        <v>29</v>
      </c>
      <c r="EX676" s="144"/>
      <c r="EY676" s="144"/>
      <c r="EZ676" s="144"/>
      <c r="FA676" s="144"/>
      <c r="FB676" s="144"/>
      <c r="FC676" s="144"/>
      <c r="FD676" s="144"/>
      <c r="FE676" s="144"/>
      <c r="FF676" s="144"/>
      <c r="FG676" s="144"/>
      <c r="FH676" s="144"/>
      <c r="FI676" s="144"/>
      <c r="FJ676" s="144"/>
      <c r="FK676" s="144"/>
      <c r="FL676" s="144"/>
      <c r="FM676" s="144"/>
      <c r="FN676" s="144"/>
      <c r="FO676" s="144"/>
      <c r="FP676" s="144"/>
      <c r="FQ676" s="144"/>
      <c r="FR676" s="144"/>
      <c r="FS676" s="144"/>
      <c r="FT676" s="144"/>
      <c r="FU676" s="144"/>
      <c r="FV676" s="144"/>
      <c r="FW676" s="144"/>
      <c r="FX676" s="144"/>
      <c r="FY676" s="144"/>
      <c r="FZ676" s="144"/>
      <c r="GA676" s="144"/>
      <c r="GB676" s="144"/>
      <c r="GC676" s="144"/>
      <c r="GD676" s="144"/>
      <c r="GE676" s="144"/>
      <c r="GF676" s="144"/>
      <c r="GG676" s="144"/>
      <c r="GH676" s="144"/>
      <c r="GI676" s="144"/>
      <c r="GJ676" s="144"/>
      <c r="GK676" s="144"/>
      <c r="GL676" s="144"/>
      <c r="GM676" s="144"/>
      <c r="GN676" s="144"/>
      <c r="GO676" s="144"/>
      <c r="GP676" s="144"/>
      <c r="GQ676" s="144"/>
      <c r="GR676" s="144"/>
      <c r="GS676" s="144"/>
      <c r="GT676" s="144"/>
      <c r="GU676" s="144"/>
      <c r="GV676" s="144"/>
      <c r="GW676" s="144"/>
      <c r="GX676" s="144"/>
      <c r="GY676" s="144"/>
      <c r="GZ676" s="144"/>
      <c r="HA676" s="144"/>
      <c r="HB676" s="144"/>
      <c r="HC676" s="144"/>
      <c r="HD676" s="144"/>
      <c r="HE676" s="144"/>
      <c r="HF676" s="144"/>
      <c r="HG676" s="144"/>
      <c r="HH676" s="144"/>
      <c r="HI676" s="144"/>
      <c r="HJ676" s="144"/>
      <c r="HK676" s="144"/>
      <c r="HL676" s="144" t="s">
        <v>2007</v>
      </c>
      <c r="HM676" s="144" t="s">
        <v>232</v>
      </c>
      <c r="HN676" s="87"/>
      <c r="HO676" s="87"/>
      <c r="HP676" s="87"/>
      <c r="HQ676" s="87"/>
      <c r="HR676" s="87"/>
      <c r="HS676" s="87"/>
      <c r="HT676" s="87"/>
      <c r="HU676" s="87"/>
      <c r="HV676" s="87"/>
      <c r="HW676" s="87"/>
      <c r="HX676" s="87"/>
      <c r="HY676" s="145"/>
      <c r="HZ676" s="87"/>
      <c r="IA676" s="87"/>
      <c r="IB676" s="87"/>
      <c r="IC676" s="87"/>
      <c r="ID676" s="87"/>
      <c r="IE676" s="87"/>
      <c r="IF676" s="87"/>
      <c r="IG676" s="87"/>
      <c r="IH676" s="87"/>
      <c r="II676" s="87"/>
      <c r="IJ676" s="87"/>
      <c r="IK676" s="87"/>
      <c r="IL676" s="87"/>
      <c r="IM676" s="87"/>
      <c r="IN676" s="87"/>
      <c r="IO676" s="87"/>
      <c r="IP676" s="87"/>
      <c r="IQ676" s="87"/>
      <c r="IR676" s="87"/>
      <c r="IS676" s="87"/>
      <c r="IT676" s="87"/>
      <c r="IU676" s="87" t="s">
        <v>2020</v>
      </c>
      <c r="IV676" s="87" t="s">
        <v>2009</v>
      </c>
      <c r="IW676" s="87" t="s">
        <v>2021</v>
      </c>
      <c r="IX676" s="87"/>
      <c r="IY676" s="87"/>
      <c r="IZ676" s="87">
        <v>50</v>
      </c>
      <c r="JA676" s="87"/>
      <c r="JB676" s="87"/>
      <c r="JC676" s="87">
        <v>12</v>
      </c>
      <c r="JD676" s="87"/>
      <c r="JE676" s="87"/>
      <c r="JF676" s="87"/>
      <c r="JG676" s="87"/>
      <c r="JH676" s="87"/>
      <c r="JI676" s="87"/>
      <c r="JJ676" s="87"/>
      <c r="JK676" s="87"/>
      <c r="JL676" s="87"/>
      <c r="JM676" s="87"/>
      <c r="JN676" s="87"/>
      <c r="JO676" s="151"/>
      <c r="JP676" s="87"/>
      <c r="JQ676" s="87"/>
      <c r="JR676" s="87"/>
      <c r="JS676" s="87"/>
      <c r="JT676" s="87"/>
      <c r="JU676" s="87"/>
      <c r="JV676" s="87"/>
      <c r="JW676" s="87"/>
      <c r="JX676" s="87"/>
      <c r="JY676" s="151"/>
      <c r="JZ676" s="87"/>
      <c r="KA676" s="87"/>
      <c r="KB676" s="87"/>
      <c r="KC676" s="87"/>
      <c r="KD676" s="87"/>
      <c r="KE676" s="87"/>
      <c r="KF676" s="87"/>
      <c r="KG676" s="87"/>
      <c r="KH676" s="87"/>
      <c r="KI676" s="87"/>
      <c r="KJ676" s="87"/>
      <c r="KK676" s="87"/>
      <c r="KL676" s="87"/>
      <c r="KM676" s="87"/>
      <c r="KN676" s="87"/>
      <c r="KO676" s="87"/>
      <c r="KP676" s="87"/>
      <c r="KQ676" s="151"/>
      <c r="KR676" s="151"/>
      <c r="KS676" s="151"/>
      <c r="KT676" s="151"/>
      <c r="KU676" s="87"/>
      <c r="KV676" s="87"/>
      <c r="KW676" s="87"/>
      <c r="KX676" s="87"/>
      <c r="KY676" s="87"/>
      <c r="KZ676" s="87"/>
      <c r="LA676" s="87"/>
      <c r="LB676" s="87"/>
      <c r="LC676" s="87"/>
      <c r="LD676" s="87"/>
      <c r="LE676" s="87"/>
      <c r="LF676" s="87"/>
      <c r="LG676" s="87"/>
      <c r="LH676" s="87"/>
      <c r="LI676" s="87"/>
      <c r="LJ676" s="87"/>
      <c r="LK676" s="87"/>
      <c r="LL676" s="87"/>
      <c r="LM676" s="87"/>
      <c r="LN676" s="87"/>
      <c r="LO676" s="87"/>
      <c r="LP676" s="87"/>
      <c r="LQ676" s="87"/>
      <c r="LR676" s="87"/>
      <c r="LS676" s="87"/>
      <c r="LT676" s="87"/>
      <c r="LU676" s="87"/>
      <c r="LV676" s="87"/>
      <c r="LW676" s="87"/>
      <c r="LX676" s="87"/>
      <c r="LY676" s="87"/>
      <c r="LZ676" s="87"/>
      <c r="MA676" s="87"/>
      <c r="MB676" s="87"/>
      <c r="MC676" s="87"/>
      <c r="MD676" s="87"/>
      <c r="ME676" s="87"/>
      <c r="MF676" s="87"/>
      <c r="MG676" s="87"/>
      <c r="MH676" s="87"/>
      <c r="MI676" s="87"/>
      <c r="MJ676" s="87"/>
      <c r="MK676" s="87"/>
      <c r="ML676" s="87"/>
      <c r="MM676" s="87"/>
      <c r="MN676" s="87"/>
      <c r="MO676" s="87"/>
      <c r="MP676" s="87"/>
      <c r="MQ676" s="87"/>
      <c r="MR676" s="87"/>
      <c r="MS676" s="87" t="s">
        <v>1987</v>
      </c>
      <c r="MT676" s="87">
        <v>625</v>
      </c>
      <c r="MU676" s="87" t="s">
        <v>1988</v>
      </c>
      <c r="MV676" s="87"/>
      <c r="MW676" s="87" t="s">
        <v>1992</v>
      </c>
      <c r="MX676" s="87" t="s">
        <v>1993</v>
      </c>
      <c r="MY676" s="87" t="s">
        <v>1994</v>
      </c>
      <c r="MZ676" s="87" t="s">
        <v>1995</v>
      </c>
      <c r="NA676" s="87" t="s">
        <v>1996</v>
      </c>
      <c r="NB676" s="87"/>
      <c r="NC676" s="87"/>
      <c r="ND676" s="87"/>
      <c r="NE676" s="87" t="s">
        <v>1989</v>
      </c>
      <c r="NF676" s="87" t="s">
        <v>1990</v>
      </c>
      <c r="NG676" s="87" t="s">
        <v>203</v>
      </c>
      <c r="NH676" s="87" t="s">
        <v>1991</v>
      </c>
      <c r="NI676" s="87"/>
      <c r="NJ676" s="87"/>
      <c r="NK676" s="87"/>
      <c r="NL676" s="87"/>
      <c r="NM676" s="87"/>
      <c r="NN676" s="87"/>
      <c r="NO676" s="87"/>
      <c r="NP676" s="87" t="s">
        <v>2022</v>
      </c>
      <c r="NQ676" s="87" t="s">
        <v>1998</v>
      </c>
      <c r="NR676" s="87">
        <v>297</v>
      </c>
      <c r="NS676" s="87" t="s">
        <v>29</v>
      </c>
      <c r="NT676" s="87" t="s">
        <v>29</v>
      </c>
      <c r="NU676" s="87"/>
      <c r="NV676" s="87"/>
      <c r="NW676" s="87">
        <v>32</v>
      </c>
      <c r="NX676" s="87"/>
      <c r="NY676" s="87"/>
      <c r="NZ676" s="87"/>
      <c r="OA676" s="87"/>
      <c r="OB676" s="87"/>
      <c r="OC676" s="87"/>
      <c r="OD676" s="87"/>
      <c r="OE676" s="87"/>
      <c r="OF676" s="87"/>
      <c r="OG676" s="87"/>
      <c r="OH676" s="87" t="s">
        <v>1999</v>
      </c>
      <c r="OI676" s="149"/>
      <c r="OJ676" s="87"/>
      <c r="OK676" s="87">
        <v>2009</v>
      </c>
      <c r="OL676" s="87">
        <v>2010</v>
      </c>
      <c r="OM676" s="87"/>
      <c r="ON676" s="87"/>
      <c r="OO676" s="87" t="s">
        <v>2000</v>
      </c>
      <c r="OP676" s="145">
        <v>46133</v>
      </c>
      <c r="OQ676" s="87"/>
      <c r="OR676" s="87"/>
      <c r="OS676" s="87"/>
      <c r="OT676" s="87"/>
      <c r="OU676" s="143"/>
    </row>
    <row r="677" spans="1:411">
      <c r="A677" t="s">
        <v>36</v>
      </c>
      <c r="B677" t="s">
        <v>1975</v>
      </c>
      <c r="C677" t="s">
        <v>1976</v>
      </c>
      <c r="D677" t="s">
        <v>245</v>
      </c>
      <c r="E677" t="s">
        <v>2012</v>
      </c>
      <c r="F677" t="s">
        <v>1980</v>
      </c>
      <c r="G677" t="s">
        <v>2</v>
      </c>
      <c r="H677" t="s">
        <v>30</v>
      </c>
      <c r="I677">
        <v>-8.8170000000000002</v>
      </c>
      <c r="J677">
        <v>-75.2</v>
      </c>
      <c r="L677" t="s">
        <v>1976</v>
      </c>
      <c r="M677" t="s">
        <v>245</v>
      </c>
      <c r="N677" t="s">
        <v>1979</v>
      </c>
      <c r="O677" t="s">
        <v>1980</v>
      </c>
      <c r="P677" t="s">
        <v>2</v>
      </c>
      <c r="Q677" t="s">
        <v>30</v>
      </c>
      <c r="R677">
        <v>-8.5169999999999995</v>
      </c>
      <c r="S677">
        <v>-74.766999999999996</v>
      </c>
      <c r="U677" t="s">
        <v>1976</v>
      </c>
      <c r="V677" t="s">
        <v>245</v>
      </c>
      <c r="W677" t="s">
        <v>2001</v>
      </c>
      <c r="X677" t="s">
        <v>1980</v>
      </c>
      <c r="Y677" t="s">
        <v>2</v>
      </c>
      <c r="Z677" t="s">
        <v>30</v>
      </c>
      <c r="AA677">
        <v>-8.3670000000000009</v>
      </c>
      <c r="AB677">
        <v>-74.7</v>
      </c>
      <c r="AV677" t="s">
        <v>1981</v>
      </c>
      <c r="AW677">
        <v>625</v>
      </c>
      <c r="AX677" t="s">
        <v>29</v>
      </c>
      <c r="AY677">
        <v>2</v>
      </c>
      <c r="AZ677" t="s">
        <v>1982</v>
      </c>
      <c r="BA677">
        <v>2009</v>
      </c>
      <c r="BB677">
        <v>2010</v>
      </c>
      <c r="BC677" t="s">
        <v>1983</v>
      </c>
      <c r="BD677" t="s">
        <v>19</v>
      </c>
      <c r="BE677" t="s">
        <v>2023</v>
      </c>
      <c r="BF677" t="s">
        <v>24</v>
      </c>
      <c r="BG677" t="s">
        <v>1243</v>
      </c>
      <c r="BH677" t="s">
        <v>2024</v>
      </c>
      <c r="BI677" t="s">
        <v>29</v>
      </c>
      <c r="BJ677" t="s">
        <v>29</v>
      </c>
      <c r="BK677" t="s">
        <v>29</v>
      </c>
      <c r="EJ677" s="9"/>
      <c r="EK677" s="9"/>
      <c r="EL677" s="9"/>
      <c r="EM677" s="9"/>
      <c r="EN677" s="9"/>
      <c r="EO677" s="9"/>
      <c r="EP677" s="9"/>
      <c r="EQ677" s="9"/>
      <c r="ER677" s="9"/>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c r="HL677" s="9" t="s">
        <v>2025</v>
      </c>
      <c r="HM677" s="9" t="s">
        <v>297</v>
      </c>
      <c r="HN677" t="s">
        <v>12</v>
      </c>
      <c r="HY677" s="58"/>
      <c r="JO677" s="9"/>
      <c r="JY677" s="9"/>
      <c r="KQ677" s="9"/>
      <c r="KR677" s="9"/>
      <c r="KS677" s="9"/>
      <c r="KT677" s="9"/>
      <c r="MS677" t="s">
        <v>1987</v>
      </c>
      <c r="MT677">
        <v>625</v>
      </c>
      <c r="MU677" t="s">
        <v>1988</v>
      </c>
      <c r="MW677" t="s">
        <v>1992</v>
      </c>
      <c r="MX677" t="s">
        <v>1993</v>
      </c>
      <c r="MY677" t="s">
        <v>1994</v>
      </c>
      <c r="MZ677" t="s">
        <v>1995</v>
      </c>
      <c r="NA677" t="s">
        <v>1996</v>
      </c>
      <c r="NE677" t="s">
        <v>1989</v>
      </c>
      <c r="NF677" t="s">
        <v>1990</v>
      </c>
      <c r="NG677" t="s">
        <v>203</v>
      </c>
      <c r="NH677" t="s">
        <v>1991</v>
      </c>
      <c r="NP677" t="s">
        <v>2026</v>
      </c>
      <c r="NQ677" t="s">
        <v>1998</v>
      </c>
      <c r="NR677">
        <v>277</v>
      </c>
      <c r="NS677" t="s">
        <v>29</v>
      </c>
      <c r="NT677" t="s">
        <v>29</v>
      </c>
      <c r="NW677">
        <v>32</v>
      </c>
      <c r="OH677" t="s">
        <v>1999</v>
      </c>
      <c r="OI677" s="19"/>
      <c r="OK677">
        <v>2009</v>
      </c>
      <c r="OL677">
        <v>2010</v>
      </c>
      <c r="OO677" t="s">
        <v>2000</v>
      </c>
      <c r="OP677" s="58">
        <v>46133</v>
      </c>
    </row>
    <row r="678" spans="1:411">
      <c r="A678" s="87" t="s">
        <v>36</v>
      </c>
      <c r="B678" s="87" t="s">
        <v>1975</v>
      </c>
      <c r="C678" s="87" t="s">
        <v>1976</v>
      </c>
      <c r="D678" s="87" t="s">
        <v>245</v>
      </c>
      <c r="E678" s="87" t="s">
        <v>2012</v>
      </c>
      <c r="F678" s="87" t="s">
        <v>1980</v>
      </c>
      <c r="G678" s="87" t="s">
        <v>2</v>
      </c>
      <c r="H678" s="87" t="s">
        <v>30</v>
      </c>
      <c r="I678" s="87">
        <v>-8.8170000000000002</v>
      </c>
      <c r="J678" s="87">
        <v>-75.2</v>
      </c>
      <c r="K678" s="87"/>
      <c r="L678" s="87" t="s">
        <v>1976</v>
      </c>
      <c r="M678" s="87" t="s">
        <v>245</v>
      </c>
      <c r="N678" s="87" t="s">
        <v>1979</v>
      </c>
      <c r="O678" s="87" t="s">
        <v>1980</v>
      </c>
      <c r="P678" s="87" t="s">
        <v>2</v>
      </c>
      <c r="Q678" s="87" t="s">
        <v>30</v>
      </c>
      <c r="R678" s="87">
        <v>-8.5169999999999995</v>
      </c>
      <c r="S678" s="87">
        <v>-74.766999999999996</v>
      </c>
      <c r="T678" s="87"/>
      <c r="U678" s="87" t="s">
        <v>1976</v>
      </c>
      <c r="V678" s="87" t="s">
        <v>245</v>
      </c>
      <c r="W678" s="87" t="s">
        <v>2001</v>
      </c>
      <c r="X678" s="87" t="s">
        <v>1980</v>
      </c>
      <c r="Y678" s="87" t="s">
        <v>2</v>
      </c>
      <c r="Z678" s="87" t="s">
        <v>30</v>
      </c>
      <c r="AA678" s="87">
        <v>-8.3670000000000009</v>
      </c>
      <c r="AB678" s="87">
        <v>-74.7</v>
      </c>
      <c r="AC678" s="87"/>
      <c r="AD678" s="87"/>
      <c r="AE678" s="87"/>
      <c r="AF678" s="87"/>
      <c r="AG678" s="87"/>
      <c r="AH678" s="87"/>
      <c r="AI678" s="87"/>
      <c r="AJ678" s="87"/>
      <c r="AK678" s="87"/>
      <c r="AL678" s="87"/>
      <c r="AM678" s="87"/>
      <c r="AN678" s="87"/>
      <c r="AO678" s="87"/>
      <c r="AP678" s="87"/>
      <c r="AQ678" s="87"/>
      <c r="AR678" s="87"/>
      <c r="AS678" s="87"/>
      <c r="AT678" s="87"/>
      <c r="AU678" s="87"/>
      <c r="AV678" s="87" t="s">
        <v>1981</v>
      </c>
      <c r="AW678" s="87">
        <v>625</v>
      </c>
      <c r="AX678" s="87" t="s">
        <v>29</v>
      </c>
      <c r="AY678" s="87">
        <v>2</v>
      </c>
      <c r="AZ678" s="87" t="s">
        <v>1982</v>
      </c>
      <c r="BA678" s="87">
        <v>2009</v>
      </c>
      <c r="BB678" s="87">
        <v>2010</v>
      </c>
      <c r="BC678" s="87" t="s">
        <v>1983</v>
      </c>
      <c r="BD678" s="87" t="s">
        <v>2055</v>
      </c>
      <c r="BE678" s="87" t="s">
        <v>2027</v>
      </c>
      <c r="BF678" s="87" t="s">
        <v>299</v>
      </c>
      <c r="BG678" s="87" t="s">
        <v>1798</v>
      </c>
      <c r="BH678" s="87" t="s">
        <v>2028</v>
      </c>
      <c r="BI678" s="87" t="s">
        <v>29</v>
      </c>
      <c r="BJ678" s="87" t="s">
        <v>29</v>
      </c>
      <c r="BK678" s="87" t="s">
        <v>29</v>
      </c>
      <c r="BL678" s="87"/>
      <c r="BM678" s="87"/>
      <c r="BN678" s="87"/>
      <c r="BO678" s="87"/>
      <c r="BP678" s="87"/>
      <c r="BQ678" s="87"/>
      <c r="BR678" s="87"/>
      <c r="BS678" s="87"/>
      <c r="BT678" s="87"/>
      <c r="BU678" s="87"/>
      <c r="BV678" s="87"/>
      <c r="BW678" s="87"/>
      <c r="BX678" s="87"/>
      <c r="BY678" s="87"/>
      <c r="BZ678" s="87"/>
      <c r="CA678" s="87"/>
      <c r="CB678" s="87"/>
      <c r="CC678" s="87"/>
      <c r="CD678" s="87"/>
      <c r="CE678" s="87"/>
      <c r="CF678" s="87"/>
      <c r="CG678" s="87"/>
      <c r="CH678" s="87"/>
      <c r="CI678" s="87"/>
      <c r="CJ678" s="87"/>
      <c r="CK678" s="87"/>
      <c r="CL678" s="87"/>
      <c r="CM678" s="87"/>
      <c r="CN678" s="87"/>
      <c r="CO678" s="87"/>
      <c r="CP678" s="87"/>
      <c r="CQ678" s="87"/>
      <c r="CR678" s="87"/>
      <c r="CS678" s="87"/>
      <c r="CT678" s="87"/>
      <c r="CU678" s="87"/>
      <c r="CV678" s="87"/>
      <c r="CW678" s="87"/>
      <c r="CX678" s="87"/>
      <c r="CY678" s="87"/>
      <c r="CZ678" s="87"/>
      <c r="DA678" s="87"/>
      <c r="DB678" s="87"/>
      <c r="DC678" s="87"/>
      <c r="DD678" s="87"/>
      <c r="DE678" s="87"/>
      <c r="DF678" s="87"/>
      <c r="DG678" s="87"/>
      <c r="DH678" s="87"/>
      <c r="DI678" s="87"/>
      <c r="DJ678" s="87"/>
      <c r="DK678" s="87"/>
      <c r="DL678" s="87"/>
      <c r="DM678" s="87"/>
      <c r="DN678" s="87"/>
      <c r="DO678" s="87"/>
      <c r="DP678" s="87"/>
      <c r="DQ678" s="87"/>
      <c r="DR678" s="87"/>
      <c r="DS678" s="87"/>
      <c r="DT678" s="87"/>
      <c r="DU678" s="87"/>
      <c r="DV678" s="87"/>
      <c r="DW678" s="87"/>
      <c r="DX678" s="87"/>
      <c r="DY678" s="87"/>
      <c r="DZ678" s="87"/>
      <c r="EA678" s="87"/>
      <c r="EB678" s="87"/>
      <c r="EC678" s="87"/>
      <c r="ED678" s="87"/>
      <c r="EE678" s="87"/>
      <c r="EF678" s="87"/>
      <c r="EG678" s="87"/>
      <c r="EH678" s="87"/>
      <c r="EI678" s="87"/>
      <c r="EJ678" s="144"/>
      <c r="EK678" s="144"/>
      <c r="EL678" s="144"/>
      <c r="EM678" s="144"/>
      <c r="EN678" s="144"/>
      <c r="EO678" s="144"/>
      <c r="EP678" s="144"/>
      <c r="EQ678" s="144"/>
      <c r="ER678" s="144"/>
      <c r="ES678" s="144"/>
      <c r="ET678" s="144"/>
      <c r="EU678" s="144"/>
      <c r="EV678" s="144"/>
      <c r="EW678" s="144"/>
      <c r="EX678" s="144"/>
      <c r="EY678" s="144"/>
      <c r="EZ678" s="144"/>
      <c r="FA678" s="144"/>
      <c r="FB678" s="144"/>
      <c r="FC678" s="144"/>
      <c r="FD678" s="144"/>
      <c r="FE678" s="144"/>
      <c r="FF678" s="144"/>
      <c r="FG678" s="144"/>
      <c r="FH678" s="144"/>
      <c r="FI678" s="144"/>
      <c r="FJ678" s="144"/>
      <c r="FK678" s="144"/>
      <c r="FL678" s="144"/>
      <c r="FM678" s="144"/>
      <c r="FN678" s="144"/>
      <c r="FO678" s="144"/>
      <c r="FP678" s="144"/>
      <c r="FQ678" s="144"/>
      <c r="FR678" s="144"/>
      <c r="FS678" s="144"/>
      <c r="FT678" s="144"/>
      <c r="FU678" s="144"/>
      <c r="FV678" s="144"/>
      <c r="FW678" s="144"/>
      <c r="FX678" s="144"/>
      <c r="FY678" s="144"/>
      <c r="FZ678" s="144"/>
      <c r="GA678" s="144"/>
      <c r="GB678" s="144"/>
      <c r="GC678" s="144"/>
      <c r="GD678" s="144"/>
      <c r="GE678" s="144"/>
      <c r="GF678" s="144"/>
      <c r="GG678" s="144"/>
      <c r="GH678" s="144"/>
      <c r="GI678" s="144"/>
      <c r="GJ678" s="144"/>
      <c r="GK678" s="144"/>
      <c r="GL678" s="144"/>
      <c r="GM678" s="144"/>
      <c r="GN678" s="144"/>
      <c r="GO678" s="144"/>
      <c r="GP678" s="144"/>
      <c r="GQ678" s="144"/>
      <c r="GR678" s="144"/>
      <c r="GS678" s="144"/>
      <c r="GT678" s="144"/>
      <c r="GU678" s="144"/>
      <c r="GV678" s="144"/>
      <c r="GW678" s="144"/>
      <c r="GX678" s="144"/>
      <c r="GY678" s="144"/>
      <c r="GZ678" s="144"/>
      <c r="HA678" s="144"/>
      <c r="HB678" s="144"/>
      <c r="HC678" s="144"/>
      <c r="HD678" s="144"/>
      <c r="HE678" s="144"/>
      <c r="HF678" s="144"/>
      <c r="HG678" s="144"/>
      <c r="HH678" s="144"/>
      <c r="HI678" s="144"/>
      <c r="HJ678" s="144"/>
      <c r="HK678" s="144"/>
      <c r="HL678" s="144" t="s">
        <v>2029</v>
      </c>
      <c r="HM678" s="144" t="s">
        <v>232</v>
      </c>
      <c r="HN678" s="87"/>
      <c r="HO678" s="87"/>
      <c r="HP678" s="87"/>
      <c r="HQ678" s="87"/>
      <c r="HR678" s="87"/>
      <c r="HS678" s="87"/>
      <c r="HT678" s="87"/>
      <c r="HU678" s="87"/>
      <c r="HV678" s="87"/>
      <c r="HW678" s="87"/>
      <c r="HX678" s="87"/>
      <c r="HY678" s="145"/>
      <c r="HZ678" s="87"/>
      <c r="IA678" s="87"/>
      <c r="IB678" s="87"/>
      <c r="IC678" s="87"/>
      <c r="ID678" s="87"/>
      <c r="IE678" s="87"/>
      <c r="IF678" s="87"/>
      <c r="IG678" s="87"/>
      <c r="IH678" s="87"/>
      <c r="II678" s="87"/>
      <c r="IJ678" s="87"/>
      <c r="IK678" s="87"/>
      <c r="IL678" s="87"/>
      <c r="IM678" s="87"/>
      <c r="IN678" s="87"/>
      <c r="IO678" s="87"/>
      <c r="IP678" s="87"/>
      <c r="IQ678" s="87"/>
      <c r="IR678" s="87"/>
      <c r="IS678" s="87"/>
      <c r="IT678" s="87"/>
      <c r="IU678" s="87"/>
      <c r="IV678" s="87"/>
      <c r="IW678" s="87"/>
      <c r="IX678" s="87"/>
      <c r="IY678" s="87"/>
      <c r="IZ678" s="87"/>
      <c r="JA678" s="87"/>
      <c r="JB678" s="87"/>
      <c r="JC678" s="87"/>
      <c r="JD678" s="87"/>
      <c r="JE678" s="87"/>
      <c r="JF678" s="87"/>
      <c r="JG678" s="87"/>
      <c r="JH678" s="87"/>
      <c r="JI678" s="87"/>
      <c r="JJ678" s="87"/>
      <c r="JK678" s="87"/>
      <c r="JL678" s="87"/>
      <c r="JM678" s="87"/>
      <c r="JN678" s="87"/>
      <c r="JO678" s="151"/>
      <c r="JP678" s="87"/>
      <c r="JQ678" s="87"/>
      <c r="JR678" s="87"/>
      <c r="JS678" s="87"/>
      <c r="JT678" s="87"/>
      <c r="JU678" s="87"/>
      <c r="JV678" s="87"/>
      <c r="JW678" s="87"/>
      <c r="JX678" s="87"/>
      <c r="JY678" s="151"/>
      <c r="JZ678" s="87"/>
      <c r="KA678" s="87"/>
      <c r="KB678" s="87"/>
      <c r="KC678" s="87"/>
      <c r="KD678" s="87"/>
      <c r="KE678" s="87"/>
      <c r="KF678" s="87"/>
      <c r="KG678" s="87"/>
      <c r="KH678" s="87"/>
      <c r="KI678" s="87"/>
      <c r="KJ678" s="87"/>
      <c r="KK678" s="87"/>
      <c r="KL678" s="87"/>
      <c r="KM678" s="87"/>
      <c r="KN678" s="87"/>
      <c r="KO678" s="87"/>
      <c r="KP678" s="87"/>
      <c r="KQ678" s="151"/>
      <c r="KR678" s="151"/>
      <c r="KS678" s="151"/>
      <c r="KT678" s="151"/>
      <c r="KU678" s="87"/>
      <c r="KV678" s="87"/>
      <c r="KW678" s="87"/>
      <c r="KX678" s="87"/>
      <c r="KY678" s="87"/>
      <c r="KZ678" s="87"/>
      <c r="LA678" s="87"/>
      <c r="LB678" s="87"/>
      <c r="LC678" s="87"/>
      <c r="LD678" s="87"/>
      <c r="LE678" s="87"/>
      <c r="LF678" s="87"/>
      <c r="LG678" s="87"/>
      <c r="LH678" s="87"/>
      <c r="LI678" s="87"/>
      <c r="LJ678" s="87"/>
      <c r="LK678" s="87"/>
      <c r="LL678" s="87"/>
      <c r="LM678" s="87"/>
      <c r="LN678" s="87"/>
      <c r="LO678" s="87"/>
      <c r="LP678" s="87"/>
      <c r="LQ678" s="87"/>
      <c r="LR678" s="87"/>
      <c r="LS678" s="87"/>
      <c r="LT678" s="87"/>
      <c r="LU678" s="87"/>
      <c r="LV678" s="87"/>
      <c r="LW678" s="87"/>
      <c r="LX678" s="87"/>
      <c r="LY678" s="87"/>
      <c r="LZ678" s="87"/>
      <c r="MA678" s="87"/>
      <c r="MB678" s="87"/>
      <c r="MC678" s="87"/>
      <c r="MD678" s="87"/>
      <c r="ME678" s="87"/>
      <c r="MF678" s="87"/>
      <c r="MG678" s="87"/>
      <c r="MH678" s="87"/>
      <c r="MI678" s="87"/>
      <c r="MJ678" s="87"/>
      <c r="MK678" s="87"/>
      <c r="ML678" s="87"/>
      <c r="MM678" s="87"/>
      <c r="MN678" s="87"/>
      <c r="MO678" s="87"/>
      <c r="MP678" s="87"/>
      <c r="MQ678" s="87"/>
      <c r="MR678" s="87"/>
      <c r="MS678" s="87" t="s">
        <v>1987</v>
      </c>
      <c r="MT678" s="87">
        <v>625</v>
      </c>
      <c r="MU678" s="87" t="s">
        <v>1988</v>
      </c>
      <c r="MV678" s="87"/>
      <c r="MW678" s="87" t="s">
        <v>1992</v>
      </c>
      <c r="MX678" s="87" t="s">
        <v>1993</v>
      </c>
      <c r="MY678" s="87" t="s">
        <v>1994</v>
      </c>
      <c r="MZ678" s="87" t="s">
        <v>1995</v>
      </c>
      <c r="NA678" s="87" t="s">
        <v>1996</v>
      </c>
      <c r="NB678" s="87"/>
      <c r="NC678" s="87"/>
      <c r="ND678" s="87"/>
      <c r="NE678" s="87" t="s">
        <v>1989</v>
      </c>
      <c r="NF678" s="87" t="s">
        <v>1990</v>
      </c>
      <c r="NG678" s="87" t="s">
        <v>203</v>
      </c>
      <c r="NH678" s="87" t="s">
        <v>1991</v>
      </c>
      <c r="NI678" s="87"/>
      <c r="NJ678" s="87"/>
      <c r="NK678" s="87"/>
      <c r="NL678" s="87"/>
      <c r="NM678" s="87"/>
      <c r="NN678" s="87"/>
      <c r="NO678" s="87"/>
      <c r="NP678" s="87" t="s">
        <v>2030</v>
      </c>
      <c r="NQ678" s="87" t="s">
        <v>1998</v>
      </c>
      <c r="NR678" s="87">
        <v>207</v>
      </c>
      <c r="NS678" s="87" t="s">
        <v>29</v>
      </c>
      <c r="NT678" s="87" t="s">
        <v>29</v>
      </c>
      <c r="NU678" s="87"/>
      <c r="NV678" s="87"/>
      <c r="NW678" s="87">
        <v>32</v>
      </c>
      <c r="NX678" s="87"/>
      <c r="NY678" s="87"/>
      <c r="NZ678" s="87"/>
      <c r="OA678" s="87"/>
      <c r="OB678" s="87"/>
      <c r="OC678" s="87"/>
      <c r="OD678" s="87"/>
      <c r="OE678" s="87"/>
      <c r="OF678" s="87"/>
      <c r="OG678" s="87"/>
      <c r="OH678" s="87" t="s">
        <v>1999</v>
      </c>
      <c r="OI678" s="149"/>
      <c r="OJ678" s="87"/>
      <c r="OK678" s="87">
        <v>2009</v>
      </c>
      <c r="OL678" s="87">
        <v>2010</v>
      </c>
      <c r="OM678" s="87"/>
      <c r="ON678" s="87"/>
      <c r="OO678" s="87" t="s">
        <v>2000</v>
      </c>
      <c r="OP678" s="145">
        <v>46133</v>
      </c>
      <c r="OQ678" s="87"/>
      <c r="OR678" s="87"/>
      <c r="OS678" s="87"/>
      <c r="OT678" s="87"/>
      <c r="OU678" s="143"/>
    </row>
    <row r="679" spans="1:411">
      <c r="A679" t="s">
        <v>36</v>
      </c>
      <c r="B679" t="s">
        <v>1975</v>
      </c>
      <c r="C679" t="s">
        <v>1976</v>
      </c>
      <c r="D679" t="s">
        <v>1955</v>
      </c>
      <c r="E679" t="s">
        <v>1977</v>
      </c>
      <c r="F679" t="s">
        <v>1978</v>
      </c>
      <c r="G679" t="s">
        <v>2</v>
      </c>
      <c r="H679" t="s">
        <v>30</v>
      </c>
      <c r="I679">
        <v>-8.9</v>
      </c>
      <c r="J679">
        <v>-74.983000000000004</v>
      </c>
      <c r="L679" t="s">
        <v>1976</v>
      </c>
      <c r="M679" t="s">
        <v>245</v>
      </c>
      <c r="N679" t="s">
        <v>1979</v>
      </c>
      <c r="O679" t="s">
        <v>1980</v>
      </c>
      <c r="P679" t="s">
        <v>2</v>
      </c>
      <c r="Q679" t="s">
        <v>30</v>
      </c>
      <c r="R679">
        <v>-8.5169999999999995</v>
      </c>
      <c r="S679">
        <v>-74.766999999999996</v>
      </c>
      <c r="AV679" t="s">
        <v>1981</v>
      </c>
      <c r="AW679">
        <v>625</v>
      </c>
      <c r="AX679" t="s">
        <v>29</v>
      </c>
      <c r="AY679">
        <v>2</v>
      </c>
      <c r="AZ679" t="s">
        <v>1982</v>
      </c>
      <c r="BA679">
        <v>2009</v>
      </c>
      <c r="BB679">
        <v>2010</v>
      </c>
      <c r="BC679" t="s">
        <v>1983</v>
      </c>
      <c r="BD679" t="s">
        <v>1985</v>
      </c>
      <c r="BE679" t="s">
        <v>1984</v>
      </c>
      <c r="BF679" t="s">
        <v>39</v>
      </c>
      <c r="BG679" t="s">
        <v>1762</v>
      </c>
      <c r="EJ679" s="9"/>
      <c r="EK679" s="9"/>
      <c r="EL679" s="9"/>
      <c r="EM679" s="9"/>
      <c r="EN679" s="9"/>
      <c r="EO679" s="9"/>
      <c r="EP679" s="9"/>
      <c r="EQ679" s="9"/>
      <c r="ER679" s="9"/>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c r="HL679" s="9" t="s">
        <v>1986</v>
      </c>
      <c r="HM679" s="9" t="s">
        <v>232</v>
      </c>
      <c r="HY679" s="58"/>
      <c r="IY679">
        <v>20</v>
      </c>
      <c r="IZ679">
        <v>95</v>
      </c>
      <c r="JO679" s="9"/>
      <c r="JY679" s="9"/>
      <c r="KQ679" s="9"/>
      <c r="KR679" s="9"/>
      <c r="KS679" s="9"/>
      <c r="KT679" s="9"/>
      <c r="MS679" t="s">
        <v>1987</v>
      </c>
      <c r="MT679">
        <v>625</v>
      </c>
      <c r="MU679" t="s">
        <v>1988</v>
      </c>
      <c r="MW679" t="s">
        <v>1992</v>
      </c>
      <c r="MX679" t="s">
        <v>1993</v>
      </c>
      <c r="MY679" t="s">
        <v>1994</v>
      </c>
      <c r="MZ679" t="s">
        <v>1995</v>
      </c>
      <c r="NA679" t="s">
        <v>1996</v>
      </c>
      <c r="NE679" t="s">
        <v>2031</v>
      </c>
      <c r="NF679" t="s">
        <v>2032</v>
      </c>
      <c r="NG679" t="s">
        <v>1770</v>
      </c>
      <c r="NH679" t="s">
        <v>1991</v>
      </c>
      <c r="NP679" t="s">
        <v>1997</v>
      </c>
      <c r="NQ679" t="s">
        <v>1998</v>
      </c>
      <c r="NR679">
        <v>758</v>
      </c>
      <c r="NS679" t="s">
        <v>29</v>
      </c>
      <c r="NT679" t="s">
        <v>29</v>
      </c>
      <c r="NW679">
        <v>8</v>
      </c>
      <c r="OH679" t="s">
        <v>1999</v>
      </c>
      <c r="OI679" s="19"/>
      <c r="OK679">
        <v>2009</v>
      </c>
      <c r="OL679">
        <v>2010</v>
      </c>
      <c r="OO679" t="s">
        <v>2000</v>
      </c>
      <c r="OP679" s="58">
        <v>46133</v>
      </c>
    </row>
    <row r="680" spans="1:411">
      <c r="A680" s="87" t="s">
        <v>36</v>
      </c>
      <c r="B680" s="87" t="s">
        <v>1975</v>
      </c>
      <c r="C680" s="87" t="s">
        <v>1976</v>
      </c>
      <c r="D680" s="87" t="s">
        <v>245</v>
      </c>
      <c r="E680" s="87" t="s">
        <v>1979</v>
      </c>
      <c r="F680" s="87" t="s">
        <v>1980</v>
      </c>
      <c r="G680" s="87" t="s">
        <v>2</v>
      </c>
      <c r="H680" s="87" t="s">
        <v>30</v>
      </c>
      <c r="I680" s="87">
        <v>-8.5169999999999995</v>
      </c>
      <c r="J680" s="87">
        <v>-74.766999999999996</v>
      </c>
      <c r="K680" s="87"/>
      <c r="L680" s="87" t="s">
        <v>1976</v>
      </c>
      <c r="M680" s="87" t="s">
        <v>245</v>
      </c>
      <c r="N680" s="87" t="s">
        <v>2001</v>
      </c>
      <c r="O680" s="87" t="s">
        <v>1980</v>
      </c>
      <c r="P680" s="87" t="s">
        <v>2</v>
      </c>
      <c r="Q680" s="87" t="s">
        <v>30</v>
      </c>
      <c r="R680" s="87">
        <v>-8.3670000000000009</v>
      </c>
      <c r="S680" s="87">
        <v>-74.7</v>
      </c>
      <c r="T680" s="87"/>
      <c r="U680" s="87"/>
      <c r="V680" s="87"/>
      <c r="W680" s="87"/>
      <c r="X680" s="87"/>
      <c r="Y680" s="87"/>
      <c r="Z680" s="87"/>
      <c r="AA680" s="87"/>
      <c r="AB680" s="87"/>
      <c r="AC680" s="87"/>
      <c r="AD680" s="87"/>
      <c r="AE680" s="87"/>
      <c r="AF680" s="87"/>
      <c r="AG680" s="87"/>
      <c r="AH680" s="87"/>
      <c r="AI680" s="87"/>
      <c r="AJ680" s="87"/>
      <c r="AK680" s="87"/>
      <c r="AL680" s="87"/>
      <c r="AM680" s="87"/>
      <c r="AN680" s="87"/>
      <c r="AO680" s="87"/>
      <c r="AP680" s="87"/>
      <c r="AQ680" s="87"/>
      <c r="AR680" s="87"/>
      <c r="AS680" s="87"/>
      <c r="AT680" s="87"/>
      <c r="AU680" s="87"/>
      <c r="AV680" s="87" t="s">
        <v>1981</v>
      </c>
      <c r="AW680" s="87">
        <v>625</v>
      </c>
      <c r="AX680" s="87" t="s">
        <v>29</v>
      </c>
      <c r="AY680" s="87">
        <v>2</v>
      </c>
      <c r="AZ680" s="87" t="s">
        <v>1982</v>
      </c>
      <c r="BA680" s="87">
        <v>2009</v>
      </c>
      <c r="BB680" s="87">
        <v>2010</v>
      </c>
      <c r="BC680" s="87" t="s">
        <v>1983</v>
      </c>
      <c r="BD680" s="87" t="s">
        <v>2009</v>
      </c>
      <c r="BE680" s="87" t="s">
        <v>2003</v>
      </c>
      <c r="BF680" s="87" t="s">
        <v>64</v>
      </c>
      <c r="BG680" s="87" t="s">
        <v>1243</v>
      </c>
      <c r="BH680" s="87" t="s">
        <v>2004</v>
      </c>
      <c r="BI680" s="87" t="s">
        <v>29</v>
      </c>
      <c r="BJ680" s="87" t="s">
        <v>29</v>
      </c>
      <c r="BK680" s="87" t="s">
        <v>29</v>
      </c>
      <c r="BL680" s="87"/>
      <c r="BM680" s="87"/>
      <c r="BN680" s="87"/>
      <c r="BO680" s="87"/>
      <c r="BP680" s="87"/>
      <c r="BQ680" s="87"/>
      <c r="BR680" s="87"/>
      <c r="BS680" s="87"/>
      <c r="BT680" s="87"/>
      <c r="BU680" s="87"/>
      <c r="BV680" s="87"/>
      <c r="BW680" s="87"/>
      <c r="BX680" s="87"/>
      <c r="BY680" s="87"/>
      <c r="BZ680" s="87"/>
      <c r="CA680" s="87"/>
      <c r="CB680" s="87"/>
      <c r="CC680" s="87"/>
      <c r="CD680" s="87"/>
      <c r="CE680" s="87"/>
      <c r="CF680" s="87"/>
      <c r="CG680" s="87"/>
      <c r="CH680" s="87"/>
      <c r="CI680" s="87"/>
      <c r="CJ680" s="87"/>
      <c r="CK680" s="87"/>
      <c r="CL680" s="87"/>
      <c r="CM680" s="87"/>
      <c r="CN680" s="87"/>
      <c r="CO680" s="87"/>
      <c r="CP680" s="87"/>
      <c r="CQ680" s="87"/>
      <c r="CR680" s="87"/>
      <c r="CS680" s="87"/>
      <c r="CT680" s="87"/>
      <c r="CU680" s="87"/>
      <c r="CV680" s="87"/>
      <c r="CW680" s="87"/>
      <c r="CX680" s="87"/>
      <c r="CY680" s="87"/>
      <c r="CZ680" s="87"/>
      <c r="DA680" s="87"/>
      <c r="DB680" s="87"/>
      <c r="DC680" s="87"/>
      <c r="DD680" s="87"/>
      <c r="DE680" s="87"/>
      <c r="DF680" s="87"/>
      <c r="DG680" s="87"/>
      <c r="DH680" s="87"/>
      <c r="DI680" s="87"/>
      <c r="DJ680" s="87"/>
      <c r="DK680" s="87"/>
      <c r="DL680" s="87"/>
      <c r="DM680" s="87"/>
      <c r="DN680" s="87"/>
      <c r="DO680" s="87"/>
      <c r="DP680" s="87"/>
      <c r="DQ680" s="87"/>
      <c r="DR680" s="87"/>
      <c r="DS680" s="87"/>
      <c r="DT680" s="87"/>
      <c r="DU680" s="87"/>
      <c r="DV680" s="87"/>
      <c r="DW680" s="87"/>
      <c r="DX680" s="87"/>
      <c r="DY680" s="87"/>
      <c r="DZ680" s="87"/>
      <c r="EA680" s="87"/>
      <c r="EB680" s="87"/>
      <c r="EC680" s="87"/>
      <c r="ED680" s="87"/>
      <c r="EE680" s="87" t="s">
        <v>2005</v>
      </c>
      <c r="EF680" s="87" t="s">
        <v>2006</v>
      </c>
      <c r="EG680" s="87">
        <v>0.24</v>
      </c>
      <c r="EH680" s="87" t="s">
        <v>2009</v>
      </c>
      <c r="EI680" s="87"/>
      <c r="EJ680" s="144"/>
      <c r="EK680" s="144"/>
      <c r="EL680" s="144"/>
      <c r="EM680" s="144"/>
      <c r="EN680" s="144"/>
      <c r="EO680" s="144"/>
      <c r="EP680" s="144"/>
      <c r="EQ680" s="144"/>
      <c r="ER680" s="144"/>
      <c r="ES680" s="144"/>
      <c r="ET680" s="144"/>
      <c r="EU680" s="144"/>
      <c r="EV680" s="144"/>
      <c r="EW680" s="144"/>
      <c r="EX680" s="144"/>
      <c r="EY680" s="144"/>
      <c r="EZ680" s="144"/>
      <c r="FA680" s="144"/>
      <c r="FB680" s="144"/>
      <c r="FC680" s="144"/>
      <c r="FD680" s="144"/>
      <c r="FE680" s="144"/>
      <c r="FF680" s="144"/>
      <c r="FG680" s="144"/>
      <c r="FH680" s="144"/>
      <c r="FI680" s="144"/>
      <c r="FJ680" s="144"/>
      <c r="FK680" s="144"/>
      <c r="FL680" s="144"/>
      <c r="FM680" s="144"/>
      <c r="FN680" s="144"/>
      <c r="FO680" s="144"/>
      <c r="FP680" s="144"/>
      <c r="FQ680" s="144"/>
      <c r="FR680" s="144"/>
      <c r="FS680" s="144"/>
      <c r="FT680" s="144"/>
      <c r="FU680" s="144"/>
      <c r="FV680" s="144"/>
      <c r="FW680" s="144"/>
      <c r="FX680" s="144"/>
      <c r="FY680" s="144"/>
      <c r="FZ680" s="144"/>
      <c r="GA680" s="144"/>
      <c r="GB680" s="144"/>
      <c r="GC680" s="144"/>
      <c r="GD680" s="144"/>
      <c r="GE680" s="144"/>
      <c r="GF680" s="144"/>
      <c r="GG680" s="144"/>
      <c r="GH680" s="144"/>
      <c r="GI680" s="144"/>
      <c r="GJ680" s="144"/>
      <c r="GK680" s="144"/>
      <c r="GL680" s="144"/>
      <c r="GM680" s="144"/>
      <c r="GN680" s="144"/>
      <c r="GO680" s="144"/>
      <c r="GP680" s="144"/>
      <c r="GQ680" s="144"/>
      <c r="GR680" s="144"/>
      <c r="GS680" s="144"/>
      <c r="GT680" s="144"/>
      <c r="GU680" s="144"/>
      <c r="GV680" s="144"/>
      <c r="GW680" s="144"/>
      <c r="GX680" s="144"/>
      <c r="GY680" s="144"/>
      <c r="GZ680" s="144"/>
      <c r="HA680" s="144"/>
      <c r="HB680" s="144"/>
      <c r="HC680" s="144"/>
      <c r="HD680" s="144"/>
      <c r="HE680" s="144"/>
      <c r="HF680" s="144"/>
      <c r="HG680" s="144"/>
      <c r="HH680" s="144"/>
      <c r="HI680" s="144"/>
      <c r="HJ680" s="144"/>
      <c r="HK680" s="144"/>
      <c r="HL680" s="144" t="s">
        <v>2007</v>
      </c>
      <c r="HM680" s="144" t="s">
        <v>232</v>
      </c>
      <c r="HN680" s="87"/>
      <c r="HO680" s="87"/>
      <c r="HP680" s="87"/>
      <c r="HQ680" s="87"/>
      <c r="HR680" s="87"/>
      <c r="HS680" s="87"/>
      <c r="HT680" s="87"/>
      <c r="HU680" s="87"/>
      <c r="HV680" s="87"/>
      <c r="HW680" s="87"/>
      <c r="HX680" s="87"/>
      <c r="HY680" s="145"/>
      <c r="HZ680" s="87"/>
      <c r="IA680" s="87"/>
      <c r="IB680" s="87"/>
      <c r="IC680" s="87"/>
      <c r="ID680" s="87"/>
      <c r="IE680" s="87"/>
      <c r="IF680" s="87"/>
      <c r="IG680" s="87"/>
      <c r="IH680" s="87"/>
      <c r="II680" s="87"/>
      <c r="IJ680" s="87"/>
      <c r="IK680" s="87"/>
      <c r="IL680" s="87"/>
      <c r="IM680" s="87"/>
      <c r="IN680" s="87"/>
      <c r="IO680" s="87"/>
      <c r="IP680" s="87"/>
      <c r="IQ680" s="87"/>
      <c r="IR680" s="87"/>
      <c r="IS680" s="87"/>
      <c r="IT680" s="87"/>
      <c r="IU680" s="87" t="s">
        <v>2008</v>
      </c>
      <c r="IV680" s="87" t="s">
        <v>2009</v>
      </c>
      <c r="IW680" s="87" t="s">
        <v>2010</v>
      </c>
      <c r="IX680" s="87"/>
      <c r="IY680" s="87">
        <v>6</v>
      </c>
      <c r="IZ680" s="87">
        <v>77.5</v>
      </c>
      <c r="JA680" s="87">
        <v>75</v>
      </c>
      <c r="JB680" s="87">
        <v>80</v>
      </c>
      <c r="JC680" s="87">
        <v>7.5</v>
      </c>
      <c r="JD680" s="87">
        <v>6</v>
      </c>
      <c r="JE680" s="87">
        <v>9</v>
      </c>
      <c r="JF680" s="87"/>
      <c r="JG680" s="87"/>
      <c r="JH680" s="87"/>
      <c r="JI680" s="87"/>
      <c r="JJ680" s="87"/>
      <c r="JK680" s="87"/>
      <c r="JL680" s="87"/>
      <c r="JM680" s="87"/>
      <c r="JN680" s="87"/>
      <c r="JO680" s="151"/>
      <c r="JP680" s="87"/>
      <c r="JQ680" s="87"/>
      <c r="JR680" s="87"/>
      <c r="JS680" s="87"/>
      <c r="JT680" s="87"/>
      <c r="JU680" s="87"/>
      <c r="JV680" s="87"/>
      <c r="JW680" s="87"/>
      <c r="JX680" s="87"/>
      <c r="JY680" s="151"/>
      <c r="JZ680" s="87"/>
      <c r="KA680" s="87"/>
      <c r="KB680" s="87"/>
      <c r="KC680" s="87"/>
      <c r="KD680" s="87"/>
      <c r="KE680" s="87"/>
      <c r="KF680" s="87"/>
      <c r="KG680" s="87"/>
      <c r="KH680" s="87"/>
      <c r="KI680" s="87"/>
      <c r="KJ680" s="87"/>
      <c r="KK680" s="87"/>
      <c r="KL680" s="87"/>
      <c r="KM680" s="87"/>
      <c r="KN680" s="87"/>
      <c r="KO680" s="87"/>
      <c r="KP680" s="87"/>
      <c r="KQ680" s="151"/>
      <c r="KR680" s="151"/>
      <c r="KS680" s="151"/>
      <c r="KT680" s="151"/>
      <c r="KU680" s="87"/>
      <c r="KV680" s="87"/>
      <c r="KW680" s="87"/>
      <c r="KX680" s="87"/>
      <c r="KY680" s="87"/>
      <c r="KZ680" s="87"/>
      <c r="LA680" s="87"/>
      <c r="LB680" s="87"/>
      <c r="LC680" s="87"/>
      <c r="LD680" s="87"/>
      <c r="LE680" s="87"/>
      <c r="LF680" s="87"/>
      <c r="LG680" s="87"/>
      <c r="LH680" s="87"/>
      <c r="LI680" s="87"/>
      <c r="LJ680" s="87"/>
      <c r="LK680" s="87"/>
      <c r="LL680" s="87"/>
      <c r="LM680" s="87"/>
      <c r="LN680" s="87"/>
      <c r="LO680" s="87"/>
      <c r="LP680" s="87"/>
      <c r="LQ680" s="87"/>
      <c r="LR680" s="87"/>
      <c r="LS680" s="87"/>
      <c r="LT680" s="87"/>
      <c r="LU680" s="87"/>
      <c r="LV680" s="87"/>
      <c r="LW680" s="87"/>
      <c r="LX680" s="87"/>
      <c r="LY680" s="87"/>
      <c r="LZ680" s="87"/>
      <c r="MA680" s="87"/>
      <c r="MB680" s="87"/>
      <c r="MC680" s="87"/>
      <c r="MD680" s="87"/>
      <c r="ME680" s="87"/>
      <c r="MF680" s="87"/>
      <c r="MG680" s="87"/>
      <c r="MH680" s="87"/>
      <c r="MI680" s="87"/>
      <c r="MJ680" s="87"/>
      <c r="MK680" s="87"/>
      <c r="ML680" s="87"/>
      <c r="MM680" s="87"/>
      <c r="MN680" s="87"/>
      <c r="MO680" s="87"/>
      <c r="MP680" s="87"/>
      <c r="MQ680" s="87"/>
      <c r="MR680" s="87"/>
      <c r="MS680" s="87" t="s">
        <v>1987</v>
      </c>
      <c r="MT680" s="87">
        <v>625</v>
      </c>
      <c r="MU680" s="87" t="s">
        <v>1988</v>
      </c>
      <c r="MV680" s="87"/>
      <c r="MW680" s="87" t="s">
        <v>1992</v>
      </c>
      <c r="MX680" s="87" t="s">
        <v>1993</v>
      </c>
      <c r="MY680" s="87" t="s">
        <v>1994</v>
      </c>
      <c r="MZ680" s="87" t="s">
        <v>1995</v>
      </c>
      <c r="NA680" s="87" t="s">
        <v>1996</v>
      </c>
      <c r="NB680" s="87"/>
      <c r="NC680" s="87"/>
      <c r="ND680" s="87"/>
      <c r="NE680" s="87" t="s">
        <v>2031</v>
      </c>
      <c r="NF680" s="87" t="s">
        <v>2032</v>
      </c>
      <c r="NG680" s="87" t="s">
        <v>1770</v>
      </c>
      <c r="NH680" s="87" t="s">
        <v>1991</v>
      </c>
      <c r="NI680" s="87"/>
      <c r="NJ680" s="87"/>
      <c r="NK680" s="87"/>
      <c r="NL680" s="87"/>
      <c r="NM680" s="87"/>
      <c r="NN680" s="87"/>
      <c r="NO680" s="87"/>
      <c r="NP680" s="87" t="s">
        <v>2011</v>
      </c>
      <c r="NQ680" s="87" t="s">
        <v>1998</v>
      </c>
      <c r="NR680" s="87">
        <v>540</v>
      </c>
      <c r="NS680" s="87" t="s">
        <v>29</v>
      </c>
      <c r="NT680" s="87" t="s">
        <v>29</v>
      </c>
      <c r="NU680" s="87"/>
      <c r="NV680" s="87"/>
      <c r="NW680" s="87">
        <v>31</v>
      </c>
      <c r="NX680" s="87"/>
      <c r="NY680" s="87"/>
      <c r="NZ680" s="87"/>
      <c r="OA680" s="87"/>
      <c r="OB680" s="87"/>
      <c r="OC680" s="87"/>
      <c r="OD680" s="87"/>
      <c r="OE680" s="87"/>
      <c r="OF680" s="87"/>
      <c r="OG680" s="87"/>
      <c r="OH680" s="87" t="s">
        <v>1999</v>
      </c>
      <c r="OI680" s="149"/>
      <c r="OJ680" s="87"/>
      <c r="OK680" s="87">
        <v>2009</v>
      </c>
      <c r="OL680" s="87">
        <v>2010</v>
      </c>
      <c r="OM680" s="87"/>
      <c r="ON680" s="87"/>
      <c r="OO680" s="87" t="s">
        <v>2000</v>
      </c>
      <c r="OP680" s="145">
        <v>46133</v>
      </c>
      <c r="OQ680" s="87"/>
      <c r="OR680" s="87"/>
      <c r="OS680" s="87"/>
      <c r="OT680" s="87"/>
      <c r="OU680" s="143"/>
    </row>
    <row r="681" spans="1:411">
      <c r="A681" t="s">
        <v>36</v>
      </c>
      <c r="B681" t="s">
        <v>1975</v>
      </c>
      <c r="C681" t="s">
        <v>1976</v>
      </c>
      <c r="D681" t="s">
        <v>245</v>
      </c>
      <c r="E681" t="s">
        <v>2012</v>
      </c>
      <c r="F681" t="s">
        <v>1980</v>
      </c>
      <c r="G681" t="s">
        <v>2</v>
      </c>
      <c r="H681" t="s">
        <v>30</v>
      </c>
      <c r="I681">
        <v>-8.8170000000000002</v>
      </c>
      <c r="J681">
        <v>-75.2</v>
      </c>
      <c r="L681" t="s">
        <v>1976</v>
      </c>
      <c r="M681" t="s">
        <v>245</v>
      </c>
      <c r="N681" t="s">
        <v>1979</v>
      </c>
      <c r="O681" t="s">
        <v>1980</v>
      </c>
      <c r="P681" t="s">
        <v>2</v>
      </c>
      <c r="Q681" t="s">
        <v>30</v>
      </c>
      <c r="R681">
        <v>-8.5169999999999995</v>
      </c>
      <c r="S681">
        <v>-74.766999999999996</v>
      </c>
      <c r="AV681" t="s">
        <v>1981</v>
      </c>
      <c r="AW681">
        <v>625</v>
      </c>
      <c r="AX681" t="s">
        <v>29</v>
      </c>
      <c r="AY681">
        <v>2</v>
      </c>
      <c r="AZ681" t="s">
        <v>1982</v>
      </c>
      <c r="BA681">
        <v>2009</v>
      </c>
      <c r="BB681">
        <v>2010</v>
      </c>
      <c r="BC681" t="s">
        <v>1983</v>
      </c>
      <c r="BD681" t="s">
        <v>2002</v>
      </c>
      <c r="BE681" t="s">
        <v>2013</v>
      </c>
      <c r="BF681" t="s">
        <v>57</v>
      </c>
      <c r="BG681" t="s">
        <v>1243</v>
      </c>
      <c r="BH681" t="s">
        <v>2014</v>
      </c>
      <c r="BI681" t="s">
        <v>29</v>
      </c>
      <c r="BJ681" t="s">
        <v>29</v>
      </c>
      <c r="BK681" t="s">
        <v>29</v>
      </c>
      <c r="EE681" t="s">
        <v>2015</v>
      </c>
      <c r="EF681" t="s">
        <v>2006</v>
      </c>
      <c r="EG681">
        <v>0.24</v>
      </c>
      <c r="EH681" t="s">
        <v>2056</v>
      </c>
      <c r="EI681" t="s">
        <v>2016</v>
      </c>
      <c r="EJ681" s="9" t="s">
        <v>2006</v>
      </c>
      <c r="EK681" s="144">
        <v>0.24</v>
      </c>
      <c r="EL681" s="9"/>
      <c r="EM681" s="9" t="s">
        <v>2017</v>
      </c>
      <c r="EN681" s="9" t="s">
        <v>2006</v>
      </c>
      <c r="EO681" s="9" t="s">
        <v>29</v>
      </c>
      <c r="EP681" s="9"/>
      <c r="EQ681" s="9" t="s">
        <v>2018</v>
      </c>
      <c r="ER681" s="9" t="s">
        <v>2006</v>
      </c>
      <c r="ES681" s="9" t="s">
        <v>29</v>
      </c>
      <c r="ET681" s="9"/>
      <c r="EU681" s="9" t="s">
        <v>2019</v>
      </c>
      <c r="EV681" s="9" t="s">
        <v>2006</v>
      </c>
      <c r="EW681" s="9" t="s">
        <v>29</v>
      </c>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c r="HL681" s="9" t="s">
        <v>2007</v>
      </c>
      <c r="HM681" s="9" t="s">
        <v>232</v>
      </c>
      <c r="HY681" s="58"/>
      <c r="IU681" t="s">
        <v>2020</v>
      </c>
      <c r="IV681" t="s">
        <v>2009</v>
      </c>
      <c r="IW681" t="s">
        <v>2021</v>
      </c>
      <c r="IZ681">
        <v>50</v>
      </c>
      <c r="JC681">
        <v>12</v>
      </c>
      <c r="JO681" s="9"/>
      <c r="JY681" s="9"/>
      <c r="KQ681" s="9"/>
      <c r="KR681" s="9"/>
      <c r="KS681" s="9"/>
      <c r="KT681" s="9"/>
      <c r="MS681" t="s">
        <v>1987</v>
      </c>
      <c r="MT681">
        <v>625</v>
      </c>
      <c r="MU681" t="s">
        <v>1988</v>
      </c>
      <c r="MW681" t="s">
        <v>1992</v>
      </c>
      <c r="MX681" t="s">
        <v>1993</v>
      </c>
      <c r="MY681" t="s">
        <v>1994</v>
      </c>
      <c r="MZ681" t="s">
        <v>1995</v>
      </c>
      <c r="NA681" t="s">
        <v>1996</v>
      </c>
      <c r="NE681" t="s">
        <v>2031</v>
      </c>
      <c r="NF681" t="s">
        <v>2032</v>
      </c>
      <c r="NG681" t="s">
        <v>1770</v>
      </c>
      <c r="NH681" t="s">
        <v>1991</v>
      </c>
      <c r="NP681" t="s">
        <v>2022</v>
      </c>
      <c r="NQ681" t="s">
        <v>1998</v>
      </c>
      <c r="NR681">
        <v>189</v>
      </c>
      <c r="NS681" t="s">
        <v>29</v>
      </c>
      <c r="NT681" t="s">
        <v>29</v>
      </c>
      <c r="NW681">
        <v>32</v>
      </c>
      <c r="OH681" t="s">
        <v>1999</v>
      </c>
      <c r="OI681" s="19"/>
      <c r="OK681">
        <v>2009</v>
      </c>
      <c r="OL681">
        <v>2010</v>
      </c>
      <c r="OO681" t="s">
        <v>2000</v>
      </c>
      <c r="OP681" s="58">
        <v>46133</v>
      </c>
    </row>
    <row r="682" spans="1:411">
      <c r="A682" s="87" t="s">
        <v>36</v>
      </c>
      <c r="B682" s="87" t="s">
        <v>1975</v>
      </c>
      <c r="C682" s="87" t="s">
        <v>1976</v>
      </c>
      <c r="D682" s="87" t="s">
        <v>245</v>
      </c>
      <c r="E682" s="87" t="s">
        <v>2012</v>
      </c>
      <c r="F682" s="87" t="s">
        <v>1980</v>
      </c>
      <c r="G682" s="87" t="s">
        <v>2</v>
      </c>
      <c r="H682" s="87" t="s">
        <v>30</v>
      </c>
      <c r="I682" s="87">
        <v>-8.8170000000000002</v>
      </c>
      <c r="J682" s="87">
        <v>-75.2</v>
      </c>
      <c r="K682" s="87"/>
      <c r="L682" s="87" t="s">
        <v>1976</v>
      </c>
      <c r="M682" s="87" t="s">
        <v>245</v>
      </c>
      <c r="N682" s="87" t="s">
        <v>1979</v>
      </c>
      <c r="O682" s="87" t="s">
        <v>1980</v>
      </c>
      <c r="P682" s="87" t="s">
        <v>2</v>
      </c>
      <c r="Q682" s="87" t="s">
        <v>30</v>
      </c>
      <c r="R682" s="87">
        <v>-8.5169999999999995</v>
      </c>
      <c r="S682" s="87">
        <v>-74.766999999999996</v>
      </c>
      <c r="T682" s="87"/>
      <c r="U682" s="87" t="s">
        <v>1976</v>
      </c>
      <c r="V682" s="87" t="s">
        <v>245</v>
      </c>
      <c r="W682" s="87" t="s">
        <v>2001</v>
      </c>
      <c r="X682" s="87" t="s">
        <v>1980</v>
      </c>
      <c r="Y682" s="87" t="s">
        <v>2</v>
      </c>
      <c r="Z682" s="87" t="s">
        <v>30</v>
      </c>
      <c r="AA682" s="87">
        <v>-8.3670000000000009</v>
      </c>
      <c r="AB682" s="87">
        <v>-74.7</v>
      </c>
      <c r="AC682" s="87"/>
      <c r="AD682" s="87"/>
      <c r="AE682" s="87"/>
      <c r="AF682" s="87"/>
      <c r="AG682" s="87"/>
      <c r="AH682" s="87"/>
      <c r="AI682" s="87"/>
      <c r="AJ682" s="87"/>
      <c r="AK682" s="87"/>
      <c r="AL682" s="87"/>
      <c r="AM682" s="87"/>
      <c r="AN682" s="87"/>
      <c r="AO682" s="87"/>
      <c r="AP682" s="87"/>
      <c r="AQ682" s="87"/>
      <c r="AR682" s="87"/>
      <c r="AS682" s="87"/>
      <c r="AT682" s="87"/>
      <c r="AU682" s="87"/>
      <c r="AV682" s="87" t="s">
        <v>1981</v>
      </c>
      <c r="AW682" s="87">
        <v>625</v>
      </c>
      <c r="AX682" s="87" t="s">
        <v>29</v>
      </c>
      <c r="AY682" s="87">
        <v>2</v>
      </c>
      <c r="AZ682" s="87" t="s">
        <v>1982</v>
      </c>
      <c r="BA682" s="87">
        <v>2009</v>
      </c>
      <c r="BB682" s="87">
        <v>2010</v>
      </c>
      <c r="BC682" s="87" t="s">
        <v>1983</v>
      </c>
      <c r="BD682" s="87" t="s">
        <v>19</v>
      </c>
      <c r="BE682" s="87" t="s">
        <v>2023</v>
      </c>
      <c r="BF682" s="87" t="s">
        <v>24</v>
      </c>
      <c r="BG682" s="87" t="s">
        <v>1243</v>
      </c>
      <c r="BH682" s="87" t="s">
        <v>2024</v>
      </c>
      <c r="BI682" s="87" t="s">
        <v>29</v>
      </c>
      <c r="BJ682" s="87" t="s">
        <v>29</v>
      </c>
      <c r="BK682" s="87" t="s">
        <v>29</v>
      </c>
      <c r="BL682" s="87"/>
      <c r="BM682" s="87"/>
      <c r="BN682" s="87"/>
      <c r="BO682" s="87"/>
      <c r="BP682" s="87"/>
      <c r="BQ682" s="87"/>
      <c r="BR682" s="87"/>
      <c r="BS682" s="87"/>
      <c r="BT682" s="87"/>
      <c r="BU682" s="87"/>
      <c r="BV682" s="87"/>
      <c r="BW682" s="87"/>
      <c r="BX682" s="87"/>
      <c r="BY682" s="87"/>
      <c r="BZ682" s="87"/>
      <c r="CA682" s="87"/>
      <c r="CB682" s="87"/>
      <c r="CC682" s="87"/>
      <c r="CD682" s="87"/>
      <c r="CE682" s="87"/>
      <c r="CF682" s="87"/>
      <c r="CG682" s="87"/>
      <c r="CH682" s="87"/>
      <c r="CI682" s="87"/>
      <c r="CJ682" s="87"/>
      <c r="CK682" s="87"/>
      <c r="CL682" s="87"/>
      <c r="CM682" s="87"/>
      <c r="CN682" s="87"/>
      <c r="CO682" s="87"/>
      <c r="CP682" s="87"/>
      <c r="CQ682" s="87"/>
      <c r="CR682" s="87"/>
      <c r="CS682" s="87"/>
      <c r="CT682" s="87"/>
      <c r="CU682" s="87"/>
      <c r="CV682" s="87"/>
      <c r="CW682" s="87"/>
      <c r="CX682" s="87"/>
      <c r="CY682" s="87"/>
      <c r="CZ682" s="87"/>
      <c r="DA682" s="87"/>
      <c r="DB682" s="87"/>
      <c r="DC682" s="87"/>
      <c r="DD682" s="87"/>
      <c r="DE682" s="87"/>
      <c r="DF682" s="87"/>
      <c r="DG682" s="87"/>
      <c r="DH682" s="87"/>
      <c r="DI682" s="87"/>
      <c r="DJ682" s="87"/>
      <c r="DK682" s="87"/>
      <c r="DL682" s="87"/>
      <c r="DM682" s="87"/>
      <c r="DN682" s="87"/>
      <c r="DO682" s="87"/>
      <c r="DP682" s="87"/>
      <c r="DQ682" s="87"/>
      <c r="DR682" s="87"/>
      <c r="DS682" s="87"/>
      <c r="DT682" s="87"/>
      <c r="DU682" s="87"/>
      <c r="DV682" s="87"/>
      <c r="DW682" s="87"/>
      <c r="DX682" s="87"/>
      <c r="DY682" s="87"/>
      <c r="DZ682" s="87"/>
      <c r="EA682" s="87"/>
      <c r="EB682" s="87"/>
      <c r="EC682" s="87"/>
      <c r="ED682" s="87"/>
      <c r="EE682" s="87"/>
      <c r="EF682" s="87"/>
      <c r="EG682" s="87"/>
      <c r="EH682" s="87"/>
      <c r="EI682" s="87"/>
      <c r="EJ682" s="144"/>
      <c r="EK682" s="144"/>
      <c r="EL682" s="144"/>
      <c r="EM682" s="144"/>
      <c r="EN682" s="144"/>
      <c r="EO682" s="144"/>
      <c r="EP682" s="144"/>
      <c r="EQ682" s="144"/>
      <c r="ER682" s="144"/>
      <c r="ES682" s="144"/>
      <c r="ET682" s="144"/>
      <c r="EU682" s="144"/>
      <c r="EV682" s="144"/>
      <c r="EW682" s="144"/>
      <c r="EX682" s="144"/>
      <c r="EY682" s="144"/>
      <c r="EZ682" s="144"/>
      <c r="FA682" s="144"/>
      <c r="FB682" s="144"/>
      <c r="FC682" s="144"/>
      <c r="FD682" s="144"/>
      <c r="FE682" s="144"/>
      <c r="FF682" s="144"/>
      <c r="FG682" s="144"/>
      <c r="FH682" s="144"/>
      <c r="FI682" s="144"/>
      <c r="FJ682" s="144"/>
      <c r="FK682" s="144"/>
      <c r="FL682" s="144"/>
      <c r="FM682" s="144"/>
      <c r="FN682" s="144"/>
      <c r="FO682" s="144"/>
      <c r="FP682" s="144"/>
      <c r="FQ682" s="144"/>
      <c r="FR682" s="144"/>
      <c r="FS682" s="144"/>
      <c r="FT682" s="144"/>
      <c r="FU682" s="144"/>
      <c r="FV682" s="144"/>
      <c r="FW682" s="144"/>
      <c r="FX682" s="144"/>
      <c r="FY682" s="144"/>
      <c r="FZ682" s="144"/>
      <c r="GA682" s="144"/>
      <c r="GB682" s="144"/>
      <c r="GC682" s="144"/>
      <c r="GD682" s="144"/>
      <c r="GE682" s="144"/>
      <c r="GF682" s="144"/>
      <c r="GG682" s="144"/>
      <c r="GH682" s="144"/>
      <c r="GI682" s="144"/>
      <c r="GJ682" s="144"/>
      <c r="GK682" s="144"/>
      <c r="GL682" s="144"/>
      <c r="GM682" s="144"/>
      <c r="GN682" s="144"/>
      <c r="GO682" s="144"/>
      <c r="GP682" s="144"/>
      <c r="GQ682" s="144"/>
      <c r="GR682" s="144"/>
      <c r="GS682" s="144"/>
      <c r="GT682" s="144"/>
      <c r="GU682" s="144"/>
      <c r="GV682" s="144"/>
      <c r="GW682" s="144"/>
      <c r="GX682" s="144"/>
      <c r="GY682" s="144"/>
      <c r="GZ682" s="144"/>
      <c r="HA682" s="144"/>
      <c r="HB682" s="144"/>
      <c r="HC682" s="144"/>
      <c r="HD682" s="144"/>
      <c r="HE682" s="144"/>
      <c r="HF682" s="144"/>
      <c r="HG682" s="144"/>
      <c r="HH682" s="144"/>
      <c r="HI682" s="144"/>
      <c r="HJ682" s="144"/>
      <c r="HK682" s="144"/>
      <c r="HL682" s="144" t="s">
        <v>2025</v>
      </c>
      <c r="HM682" s="144" t="s">
        <v>297</v>
      </c>
      <c r="HN682" s="87" t="s">
        <v>12</v>
      </c>
      <c r="HO682" s="87"/>
      <c r="HP682" s="87"/>
      <c r="HQ682" s="87"/>
      <c r="HR682" s="87"/>
      <c r="HS682" s="87"/>
      <c r="HT682" s="87"/>
      <c r="HU682" s="87"/>
      <c r="HV682" s="87"/>
      <c r="HW682" s="87"/>
      <c r="HX682" s="87"/>
      <c r="HY682" s="145"/>
      <c r="HZ682" s="87"/>
      <c r="IA682" s="87"/>
      <c r="IB682" s="87"/>
      <c r="IC682" s="87"/>
      <c r="ID682" s="87"/>
      <c r="IE682" s="87"/>
      <c r="IF682" s="87"/>
      <c r="IG682" s="87"/>
      <c r="IH682" s="87"/>
      <c r="II682" s="87"/>
      <c r="IJ682" s="87"/>
      <c r="IK682" s="87"/>
      <c r="IL682" s="87"/>
      <c r="IM682" s="87"/>
      <c r="IN682" s="87"/>
      <c r="IO682" s="87"/>
      <c r="IP682" s="87"/>
      <c r="IQ682" s="87"/>
      <c r="IR682" s="87"/>
      <c r="IS682" s="87"/>
      <c r="IT682" s="87"/>
      <c r="IU682" s="87"/>
      <c r="IV682" s="87"/>
      <c r="IW682" s="87"/>
      <c r="IX682" s="87"/>
      <c r="IY682" s="87"/>
      <c r="IZ682" s="87"/>
      <c r="JA682" s="87"/>
      <c r="JB682" s="87"/>
      <c r="JC682" s="87"/>
      <c r="JD682" s="87"/>
      <c r="JE682" s="87"/>
      <c r="JF682" s="87"/>
      <c r="JG682" s="87"/>
      <c r="JH682" s="87"/>
      <c r="JI682" s="87"/>
      <c r="JJ682" s="87"/>
      <c r="JK682" s="87"/>
      <c r="JL682" s="87"/>
      <c r="JM682" s="87"/>
      <c r="JN682" s="87"/>
      <c r="JO682" s="151"/>
      <c r="JP682" s="87"/>
      <c r="JQ682" s="87"/>
      <c r="JR682" s="87"/>
      <c r="JS682" s="87"/>
      <c r="JT682" s="87"/>
      <c r="JU682" s="87"/>
      <c r="JV682" s="87"/>
      <c r="JW682" s="87"/>
      <c r="JX682" s="87"/>
      <c r="JY682" s="151"/>
      <c r="JZ682" s="87"/>
      <c r="KA682" s="87"/>
      <c r="KB682" s="87"/>
      <c r="KC682" s="87"/>
      <c r="KD682" s="87"/>
      <c r="KE682" s="87"/>
      <c r="KF682" s="87"/>
      <c r="KG682" s="87"/>
      <c r="KH682" s="87"/>
      <c r="KI682" s="87"/>
      <c r="KJ682" s="87"/>
      <c r="KK682" s="87"/>
      <c r="KL682" s="87"/>
      <c r="KM682" s="87"/>
      <c r="KN682" s="87"/>
      <c r="KO682" s="87"/>
      <c r="KP682" s="87"/>
      <c r="KQ682" s="151"/>
      <c r="KR682" s="151"/>
      <c r="KS682" s="151"/>
      <c r="KT682" s="151"/>
      <c r="KU682" s="87"/>
      <c r="KV682" s="87"/>
      <c r="KW682" s="87"/>
      <c r="KX682" s="87"/>
      <c r="KY682" s="87"/>
      <c r="KZ682" s="87"/>
      <c r="LA682" s="87"/>
      <c r="LB682" s="87"/>
      <c r="LC682" s="87"/>
      <c r="LD682" s="87"/>
      <c r="LE682" s="87"/>
      <c r="LF682" s="87"/>
      <c r="LG682" s="87"/>
      <c r="LH682" s="87"/>
      <c r="LI682" s="87"/>
      <c r="LJ682" s="87"/>
      <c r="LK682" s="87"/>
      <c r="LL682" s="87"/>
      <c r="LM682" s="87"/>
      <c r="LN682" s="87"/>
      <c r="LO682" s="87"/>
      <c r="LP682" s="87"/>
      <c r="LQ682" s="87"/>
      <c r="LR682" s="87"/>
      <c r="LS682" s="87"/>
      <c r="LT682" s="87"/>
      <c r="LU682" s="87"/>
      <c r="LV682" s="87"/>
      <c r="LW682" s="87"/>
      <c r="LX682" s="87"/>
      <c r="LY682" s="87"/>
      <c r="LZ682" s="87"/>
      <c r="MA682" s="87"/>
      <c r="MB682" s="87"/>
      <c r="MC682" s="87"/>
      <c r="MD682" s="87"/>
      <c r="ME682" s="87"/>
      <c r="MF682" s="87"/>
      <c r="MG682" s="87"/>
      <c r="MH682" s="87"/>
      <c r="MI682" s="87"/>
      <c r="MJ682" s="87"/>
      <c r="MK682" s="87"/>
      <c r="ML682" s="87"/>
      <c r="MM682" s="87"/>
      <c r="MN682" s="87"/>
      <c r="MO682" s="87"/>
      <c r="MP682" s="87"/>
      <c r="MQ682" s="87"/>
      <c r="MR682" s="87"/>
      <c r="MS682" s="87" t="s">
        <v>1987</v>
      </c>
      <c r="MT682" s="87">
        <v>625</v>
      </c>
      <c r="MU682" s="87" t="s">
        <v>1988</v>
      </c>
      <c r="MV682" s="87"/>
      <c r="MW682" s="87" t="s">
        <v>1992</v>
      </c>
      <c r="MX682" s="87" t="s">
        <v>1993</v>
      </c>
      <c r="MY682" s="87" t="s">
        <v>1994</v>
      </c>
      <c r="MZ682" s="87" t="s">
        <v>1995</v>
      </c>
      <c r="NA682" s="87" t="s">
        <v>1996</v>
      </c>
      <c r="NB682" s="87"/>
      <c r="NC682" s="87"/>
      <c r="ND682" s="87"/>
      <c r="NE682" s="87" t="s">
        <v>2031</v>
      </c>
      <c r="NF682" s="87" t="s">
        <v>2032</v>
      </c>
      <c r="NG682" s="87" t="s">
        <v>1770</v>
      </c>
      <c r="NH682" s="87" t="s">
        <v>1991</v>
      </c>
      <c r="NI682" s="87"/>
      <c r="NJ682" s="87"/>
      <c r="NK682" s="87"/>
      <c r="NL682" s="87"/>
      <c r="NM682" s="87"/>
      <c r="NN682" s="87"/>
      <c r="NO682" s="87"/>
      <c r="NP682" s="87" t="s">
        <v>2026</v>
      </c>
      <c r="NQ682" s="87" t="s">
        <v>1998</v>
      </c>
      <c r="NR682" s="87">
        <v>97</v>
      </c>
      <c r="NS682" s="87" t="s">
        <v>29</v>
      </c>
      <c r="NT682" s="87" t="s">
        <v>29</v>
      </c>
      <c r="NU682" s="87"/>
      <c r="NV682" s="87"/>
      <c r="NW682" s="87">
        <v>32</v>
      </c>
      <c r="NX682" s="87"/>
      <c r="NY682" s="87"/>
      <c r="NZ682" s="87"/>
      <c r="OA682" s="87"/>
      <c r="OB682" s="87"/>
      <c r="OC682" s="87"/>
      <c r="OD682" s="87"/>
      <c r="OE682" s="87"/>
      <c r="OF682" s="87"/>
      <c r="OG682" s="87"/>
      <c r="OH682" s="87" t="s">
        <v>1999</v>
      </c>
      <c r="OI682" s="149"/>
      <c r="OJ682" s="87"/>
      <c r="OK682" s="87">
        <v>2009</v>
      </c>
      <c r="OL682" s="87">
        <v>2010</v>
      </c>
      <c r="OM682" s="87"/>
      <c r="ON682" s="87"/>
      <c r="OO682" s="87" t="s">
        <v>2000</v>
      </c>
      <c r="OP682" s="145">
        <v>46133</v>
      </c>
      <c r="OQ682" s="87"/>
      <c r="OR682" s="87"/>
      <c r="OS682" s="87"/>
      <c r="OT682" s="87"/>
      <c r="OU682" s="143"/>
    </row>
    <row r="683" spans="1:411">
      <c r="A683" t="s">
        <v>36</v>
      </c>
      <c r="B683" t="s">
        <v>1975</v>
      </c>
      <c r="C683" t="s">
        <v>1976</v>
      </c>
      <c r="D683" t="s">
        <v>245</v>
      </c>
      <c r="E683" t="s">
        <v>2012</v>
      </c>
      <c r="F683" t="s">
        <v>1980</v>
      </c>
      <c r="G683" t="s">
        <v>2</v>
      </c>
      <c r="H683" t="s">
        <v>30</v>
      </c>
      <c r="I683">
        <v>-8.8170000000000002</v>
      </c>
      <c r="J683">
        <v>-75.2</v>
      </c>
      <c r="L683" t="s">
        <v>1976</v>
      </c>
      <c r="M683" t="s">
        <v>245</v>
      </c>
      <c r="N683" t="s">
        <v>1979</v>
      </c>
      <c r="O683" t="s">
        <v>1980</v>
      </c>
      <c r="P683" t="s">
        <v>2</v>
      </c>
      <c r="Q683" t="s">
        <v>30</v>
      </c>
      <c r="R683">
        <v>-8.5169999999999995</v>
      </c>
      <c r="S683">
        <v>-74.766999999999996</v>
      </c>
      <c r="U683" t="s">
        <v>1976</v>
      </c>
      <c r="V683" t="s">
        <v>245</v>
      </c>
      <c r="W683" t="s">
        <v>2001</v>
      </c>
      <c r="X683" t="s">
        <v>1980</v>
      </c>
      <c r="Y683" t="s">
        <v>2</v>
      </c>
      <c r="Z683" t="s">
        <v>30</v>
      </c>
      <c r="AA683">
        <v>-8.3670000000000009</v>
      </c>
      <c r="AB683">
        <v>-74.7</v>
      </c>
      <c r="AV683" t="s">
        <v>1981</v>
      </c>
      <c r="AW683">
        <v>625</v>
      </c>
      <c r="AX683" t="s">
        <v>29</v>
      </c>
      <c r="AY683">
        <v>2</v>
      </c>
      <c r="AZ683" t="s">
        <v>1982</v>
      </c>
      <c r="BA683">
        <v>2009</v>
      </c>
      <c r="BB683">
        <v>2010</v>
      </c>
      <c r="BC683" t="s">
        <v>1983</v>
      </c>
      <c r="BD683" t="s">
        <v>2055</v>
      </c>
      <c r="BE683" t="s">
        <v>2027</v>
      </c>
      <c r="BF683" t="s">
        <v>299</v>
      </c>
      <c r="BG683" t="s">
        <v>1798</v>
      </c>
      <c r="BH683" t="s">
        <v>2028</v>
      </c>
      <c r="BI683" t="s">
        <v>29</v>
      </c>
      <c r="BJ683" t="s">
        <v>29</v>
      </c>
      <c r="BK683" t="s">
        <v>29</v>
      </c>
      <c r="EJ683" s="9"/>
      <c r="EK683" s="9"/>
      <c r="EL683" s="9"/>
      <c r="EM683" s="9"/>
      <c r="EN683" s="9"/>
      <c r="EO683" s="9"/>
      <c r="EP683" s="9"/>
      <c r="EQ683" s="9"/>
      <c r="ER683" s="9"/>
      <c r="ES683" s="9"/>
      <c r="ET683" s="9"/>
      <c r="EU683" s="9"/>
      <c r="EV683" s="9"/>
      <c r="EW683" s="9"/>
      <c r="EX683" s="9"/>
      <c r="EY683" s="9"/>
      <c r="EZ683" s="9"/>
      <c r="FA683" s="9"/>
      <c r="FB683" s="9"/>
      <c r="FC683" s="9"/>
      <c r="FD683" s="9"/>
      <c r="FE683" s="9"/>
      <c r="FF683" s="9"/>
      <c r="FG683" s="9"/>
      <c r="FH683" s="9"/>
      <c r="FI683" s="9"/>
      <c r="FJ683" s="9"/>
      <c r="FK683" s="9"/>
      <c r="FL683" s="9"/>
      <c r="FM683" s="9"/>
      <c r="FN683" s="9"/>
      <c r="FO683" s="9"/>
      <c r="FP683" s="9"/>
      <c r="FQ683" s="9"/>
      <c r="FR683" s="9"/>
      <c r="FS683" s="9"/>
      <c r="FT683" s="9"/>
      <c r="FU683" s="9"/>
      <c r="FV683" s="9"/>
      <c r="FW683" s="9"/>
      <c r="FX683" s="9"/>
      <c r="FY683" s="9"/>
      <c r="FZ683" s="9"/>
      <c r="GA683" s="9"/>
      <c r="GB683" s="9"/>
      <c r="GC683" s="9"/>
      <c r="GD683" s="9"/>
      <c r="GE683" s="9"/>
      <c r="GF683" s="9"/>
      <c r="GG683" s="9"/>
      <c r="GH683" s="9"/>
      <c r="GI683" s="9"/>
      <c r="GJ683" s="9"/>
      <c r="GK683" s="9"/>
      <c r="GL683" s="9"/>
      <c r="GM683" s="9"/>
      <c r="GN683" s="9"/>
      <c r="GO683" s="9"/>
      <c r="GP683" s="9"/>
      <c r="GQ683" s="9"/>
      <c r="GR683" s="9"/>
      <c r="GS683" s="9"/>
      <c r="GT683" s="9"/>
      <c r="GU683" s="9"/>
      <c r="GV683" s="9"/>
      <c r="GW683" s="9"/>
      <c r="GX683" s="9"/>
      <c r="GY683" s="9"/>
      <c r="GZ683" s="9"/>
      <c r="HA683" s="9"/>
      <c r="HB683" s="9"/>
      <c r="HC683" s="9"/>
      <c r="HD683" s="9"/>
      <c r="HE683" s="9"/>
      <c r="HF683" s="9"/>
      <c r="HG683" s="9"/>
      <c r="HH683" s="9"/>
      <c r="HI683" s="9"/>
      <c r="HJ683" s="9"/>
      <c r="HK683" s="9"/>
      <c r="HL683" s="9" t="s">
        <v>2029</v>
      </c>
      <c r="HM683" s="9" t="s">
        <v>232</v>
      </c>
      <c r="HY683" s="58"/>
      <c r="JO683" s="9"/>
      <c r="JY683" s="9"/>
      <c r="KQ683" s="9"/>
      <c r="KR683" s="9"/>
      <c r="KS683" s="9"/>
      <c r="KT683" s="9"/>
      <c r="MS683" t="s">
        <v>1987</v>
      </c>
      <c r="MT683">
        <v>625</v>
      </c>
      <c r="MU683" t="s">
        <v>1988</v>
      </c>
      <c r="MW683" t="s">
        <v>1992</v>
      </c>
      <c r="MX683" t="s">
        <v>1993</v>
      </c>
      <c r="MY683" t="s">
        <v>1994</v>
      </c>
      <c r="MZ683" t="s">
        <v>1995</v>
      </c>
      <c r="NA683" t="s">
        <v>1996</v>
      </c>
      <c r="NE683" t="s">
        <v>2031</v>
      </c>
      <c r="NF683" t="s">
        <v>2032</v>
      </c>
      <c r="NG683" t="s">
        <v>1770</v>
      </c>
      <c r="NH683" t="s">
        <v>1991</v>
      </c>
      <c r="NP683" t="s">
        <v>2030</v>
      </c>
      <c r="NQ683" t="s">
        <v>1998</v>
      </c>
      <c r="NR683">
        <v>64</v>
      </c>
      <c r="NS683" t="s">
        <v>29</v>
      </c>
      <c r="NT683" t="s">
        <v>29</v>
      </c>
      <c r="NW683">
        <v>32</v>
      </c>
      <c r="OH683" t="s">
        <v>1999</v>
      </c>
      <c r="OI683" s="19"/>
      <c r="OK683">
        <v>2009</v>
      </c>
      <c r="OL683">
        <v>2010</v>
      </c>
      <c r="OO683" t="s">
        <v>2000</v>
      </c>
      <c r="OP683" s="58">
        <v>46133</v>
      </c>
    </row>
    <row r="684" spans="1:411">
      <c r="A684" s="87" t="s">
        <v>36</v>
      </c>
      <c r="B684" s="87" t="s">
        <v>1975</v>
      </c>
      <c r="C684" s="87" t="s">
        <v>1976</v>
      </c>
      <c r="D684" s="87" t="s">
        <v>1955</v>
      </c>
      <c r="E684" s="87" t="s">
        <v>1977</v>
      </c>
      <c r="F684" s="87" t="s">
        <v>1978</v>
      </c>
      <c r="G684" s="87" t="s">
        <v>2</v>
      </c>
      <c r="H684" s="87" t="s">
        <v>30</v>
      </c>
      <c r="I684" s="87">
        <v>-8.9</v>
      </c>
      <c r="J684" s="87">
        <v>-74.983000000000004</v>
      </c>
      <c r="K684" s="87"/>
      <c r="L684" s="87" t="s">
        <v>1976</v>
      </c>
      <c r="M684" s="87" t="s">
        <v>245</v>
      </c>
      <c r="N684" s="87" t="s">
        <v>1979</v>
      </c>
      <c r="O684" s="87" t="s">
        <v>1980</v>
      </c>
      <c r="P684" s="87" t="s">
        <v>2</v>
      </c>
      <c r="Q684" s="87" t="s">
        <v>30</v>
      </c>
      <c r="R684" s="87">
        <v>-8.5169999999999995</v>
      </c>
      <c r="S684" s="87">
        <v>-74.766999999999996</v>
      </c>
      <c r="T684" s="87"/>
      <c r="U684" s="87"/>
      <c r="V684" s="87"/>
      <c r="W684" s="87"/>
      <c r="X684" s="87"/>
      <c r="Y684" s="87"/>
      <c r="Z684" s="87"/>
      <c r="AA684" s="87"/>
      <c r="AB684" s="87"/>
      <c r="AC684" s="87"/>
      <c r="AD684" s="87"/>
      <c r="AE684" s="87"/>
      <c r="AF684" s="87"/>
      <c r="AG684" s="87"/>
      <c r="AH684" s="87"/>
      <c r="AI684" s="87"/>
      <c r="AJ684" s="87"/>
      <c r="AK684" s="87"/>
      <c r="AL684" s="87"/>
      <c r="AM684" s="87"/>
      <c r="AN684" s="87"/>
      <c r="AO684" s="87"/>
      <c r="AP684" s="87"/>
      <c r="AQ684" s="87"/>
      <c r="AR684" s="87"/>
      <c r="AS684" s="87"/>
      <c r="AT684" s="87"/>
      <c r="AU684" s="87"/>
      <c r="AV684" s="87" t="s">
        <v>1981</v>
      </c>
      <c r="AW684" s="87">
        <v>625</v>
      </c>
      <c r="AX684" s="87" t="s">
        <v>29</v>
      </c>
      <c r="AY684" s="87">
        <v>2</v>
      </c>
      <c r="AZ684" s="87" t="s">
        <v>1982</v>
      </c>
      <c r="BA684" s="87">
        <v>2009</v>
      </c>
      <c r="BB684" s="87">
        <v>2010</v>
      </c>
      <c r="BC684" s="87" t="s">
        <v>1983</v>
      </c>
      <c r="BD684" s="87" t="s">
        <v>1985</v>
      </c>
      <c r="BE684" s="87" t="s">
        <v>1984</v>
      </c>
      <c r="BF684" s="87" t="s">
        <v>39</v>
      </c>
      <c r="BG684" s="87" t="s">
        <v>1762</v>
      </c>
      <c r="BH684" s="87"/>
      <c r="BI684" s="87"/>
      <c r="BJ684" s="87"/>
      <c r="BK684" s="87"/>
      <c r="BL684" s="87"/>
      <c r="BM684" s="87"/>
      <c r="BN684" s="87"/>
      <c r="BO684" s="87"/>
      <c r="BP684" s="87"/>
      <c r="BQ684" s="87"/>
      <c r="BR684" s="87"/>
      <c r="BS684" s="87"/>
      <c r="BT684" s="87"/>
      <c r="BU684" s="87"/>
      <c r="BV684" s="87"/>
      <c r="BW684" s="87"/>
      <c r="BX684" s="87"/>
      <c r="BY684" s="87"/>
      <c r="BZ684" s="87"/>
      <c r="CA684" s="87"/>
      <c r="CB684" s="87"/>
      <c r="CC684" s="87"/>
      <c r="CD684" s="87"/>
      <c r="CE684" s="87"/>
      <c r="CF684" s="87"/>
      <c r="CG684" s="87"/>
      <c r="CH684" s="87"/>
      <c r="CI684" s="87"/>
      <c r="CJ684" s="87"/>
      <c r="CK684" s="87"/>
      <c r="CL684" s="87"/>
      <c r="CM684" s="87"/>
      <c r="CN684" s="87"/>
      <c r="CO684" s="87"/>
      <c r="CP684" s="87"/>
      <c r="CQ684" s="87"/>
      <c r="CR684" s="87"/>
      <c r="CS684" s="87"/>
      <c r="CT684" s="87"/>
      <c r="CU684" s="87"/>
      <c r="CV684" s="87"/>
      <c r="CW684" s="87"/>
      <c r="CX684" s="87"/>
      <c r="CY684" s="87"/>
      <c r="CZ684" s="87"/>
      <c r="DA684" s="87"/>
      <c r="DB684" s="87"/>
      <c r="DC684" s="87"/>
      <c r="DD684" s="87"/>
      <c r="DE684" s="87"/>
      <c r="DF684" s="87"/>
      <c r="DG684" s="87"/>
      <c r="DH684" s="87"/>
      <c r="DI684" s="87"/>
      <c r="DJ684" s="87"/>
      <c r="DK684" s="87"/>
      <c r="DL684" s="87"/>
      <c r="DM684" s="87"/>
      <c r="DN684" s="87"/>
      <c r="DO684" s="87"/>
      <c r="DP684" s="87"/>
      <c r="DQ684" s="87"/>
      <c r="DR684" s="87"/>
      <c r="DS684" s="87"/>
      <c r="DT684" s="87"/>
      <c r="DU684" s="87"/>
      <c r="DV684" s="87"/>
      <c r="DW684" s="87"/>
      <c r="DX684" s="87"/>
      <c r="DY684" s="87"/>
      <c r="DZ684" s="87"/>
      <c r="EA684" s="87"/>
      <c r="EB684" s="87"/>
      <c r="EC684" s="87"/>
      <c r="ED684" s="87"/>
      <c r="EE684" s="87"/>
      <c r="EF684" s="87"/>
      <c r="EG684" s="87"/>
      <c r="EH684" s="87"/>
      <c r="EI684" s="87"/>
      <c r="EJ684" s="144"/>
      <c r="EK684" s="144"/>
      <c r="EL684" s="144"/>
      <c r="EM684" s="144"/>
      <c r="EN684" s="144"/>
      <c r="EO684" s="144"/>
      <c r="EP684" s="144"/>
      <c r="EQ684" s="144"/>
      <c r="ER684" s="144"/>
      <c r="ES684" s="144"/>
      <c r="ET684" s="144"/>
      <c r="EU684" s="144"/>
      <c r="EV684" s="144"/>
      <c r="EW684" s="144"/>
      <c r="EX684" s="144"/>
      <c r="EY684" s="144"/>
      <c r="EZ684" s="144"/>
      <c r="FA684" s="144"/>
      <c r="FB684" s="144"/>
      <c r="FC684" s="144"/>
      <c r="FD684" s="144"/>
      <c r="FE684" s="144"/>
      <c r="FF684" s="144"/>
      <c r="FG684" s="144"/>
      <c r="FH684" s="144"/>
      <c r="FI684" s="144"/>
      <c r="FJ684" s="144"/>
      <c r="FK684" s="144"/>
      <c r="FL684" s="144"/>
      <c r="FM684" s="144"/>
      <c r="FN684" s="144"/>
      <c r="FO684" s="144"/>
      <c r="FP684" s="144"/>
      <c r="FQ684" s="144"/>
      <c r="FR684" s="144"/>
      <c r="FS684" s="144"/>
      <c r="FT684" s="144"/>
      <c r="FU684" s="144"/>
      <c r="FV684" s="144"/>
      <c r="FW684" s="144"/>
      <c r="FX684" s="144"/>
      <c r="FY684" s="144"/>
      <c r="FZ684" s="144"/>
      <c r="GA684" s="144"/>
      <c r="GB684" s="144"/>
      <c r="GC684" s="144"/>
      <c r="GD684" s="144"/>
      <c r="GE684" s="144"/>
      <c r="GF684" s="144"/>
      <c r="GG684" s="144"/>
      <c r="GH684" s="144"/>
      <c r="GI684" s="144"/>
      <c r="GJ684" s="144"/>
      <c r="GK684" s="144"/>
      <c r="GL684" s="144"/>
      <c r="GM684" s="144"/>
      <c r="GN684" s="144"/>
      <c r="GO684" s="144"/>
      <c r="GP684" s="144"/>
      <c r="GQ684" s="144"/>
      <c r="GR684" s="144"/>
      <c r="GS684" s="144"/>
      <c r="GT684" s="144"/>
      <c r="GU684" s="144"/>
      <c r="GV684" s="144"/>
      <c r="GW684" s="144"/>
      <c r="GX684" s="144"/>
      <c r="GY684" s="144"/>
      <c r="GZ684" s="144"/>
      <c r="HA684" s="144"/>
      <c r="HB684" s="144"/>
      <c r="HC684" s="144"/>
      <c r="HD684" s="144"/>
      <c r="HE684" s="144"/>
      <c r="HF684" s="144"/>
      <c r="HG684" s="144"/>
      <c r="HH684" s="144"/>
      <c r="HI684" s="144"/>
      <c r="HJ684" s="144"/>
      <c r="HK684" s="144"/>
      <c r="HL684" s="144" t="s">
        <v>1986</v>
      </c>
      <c r="HM684" s="144" t="s">
        <v>232</v>
      </c>
      <c r="HN684" s="87"/>
      <c r="HO684" s="87"/>
      <c r="HP684" s="87"/>
      <c r="HQ684" s="87"/>
      <c r="HR684" s="87"/>
      <c r="HS684" s="87"/>
      <c r="HT684" s="87"/>
      <c r="HU684" s="87"/>
      <c r="HV684" s="87"/>
      <c r="HW684" s="87"/>
      <c r="HX684" s="87"/>
      <c r="HY684" s="145"/>
      <c r="HZ684" s="87"/>
      <c r="IA684" s="87"/>
      <c r="IB684" s="87"/>
      <c r="IC684" s="87"/>
      <c r="ID684" s="87"/>
      <c r="IE684" s="87"/>
      <c r="IF684" s="87"/>
      <c r="IG684" s="87"/>
      <c r="IH684" s="87"/>
      <c r="II684" s="87"/>
      <c r="IJ684" s="87"/>
      <c r="IK684" s="87"/>
      <c r="IL684" s="87"/>
      <c r="IM684" s="87"/>
      <c r="IN684" s="87"/>
      <c r="IO684" s="87"/>
      <c r="IP684" s="87"/>
      <c r="IQ684" s="87"/>
      <c r="IR684" s="87"/>
      <c r="IS684" s="87"/>
      <c r="IT684" s="87"/>
      <c r="IU684" s="87"/>
      <c r="IV684" s="87"/>
      <c r="IW684" s="87"/>
      <c r="IX684" s="87"/>
      <c r="IY684" s="87">
        <v>20</v>
      </c>
      <c r="IZ684" s="87">
        <v>95</v>
      </c>
      <c r="JA684" s="87"/>
      <c r="JB684" s="87"/>
      <c r="JC684" s="87"/>
      <c r="JD684" s="87"/>
      <c r="JE684" s="87"/>
      <c r="JF684" s="87"/>
      <c r="JG684" s="87"/>
      <c r="JH684" s="87"/>
      <c r="JI684" s="87"/>
      <c r="JJ684" s="87"/>
      <c r="JK684" s="87"/>
      <c r="JL684" s="87"/>
      <c r="JM684" s="87"/>
      <c r="JN684" s="87"/>
      <c r="JO684" s="151"/>
      <c r="JP684" s="87"/>
      <c r="JQ684" s="87"/>
      <c r="JR684" s="87"/>
      <c r="JS684" s="87"/>
      <c r="JT684" s="87"/>
      <c r="JU684" s="87"/>
      <c r="JV684" s="87"/>
      <c r="JW684" s="87"/>
      <c r="JX684" s="87"/>
      <c r="JY684" s="151"/>
      <c r="JZ684" s="87"/>
      <c r="KA684" s="87"/>
      <c r="KB684" s="87"/>
      <c r="KC684" s="87"/>
      <c r="KD684" s="87"/>
      <c r="KE684" s="87"/>
      <c r="KF684" s="87"/>
      <c r="KG684" s="87"/>
      <c r="KH684" s="87"/>
      <c r="KI684" s="87"/>
      <c r="KJ684" s="87"/>
      <c r="KK684" s="87"/>
      <c r="KL684" s="87"/>
      <c r="KM684" s="87"/>
      <c r="KN684" s="87"/>
      <c r="KO684" s="87"/>
      <c r="KP684" s="87"/>
      <c r="KQ684" s="151"/>
      <c r="KR684" s="151"/>
      <c r="KS684" s="151"/>
      <c r="KT684" s="151"/>
      <c r="KU684" s="87"/>
      <c r="KV684" s="87"/>
      <c r="KW684" s="87"/>
      <c r="KX684" s="87"/>
      <c r="KY684" s="87"/>
      <c r="KZ684" s="87"/>
      <c r="LA684" s="87"/>
      <c r="LB684" s="87"/>
      <c r="LC684" s="87"/>
      <c r="LD684" s="87"/>
      <c r="LE684" s="87"/>
      <c r="LF684" s="87"/>
      <c r="LG684" s="87"/>
      <c r="LH684" s="87"/>
      <c r="LI684" s="87"/>
      <c r="LJ684" s="87"/>
      <c r="LK684" s="87"/>
      <c r="LL684" s="87"/>
      <c r="LM684" s="87"/>
      <c r="LN684" s="87"/>
      <c r="LO684" s="87"/>
      <c r="LP684" s="87"/>
      <c r="LQ684" s="87"/>
      <c r="LR684" s="87"/>
      <c r="LS684" s="87"/>
      <c r="LT684" s="87"/>
      <c r="LU684" s="87"/>
      <c r="LV684" s="87"/>
      <c r="LW684" s="87"/>
      <c r="LX684" s="87"/>
      <c r="LY684" s="87"/>
      <c r="LZ684" s="87"/>
      <c r="MA684" s="87"/>
      <c r="MB684" s="87"/>
      <c r="MC684" s="87"/>
      <c r="MD684" s="87"/>
      <c r="ME684" s="87"/>
      <c r="MF684" s="87"/>
      <c r="MG684" s="87"/>
      <c r="MH684" s="87"/>
      <c r="MI684" s="87"/>
      <c r="MJ684" s="87"/>
      <c r="MK684" s="87"/>
      <c r="ML684" s="87"/>
      <c r="MM684" s="87"/>
      <c r="MN684" s="87"/>
      <c r="MO684" s="87"/>
      <c r="MP684" s="87"/>
      <c r="MQ684" s="87"/>
      <c r="MR684" s="87"/>
      <c r="MS684" s="87" t="s">
        <v>1987</v>
      </c>
      <c r="MT684" s="87">
        <v>625</v>
      </c>
      <c r="MU684" s="87" t="s">
        <v>1988</v>
      </c>
      <c r="MV684" s="87"/>
      <c r="MW684" s="87" t="s">
        <v>1992</v>
      </c>
      <c r="MX684" s="87" t="s">
        <v>1993</v>
      </c>
      <c r="MY684" s="87" t="s">
        <v>1994</v>
      </c>
      <c r="MZ684" s="87" t="s">
        <v>1995</v>
      </c>
      <c r="NA684" s="87" t="s">
        <v>1996</v>
      </c>
      <c r="NB684" s="87"/>
      <c r="NC684" s="87"/>
      <c r="ND684" s="87"/>
      <c r="NE684" s="87" t="s">
        <v>2033</v>
      </c>
      <c r="NF684" s="87" t="s">
        <v>2034</v>
      </c>
      <c r="NG684" s="87" t="s">
        <v>2035</v>
      </c>
      <c r="NH684" s="87" t="s">
        <v>1991</v>
      </c>
      <c r="NI684" s="87"/>
      <c r="NJ684" s="87"/>
      <c r="NK684" s="87"/>
      <c r="NL684" s="87"/>
      <c r="NM684" s="87"/>
      <c r="NN684" s="87"/>
      <c r="NO684" s="87"/>
      <c r="NP684" s="87" t="s">
        <v>1997</v>
      </c>
      <c r="NQ684" s="87" t="s">
        <v>1998</v>
      </c>
      <c r="NR684" s="87">
        <v>853</v>
      </c>
      <c r="NS684" s="87" t="s">
        <v>29</v>
      </c>
      <c r="NT684" s="87" t="s">
        <v>29</v>
      </c>
      <c r="NU684" s="87"/>
      <c r="NV684" s="87"/>
      <c r="NW684" s="87">
        <v>8</v>
      </c>
      <c r="NX684" s="87"/>
      <c r="NY684" s="87"/>
      <c r="NZ684" s="87"/>
      <c r="OA684" s="87"/>
      <c r="OB684" s="87"/>
      <c r="OC684" s="87"/>
      <c r="OD684" s="87"/>
      <c r="OE684" s="87"/>
      <c r="OF684" s="87"/>
      <c r="OG684" s="87"/>
      <c r="OH684" s="87" t="s">
        <v>1999</v>
      </c>
      <c r="OI684" s="149"/>
      <c r="OJ684" s="87"/>
      <c r="OK684" s="87">
        <v>2009</v>
      </c>
      <c r="OL684" s="87">
        <v>2010</v>
      </c>
      <c r="OM684" s="87"/>
      <c r="ON684" s="87"/>
      <c r="OO684" s="87" t="s">
        <v>2000</v>
      </c>
      <c r="OP684" s="145">
        <v>46133</v>
      </c>
      <c r="OQ684" s="87"/>
      <c r="OR684" s="87"/>
      <c r="OS684" s="87"/>
      <c r="OT684" s="87"/>
      <c r="OU684" s="143"/>
    </row>
    <row r="685" spans="1:411">
      <c r="A685" t="s">
        <v>36</v>
      </c>
      <c r="B685" t="s">
        <v>1975</v>
      </c>
      <c r="C685" t="s">
        <v>1976</v>
      </c>
      <c r="D685" t="s">
        <v>245</v>
      </c>
      <c r="E685" t="s">
        <v>1979</v>
      </c>
      <c r="F685" t="s">
        <v>1980</v>
      </c>
      <c r="G685" t="s">
        <v>2</v>
      </c>
      <c r="H685" t="s">
        <v>30</v>
      </c>
      <c r="I685">
        <v>-8.5169999999999995</v>
      </c>
      <c r="J685">
        <v>-74.766999999999996</v>
      </c>
      <c r="L685" t="s">
        <v>1976</v>
      </c>
      <c r="M685" t="s">
        <v>245</v>
      </c>
      <c r="N685" t="s">
        <v>2001</v>
      </c>
      <c r="O685" t="s">
        <v>1980</v>
      </c>
      <c r="P685" t="s">
        <v>2</v>
      </c>
      <c r="Q685" t="s">
        <v>30</v>
      </c>
      <c r="R685">
        <v>-8.3670000000000009</v>
      </c>
      <c r="S685">
        <v>-74.7</v>
      </c>
      <c r="AV685" t="s">
        <v>1981</v>
      </c>
      <c r="AW685">
        <v>625</v>
      </c>
      <c r="AX685" t="s">
        <v>29</v>
      </c>
      <c r="AY685">
        <v>2</v>
      </c>
      <c r="AZ685" t="s">
        <v>1982</v>
      </c>
      <c r="BA685">
        <v>2009</v>
      </c>
      <c r="BB685">
        <v>2010</v>
      </c>
      <c r="BC685" t="s">
        <v>1983</v>
      </c>
      <c r="BD685" t="s">
        <v>2009</v>
      </c>
      <c r="BE685" t="s">
        <v>2003</v>
      </c>
      <c r="BF685" t="s">
        <v>64</v>
      </c>
      <c r="BG685" t="s">
        <v>1243</v>
      </c>
      <c r="BH685" t="s">
        <v>2004</v>
      </c>
      <c r="BI685" t="s">
        <v>29</v>
      </c>
      <c r="BJ685" t="s">
        <v>29</v>
      </c>
      <c r="BK685" t="s">
        <v>29</v>
      </c>
      <c r="EE685" t="s">
        <v>2005</v>
      </c>
      <c r="EF685" t="s">
        <v>2006</v>
      </c>
      <c r="EG685">
        <v>0.24</v>
      </c>
      <c r="EH685" t="s">
        <v>2009</v>
      </c>
      <c r="EJ685" s="9"/>
      <c r="EK685" s="9"/>
      <c r="EL685" s="9"/>
      <c r="EM685" s="9"/>
      <c r="EN685" s="9"/>
      <c r="EO685" s="9"/>
      <c r="EP685" s="9"/>
      <c r="EQ685" s="9"/>
      <c r="ER685" s="9"/>
      <c r="ES685" s="9"/>
      <c r="ET685" s="9"/>
      <c r="EU685" s="9"/>
      <c r="EV685" s="9"/>
      <c r="EW685" s="9"/>
      <c r="EX685" s="9"/>
      <c r="EY685" s="9"/>
      <c r="EZ685" s="9"/>
      <c r="FA685" s="9"/>
      <c r="FB685" s="9"/>
      <c r="FC685" s="9"/>
      <c r="FD685" s="9"/>
      <c r="FE685" s="9"/>
      <c r="FF685" s="9"/>
      <c r="FG685" s="9"/>
      <c r="FH685" s="9"/>
      <c r="FI685" s="9"/>
      <c r="FJ685" s="9"/>
      <c r="FK685" s="9"/>
      <c r="FL685" s="9"/>
      <c r="FM685" s="9"/>
      <c r="FN685" s="9"/>
      <c r="FO685" s="9"/>
      <c r="FP685" s="9"/>
      <c r="FQ685" s="9"/>
      <c r="FR685" s="9"/>
      <c r="FS685" s="9"/>
      <c r="FT685" s="9"/>
      <c r="FU685" s="9"/>
      <c r="FV685" s="9"/>
      <c r="FW685" s="9"/>
      <c r="FX685" s="9"/>
      <c r="FY685" s="9"/>
      <c r="FZ685" s="9"/>
      <c r="GA685" s="9"/>
      <c r="GB685" s="9"/>
      <c r="GC685" s="9"/>
      <c r="GD685" s="9"/>
      <c r="GE685" s="9"/>
      <c r="GF685" s="9"/>
      <c r="GG685" s="9"/>
      <c r="GH685" s="9"/>
      <c r="GI685" s="9"/>
      <c r="GJ685" s="9"/>
      <c r="GK685" s="9"/>
      <c r="GL685" s="9"/>
      <c r="GM685" s="9"/>
      <c r="GN685" s="9"/>
      <c r="GO685" s="9"/>
      <c r="GP685" s="9"/>
      <c r="GQ685" s="9"/>
      <c r="GR685" s="9"/>
      <c r="GS685" s="9"/>
      <c r="GT685" s="9"/>
      <c r="GU685" s="9"/>
      <c r="GV685" s="9"/>
      <c r="GW685" s="9"/>
      <c r="GX685" s="9"/>
      <c r="GY685" s="9"/>
      <c r="GZ685" s="9"/>
      <c r="HA685" s="9"/>
      <c r="HB685" s="9"/>
      <c r="HC685" s="9"/>
      <c r="HD685" s="9"/>
      <c r="HE685" s="9"/>
      <c r="HF685" s="9"/>
      <c r="HG685" s="9"/>
      <c r="HH685" s="9"/>
      <c r="HI685" s="9"/>
      <c r="HJ685" s="9"/>
      <c r="HK685" s="9"/>
      <c r="HL685" s="9" t="s">
        <v>2007</v>
      </c>
      <c r="HM685" s="9" t="s">
        <v>232</v>
      </c>
      <c r="HY685" s="58"/>
      <c r="IU685" t="s">
        <v>2008</v>
      </c>
      <c r="IV685" t="s">
        <v>2009</v>
      </c>
      <c r="IW685" t="s">
        <v>2010</v>
      </c>
      <c r="IY685">
        <v>6</v>
      </c>
      <c r="IZ685">
        <v>77.5</v>
      </c>
      <c r="JA685">
        <v>75</v>
      </c>
      <c r="JB685">
        <v>80</v>
      </c>
      <c r="JC685">
        <v>7.5</v>
      </c>
      <c r="JD685">
        <v>6</v>
      </c>
      <c r="JE685">
        <v>9</v>
      </c>
      <c r="JO685" s="9"/>
      <c r="JY685" s="9"/>
      <c r="KQ685" s="9"/>
      <c r="KR685" s="9"/>
      <c r="KS685" s="9"/>
      <c r="KT685" s="9"/>
      <c r="MS685" t="s">
        <v>1987</v>
      </c>
      <c r="MT685">
        <v>625</v>
      </c>
      <c r="MU685" t="s">
        <v>1988</v>
      </c>
      <c r="MW685" t="s">
        <v>1992</v>
      </c>
      <c r="MX685" t="s">
        <v>1993</v>
      </c>
      <c r="MY685" t="s">
        <v>1994</v>
      </c>
      <c r="MZ685" t="s">
        <v>1995</v>
      </c>
      <c r="NA685" t="s">
        <v>1996</v>
      </c>
      <c r="NE685" t="s">
        <v>2033</v>
      </c>
      <c r="NF685" t="s">
        <v>2034</v>
      </c>
      <c r="NG685" t="s">
        <v>2035</v>
      </c>
      <c r="NH685" t="s">
        <v>1991</v>
      </c>
      <c r="NP685" t="s">
        <v>2011</v>
      </c>
      <c r="NQ685" t="s">
        <v>1998</v>
      </c>
      <c r="NR685">
        <v>594</v>
      </c>
      <c r="NS685" t="s">
        <v>29</v>
      </c>
      <c r="NT685" t="s">
        <v>29</v>
      </c>
      <c r="NW685">
        <v>31</v>
      </c>
      <c r="OH685" t="s">
        <v>1999</v>
      </c>
      <c r="OI685" s="19"/>
      <c r="OK685">
        <v>2009</v>
      </c>
      <c r="OL685">
        <v>2010</v>
      </c>
      <c r="OO685" t="s">
        <v>2000</v>
      </c>
      <c r="OP685" s="58">
        <v>46133</v>
      </c>
    </row>
    <row r="686" spans="1:411">
      <c r="A686" s="87" t="s">
        <v>36</v>
      </c>
      <c r="B686" s="87" t="s">
        <v>1975</v>
      </c>
      <c r="C686" s="87" t="s">
        <v>1976</v>
      </c>
      <c r="D686" s="87" t="s">
        <v>245</v>
      </c>
      <c r="E686" s="87" t="s">
        <v>2012</v>
      </c>
      <c r="F686" s="87" t="s">
        <v>1980</v>
      </c>
      <c r="G686" s="87" t="s">
        <v>2</v>
      </c>
      <c r="H686" s="87" t="s">
        <v>30</v>
      </c>
      <c r="I686" s="87">
        <v>-8.8170000000000002</v>
      </c>
      <c r="J686" s="87">
        <v>-75.2</v>
      </c>
      <c r="K686" s="87"/>
      <c r="L686" s="87" t="s">
        <v>1976</v>
      </c>
      <c r="M686" s="87" t="s">
        <v>245</v>
      </c>
      <c r="N686" s="87" t="s">
        <v>1979</v>
      </c>
      <c r="O686" s="87" t="s">
        <v>1980</v>
      </c>
      <c r="P686" s="87" t="s">
        <v>2</v>
      </c>
      <c r="Q686" s="87" t="s">
        <v>30</v>
      </c>
      <c r="R686" s="87">
        <v>-8.5169999999999995</v>
      </c>
      <c r="S686" s="87">
        <v>-74.766999999999996</v>
      </c>
      <c r="T686" s="87"/>
      <c r="U686" s="87"/>
      <c r="V686" s="87"/>
      <c r="W686" s="87"/>
      <c r="X686" s="87"/>
      <c r="Y686" s="87"/>
      <c r="Z686" s="87"/>
      <c r="AA686" s="87"/>
      <c r="AB686" s="87"/>
      <c r="AC686" s="87"/>
      <c r="AD686" s="87"/>
      <c r="AE686" s="87"/>
      <c r="AF686" s="87"/>
      <c r="AG686" s="87"/>
      <c r="AH686" s="87"/>
      <c r="AI686" s="87"/>
      <c r="AJ686" s="87"/>
      <c r="AK686" s="87"/>
      <c r="AL686" s="87"/>
      <c r="AM686" s="87"/>
      <c r="AN686" s="87"/>
      <c r="AO686" s="87"/>
      <c r="AP686" s="87"/>
      <c r="AQ686" s="87"/>
      <c r="AR686" s="87"/>
      <c r="AS686" s="87"/>
      <c r="AT686" s="87"/>
      <c r="AU686" s="87"/>
      <c r="AV686" s="87" t="s">
        <v>1981</v>
      </c>
      <c r="AW686" s="87">
        <v>625</v>
      </c>
      <c r="AX686" s="87" t="s">
        <v>29</v>
      </c>
      <c r="AY686" s="87">
        <v>2</v>
      </c>
      <c r="AZ686" s="87" t="s">
        <v>1982</v>
      </c>
      <c r="BA686" s="87">
        <v>2009</v>
      </c>
      <c r="BB686" s="87">
        <v>2010</v>
      </c>
      <c r="BC686" s="87" t="s">
        <v>1983</v>
      </c>
      <c r="BD686" s="87" t="s">
        <v>2002</v>
      </c>
      <c r="BE686" s="87" t="s">
        <v>2013</v>
      </c>
      <c r="BF686" s="87" t="s">
        <v>57</v>
      </c>
      <c r="BG686" s="87" t="s">
        <v>1243</v>
      </c>
      <c r="BH686" s="87" t="s">
        <v>2014</v>
      </c>
      <c r="BI686" s="87" t="s">
        <v>29</v>
      </c>
      <c r="BJ686" s="87" t="s">
        <v>29</v>
      </c>
      <c r="BK686" s="87" t="s">
        <v>29</v>
      </c>
      <c r="BL686" s="87"/>
      <c r="BM686" s="87"/>
      <c r="BN686" s="87"/>
      <c r="BO686" s="87"/>
      <c r="BP686" s="87"/>
      <c r="BQ686" s="87"/>
      <c r="BR686" s="87"/>
      <c r="BS686" s="87"/>
      <c r="BT686" s="87"/>
      <c r="BU686" s="87"/>
      <c r="BV686" s="87"/>
      <c r="BW686" s="87"/>
      <c r="BX686" s="87"/>
      <c r="BY686" s="87"/>
      <c r="BZ686" s="87"/>
      <c r="CA686" s="87"/>
      <c r="CB686" s="87"/>
      <c r="CC686" s="87"/>
      <c r="CD686" s="87"/>
      <c r="CE686" s="87"/>
      <c r="CF686" s="87"/>
      <c r="CG686" s="87"/>
      <c r="CH686" s="87"/>
      <c r="CI686" s="87"/>
      <c r="CJ686" s="87"/>
      <c r="CK686" s="87"/>
      <c r="CL686" s="87"/>
      <c r="CM686" s="87"/>
      <c r="CN686" s="87"/>
      <c r="CO686" s="87"/>
      <c r="CP686" s="87"/>
      <c r="CQ686" s="87"/>
      <c r="CR686" s="87"/>
      <c r="CS686" s="87"/>
      <c r="CT686" s="87"/>
      <c r="CU686" s="87"/>
      <c r="CV686" s="87"/>
      <c r="CW686" s="87"/>
      <c r="CX686" s="87"/>
      <c r="CY686" s="87"/>
      <c r="CZ686" s="87"/>
      <c r="DA686" s="87"/>
      <c r="DB686" s="87"/>
      <c r="DC686" s="87"/>
      <c r="DD686" s="87"/>
      <c r="DE686" s="87"/>
      <c r="DF686" s="87"/>
      <c r="DG686" s="87"/>
      <c r="DH686" s="87"/>
      <c r="DI686" s="87"/>
      <c r="DJ686" s="87"/>
      <c r="DK686" s="87"/>
      <c r="DL686" s="87"/>
      <c r="DM686" s="87"/>
      <c r="DN686" s="87"/>
      <c r="DO686" s="87"/>
      <c r="DP686" s="87"/>
      <c r="DQ686" s="87"/>
      <c r="DR686" s="87"/>
      <c r="DS686" s="87"/>
      <c r="DT686" s="87"/>
      <c r="DU686" s="87"/>
      <c r="DV686" s="87"/>
      <c r="DW686" s="87"/>
      <c r="DX686" s="87"/>
      <c r="DY686" s="87"/>
      <c r="DZ686" s="87"/>
      <c r="EA686" s="87"/>
      <c r="EB686" s="87"/>
      <c r="EC686" s="87"/>
      <c r="ED686" s="87"/>
      <c r="EE686" s="87" t="s">
        <v>2015</v>
      </c>
      <c r="EF686" s="87" t="s">
        <v>2006</v>
      </c>
      <c r="EG686" s="87">
        <v>0.24</v>
      </c>
      <c r="EH686" s="87" t="s">
        <v>2056</v>
      </c>
      <c r="EI686" s="87" t="s">
        <v>2016</v>
      </c>
      <c r="EJ686" s="144" t="s">
        <v>2006</v>
      </c>
      <c r="EK686" s="144">
        <v>0.24</v>
      </c>
      <c r="EL686" s="144"/>
      <c r="EM686" s="144" t="s">
        <v>2017</v>
      </c>
      <c r="EN686" s="144" t="s">
        <v>2006</v>
      </c>
      <c r="EO686" s="144" t="s">
        <v>29</v>
      </c>
      <c r="EP686" s="144"/>
      <c r="EQ686" s="144" t="s">
        <v>2018</v>
      </c>
      <c r="ER686" s="144" t="s">
        <v>2006</v>
      </c>
      <c r="ES686" s="144" t="s">
        <v>29</v>
      </c>
      <c r="ET686" s="144"/>
      <c r="EU686" s="144" t="s">
        <v>2019</v>
      </c>
      <c r="EV686" s="144" t="s">
        <v>2006</v>
      </c>
      <c r="EW686" s="144" t="s">
        <v>29</v>
      </c>
      <c r="EX686" s="144"/>
      <c r="EY686" s="144"/>
      <c r="EZ686" s="144"/>
      <c r="FA686" s="144"/>
      <c r="FB686" s="144"/>
      <c r="FC686" s="144"/>
      <c r="FD686" s="144"/>
      <c r="FE686" s="144"/>
      <c r="FF686" s="144"/>
      <c r="FG686" s="144"/>
      <c r="FH686" s="144"/>
      <c r="FI686" s="144"/>
      <c r="FJ686" s="144"/>
      <c r="FK686" s="144"/>
      <c r="FL686" s="144"/>
      <c r="FM686" s="144"/>
      <c r="FN686" s="144"/>
      <c r="FO686" s="144"/>
      <c r="FP686" s="144"/>
      <c r="FQ686" s="144"/>
      <c r="FR686" s="144"/>
      <c r="FS686" s="144"/>
      <c r="FT686" s="144"/>
      <c r="FU686" s="144"/>
      <c r="FV686" s="144"/>
      <c r="FW686" s="144"/>
      <c r="FX686" s="144"/>
      <c r="FY686" s="144"/>
      <c r="FZ686" s="144"/>
      <c r="GA686" s="144"/>
      <c r="GB686" s="144"/>
      <c r="GC686" s="144"/>
      <c r="GD686" s="144"/>
      <c r="GE686" s="144"/>
      <c r="GF686" s="144"/>
      <c r="GG686" s="144"/>
      <c r="GH686" s="144"/>
      <c r="GI686" s="144"/>
      <c r="GJ686" s="144"/>
      <c r="GK686" s="144"/>
      <c r="GL686" s="144"/>
      <c r="GM686" s="144"/>
      <c r="GN686" s="144"/>
      <c r="GO686" s="144"/>
      <c r="GP686" s="144"/>
      <c r="GQ686" s="144"/>
      <c r="GR686" s="144"/>
      <c r="GS686" s="144"/>
      <c r="GT686" s="144"/>
      <c r="GU686" s="144"/>
      <c r="GV686" s="144"/>
      <c r="GW686" s="144"/>
      <c r="GX686" s="144"/>
      <c r="GY686" s="144"/>
      <c r="GZ686" s="144"/>
      <c r="HA686" s="144"/>
      <c r="HB686" s="144"/>
      <c r="HC686" s="144"/>
      <c r="HD686" s="144"/>
      <c r="HE686" s="144"/>
      <c r="HF686" s="144"/>
      <c r="HG686" s="144"/>
      <c r="HH686" s="144"/>
      <c r="HI686" s="144"/>
      <c r="HJ686" s="144"/>
      <c r="HK686" s="144"/>
      <c r="HL686" s="144" t="s">
        <v>2007</v>
      </c>
      <c r="HM686" s="144" t="s">
        <v>232</v>
      </c>
      <c r="HN686" s="87"/>
      <c r="HO686" s="87"/>
      <c r="HP686" s="87"/>
      <c r="HQ686" s="87"/>
      <c r="HR686" s="87"/>
      <c r="HS686" s="87"/>
      <c r="HT686" s="87"/>
      <c r="HU686" s="87"/>
      <c r="HV686" s="87"/>
      <c r="HW686" s="87"/>
      <c r="HX686" s="87"/>
      <c r="HY686" s="145"/>
      <c r="HZ686" s="87"/>
      <c r="IA686" s="87"/>
      <c r="IB686" s="87"/>
      <c r="IC686" s="87"/>
      <c r="ID686" s="87"/>
      <c r="IE686" s="87"/>
      <c r="IF686" s="87"/>
      <c r="IG686" s="87"/>
      <c r="IH686" s="87"/>
      <c r="II686" s="87"/>
      <c r="IJ686" s="87"/>
      <c r="IK686" s="87"/>
      <c r="IL686" s="87"/>
      <c r="IM686" s="87"/>
      <c r="IN686" s="87"/>
      <c r="IO686" s="87"/>
      <c r="IP686" s="87"/>
      <c r="IQ686" s="87"/>
      <c r="IR686" s="87"/>
      <c r="IS686" s="87"/>
      <c r="IT686" s="87"/>
      <c r="IU686" s="87" t="s">
        <v>2020</v>
      </c>
      <c r="IV686" s="87" t="s">
        <v>2009</v>
      </c>
      <c r="IW686" s="87" t="s">
        <v>2021</v>
      </c>
      <c r="IX686" s="87"/>
      <c r="IY686" s="87"/>
      <c r="IZ686" s="87">
        <v>50</v>
      </c>
      <c r="JA686" s="87"/>
      <c r="JB686" s="87"/>
      <c r="JC686" s="87">
        <v>12</v>
      </c>
      <c r="JD686" s="87"/>
      <c r="JE686" s="87"/>
      <c r="JF686" s="87"/>
      <c r="JG686" s="87"/>
      <c r="JH686" s="87"/>
      <c r="JI686" s="87"/>
      <c r="JJ686" s="87"/>
      <c r="JK686" s="87"/>
      <c r="JL686" s="87"/>
      <c r="JM686" s="87"/>
      <c r="JN686" s="87"/>
      <c r="JO686" s="151"/>
      <c r="JP686" s="87"/>
      <c r="JQ686" s="87"/>
      <c r="JR686" s="87"/>
      <c r="JS686" s="87"/>
      <c r="JT686" s="87"/>
      <c r="JU686" s="87"/>
      <c r="JV686" s="87"/>
      <c r="JW686" s="87"/>
      <c r="JX686" s="87"/>
      <c r="JY686" s="151"/>
      <c r="JZ686" s="87"/>
      <c r="KA686" s="87"/>
      <c r="KB686" s="87"/>
      <c r="KC686" s="87"/>
      <c r="KD686" s="87"/>
      <c r="KE686" s="87"/>
      <c r="KF686" s="87"/>
      <c r="KG686" s="87"/>
      <c r="KH686" s="87"/>
      <c r="KI686" s="87"/>
      <c r="KJ686" s="87"/>
      <c r="KK686" s="87"/>
      <c r="KL686" s="87"/>
      <c r="KM686" s="87"/>
      <c r="KN686" s="87"/>
      <c r="KO686" s="87"/>
      <c r="KP686" s="87"/>
      <c r="KQ686" s="151"/>
      <c r="KR686" s="151"/>
      <c r="KS686" s="151"/>
      <c r="KT686" s="151"/>
      <c r="KU686" s="87"/>
      <c r="KV686" s="87"/>
      <c r="KW686" s="87"/>
      <c r="KX686" s="87"/>
      <c r="KY686" s="87"/>
      <c r="KZ686" s="87"/>
      <c r="LA686" s="87"/>
      <c r="LB686" s="87"/>
      <c r="LC686" s="87"/>
      <c r="LD686" s="87"/>
      <c r="LE686" s="87"/>
      <c r="LF686" s="87"/>
      <c r="LG686" s="87"/>
      <c r="LH686" s="87"/>
      <c r="LI686" s="87"/>
      <c r="LJ686" s="87"/>
      <c r="LK686" s="87"/>
      <c r="LL686" s="87"/>
      <c r="LM686" s="87"/>
      <c r="LN686" s="87"/>
      <c r="LO686" s="87"/>
      <c r="LP686" s="87"/>
      <c r="LQ686" s="87"/>
      <c r="LR686" s="87"/>
      <c r="LS686" s="87"/>
      <c r="LT686" s="87"/>
      <c r="LU686" s="87"/>
      <c r="LV686" s="87"/>
      <c r="LW686" s="87"/>
      <c r="LX686" s="87"/>
      <c r="LY686" s="87"/>
      <c r="LZ686" s="87"/>
      <c r="MA686" s="87"/>
      <c r="MB686" s="87"/>
      <c r="MC686" s="87"/>
      <c r="MD686" s="87"/>
      <c r="ME686" s="87"/>
      <c r="MF686" s="87"/>
      <c r="MG686" s="87"/>
      <c r="MH686" s="87"/>
      <c r="MI686" s="87"/>
      <c r="MJ686" s="87"/>
      <c r="MK686" s="87"/>
      <c r="ML686" s="87"/>
      <c r="MM686" s="87"/>
      <c r="MN686" s="87"/>
      <c r="MO686" s="87"/>
      <c r="MP686" s="87"/>
      <c r="MQ686" s="87"/>
      <c r="MR686" s="87"/>
      <c r="MS686" s="87" t="s">
        <v>1987</v>
      </c>
      <c r="MT686" s="87">
        <v>625</v>
      </c>
      <c r="MU686" s="87" t="s">
        <v>1988</v>
      </c>
      <c r="MV686" s="87"/>
      <c r="MW686" s="87" t="s">
        <v>1992</v>
      </c>
      <c r="MX686" s="87" t="s">
        <v>1993</v>
      </c>
      <c r="MY686" s="87" t="s">
        <v>1994</v>
      </c>
      <c r="MZ686" s="87" t="s">
        <v>1995</v>
      </c>
      <c r="NA686" s="87" t="s">
        <v>1996</v>
      </c>
      <c r="NB686" s="87"/>
      <c r="NC686" s="87"/>
      <c r="ND686" s="87"/>
      <c r="NE686" s="87" t="s">
        <v>2033</v>
      </c>
      <c r="NF686" s="87" t="s">
        <v>2034</v>
      </c>
      <c r="NG686" s="87" t="s">
        <v>2035</v>
      </c>
      <c r="NH686" s="87" t="s">
        <v>1991</v>
      </c>
      <c r="NI686" s="87"/>
      <c r="NJ686" s="87"/>
      <c r="NK686" s="87"/>
      <c r="NL686" s="87"/>
      <c r="NM686" s="87"/>
      <c r="NN686" s="87"/>
      <c r="NO686" s="87"/>
      <c r="NP686" s="87" t="s">
        <v>2022</v>
      </c>
      <c r="NQ686" s="87" t="s">
        <v>1998</v>
      </c>
      <c r="NR686" s="87">
        <v>203</v>
      </c>
      <c r="NS686" s="87" t="s">
        <v>29</v>
      </c>
      <c r="NT686" s="87" t="s">
        <v>29</v>
      </c>
      <c r="NU686" s="87"/>
      <c r="NV686" s="87"/>
      <c r="NW686" s="87">
        <v>32</v>
      </c>
      <c r="NX686" s="87"/>
      <c r="NY686" s="87"/>
      <c r="NZ686" s="87"/>
      <c r="OA686" s="87"/>
      <c r="OB686" s="87"/>
      <c r="OC686" s="87"/>
      <c r="OD686" s="87"/>
      <c r="OE686" s="87"/>
      <c r="OF686" s="87"/>
      <c r="OG686" s="87"/>
      <c r="OH686" s="87" t="s">
        <v>1999</v>
      </c>
      <c r="OI686" s="149"/>
      <c r="OJ686" s="87"/>
      <c r="OK686" s="87">
        <v>2009</v>
      </c>
      <c r="OL686" s="87">
        <v>2010</v>
      </c>
      <c r="OM686" s="87"/>
      <c r="ON686" s="87"/>
      <c r="OO686" s="87" t="s">
        <v>2000</v>
      </c>
      <c r="OP686" s="145">
        <v>46133</v>
      </c>
      <c r="OQ686" s="87"/>
      <c r="OR686" s="87"/>
      <c r="OS686" s="87"/>
      <c r="OT686" s="87"/>
      <c r="OU686" s="143"/>
    </row>
    <row r="687" spans="1:411">
      <c r="A687" t="s">
        <v>36</v>
      </c>
      <c r="B687" t="s">
        <v>1975</v>
      </c>
      <c r="C687" t="s">
        <v>1976</v>
      </c>
      <c r="D687" t="s">
        <v>245</v>
      </c>
      <c r="E687" t="s">
        <v>2012</v>
      </c>
      <c r="F687" t="s">
        <v>1980</v>
      </c>
      <c r="G687" t="s">
        <v>2</v>
      </c>
      <c r="H687" t="s">
        <v>30</v>
      </c>
      <c r="I687">
        <v>-8.8170000000000002</v>
      </c>
      <c r="J687">
        <v>-75.2</v>
      </c>
      <c r="L687" t="s">
        <v>1976</v>
      </c>
      <c r="M687" t="s">
        <v>245</v>
      </c>
      <c r="N687" t="s">
        <v>1979</v>
      </c>
      <c r="O687" t="s">
        <v>1980</v>
      </c>
      <c r="P687" t="s">
        <v>2</v>
      </c>
      <c r="Q687" t="s">
        <v>30</v>
      </c>
      <c r="R687">
        <v>-8.5169999999999995</v>
      </c>
      <c r="S687">
        <v>-74.766999999999996</v>
      </c>
      <c r="U687" t="s">
        <v>1976</v>
      </c>
      <c r="V687" t="s">
        <v>245</v>
      </c>
      <c r="W687" t="s">
        <v>2001</v>
      </c>
      <c r="X687" t="s">
        <v>1980</v>
      </c>
      <c r="Y687" t="s">
        <v>2</v>
      </c>
      <c r="Z687" t="s">
        <v>30</v>
      </c>
      <c r="AA687">
        <v>-8.3670000000000009</v>
      </c>
      <c r="AB687">
        <v>-74.7</v>
      </c>
      <c r="AV687" t="s">
        <v>1981</v>
      </c>
      <c r="AW687">
        <v>625</v>
      </c>
      <c r="AX687" t="s">
        <v>29</v>
      </c>
      <c r="AY687">
        <v>2</v>
      </c>
      <c r="AZ687" t="s">
        <v>1982</v>
      </c>
      <c r="BA687">
        <v>2009</v>
      </c>
      <c r="BB687">
        <v>2010</v>
      </c>
      <c r="BC687" t="s">
        <v>1983</v>
      </c>
      <c r="BD687" t="s">
        <v>19</v>
      </c>
      <c r="BE687" t="s">
        <v>2023</v>
      </c>
      <c r="BF687" t="s">
        <v>24</v>
      </c>
      <c r="BG687" t="s">
        <v>1243</v>
      </c>
      <c r="BH687" t="s">
        <v>2024</v>
      </c>
      <c r="BI687" t="s">
        <v>29</v>
      </c>
      <c r="BJ687" t="s">
        <v>29</v>
      </c>
      <c r="BK687" t="s">
        <v>29</v>
      </c>
      <c r="EJ687" s="9"/>
      <c r="EK687" s="9"/>
      <c r="EL687" s="9"/>
      <c r="EM687" s="9"/>
      <c r="EN687" s="9"/>
      <c r="EO687" s="9"/>
      <c r="EP687" s="9"/>
      <c r="EQ687" s="9"/>
      <c r="ER687" s="9"/>
      <c r="ES687" s="9"/>
      <c r="ET687" s="9"/>
      <c r="EU687" s="9"/>
      <c r="EV687" s="9"/>
      <c r="EW687" s="9"/>
      <c r="EX687" s="9"/>
      <c r="EY687" s="9"/>
      <c r="EZ687" s="9"/>
      <c r="FA687" s="9"/>
      <c r="FB687" s="9"/>
      <c r="FC687" s="9"/>
      <c r="FD687" s="9"/>
      <c r="FE687" s="9"/>
      <c r="FF687" s="9"/>
      <c r="FG687" s="9"/>
      <c r="FH687" s="9"/>
      <c r="FI687" s="9"/>
      <c r="FJ687" s="9"/>
      <c r="FK687" s="9"/>
      <c r="FL687" s="9"/>
      <c r="FM687" s="9"/>
      <c r="FN687" s="9"/>
      <c r="FO687" s="9"/>
      <c r="FP687" s="9"/>
      <c r="FQ687" s="9"/>
      <c r="FR687" s="9"/>
      <c r="FS687" s="9"/>
      <c r="FT687" s="9"/>
      <c r="FU687" s="9"/>
      <c r="FV687" s="9"/>
      <c r="FW687" s="9"/>
      <c r="FX687" s="9"/>
      <c r="FY687" s="9"/>
      <c r="FZ687" s="9"/>
      <c r="GA687" s="9"/>
      <c r="GB687" s="9"/>
      <c r="GC687" s="9"/>
      <c r="GD687" s="9"/>
      <c r="GE687" s="9"/>
      <c r="GF687" s="9"/>
      <c r="GG687" s="9"/>
      <c r="GH687" s="9"/>
      <c r="GI687" s="9"/>
      <c r="GJ687" s="9"/>
      <c r="GK687" s="9"/>
      <c r="GL687" s="9"/>
      <c r="GM687" s="9"/>
      <c r="GN687" s="9"/>
      <c r="GO687" s="9"/>
      <c r="GP687" s="9"/>
      <c r="GQ687" s="9"/>
      <c r="GR687" s="9"/>
      <c r="GS687" s="9"/>
      <c r="GT687" s="9"/>
      <c r="GU687" s="9"/>
      <c r="GV687" s="9"/>
      <c r="GW687" s="9"/>
      <c r="GX687" s="9"/>
      <c r="GY687" s="9"/>
      <c r="GZ687" s="9"/>
      <c r="HA687" s="9"/>
      <c r="HB687" s="9"/>
      <c r="HC687" s="9"/>
      <c r="HD687" s="9"/>
      <c r="HE687" s="9"/>
      <c r="HF687" s="9"/>
      <c r="HG687" s="9"/>
      <c r="HH687" s="9"/>
      <c r="HI687" s="9"/>
      <c r="HJ687" s="9"/>
      <c r="HK687" s="9"/>
      <c r="HL687" s="9" t="s">
        <v>2025</v>
      </c>
      <c r="HM687" s="9" t="s">
        <v>297</v>
      </c>
      <c r="HN687" t="s">
        <v>12</v>
      </c>
      <c r="HY687" s="58"/>
      <c r="JO687" s="9"/>
      <c r="JY687" s="9"/>
      <c r="KQ687" s="9"/>
      <c r="KR687" s="9"/>
      <c r="KS687" s="9"/>
      <c r="KT687" s="9"/>
      <c r="MS687" t="s">
        <v>1987</v>
      </c>
      <c r="MT687">
        <v>625</v>
      </c>
      <c r="MU687" t="s">
        <v>1988</v>
      </c>
      <c r="MW687" t="s">
        <v>1992</v>
      </c>
      <c r="MX687" t="s">
        <v>1993</v>
      </c>
      <c r="MY687" t="s">
        <v>1994</v>
      </c>
      <c r="MZ687" t="s">
        <v>1995</v>
      </c>
      <c r="NA687" t="s">
        <v>1996</v>
      </c>
      <c r="NE687" t="s">
        <v>2033</v>
      </c>
      <c r="NF687" t="s">
        <v>2034</v>
      </c>
      <c r="NG687" t="s">
        <v>2035</v>
      </c>
      <c r="NH687" t="s">
        <v>1991</v>
      </c>
      <c r="NP687" t="s">
        <v>2026</v>
      </c>
      <c r="NQ687" t="s">
        <v>1998</v>
      </c>
      <c r="NR687">
        <v>105</v>
      </c>
      <c r="NS687" t="s">
        <v>29</v>
      </c>
      <c r="NT687" t="s">
        <v>29</v>
      </c>
      <c r="NW687">
        <v>32</v>
      </c>
      <c r="OH687" t="s">
        <v>1999</v>
      </c>
      <c r="OI687" s="19"/>
      <c r="OK687">
        <v>2009</v>
      </c>
      <c r="OL687">
        <v>2010</v>
      </c>
      <c r="OO687" t="s">
        <v>2000</v>
      </c>
      <c r="OP687" s="58">
        <v>46133</v>
      </c>
    </row>
    <row r="688" spans="1:411">
      <c r="A688" s="87" t="s">
        <v>36</v>
      </c>
      <c r="B688" s="87" t="s">
        <v>1975</v>
      </c>
      <c r="C688" s="87" t="s">
        <v>1976</v>
      </c>
      <c r="D688" s="87" t="s">
        <v>245</v>
      </c>
      <c r="E688" s="87" t="s">
        <v>2012</v>
      </c>
      <c r="F688" s="87" t="s">
        <v>1980</v>
      </c>
      <c r="G688" s="87" t="s">
        <v>2</v>
      </c>
      <c r="H688" s="87" t="s">
        <v>30</v>
      </c>
      <c r="I688" s="87">
        <v>-8.8170000000000002</v>
      </c>
      <c r="J688" s="87">
        <v>-75.2</v>
      </c>
      <c r="K688" s="87"/>
      <c r="L688" s="87" t="s">
        <v>1976</v>
      </c>
      <c r="M688" s="87" t="s">
        <v>245</v>
      </c>
      <c r="N688" s="87" t="s">
        <v>1979</v>
      </c>
      <c r="O688" s="87" t="s">
        <v>1980</v>
      </c>
      <c r="P688" s="87" t="s">
        <v>2</v>
      </c>
      <c r="Q688" s="87" t="s">
        <v>30</v>
      </c>
      <c r="R688" s="87">
        <v>-8.5169999999999995</v>
      </c>
      <c r="S688" s="87">
        <v>-74.766999999999996</v>
      </c>
      <c r="T688" s="87"/>
      <c r="U688" s="87" t="s">
        <v>1976</v>
      </c>
      <c r="V688" s="87" t="s">
        <v>245</v>
      </c>
      <c r="W688" s="87" t="s">
        <v>2001</v>
      </c>
      <c r="X688" s="87" t="s">
        <v>1980</v>
      </c>
      <c r="Y688" s="87" t="s">
        <v>2</v>
      </c>
      <c r="Z688" s="87" t="s">
        <v>30</v>
      </c>
      <c r="AA688" s="87">
        <v>-8.3670000000000009</v>
      </c>
      <c r="AB688" s="87">
        <v>-74.7</v>
      </c>
      <c r="AC688" s="87"/>
      <c r="AD688" s="87"/>
      <c r="AE688" s="87"/>
      <c r="AF688" s="87"/>
      <c r="AG688" s="87"/>
      <c r="AH688" s="87"/>
      <c r="AI688" s="87"/>
      <c r="AJ688" s="87"/>
      <c r="AK688" s="87"/>
      <c r="AL688" s="87"/>
      <c r="AM688" s="87"/>
      <c r="AN688" s="87"/>
      <c r="AO688" s="87"/>
      <c r="AP688" s="87"/>
      <c r="AQ688" s="87"/>
      <c r="AR688" s="87"/>
      <c r="AS688" s="87"/>
      <c r="AT688" s="87"/>
      <c r="AU688" s="87"/>
      <c r="AV688" s="87" t="s">
        <v>1981</v>
      </c>
      <c r="AW688" s="87">
        <v>625</v>
      </c>
      <c r="AX688" s="87" t="s">
        <v>29</v>
      </c>
      <c r="AY688" s="87">
        <v>2</v>
      </c>
      <c r="AZ688" s="87" t="s">
        <v>1982</v>
      </c>
      <c r="BA688" s="87">
        <v>2009</v>
      </c>
      <c r="BB688" s="87">
        <v>2010</v>
      </c>
      <c r="BC688" s="87" t="s">
        <v>1983</v>
      </c>
      <c r="BD688" s="87" t="s">
        <v>2055</v>
      </c>
      <c r="BE688" s="87" t="s">
        <v>2027</v>
      </c>
      <c r="BF688" s="87" t="s">
        <v>299</v>
      </c>
      <c r="BG688" s="87" t="s">
        <v>1798</v>
      </c>
      <c r="BH688" s="87" t="s">
        <v>2028</v>
      </c>
      <c r="BI688" s="87" t="s">
        <v>29</v>
      </c>
      <c r="BJ688" s="87" t="s">
        <v>29</v>
      </c>
      <c r="BK688" s="87" t="s">
        <v>29</v>
      </c>
      <c r="BL688" s="87"/>
      <c r="BM688" s="87"/>
      <c r="BN688" s="87"/>
      <c r="BO688" s="87"/>
      <c r="BP688" s="87"/>
      <c r="BQ688" s="87"/>
      <c r="BR688" s="87"/>
      <c r="BS688" s="87"/>
      <c r="BT688" s="87"/>
      <c r="BU688" s="87"/>
      <c r="BV688" s="87"/>
      <c r="BW688" s="87"/>
      <c r="BX688" s="87"/>
      <c r="BY688" s="87"/>
      <c r="BZ688" s="87"/>
      <c r="CA688" s="87"/>
      <c r="CB688" s="87"/>
      <c r="CC688" s="87"/>
      <c r="CD688" s="87"/>
      <c r="CE688" s="87"/>
      <c r="CF688" s="87"/>
      <c r="CG688" s="87"/>
      <c r="CH688" s="87"/>
      <c r="CI688" s="87"/>
      <c r="CJ688" s="87"/>
      <c r="CK688" s="87"/>
      <c r="CL688" s="87"/>
      <c r="CM688" s="87"/>
      <c r="CN688" s="87"/>
      <c r="CO688" s="87"/>
      <c r="CP688" s="87"/>
      <c r="CQ688" s="87"/>
      <c r="CR688" s="87"/>
      <c r="CS688" s="87"/>
      <c r="CT688" s="87"/>
      <c r="CU688" s="87"/>
      <c r="CV688" s="87"/>
      <c r="CW688" s="87"/>
      <c r="CX688" s="87"/>
      <c r="CY688" s="87"/>
      <c r="CZ688" s="87"/>
      <c r="DA688" s="87"/>
      <c r="DB688" s="87"/>
      <c r="DC688" s="87"/>
      <c r="DD688" s="87"/>
      <c r="DE688" s="87"/>
      <c r="DF688" s="87"/>
      <c r="DG688" s="87"/>
      <c r="DH688" s="87"/>
      <c r="DI688" s="87"/>
      <c r="DJ688" s="87"/>
      <c r="DK688" s="87"/>
      <c r="DL688" s="87"/>
      <c r="DM688" s="87"/>
      <c r="DN688" s="87"/>
      <c r="DO688" s="87"/>
      <c r="DP688" s="87"/>
      <c r="DQ688" s="87"/>
      <c r="DR688" s="87"/>
      <c r="DS688" s="87"/>
      <c r="DT688" s="87"/>
      <c r="DU688" s="87"/>
      <c r="DV688" s="87"/>
      <c r="DW688" s="87"/>
      <c r="DX688" s="87"/>
      <c r="DY688" s="87"/>
      <c r="DZ688" s="87"/>
      <c r="EA688" s="87"/>
      <c r="EB688" s="87"/>
      <c r="EC688" s="87"/>
      <c r="ED688" s="87"/>
      <c r="EE688" s="87"/>
      <c r="EF688" s="87"/>
      <c r="EG688" s="87"/>
      <c r="EH688" s="87"/>
      <c r="EI688" s="87"/>
      <c r="EJ688" s="144"/>
      <c r="EK688" s="144"/>
      <c r="EL688" s="144"/>
      <c r="EM688" s="144"/>
      <c r="EN688" s="144"/>
      <c r="EO688" s="144"/>
      <c r="EP688" s="144"/>
      <c r="EQ688" s="144"/>
      <c r="ER688" s="144"/>
      <c r="ES688" s="144"/>
      <c r="ET688" s="144"/>
      <c r="EU688" s="144"/>
      <c r="EV688" s="144"/>
      <c r="EW688" s="144"/>
      <c r="EX688" s="144"/>
      <c r="EY688" s="144"/>
      <c r="EZ688" s="144"/>
      <c r="FA688" s="144"/>
      <c r="FB688" s="144"/>
      <c r="FC688" s="144"/>
      <c r="FD688" s="144"/>
      <c r="FE688" s="144"/>
      <c r="FF688" s="144"/>
      <c r="FG688" s="144"/>
      <c r="FH688" s="144"/>
      <c r="FI688" s="144"/>
      <c r="FJ688" s="144"/>
      <c r="FK688" s="144"/>
      <c r="FL688" s="144"/>
      <c r="FM688" s="144"/>
      <c r="FN688" s="144"/>
      <c r="FO688" s="144"/>
      <c r="FP688" s="144"/>
      <c r="FQ688" s="144"/>
      <c r="FR688" s="144"/>
      <c r="FS688" s="144"/>
      <c r="FT688" s="144"/>
      <c r="FU688" s="144"/>
      <c r="FV688" s="144"/>
      <c r="FW688" s="144"/>
      <c r="FX688" s="144"/>
      <c r="FY688" s="144"/>
      <c r="FZ688" s="144"/>
      <c r="GA688" s="144"/>
      <c r="GB688" s="144"/>
      <c r="GC688" s="144"/>
      <c r="GD688" s="144"/>
      <c r="GE688" s="144"/>
      <c r="GF688" s="144"/>
      <c r="GG688" s="144"/>
      <c r="GH688" s="144"/>
      <c r="GI688" s="144"/>
      <c r="GJ688" s="144"/>
      <c r="GK688" s="144"/>
      <c r="GL688" s="144"/>
      <c r="GM688" s="144"/>
      <c r="GN688" s="144"/>
      <c r="GO688" s="144"/>
      <c r="GP688" s="144"/>
      <c r="GQ688" s="144"/>
      <c r="GR688" s="144"/>
      <c r="GS688" s="144"/>
      <c r="GT688" s="144"/>
      <c r="GU688" s="144"/>
      <c r="GV688" s="144"/>
      <c r="GW688" s="144"/>
      <c r="GX688" s="144"/>
      <c r="GY688" s="144"/>
      <c r="GZ688" s="144"/>
      <c r="HA688" s="144"/>
      <c r="HB688" s="144"/>
      <c r="HC688" s="144"/>
      <c r="HD688" s="144"/>
      <c r="HE688" s="144"/>
      <c r="HF688" s="144"/>
      <c r="HG688" s="144"/>
      <c r="HH688" s="144"/>
      <c r="HI688" s="144"/>
      <c r="HJ688" s="144"/>
      <c r="HK688" s="144"/>
      <c r="HL688" s="144" t="s">
        <v>2029</v>
      </c>
      <c r="HM688" s="144" t="s">
        <v>232</v>
      </c>
      <c r="HN688" s="87"/>
      <c r="HO688" s="87"/>
      <c r="HP688" s="87"/>
      <c r="HQ688" s="87"/>
      <c r="HR688" s="87"/>
      <c r="HS688" s="87"/>
      <c r="HT688" s="87"/>
      <c r="HU688" s="87"/>
      <c r="HV688" s="87"/>
      <c r="HW688" s="87"/>
      <c r="HX688" s="87"/>
      <c r="HY688" s="145"/>
      <c r="HZ688" s="87"/>
      <c r="IA688" s="87"/>
      <c r="IB688" s="87"/>
      <c r="IC688" s="87"/>
      <c r="ID688" s="87"/>
      <c r="IE688" s="87"/>
      <c r="IF688" s="87"/>
      <c r="IG688" s="87"/>
      <c r="IH688" s="87"/>
      <c r="II688" s="87"/>
      <c r="IJ688" s="87"/>
      <c r="IK688" s="87"/>
      <c r="IL688" s="87"/>
      <c r="IM688" s="87"/>
      <c r="IN688" s="87"/>
      <c r="IO688" s="87"/>
      <c r="IP688" s="87"/>
      <c r="IQ688" s="87"/>
      <c r="IR688" s="87"/>
      <c r="IS688" s="87"/>
      <c r="IT688" s="87"/>
      <c r="IU688" s="87"/>
      <c r="IV688" s="87"/>
      <c r="IW688" s="87"/>
      <c r="IX688" s="87"/>
      <c r="IY688" s="87"/>
      <c r="IZ688" s="87"/>
      <c r="JA688" s="87"/>
      <c r="JB688" s="87"/>
      <c r="JC688" s="87"/>
      <c r="JD688" s="87"/>
      <c r="JE688" s="87"/>
      <c r="JF688" s="87"/>
      <c r="JG688" s="87"/>
      <c r="JH688" s="87"/>
      <c r="JI688" s="87"/>
      <c r="JJ688" s="87"/>
      <c r="JK688" s="87"/>
      <c r="JL688" s="87"/>
      <c r="JM688" s="87"/>
      <c r="JN688" s="87"/>
      <c r="JO688" s="151"/>
      <c r="JP688" s="87"/>
      <c r="JQ688" s="87"/>
      <c r="JR688" s="87"/>
      <c r="JS688" s="87"/>
      <c r="JT688" s="87"/>
      <c r="JU688" s="87"/>
      <c r="JV688" s="87"/>
      <c r="JW688" s="87"/>
      <c r="JX688" s="87"/>
      <c r="JY688" s="151"/>
      <c r="JZ688" s="87"/>
      <c r="KA688" s="87"/>
      <c r="KB688" s="87"/>
      <c r="KC688" s="87"/>
      <c r="KD688" s="87"/>
      <c r="KE688" s="87"/>
      <c r="KF688" s="87"/>
      <c r="KG688" s="87"/>
      <c r="KH688" s="87"/>
      <c r="KI688" s="87"/>
      <c r="KJ688" s="87"/>
      <c r="KK688" s="87"/>
      <c r="KL688" s="87"/>
      <c r="KM688" s="87"/>
      <c r="KN688" s="87"/>
      <c r="KO688" s="87"/>
      <c r="KP688" s="87"/>
      <c r="KQ688" s="151"/>
      <c r="KR688" s="151"/>
      <c r="KS688" s="151"/>
      <c r="KT688" s="151"/>
      <c r="KU688" s="87"/>
      <c r="KV688" s="87"/>
      <c r="KW688" s="87"/>
      <c r="KX688" s="87"/>
      <c r="KY688" s="87"/>
      <c r="KZ688" s="87"/>
      <c r="LA688" s="87"/>
      <c r="LB688" s="87"/>
      <c r="LC688" s="87"/>
      <c r="LD688" s="87"/>
      <c r="LE688" s="87"/>
      <c r="LF688" s="87"/>
      <c r="LG688" s="87"/>
      <c r="LH688" s="87"/>
      <c r="LI688" s="87"/>
      <c r="LJ688" s="87"/>
      <c r="LK688" s="87"/>
      <c r="LL688" s="87"/>
      <c r="LM688" s="87"/>
      <c r="LN688" s="87"/>
      <c r="LO688" s="87"/>
      <c r="LP688" s="87"/>
      <c r="LQ688" s="87"/>
      <c r="LR688" s="87"/>
      <c r="LS688" s="87"/>
      <c r="LT688" s="87"/>
      <c r="LU688" s="87"/>
      <c r="LV688" s="87"/>
      <c r="LW688" s="87"/>
      <c r="LX688" s="87"/>
      <c r="LY688" s="87"/>
      <c r="LZ688" s="87"/>
      <c r="MA688" s="87"/>
      <c r="MB688" s="87"/>
      <c r="MC688" s="87"/>
      <c r="MD688" s="87"/>
      <c r="ME688" s="87"/>
      <c r="MF688" s="87"/>
      <c r="MG688" s="87"/>
      <c r="MH688" s="87"/>
      <c r="MI688" s="87"/>
      <c r="MJ688" s="87"/>
      <c r="MK688" s="87"/>
      <c r="ML688" s="87"/>
      <c r="MM688" s="87"/>
      <c r="MN688" s="87"/>
      <c r="MO688" s="87"/>
      <c r="MP688" s="87"/>
      <c r="MQ688" s="87"/>
      <c r="MR688" s="87"/>
      <c r="MS688" s="87" t="s">
        <v>1987</v>
      </c>
      <c r="MT688" s="87">
        <v>625</v>
      </c>
      <c r="MU688" s="87" t="s">
        <v>1988</v>
      </c>
      <c r="MV688" s="87"/>
      <c r="MW688" s="87" t="s">
        <v>1992</v>
      </c>
      <c r="MX688" s="87" t="s">
        <v>1993</v>
      </c>
      <c r="MY688" s="87" t="s">
        <v>1994</v>
      </c>
      <c r="MZ688" s="87" t="s">
        <v>1995</v>
      </c>
      <c r="NA688" s="87" t="s">
        <v>1996</v>
      </c>
      <c r="NB688" s="87"/>
      <c r="NC688" s="87"/>
      <c r="ND688" s="87"/>
      <c r="NE688" s="87" t="s">
        <v>2033</v>
      </c>
      <c r="NF688" s="87" t="s">
        <v>2034</v>
      </c>
      <c r="NG688" s="87" t="s">
        <v>2035</v>
      </c>
      <c r="NH688" s="87" t="s">
        <v>1991</v>
      </c>
      <c r="NI688" s="87"/>
      <c r="NJ688" s="87"/>
      <c r="NK688" s="87"/>
      <c r="NL688" s="87"/>
      <c r="NM688" s="87"/>
      <c r="NN688" s="87"/>
      <c r="NO688" s="87"/>
      <c r="NP688" s="87" t="s">
        <v>2030</v>
      </c>
      <c r="NQ688" s="87" t="s">
        <v>1998</v>
      </c>
      <c r="NR688" s="87">
        <v>70</v>
      </c>
      <c r="NS688" s="87" t="s">
        <v>29</v>
      </c>
      <c r="NT688" s="87" t="s">
        <v>29</v>
      </c>
      <c r="NU688" s="87"/>
      <c r="NV688" s="87"/>
      <c r="NW688" s="87">
        <v>32</v>
      </c>
      <c r="NX688" s="87"/>
      <c r="NY688" s="87"/>
      <c r="NZ688" s="87"/>
      <c r="OA688" s="87"/>
      <c r="OB688" s="87"/>
      <c r="OC688" s="87"/>
      <c r="OD688" s="87"/>
      <c r="OE688" s="87"/>
      <c r="OF688" s="87"/>
      <c r="OG688" s="87"/>
      <c r="OH688" s="87" t="s">
        <v>1999</v>
      </c>
      <c r="OI688" s="149"/>
      <c r="OJ688" s="87"/>
      <c r="OK688" s="87">
        <v>2009</v>
      </c>
      <c r="OL688" s="87">
        <v>2010</v>
      </c>
      <c r="OM688" s="87"/>
      <c r="ON688" s="87"/>
      <c r="OO688" s="87" t="s">
        <v>2000</v>
      </c>
      <c r="OP688" s="145">
        <v>46133</v>
      </c>
      <c r="OQ688" s="87"/>
      <c r="OR688" s="87"/>
      <c r="OS688" s="87"/>
      <c r="OT688" s="87"/>
      <c r="OU688" s="143"/>
    </row>
    <row r="689" spans="1:411">
      <c r="A689" t="s">
        <v>36</v>
      </c>
      <c r="B689" t="s">
        <v>1975</v>
      </c>
      <c r="C689" t="s">
        <v>1976</v>
      </c>
      <c r="D689" t="s">
        <v>1955</v>
      </c>
      <c r="E689" t="s">
        <v>1977</v>
      </c>
      <c r="F689" t="s">
        <v>1978</v>
      </c>
      <c r="G689" t="s">
        <v>2</v>
      </c>
      <c r="H689" t="s">
        <v>30</v>
      </c>
      <c r="I689">
        <v>-8.9</v>
      </c>
      <c r="J689">
        <v>-74.983000000000004</v>
      </c>
      <c r="L689" t="s">
        <v>1976</v>
      </c>
      <c r="M689" t="s">
        <v>245</v>
      </c>
      <c r="N689" t="s">
        <v>1979</v>
      </c>
      <c r="O689" t="s">
        <v>1980</v>
      </c>
      <c r="P689" t="s">
        <v>2</v>
      </c>
      <c r="Q689" t="s">
        <v>30</v>
      </c>
      <c r="R689">
        <v>-8.5169999999999995</v>
      </c>
      <c r="S689">
        <v>-74.766999999999996</v>
      </c>
      <c r="AV689" t="s">
        <v>1981</v>
      </c>
      <c r="AW689">
        <v>625</v>
      </c>
      <c r="AX689" t="s">
        <v>29</v>
      </c>
      <c r="AY689">
        <v>2</v>
      </c>
      <c r="AZ689" t="s">
        <v>1982</v>
      </c>
      <c r="BA689">
        <v>2009</v>
      </c>
      <c r="BB689">
        <v>2010</v>
      </c>
      <c r="BC689" t="s">
        <v>1983</v>
      </c>
      <c r="BD689" t="s">
        <v>1985</v>
      </c>
      <c r="BE689" t="s">
        <v>1984</v>
      </c>
      <c r="BF689" t="s">
        <v>39</v>
      </c>
      <c r="BG689" t="s">
        <v>1762</v>
      </c>
      <c r="EJ689" s="9"/>
      <c r="EK689" s="9"/>
      <c r="EL689" s="9"/>
      <c r="EM689" s="9"/>
      <c r="EN689" s="9"/>
      <c r="EO689" s="9"/>
      <c r="EP689" s="9"/>
      <c r="EQ689" s="9"/>
      <c r="ER689" s="9"/>
      <c r="ES689" s="9"/>
      <c r="ET689" s="9"/>
      <c r="EU689" s="9"/>
      <c r="EV689" s="9"/>
      <c r="EW689" s="9"/>
      <c r="EX689" s="9"/>
      <c r="EY689" s="9"/>
      <c r="EZ689" s="9"/>
      <c r="FA689" s="9"/>
      <c r="FB689" s="9"/>
      <c r="FC689" s="9"/>
      <c r="FD689" s="9"/>
      <c r="FE689" s="9"/>
      <c r="FF689" s="9"/>
      <c r="FG689" s="9"/>
      <c r="FH689" s="9"/>
      <c r="FI689" s="9"/>
      <c r="FJ689" s="9"/>
      <c r="FK689" s="9"/>
      <c r="FL689" s="9"/>
      <c r="FM689" s="9"/>
      <c r="FN689" s="9"/>
      <c r="FO689" s="9"/>
      <c r="FP689" s="9"/>
      <c r="FQ689" s="9"/>
      <c r="FR689" s="9"/>
      <c r="FS689" s="9"/>
      <c r="FT689" s="9"/>
      <c r="FU689" s="9"/>
      <c r="FV689" s="9"/>
      <c r="FW689" s="9"/>
      <c r="FX689" s="9"/>
      <c r="FY689" s="9"/>
      <c r="FZ689" s="9"/>
      <c r="GA689" s="9"/>
      <c r="GB689" s="9"/>
      <c r="GC689" s="9"/>
      <c r="GD689" s="9"/>
      <c r="GE689" s="9"/>
      <c r="GF689" s="9"/>
      <c r="GG689" s="9"/>
      <c r="GH689" s="9"/>
      <c r="GI689" s="9"/>
      <c r="GJ689" s="9"/>
      <c r="GK689" s="9"/>
      <c r="GL689" s="9"/>
      <c r="GM689" s="9"/>
      <c r="GN689" s="9"/>
      <c r="GO689" s="9"/>
      <c r="GP689" s="9"/>
      <c r="GQ689" s="9"/>
      <c r="GR689" s="9"/>
      <c r="GS689" s="9"/>
      <c r="GT689" s="9"/>
      <c r="GU689" s="9"/>
      <c r="GV689" s="9"/>
      <c r="GW689" s="9"/>
      <c r="GX689" s="9"/>
      <c r="GY689" s="9"/>
      <c r="GZ689" s="9"/>
      <c r="HA689" s="9"/>
      <c r="HB689" s="9"/>
      <c r="HC689" s="9"/>
      <c r="HD689" s="9"/>
      <c r="HE689" s="9"/>
      <c r="HF689" s="9"/>
      <c r="HG689" s="9"/>
      <c r="HH689" s="9"/>
      <c r="HI689" s="9"/>
      <c r="HJ689" s="9"/>
      <c r="HK689" s="9"/>
      <c r="HL689" s="9" t="s">
        <v>1986</v>
      </c>
      <c r="HM689" s="9" t="s">
        <v>232</v>
      </c>
      <c r="HY689" s="58"/>
      <c r="IY689">
        <v>20</v>
      </c>
      <c r="IZ689">
        <v>95</v>
      </c>
      <c r="JO689" s="9"/>
      <c r="JY689" s="9"/>
      <c r="KQ689" s="9"/>
      <c r="KR689" s="9"/>
      <c r="KS689" s="9"/>
      <c r="KT689" s="9"/>
      <c r="MS689" t="s">
        <v>1987</v>
      </c>
      <c r="MT689">
        <v>625</v>
      </c>
      <c r="MU689" t="s">
        <v>1988</v>
      </c>
      <c r="MW689" t="s">
        <v>1992</v>
      </c>
      <c r="MX689" t="s">
        <v>1993</v>
      </c>
      <c r="MY689" t="s">
        <v>1994</v>
      </c>
      <c r="MZ689" t="s">
        <v>1995</v>
      </c>
      <c r="NA689" t="s">
        <v>1996</v>
      </c>
      <c r="NE689" t="s">
        <v>2036</v>
      </c>
      <c r="NF689" t="s">
        <v>2037</v>
      </c>
      <c r="NG689" t="s">
        <v>2038</v>
      </c>
      <c r="NH689" t="s">
        <v>2039</v>
      </c>
      <c r="NP689" t="s">
        <v>1997</v>
      </c>
      <c r="NQ689" t="s">
        <v>1998</v>
      </c>
      <c r="NR689">
        <v>5.21</v>
      </c>
      <c r="NS689" t="s">
        <v>29</v>
      </c>
      <c r="NT689" t="s">
        <v>29</v>
      </c>
      <c r="NW689">
        <v>8</v>
      </c>
      <c r="OH689" t="s">
        <v>1999</v>
      </c>
      <c r="OI689" s="19"/>
      <c r="OK689">
        <v>2009</v>
      </c>
      <c r="OL689">
        <v>2010</v>
      </c>
      <c r="OO689" t="s">
        <v>2000</v>
      </c>
      <c r="OP689" s="58">
        <v>46133</v>
      </c>
    </row>
    <row r="690" spans="1:411">
      <c r="A690" s="87" t="s">
        <v>36</v>
      </c>
      <c r="B690" s="87" t="s">
        <v>1975</v>
      </c>
      <c r="C690" s="87" t="s">
        <v>1976</v>
      </c>
      <c r="D690" s="87" t="s">
        <v>245</v>
      </c>
      <c r="E690" s="87" t="s">
        <v>1979</v>
      </c>
      <c r="F690" s="87" t="s">
        <v>1980</v>
      </c>
      <c r="G690" s="87" t="s">
        <v>2</v>
      </c>
      <c r="H690" s="87" t="s">
        <v>30</v>
      </c>
      <c r="I690" s="87">
        <v>-8.5169999999999995</v>
      </c>
      <c r="J690" s="87">
        <v>-74.766999999999996</v>
      </c>
      <c r="K690" s="87"/>
      <c r="L690" s="87" t="s">
        <v>1976</v>
      </c>
      <c r="M690" s="87" t="s">
        <v>245</v>
      </c>
      <c r="N690" s="87" t="s">
        <v>2001</v>
      </c>
      <c r="O690" s="87" t="s">
        <v>1980</v>
      </c>
      <c r="P690" s="87" t="s">
        <v>2</v>
      </c>
      <c r="Q690" s="87" t="s">
        <v>30</v>
      </c>
      <c r="R690" s="87">
        <v>-8.3670000000000009</v>
      </c>
      <c r="S690" s="87">
        <v>-74.7</v>
      </c>
      <c r="T690" s="87"/>
      <c r="U690" s="87"/>
      <c r="V690" s="87"/>
      <c r="W690" s="87"/>
      <c r="X690" s="87"/>
      <c r="Y690" s="87"/>
      <c r="Z690" s="87"/>
      <c r="AA690" s="87"/>
      <c r="AB690" s="87"/>
      <c r="AC690" s="87"/>
      <c r="AD690" s="87"/>
      <c r="AE690" s="87"/>
      <c r="AF690" s="87"/>
      <c r="AG690" s="87"/>
      <c r="AH690" s="87"/>
      <c r="AI690" s="87"/>
      <c r="AJ690" s="87"/>
      <c r="AK690" s="87"/>
      <c r="AL690" s="87"/>
      <c r="AM690" s="87"/>
      <c r="AN690" s="87"/>
      <c r="AO690" s="87"/>
      <c r="AP690" s="87"/>
      <c r="AQ690" s="87"/>
      <c r="AR690" s="87"/>
      <c r="AS690" s="87"/>
      <c r="AT690" s="87"/>
      <c r="AU690" s="87"/>
      <c r="AV690" s="87" t="s">
        <v>1981</v>
      </c>
      <c r="AW690" s="87">
        <v>625</v>
      </c>
      <c r="AX690" s="87" t="s">
        <v>29</v>
      </c>
      <c r="AY690" s="87">
        <v>2</v>
      </c>
      <c r="AZ690" s="87" t="s">
        <v>1982</v>
      </c>
      <c r="BA690" s="87">
        <v>2009</v>
      </c>
      <c r="BB690" s="87">
        <v>2010</v>
      </c>
      <c r="BC690" s="87" t="s">
        <v>1983</v>
      </c>
      <c r="BD690" s="87" t="s">
        <v>2009</v>
      </c>
      <c r="BE690" s="87" t="s">
        <v>2003</v>
      </c>
      <c r="BF690" s="87" t="s">
        <v>64</v>
      </c>
      <c r="BG690" s="87" t="s">
        <v>1243</v>
      </c>
      <c r="BH690" s="87" t="s">
        <v>2004</v>
      </c>
      <c r="BI690" s="87" t="s">
        <v>29</v>
      </c>
      <c r="BJ690" s="87" t="s">
        <v>29</v>
      </c>
      <c r="BK690" s="87" t="s">
        <v>29</v>
      </c>
      <c r="BL690" s="87"/>
      <c r="BM690" s="87"/>
      <c r="BN690" s="87"/>
      <c r="BO690" s="87"/>
      <c r="BP690" s="87"/>
      <c r="BQ690" s="87"/>
      <c r="BR690" s="87"/>
      <c r="BS690" s="87"/>
      <c r="BT690" s="87"/>
      <c r="BU690" s="87"/>
      <c r="BV690" s="87"/>
      <c r="BW690" s="87"/>
      <c r="BX690" s="87"/>
      <c r="BY690" s="87"/>
      <c r="BZ690" s="87"/>
      <c r="CA690" s="87"/>
      <c r="CB690" s="87"/>
      <c r="CC690" s="87"/>
      <c r="CD690" s="87"/>
      <c r="CE690" s="87"/>
      <c r="CF690" s="87"/>
      <c r="CG690" s="87"/>
      <c r="CH690" s="87"/>
      <c r="CI690" s="87"/>
      <c r="CJ690" s="87"/>
      <c r="CK690" s="87"/>
      <c r="CL690" s="87"/>
      <c r="CM690" s="87"/>
      <c r="CN690" s="87"/>
      <c r="CO690" s="87"/>
      <c r="CP690" s="87"/>
      <c r="CQ690" s="87"/>
      <c r="CR690" s="87"/>
      <c r="CS690" s="87"/>
      <c r="CT690" s="87"/>
      <c r="CU690" s="87"/>
      <c r="CV690" s="87"/>
      <c r="CW690" s="87"/>
      <c r="CX690" s="87"/>
      <c r="CY690" s="87"/>
      <c r="CZ690" s="87"/>
      <c r="DA690" s="87"/>
      <c r="DB690" s="87"/>
      <c r="DC690" s="87"/>
      <c r="DD690" s="87"/>
      <c r="DE690" s="87"/>
      <c r="DF690" s="87"/>
      <c r="DG690" s="87"/>
      <c r="DH690" s="87"/>
      <c r="DI690" s="87"/>
      <c r="DJ690" s="87"/>
      <c r="DK690" s="87"/>
      <c r="DL690" s="87"/>
      <c r="DM690" s="87"/>
      <c r="DN690" s="87"/>
      <c r="DO690" s="87"/>
      <c r="DP690" s="87"/>
      <c r="DQ690" s="87"/>
      <c r="DR690" s="87"/>
      <c r="DS690" s="87"/>
      <c r="DT690" s="87"/>
      <c r="DU690" s="87"/>
      <c r="DV690" s="87"/>
      <c r="DW690" s="87"/>
      <c r="DX690" s="87"/>
      <c r="DY690" s="87"/>
      <c r="DZ690" s="87"/>
      <c r="EA690" s="87"/>
      <c r="EB690" s="87"/>
      <c r="EC690" s="87"/>
      <c r="ED690" s="87"/>
      <c r="EE690" s="87" t="s">
        <v>2005</v>
      </c>
      <c r="EF690" s="87" t="s">
        <v>2006</v>
      </c>
      <c r="EG690" s="87">
        <v>0.24</v>
      </c>
      <c r="EH690" s="87" t="s">
        <v>2009</v>
      </c>
      <c r="EI690" s="87"/>
      <c r="EJ690" s="144"/>
      <c r="EK690" s="144"/>
      <c r="EL690" s="144"/>
      <c r="EM690" s="144"/>
      <c r="EN690" s="144"/>
      <c r="EO690" s="144"/>
      <c r="EP690" s="144"/>
      <c r="EQ690" s="144"/>
      <c r="ER690" s="144"/>
      <c r="ES690" s="144"/>
      <c r="ET690" s="144"/>
      <c r="EU690" s="144"/>
      <c r="EV690" s="144"/>
      <c r="EW690" s="144"/>
      <c r="EX690" s="144"/>
      <c r="EY690" s="144"/>
      <c r="EZ690" s="144"/>
      <c r="FA690" s="144"/>
      <c r="FB690" s="144"/>
      <c r="FC690" s="144"/>
      <c r="FD690" s="144"/>
      <c r="FE690" s="144"/>
      <c r="FF690" s="144"/>
      <c r="FG690" s="144"/>
      <c r="FH690" s="144"/>
      <c r="FI690" s="144"/>
      <c r="FJ690" s="144"/>
      <c r="FK690" s="144"/>
      <c r="FL690" s="144"/>
      <c r="FM690" s="144"/>
      <c r="FN690" s="144"/>
      <c r="FO690" s="144"/>
      <c r="FP690" s="144"/>
      <c r="FQ690" s="144"/>
      <c r="FR690" s="144"/>
      <c r="FS690" s="144"/>
      <c r="FT690" s="144"/>
      <c r="FU690" s="144"/>
      <c r="FV690" s="144"/>
      <c r="FW690" s="144"/>
      <c r="FX690" s="144"/>
      <c r="FY690" s="144"/>
      <c r="FZ690" s="144"/>
      <c r="GA690" s="144"/>
      <c r="GB690" s="144"/>
      <c r="GC690" s="144"/>
      <c r="GD690" s="144"/>
      <c r="GE690" s="144"/>
      <c r="GF690" s="144"/>
      <c r="GG690" s="144"/>
      <c r="GH690" s="144"/>
      <c r="GI690" s="144"/>
      <c r="GJ690" s="144"/>
      <c r="GK690" s="144"/>
      <c r="GL690" s="144"/>
      <c r="GM690" s="144"/>
      <c r="GN690" s="144"/>
      <c r="GO690" s="144"/>
      <c r="GP690" s="144"/>
      <c r="GQ690" s="144"/>
      <c r="GR690" s="144"/>
      <c r="GS690" s="144"/>
      <c r="GT690" s="144"/>
      <c r="GU690" s="144"/>
      <c r="GV690" s="144"/>
      <c r="GW690" s="144"/>
      <c r="GX690" s="144"/>
      <c r="GY690" s="144"/>
      <c r="GZ690" s="144"/>
      <c r="HA690" s="144"/>
      <c r="HB690" s="144"/>
      <c r="HC690" s="144"/>
      <c r="HD690" s="144"/>
      <c r="HE690" s="144"/>
      <c r="HF690" s="144"/>
      <c r="HG690" s="144"/>
      <c r="HH690" s="144"/>
      <c r="HI690" s="144"/>
      <c r="HJ690" s="144"/>
      <c r="HK690" s="144"/>
      <c r="HL690" s="144" t="s">
        <v>2007</v>
      </c>
      <c r="HM690" s="144" t="s">
        <v>232</v>
      </c>
      <c r="HN690" s="87"/>
      <c r="HO690" s="87"/>
      <c r="HP690" s="87"/>
      <c r="HQ690" s="87"/>
      <c r="HR690" s="87"/>
      <c r="HS690" s="87"/>
      <c r="HT690" s="87"/>
      <c r="HU690" s="87"/>
      <c r="HV690" s="87"/>
      <c r="HW690" s="87"/>
      <c r="HX690" s="87"/>
      <c r="HY690" s="145"/>
      <c r="HZ690" s="87"/>
      <c r="IA690" s="87"/>
      <c r="IB690" s="87"/>
      <c r="IC690" s="87"/>
      <c r="ID690" s="87"/>
      <c r="IE690" s="87"/>
      <c r="IF690" s="87"/>
      <c r="IG690" s="87"/>
      <c r="IH690" s="87"/>
      <c r="II690" s="87"/>
      <c r="IJ690" s="87"/>
      <c r="IK690" s="87"/>
      <c r="IL690" s="87"/>
      <c r="IM690" s="87"/>
      <c r="IN690" s="87"/>
      <c r="IO690" s="87"/>
      <c r="IP690" s="87"/>
      <c r="IQ690" s="87"/>
      <c r="IR690" s="87"/>
      <c r="IS690" s="87"/>
      <c r="IT690" s="87"/>
      <c r="IU690" s="87" t="s">
        <v>2008</v>
      </c>
      <c r="IV690" s="87" t="s">
        <v>2009</v>
      </c>
      <c r="IW690" s="87" t="s">
        <v>2010</v>
      </c>
      <c r="IX690" s="87"/>
      <c r="IY690" s="87">
        <v>6</v>
      </c>
      <c r="IZ690" s="87">
        <v>77.5</v>
      </c>
      <c r="JA690" s="87">
        <v>75</v>
      </c>
      <c r="JB690" s="87">
        <v>80</v>
      </c>
      <c r="JC690" s="87">
        <v>7.5</v>
      </c>
      <c r="JD690" s="87">
        <v>6</v>
      </c>
      <c r="JE690" s="87">
        <v>9</v>
      </c>
      <c r="JF690" s="87"/>
      <c r="JG690" s="87"/>
      <c r="JH690" s="87"/>
      <c r="JI690" s="87"/>
      <c r="JJ690" s="87"/>
      <c r="JK690" s="87"/>
      <c r="JL690" s="87"/>
      <c r="JM690" s="87"/>
      <c r="JN690" s="87"/>
      <c r="JO690" s="151"/>
      <c r="JP690" s="87"/>
      <c r="JQ690" s="87"/>
      <c r="JR690" s="87"/>
      <c r="JS690" s="87"/>
      <c r="JT690" s="87"/>
      <c r="JU690" s="87"/>
      <c r="JV690" s="87"/>
      <c r="JW690" s="87"/>
      <c r="JX690" s="87"/>
      <c r="JY690" s="151"/>
      <c r="JZ690" s="87"/>
      <c r="KA690" s="87"/>
      <c r="KB690" s="87"/>
      <c r="KC690" s="87"/>
      <c r="KD690" s="87"/>
      <c r="KE690" s="87"/>
      <c r="KF690" s="87"/>
      <c r="KG690" s="87"/>
      <c r="KH690" s="87"/>
      <c r="KI690" s="87"/>
      <c r="KJ690" s="87"/>
      <c r="KK690" s="87"/>
      <c r="KL690" s="87"/>
      <c r="KM690" s="87"/>
      <c r="KN690" s="87"/>
      <c r="KO690" s="87"/>
      <c r="KP690" s="87"/>
      <c r="KQ690" s="151"/>
      <c r="KR690" s="151"/>
      <c r="KS690" s="151"/>
      <c r="KT690" s="151"/>
      <c r="KU690" s="87"/>
      <c r="KV690" s="87"/>
      <c r="KW690" s="87"/>
      <c r="KX690" s="87"/>
      <c r="KY690" s="87"/>
      <c r="KZ690" s="87"/>
      <c r="LA690" s="87"/>
      <c r="LB690" s="87"/>
      <c r="LC690" s="87"/>
      <c r="LD690" s="87"/>
      <c r="LE690" s="87"/>
      <c r="LF690" s="87"/>
      <c r="LG690" s="87"/>
      <c r="LH690" s="87"/>
      <c r="LI690" s="87"/>
      <c r="LJ690" s="87"/>
      <c r="LK690" s="87"/>
      <c r="LL690" s="87"/>
      <c r="LM690" s="87"/>
      <c r="LN690" s="87"/>
      <c r="LO690" s="87"/>
      <c r="LP690" s="87"/>
      <c r="LQ690" s="87"/>
      <c r="LR690" s="87"/>
      <c r="LS690" s="87"/>
      <c r="LT690" s="87"/>
      <c r="LU690" s="87"/>
      <c r="LV690" s="87"/>
      <c r="LW690" s="87"/>
      <c r="LX690" s="87"/>
      <c r="LY690" s="87"/>
      <c r="LZ690" s="87"/>
      <c r="MA690" s="87"/>
      <c r="MB690" s="87"/>
      <c r="MC690" s="87"/>
      <c r="MD690" s="87"/>
      <c r="ME690" s="87"/>
      <c r="MF690" s="87"/>
      <c r="MG690" s="87"/>
      <c r="MH690" s="87"/>
      <c r="MI690" s="87"/>
      <c r="MJ690" s="87"/>
      <c r="MK690" s="87"/>
      <c r="ML690" s="87"/>
      <c r="MM690" s="87"/>
      <c r="MN690" s="87"/>
      <c r="MO690" s="87"/>
      <c r="MP690" s="87"/>
      <c r="MQ690" s="87"/>
      <c r="MR690" s="87"/>
      <c r="MS690" s="87" t="s">
        <v>1987</v>
      </c>
      <c r="MT690" s="87">
        <v>625</v>
      </c>
      <c r="MU690" s="87" t="s">
        <v>1988</v>
      </c>
      <c r="MV690" s="87"/>
      <c r="MW690" s="87" t="s">
        <v>1992</v>
      </c>
      <c r="MX690" s="87" t="s">
        <v>1993</v>
      </c>
      <c r="MY690" s="87" t="s">
        <v>1994</v>
      </c>
      <c r="MZ690" s="87" t="s">
        <v>1995</v>
      </c>
      <c r="NA690" s="87" t="s">
        <v>1996</v>
      </c>
      <c r="NB690" s="87"/>
      <c r="NC690" s="87"/>
      <c r="ND690" s="87"/>
      <c r="NE690" s="87" t="s">
        <v>2036</v>
      </c>
      <c r="NF690" s="87" t="s">
        <v>2037</v>
      </c>
      <c r="NG690" s="87" t="s">
        <v>2038</v>
      </c>
      <c r="NH690" s="87" t="s">
        <v>2039</v>
      </c>
      <c r="NI690" s="87"/>
      <c r="NJ690" s="87"/>
      <c r="NK690" s="87"/>
      <c r="NL690" s="87"/>
      <c r="NM690" s="87"/>
      <c r="NN690" s="87"/>
      <c r="NO690" s="87"/>
      <c r="NP690" s="87" t="s">
        <v>2011</v>
      </c>
      <c r="NQ690" s="87" t="s">
        <v>1998</v>
      </c>
      <c r="NR690" s="87">
        <v>4.9400000000000004</v>
      </c>
      <c r="NS690" s="87" t="s">
        <v>29</v>
      </c>
      <c r="NT690" s="87" t="s">
        <v>29</v>
      </c>
      <c r="NU690" s="87"/>
      <c r="NV690" s="87"/>
      <c r="NW690" s="87">
        <v>31</v>
      </c>
      <c r="NX690" s="87"/>
      <c r="NY690" s="87"/>
      <c r="NZ690" s="87"/>
      <c r="OA690" s="87"/>
      <c r="OB690" s="87"/>
      <c r="OC690" s="87"/>
      <c r="OD690" s="87"/>
      <c r="OE690" s="87"/>
      <c r="OF690" s="87"/>
      <c r="OG690" s="87"/>
      <c r="OH690" s="87" t="s">
        <v>1999</v>
      </c>
      <c r="OI690" s="149"/>
      <c r="OJ690" s="87"/>
      <c r="OK690" s="87">
        <v>2009</v>
      </c>
      <c r="OL690" s="87">
        <v>2010</v>
      </c>
      <c r="OM690" s="87"/>
      <c r="ON690" s="87"/>
      <c r="OO690" s="87" t="s">
        <v>2000</v>
      </c>
      <c r="OP690" s="145">
        <v>46133</v>
      </c>
      <c r="OQ690" s="87"/>
      <c r="OR690" s="87"/>
      <c r="OS690" s="87"/>
      <c r="OT690" s="87"/>
      <c r="OU690" s="143"/>
    </row>
    <row r="691" spans="1:411">
      <c r="A691" t="s">
        <v>36</v>
      </c>
      <c r="B691" t="s">
        <v>1975</v>
      </c>
      <c r="C691" t="s">
        <v>1976</v>
      </c>
      <c r="D691" t="s">
        <v>245</v>
      </c>
      <c r="E691" t="s">
        <v>2012</v>
      </c>
      <c r="F691" t="s">
        <v>1980</v>
      </c>
      <c r="G691" t="s">
        <v>2</v>
      </c>
      <c r="H691" t="s">
        <v>30</v>
      </c>
      <c r="I691">
        <v>-8.8170000000000002</v>
      </c>
      <c r="J691">
        <v>-75.2</v>
      </c>
      <c r="L691" t="s">
        <v>1976</v>
      </c>
      <c r="M691" t="s">
        <v>245</v>
      </c>
      <c r="N691" t="s">
        <v>1979</v>
      </c>
      <c r="O691" t="s">
        <v>1980</v>
      </c>
      <c r="P691" t="s">
        <v>2</v>
      </c>
      <c r="Q691" t="s">
        <v>30</v>
      </c>
      <c r="R691">
        <v>-8.5169999999999995</v>
      </c>
      <c r="S691">
        <v>-74.766999999999996</v>
      </c>
      <c r="AV691" t="s">
        <v>1981</v>
      </c>
      <c r="AW691">
        <v>625</v>
      </c>
      <c r="AX691" t="s">
        <v>29</v>
      </c>
      <c r="AY691">
        <v>2</v>
      </c>
      <c r="AZ691" t="s">
        <v>1982</v>
      </c>
      <c r="BA691">
        <v>2009</v>
      </c>
      <c r="BB691">
        <v>2010</v>
      </c>
      <c r="BC691" t="s">
        <v>1983</v>
      </c>
      <c r="BD691" t="s">
        <v>2002</v>
      </c>
      <c r="BE691" t="s">
        <v>2013</v>
      </c>
      <c r="BF691" t="s">
        <v>57</v>
      </c>
      <c r="BG691" t="s">
        <v>1243</v>
      </c>
      <c r="BH691" t="s">
        <v>2014</v>
      </c>
      <c r="BI691" t="s">
        <v>29</v>
      </c>
      <c r="BJ691" t="s">
        <v>29</v>
      </c>
      <c r="BK691" t="s">
        <v>29</v>
      </c>
      <c r="EE691" t="s">
        <v>2015</v>
      </c>
      <c r="EF691" t="s">
        <v>2006</v>
      </c>
      <c r="EG691">
        <v>0.24</v>
      </c>
      <c r="EH691" t="s">
        <v>2056</v>
      </c>
      <c r="EI691" t="s">
        <v>2016</v>
      </c>
      <c r="EJ691" s="9" t="s">
        <v>2006</v>
      </c>
      <c r="EK691" s="144">
        <v>0.24</v>
      </c>
      <c r="EL691" s="9"/>
      <c r="EM691" s="9" t="s">
        <v>2017</v>
      </c>
      <c r="EN691" s="9" t="s">
        <v>2006</v>
      </c>
      <c r="EO691" s="9" t="s">
        <v>29</v>
      </c>
      <c r="EP691" s="9"/>
      <c r="EQ691" s="9" t="s">
        <v>2018</v>
      </c>
      <c r="ER691" s="9" t="s">
        <v>2006</v>
      </c>
      <c r="ES691" s="9" t="s">
        <v>29</v>
      </c>
      <c r="ET691" s="9"/>
      <c r="EU691" s="9" t="s">
        <v>2019</v>
      </c>
      <c r="EV691" s="9" t="s">
        <v>2006</v>
      </c>
      <c r="EW691" s="9" t="s">
        <v>29</v>
      </c>
      <c r="EX691" s="9"/>
      <c r="EY691" s="9"/>
      <c r="EZ691" s="9"/>
      <c r="FA691" s="9"/>
      <c r="FB691" s="9"/>
      <c r="FC691" s="9"/>
      <c r="FD691" s="9"/>
      <c r="FE691" s="9"/>
      <c r="FF691" s="9"/>
      <c r="FG691" s="9"/>
      <c r="FH691" s="9"/>
      <c r="FI691" s="9"/>
      <c r="FJ691" s="9"/>
      <c r="FK691" s="9"/>
      <c r="FL691" s="9"/>
      <c r="FM691" s="9"/>
      <c r="FN691" s="9"/>
      <c r="FO691" s="9"/>
      <c r="FP691" s="9"/>
      <c r="FQ691" s="9"/>
      <c r="FR691" s="9"/>
      <c r="FS691" s="9"/>
      <c r="FT691" s="9"/>
      <c r="FU691" s="9"/>
      <c r="FV691" s="9"/>
      <c r="FW691" s="9"/>
      <c r="FX691" s="9"/>
      <c r="FY691" s="9"/>
      <c r="FZ691" s="9"/>
      <c r="GA691" s="9"/>
      <c r="GB691" s="9"/>
      <c r="GC691" s="9"/>
      <c r="GD691" s="9"/>
      <c r="GE691" s="9"/>
      <c r="GF691" s="9"/>
      <c r="GG691" s="9"/>
      <c r="GH691" s="9"/>
      <c r="GI691" s="9"/>
      <c r="GJ691" s="9"/>
      <c r="GK691" s="9"/>
      <c r="GL691" s="9"/>
      <c r="GM691" s="9"/>
      <c r="GN691" s="9"/>
      <c r="GO691" s="9"/>
      <c r="GP691" s="9"/>
      <c r="GQ691" s="9"/>
      <c r="GR691" s="9"/>
      <c r="GS691" s="9"/>
      <c r="GT691" s="9"/>
      <c r="GU691" s="9"/>
      <c r="GV691" s="9"/>
      <c r="GW691" s="9"/>
      <c r="GX691" s="9"/>
      <c r="GY691" s="9"/>
      <c r="GZ691" s="9"/>
      <c r="HA691" s="9"/>
      <c r="HB691" s="9"/>
      <c r="HC691" s="9"/>
      <c r="HD691" s="9"/>
      <c r="HE691" s="9"/>
      <c r="HF691" s="9"/>
      <c r="HG691" s="9"/>
      <c r="HH691" s="9"/>
      <c r="HI691" s="9"/>
      <c r="HJ691" s="9"/>
      <c r="HK691" s="9"/>
      <c r="HL691" s="9" t="s">
        <v>2007</v>
      </c>
      <c r="HM691" s="9" t="s">
        <v>232</v>
      </c>
      <c r="HY691" s="58"/>
      <c r="IU691" t="s">
        <v>2020</v>
      </c>
      <c r="IV691" t="s">
        <v>2009</v>
      </c>
      <c r="IW691" t="s">
        <v>2021</v>
      </c>
      <c r="IZ691">
        <v>50</v>
      </c>
      <c r="JC691">
        <v>12</v>
      </c>
      <c r="JO691" s="9"/>
      <c r="JY691" s="9"/>
      <c r="KQ691" s="9"/>
      <c r="KR691" s="9"/>
      <c r="KS691" s="9"/>
      <c r="KT691" s="9"/>
      <c r="MS691" t="s">
        <v>1987</v>
      </c>
      <c r="MT691">
        <v>625</v>
      </c>
      <c r="MU691" t="s">
        <v>1988</v>
      </c>
      <c r="MW691" t="s">
        <v>1992</v>
      </c>
      <c r="MX691" t="s">
        <v>1993</v>
      </c>
      <c r="MY691" t="s">
        <v>1994</v>
      </c>
      <c r="MZ691" t="s">
        <v>1995</v>
      </c>
      <c r="NA691" t="s">
        <v>1996</v>
      </c>
      <c r="NE691" t="s">
        <v>2036</v>
      </c>
      <c r="NF691" t="s">
        <v>2037</v>
      </c>
      <c r="NG691" t="s">
        <v>2038</v>
      </c>
      <c r="NH691" t="s">
        <v>2039</v>
      </c>
      <c r="NP691" t="s">
        <v>2022</v>
      </c>
      <c r="NQ691" t="s">
        <v>1998</v>
      </c>
      <c r="NR691">
        <v>4.09</v>
      </c>
      <c r="NS691" t="s">
        <v>29</v>
      </c>
      <c r="NT691" t="s">
        <v>29</v>
      </c>
      <c r="NW691">
        <v>32</v>
      </c>
      <c r="OH691" t="s">
        <v>1999</v>
      </c>
      <c r="OI691" s="19"/>
      <c r="OK691">
        <v>2009</v>
      </c>
      <c r="OL691">
        <v>2010</v>
      </c>
      <c r="OO691" t="s">
        <v>2000</v>
      </c>
      <c r="OP691" s="58">
        <v>46133</v>
      </c>
    </row>
    <row r="692" spans="1:411">
      <c r="A692" s="87" t="s">
        <v>36</v>
      </c>
      <c r="B692" s="87" t="s">
        <v>1975</v>
      </c>
      <c r="C692" s="87" t="s">
        <v>1976</v>
      </c>
      <c r="D692" s="87" t="s">
        <v>245</v>
      </c>
      <c r="E692" s="87" t="s">
        <v>2012</v>
      </c>
      <c r="F692" s="87" t="s">
        <v>1980</v>
      </c>
      <c r="G692" s="87" t="s">
        <v>2</v>
      </c>
      <c r="H692" s="87" t="s">
        <v>30</v>
      </c>
      <c r="I692" s="87">
        <v>-8.8170000000000002</v>
      </c>
      <c r="J692" s="87">
        <v>-75.2</v>
      </c>
      <c r="K692" s="87"/>
      <c r="L692" s="87" t="s">
        <v>1976</v>
      </c>
      <c r="M692" s="87" t="s">
        <v>245</v>
      </c>
      <c r="N692" s="87" t="s">
        <v>1979</v>
      </c>
      <c r="O692" s="87" t="s">
        <v>1980</v>
      </c>
      <c r="P692" s="87" t="s">
        <v>2</v>
      </c>
      <c r="Q692" s="87" t="s">
        <v>30</v>
      </c>
      <c r="R692" s="87">
        <v>-8.5169999999999995</v>
      </c>
      <c r="S692" s="87">
        <v>-74.766999999999996</v>
      </c>
      <c r="T692" s="87"/>
      <c r="U692" s="87" t="s">
        <v>1976</v>
      </c>
      <c r="V692" s="87" t="s">
        <v>245</v>
      </c>
      <c r="W692" s="87" t="s">
        <v>2001</v>
      </c>
      <c r="X692" s="87" t="s">
        <v>1980</v>
      </c>
      <c r="Y692" s="87" t="s">
        <v>2</v>
      </c>
      <c r="Z692" s="87" t="s">
        <v>30</v>
      </c>
      <c r="AA692" s="87">
        <v>-8.3670000000000009</v>
      </c>
      <c r="AB692" s="87">
        <v>-74.7</v>
      </c>
      <c r="AC692" s="87"/>
      <c r="AD692" s="87"/>
      <c r="AE692" s="87"/>
      <c r="AF692" s="87"/>
      <c r="AG692" s="87"/>
      <c r="AH692" s="87"/>
      <c r="AI692" s="87"/>
      <c r="AJ692" s="87"/>
      <c r="AK692" s="87"/>
      <c r="AL692" s="87"/>
      <c r="AM692" s="87"/>
      <c r="AN692" s="87"/>
      <c r="AO692" s="87"/>
      <c r="AP692" s="87"/>
      <c r="AQ692" s="87"/>
      <c r="AR692" s="87"/>
      <c r="AS692" s="87"/>
      <c r="AT692" s="87"/>
      <c r="AU692" s="87"/>
      <c r="AV692" s="87" t="s">
        <v>1981</v>
      </c>
      <c r="AW692" s="87">
        <v>625</v>
      </c>
      <c r="AX692" s="87" t="s">
        <v>29</v>
      </c>
      <c r="AY692" s="87">
        <v>2</v>
      </c>
      <c r="AZ692" s="87" t="s">
        <v>1982</v>
      </c>
      <c r="BA692" s="87">
        <v>2009</v>
      </c>
      <c r="BB692" s="87">
        <v>2010</v>
      </c>
      <c r="BC692" s="87" t="s">
        <v>1983</v>
      </c>
      <c r="BD692" s="87" t="s">
        <v>19</v>
      </c>
      <c r="BE692" s="87" t="s">
        <v>2023</v>
      </c>
      <c r="BF692" s="87" t="s">
        <v>24</v>
      </c>
      <c r="BG692" s="87" t="s">
        <v>1243</v>
      </c>
      <c r="BH692" s="87" t="s">
        <v>2024</v>
      </c>
      <c r="BI692" s="87" t="s">
        <v>29</v>
      </c>
      <c r="BJ692" s="87" t="s">
        <v>29</v>
      </c>
      <c r="BK692" s="87" t="s">
        <v>29</v>
      </c>
      <c r="BL692" s="87"/>
      <c r="BM692" s="87"/>
      <c r="BN692" s="87"/>
      <c r="BO692" s="87"/>
      <c r="BP692" s="87"/>
      <c r="BQ692" s="87"/>
      <c r="BR692" s="87"/>
      <c r="BS692" s="87"/>
      <c r="BT692" s="87"/>
      <c r="BU692" s="87"/>
      <c r="BV692" s="87"/>
      <c r="BW692" s="87"/>
      <c r="BX692" s="87"/>
      <c r="BY692" s="87"/>
      <c r="BZ692" s="87"/>
      <c r="CA692" s="87"/>
      <c r="CB692" s="87"/>
      <c r="CC692" s="87"/>
      <c r="CD692" s="87"/>
      <c r="CE692" s="87"/>
      <c r="CF692" s="87"/>
      <c r="CG692" s="87"/>
      <c r="CH692" s="87"/>
      <c r="CI692" s="87"/>
      <c r="CJ692" s="87"/>
      <c r="CK692" s="87"/>
      <c r="CL692" s="87"/>
      <c r="CM692" s="87"/>
      <c r="CN692" s="87"/>
      <c r="CO692" s="87"/>
      <c r="CP692" s="87"/>
      <c r="CQ692" s="87"/>
      <c r="CR692" s="87"/>
      <c r="CS692" s="87"/>
      <c r="CT692" s="87"/>
      <c r="CU692" s="87"/>
      <c r="CV692" s="87"/>
      <c r="CW692" s="87"/>
      <c r="CX692" s="87"/>
      <c r="CY692" s="87"/>
      <c r="CZ692" s="87"/>
      <c r="DA692" s="87"/>
      <c r="DB692" s="87"/>
      <c r="DC692" s="87"/>
      <c r="DD692" s="87"/>
      <c r="DE692" s="87"/>
      <c r="DF692" s="87"/>
      <c r="DG692" s="87"/>
      <c r="DH692" s="87"/>
      <c r="DI692" s="87"/>
      <c r="DJ692" s="87"/>
      <c r="DK692" s="87"/>
      <c r="DL692" s="87"/>
      <c r="DM692" s="87"/>
      <c r="DN692" s="87"/>
      <c r="DO692" s="87"/>
      <c r="DP692" s="87"/>
      <c r="DQ692" s="87"/>
      <c r="DR692" s="87"/>
      <c r="DS692" s="87"/>
      <c r="DT692" s="87"/>
      <c r="DU692" s="87"/>
      <c r="DV692" s="87"/>
      <c r="DW692" s="87"/>
      <c r="DX692" s="87"/>
      <c r="DY692" s="87"/>
      <c r="DZ692" s="87"/>
      <c r="EA692" s="87"/>
      <c r="EB692" s="87"/>
      <c r="EC692" s="87"/>
      <c r="ED692" s="87"/>
      <c r="EE692" s="87"/>
      <c r="EF692" s="87"/>
      <c r="EG692" s="87"/>
      <c r="EH692" s="87"/>
      <c r="EI692" s="87"/>
      <c r="EJ692" s="144"/>
      <c r="EK692" s="144"/>
      <c r="EL692" s="144"/>
      <c r="EM692" s="144"/>
      <c r="EN692" s="144"/>
      <c r="EO692" s="144"/>
      <c r="EP692" s="144"/>
      <c r="EQ692" s="144"/>
      <c r="ER692" s="144"/>
      <c r="ES692" s="144"/>
      <c r="ET692" s="144"/>
      <c r="EU692" s="144"/>
      <c r="EV692" s="144"/>
      <c r="EW692" s="144"/>
      <c r="EX692" s="144"/>
      <c r="EY692" s="144"/>
      <c r="EZ692" s="144"/>
      <c r="FA692" s="144"/>
      <c r="FB692" s="144"/>
      <c r="FC692" s="144"/>
      <c r="FD692" s="144"/>
      <c r="FE692" s="144"/>
      <c r="FF692" s="144"/>
      <c r="FG692" s="144"/>
      <c r="FH692" s="144"/>
      <c r="FI692" s="144"/>
      <c r="FJ692" s="144"/>
      <c r="FK692" s="144"/>
      <c r="FL692" s="144"/>
      <c r="FM692" s="144"/>
      <c r="FN692" s="144"/>
      <c r="FO692" s="144"/>
      <c r="FP692" s="144"/>
      <c r="FQ692" s="144"/>
      <c r="FR692" s="144"/>
      <c r="FS692" s="144"/>
      <c r="FT692" s="144"/>
      <c r="FU692" s="144"/>
      <c r="FV692" s="144"/>
      <c r="FW692" s="144"/>
      <c r="FX692" s="144"/>
      <c r="FY692" s="144"/>
      <c r="FZ692" s="144"/>
      <c r="GA692" s="144"/>
      <c r="GB692" s="144"/>
      <c r="GC692" s="144"/>
      <c r="GD692" s="144"/>
      <c r="GE692" s="144"/>
      <c r="GF692" s="144"/>
      <c r="GG692" s="144"/>
      <c r="GH692" s="144"/>
      <c r="GI692" s="144"/>
      <c r="GJ692" s="144"/>
      <c r="GK692" s="144"/>
      <c r="GL692" s="144"/>
      <c r="GM692" s="144"/>
      <c r="GN692" s="144"/>
      <c r="GO692" s="144"/>
      <c r="GP692" s="144"/>
      <c r="GQ692" s="144"/>
      <c r="GR692" s="144"/>
      <c r="GS692" s="144"/>
      <c r="GT692" s="144"/>
      <c r="GU692" s="144"/>
      <c r="GV692" s="144"/>
      <c r="GW692" s="144"/>
      <c r="GX692" s="144"/>
      <c r="GY692" s="144"/>
      <c r="GZ692" s="144"/>
      <c r="HA692" s="144"/>
      <c r="HB692" s="144"/>
      <c r="HC692" s="144"/>
      <c r="HD692" s="144"/>
      <c r="HE692" s="144"/>
      <c r="HF692" s="144"/>
      <c r="HG692" s="144"/>
      <c r="HH692" s="144"/>
      <c r="HI692" s="144"/>
      <c r="HJ692" s="144"/>
      <c r="HK692" s="144"/>
      <c r="HL692" s="144" t="s">
        <v>2025</v>
      </c>
      <c r="HM692" s="144" t="s">
        <v>297</v>
      </c>
      <c r="HN692" s="87" t="s">
        <v>12</v>
      </c>
      <c r="HO692" s="87"/>
      <c r="HP692" s="87"/>
      <c r="HQ692" s="87"/>
      <c r="HR692" s="87"/>
      <c r="HS692" s="87"/>
      <c r="HT692" s="87"/>
      <c r="HU692" s="87"/>
      <c r="HV692" s="87"/>
      <c r="HW692" s="87"/>
      <c r="HX692" s="87"/>
      <c r="HY692" s="145"/>
      <c r="HZ692" s="87"/>
      <c r="IA692" s="87"/>
      <c r="IB692" s="87"/>
      <c r="IC692" s="87"/>
      <c r="ID692" s="87"/>
      <c r="IE692" s="87"/>
      <c r="IF692" s="87"/>
      <c r="IG692" s="87"/>
      <c r="IH692" s="87"/>
      <c r="II692" s="87"/>
      <c r="IJ692" s="87"/>
      <c r="IK692" s="87"/>
      <c r="IL692" s="87"/>
      <c r="IM692" s="87"/>
      <c r="IN692" s="87"/>
      <c r="IO692" s="87"/>
      <c r="IP692" s="87"/>
      <c r="IQ692" s="87"/>
      <c r="IR692" s="87"/>
      <c r="IS692" s="87"/>
      <c r="IT692" s="87"/>
      <c r="IU692" s="87"/>
      <c r="IV692" s="87"/>
      <c r="IW692" s="87"/>
      <c r="IX692" s="87"/>
      <c r="IY692" s="87"/>
      <c r="IZ692" s="87"/>
      <c r="JA692" s="87"/>
      <c r="JB692" s="87"/>
      <c r="JC692" s="87"/>
      <c r="JD692" s="87"/>
      <c r="JE692" s="87"/>
      <c r="JF692" s="87"/>
      <c r="JG692" s="87"/>
      <c r="JH692" s="87"/>
      <c r="JI692" s="87"/>
      <c r="JJ692" s="87"/>
      <c r="JK692" s="87"/>
      <c r="JL692" s="87"/>
      <c r="JM692" s="87"/>
      <c r="JN692" s="87"/>
      <c r="JO692" s="151"/>
      <c r="JP692" s="87"/>
      <c r="JQ692" s="87"/>
      <c r="JR692" s="87"/>
      <c r="JS692" s="87"/>
      <c r="JT692" s="87"/>
      <c r="JU692" s="87"/>
      <c r="JV692" s="87"/>
      <c r="JW692" s="87"/>
      <c r="JX692" s="87"/>
      <c r="JY692" s="151"/>
      <c r="JZ692" s="87"/>
      <c r="KA692" s="87"/>
      <c r="KB692" s="87"/>
      <c r="KC692" s="87"/>
      <c r="KD692" s="87"/>
      <c r="KE692" s="87"/>
      <c r="KF692" s="87"/>
      <c r="KG692" s="87"/>
      <c r="KH692" s="87"/>
      <c r="KI692" s="87"/>
      <c r="KJ692" s="87"/>
      <c r="KK692" s="87"/>
      <c r="KL692" s="87"/>
      <c r="KM692" s="87"/>
      <c r="KN692" s="87"/>
      <c r="KO692" s="87"/>
      <c r="KP692" s="87"/>
      <c r="KQ692" s="151"/>
      <c r="KR692" s="151"/>
      <c r="KS692" s="151"/>
      <c r="KT692" s="151"/>
      <c r="KU692" s="87"/>
      <c r="KV692" s="87"/>
      <c r="KW692" s="87"/>
      <c r="KX692" s="87"/>
      <c r="KY692" s="87"/>
      <c r="KZ692" s="87"/>
      <c r="LA692" s="87"/>
      <c r="LB692" s="87"/>
      <c r="LC692" s="87"/>
      <c r="LD692" s="87"/>
      <c r="LE692" s="87"/>
      <c r="LF692" s="87"/>
      <c r="LG692" s="87"/>
      <c r="LH692" s="87"/>
      <c r="LI692" s="87"/>
      <c r="LJ692" s="87"/>
      <c r="LK692" s="87"/>
      <c r="LL692" s="87"/>
      <c r="LM692" s="87"/>
      <c r="LN692" s="87"/>
      <c r="LO692" s="87"/>
      <c r="LP692" s="87"/>
      <c r="LQ692" s="87"/>
      <c r="LR692" s="87"/>
      <c r="LS692" s="87"/>
      <c r="LT692" s="87"/>
      <c r="LU692" s="87"/>
      <c r="LV692" s="87"/>
      <c r="LW692" s="87"/>
      <c r="LX692" s="87"/>
      <c r="LY692" s="87"/>
      <c r="LZ692" s="87"/>
      <c r="MA692" s="87"/>
      <c r="MB692" s="87"/>
      <c r="MC692" s="87"/>
      <c r="MD692" s="87"/>
      <c r="ME692" s="87"/>
      <c r="MF692" s="87"/>
      <c r="MG692" s="87"/>
      <c r="MH692" s="87"/>
      <c r="MI692" s="87"/>
      <c r="MJ692" s="87"/>
      <c r="MK692" s="87"/>
      <c r="ML692" s="87"/>
      <c r="MM692" s="87"/>
      <c r="MN692" s="87"/>
      <c r="MO692" s="87"/>
      <c r="MP692" s="87"/>
      <c r="MQ692" s="87"/>
      <c r="MR692" s="87"/>
      <c r="MS692" s="87" t="s">
        <v>1987</v>
      </c>
      <c r="MT692" s="87">
        <v>625</v>
      </c>
      <c r="MU692" s="87" t="s">
        <v>1988</v>
      </c>
      <c r="MV692" s="87"/>
      <c r="MW692" s="87" t="s">
        <v>1992</v>
      </c>
      <c r="MX692" s="87" t="s">
        <v>1993</v>
      </c>
      <c r="MY692" s="87" t="s">
        <v>1994</v>
      </c>
      <c r="MZ692" s="87" t="s">
        <v>1995</v>
      </c>
      <c r="NA692" s="87" t="s">
        <v>1996</v>
      </c>
      <c r="NB692" s="87"/>
      <c r="NC692" s="87"/>
      <c r="ND692" s="87"/>
      <c r="NE692" s="87" t="s">
        <v>2036</v>
      </c>
      <c r="NF692" s="87" t="s">
        <v>2037</v>
      </c>
      <c r="NG692" s="87" t="s">
        <v>2038</v>
      </c>
      <c r="NH692" s="87" t="s">
        <v>2039</v>
      </c>
      <c r="NI692" s="87"/>
      <c r="NJ692" s="87"/>
      <c r="NK692" s="87"/>
      <c r="NL692" s="87"/>
      <c r="NM692" s="87"/>
      <c r="NN692" s="87"/>
      <c r="NO692" s="87"/>
      <c r="NP692" s="87" t="s">
        <v>2026</v>
      </c>
      <c r="NQ692" s="87" t="s">
        <v>1998</v>
      </c>
      <c r="NR692" s="87">
        <v>4.07</v>
      </c>
      <c r="NS692" s="87" t="s">
        <v>29</v>
      </c>
      <c r="NT692" s="87" t="s">
        <v>29</v>
      </c>
      <c r="NU692" s="87"/>
      <c r="NV692" s="87"/>
      <c r="NW692" s="87">
        <v>32</v>
      </c>
      <c r="NX692" s="87"/>
      <c r="NY692" s="87"/>
      <c r="NZ692" s="87"/>
      <c r="OA692" s="87"/>
      <c r="OB692" s="87"/>
      <c r="OC692" s="87"/>
      <c r="OD692" s="87"/>
      <c r="OE692" s="87"/>
      <c r="OF692" s="87"/>
      <c r="OG692" s="87"/>
      <c r="OH692" s="87" t="s">
        <v>1999</v>
      </c>
      <c r="OI692" s="149"/>
      <c r="OJ692" s="87"/>
      <c r="OK692" s="87">
        <v>2009</v>
      </c>
      <c r="OL692" s="87">
        <v>2010</v>
      </c>
      <c r="OM692" s="87"/>
      <c r="ON692" s="87"/>
      <c r="OO692" s="87" t="s">
        <v>2000</v>
      </c>
      <c r="OP692" s="145">
        <v>46133</v>
      </c>
      <c r="OQ692" s="87"/>
      <c r="OR692" s="87"/>
      <c r="OS692" s="87"/>
      <c r="OT692" s="87"/>
      <c r="OU692" s="143"/>
    </row>
    <row r="693" spans="1:411">
      <c r="A693" t="s">
        <v>36</v>
      </c>
      <c r="B693" t="s">
        <v>1975</v>
      </c>
      <c r="C693" t="s">
        <v>1976</v>
      </c>
      <c r="D693" t="s">
        <v>245</v>
      </c>
      <c r="E693" t="s">
        <v>2012</v>
      </c>
      <c r="F693" t="s">
        <v>1980</v>
      </c>
      <c r="G693" t="s">
        <v>2</v>
      </c>
      <c r="H693" t="s">
        <v>30</v>
      </c>
      <c r="I693">
        <v>-8.8170000000000002</v>
      </c>
      <c r="J693">
        <v>-75.2</v>
      </c>
      <c r="L693" t="s">
        <v>1976</v>
      </c>
      <c r="M693" t="s">
        <v>245</v>
      </c>
      <c r="N693" t="s">
        <v>1979</v>
      </c>
      <c r="O693" t="s">
        <v>1980</v>
      </c>
      <c r="P693" t="s">
        <v>2</v>
      </c>
      <c r="Q693" t="s">
        <v>30</v>
      </c>
      <c r="R693">
        <v>-8.5169999999999995</v>
      </c>
      <c r="S693">
        <v>-74.766999999999996</v>
      </c>
      <c r="U693" t="s">
        <v>1976</v>
      </c>
      <c r="V693" t="s">
        <v>245</v>
      </c>
      <c r="W693" t="s">
        <v>2001</v>
      </c>
      <c r="X693" t="s">
        <v>1980</v>
      </c>
      <c r="Y693" t="s">
        <v>2</v>
      </c>
      <c r="Z693" t="s">
        <v>30</v>
      </c>
      <c r="AA693">
        <v>-8.3670000000000009</v>
      </c>
      <c r="AB693">
        <v>-74.7</v>
      </c>
      <c r="AV693" t="s">
        <v>1981</v>
      </c>
      <c r="AW693">
        <v>625</v>
      </c>
      <c r="AX693" t="s">
        <v>29</v>
      </c>
      <c r="AY693">
        <v>2</v>
      </c>
      <c r="AZ693" t="s">
        <v>1982</v>
      </c>
      <c r="BA693">
        <v>2009</v>
      </c>
      <c r="BB693">
        <v>2010</v>
      </c>
      <c r="BC693" t="s">
        <v>1983</v>
      </c>
      <c r="BD693" t="s">
        <v>2055</v>
      </c>
      <c r="BE693" t="s">
        <v>2027</v>
      </c>
      <c r="BF693" t="s">
        <v>299</v>
      </c>
      <c r="BG693" t="s">
        <v>1798</v>
      </c>
      <c r="BH693" t="s">
        <v>2028</v>
      </c>
      <c r="BI693" t="s">
        <v>29</v>
      </c>
      <c r="BJ693" t="s">
        <v>29</v>
      </c>
      <c r="BK693" t="s">
        <v>29</v>
      </c>
      <c r="EJ693" s="9"/>
      <c r="EK693" s="9"/>
      <c r="EL693" s="9"/>
      <c r="EM693" s="9"/>
      <c r="EN693" s="9"/>
      <c r="EO693" s="9"/>
      <c r="EP693" s="9"/>
      <c r="EQ693" s="9"/>
      <c r="ER693" s="9"/>
      <c r="ES693" s="9"/>
      <c r="ET693" s="9"/>
      <c r="EU693" s="9"/>
      <c r="EV693" s="9"/>
      <c r="EW693" s="9"/>
      <c r="EX693" s="9"/>
      <c r="EY693" s="9"/>
      <c r="EZ693" s="9"/>
      <c r="FA693" s="9"/>
      <c r="FB693" s="9"/>
      <c r="FC693" s="9"/>
      <c r="FD693" s="9"/>
      <c r="FE693" s="9"/>
      <c r="FF693" s="9"/>
      <c r="FG693" s="9"/>
      <c r="FH693" s="9"/>
      <c r="FI693" s="9"/>
      <c r="FJ693" s="9"/>
      <c r="FK693" s="9"/>
      <c r="FL693" s="9"/>
      <c r="FM693" s="9"/>
      <c r="FN693" s="9"/>
      <c r="FO693" s="9"/>
      <c r="FP693" s="9"/>
      <c r="FQ693" s="9"/>
      <c r="FR693" s="9"/>
      <c r="FS693" s="9"/>
      <c r="FT693" s="9"/>
      <c r="FU693" s="9"/>
      <c r="FV693" s="9"/>
      <c r="FW693" s="9"/>
      <c r="FX693" s="9"/>
      <c r="FY693" s="9"/>
      <c r="FZ693" s="9"/>
      <c r="GA693" s="9"/>
      <c r="GB693" s="9"/>
      <c r="GC693" s="9"/>
      <c r="GD693" s="9"/>
      <c r="GE693" s="9"/>
      <c r="GF693" s="9"/>
      <c r="GG693" s="9"/>
      <c r="GH693" s="9"/>
      <c r="GI693" s="9"/>
      <c r="GJ693" s="9"/>
      <c r="GK693" s="9"/>
      <c r="GL693" s="9"/>
      <c r="GM693" s="9"/>
      <c r="GN693" s="9"/>
      <c r="GO693" s="9"/>
      <c r="GP693" s="9"/>
      <c r="GQ693" s="9"/>
      <c r="GR693" s="9"/>
      <c r="GS693" s="9"/>
      <c r="GT693" s="9"/>
      <c r="GU693" s="9"/>
      <c r="GV693" s="9"/>
      <c r="GW693" s="9"/>
      <c r="GX693" s="9"/>
      <c r="GY693" s="9"/>
      <c r="GZ693" s="9"/>
      <c r="HA693" s="9"/>
      <c r="HB693" s="9"/>
      <c r="HC693" s="9"/>
      <c r="HD693" s="9"/>
      <c r="HE693" s="9"/>
      <c r="HF693" s="9"/>
      <c r="HG693" s="9"/>
      <c r="HH693" s="9"/>
      <c r="HI693" s="9"/>
      <c r="HJ693" s="9"/>
      <c r="HK693" s="9"/>
      <c r="HL693" s="9" t="s">
        <v>2029</v>
      </c>
      <c r="HM693" s="9" t="s">
        <v>232</v>
      </c>
      <c r="HY693" s="58"/>
      <c r="JO693" s="9"/>
      <c r="JY693" s="9"/>
      <c r="KQ693" s="9"/>
      <c r="KR693" s="9"/>
      <c r="KS693" s="9"/>
      <c r="KT693" s="9"/>
      <c r="MS693" t="s">
        <v>1987</v>
      </c>
      <c r="MT693">
        <v>625</v>
      </c>
      <c r="MU693" t="s">
        <v>1988</v>
      </c>
      <c r="MW693" t="s">
        <v>1992</v>
      </c>
      <c r="MX693" t="s">
        <v>1993</v>
      </c>
      <c r="MY693" t="s">
        <v>1994</v>
      </c>
      <c r="MZ693" t="s">
        <v>1995</v>
      </c>
      <c r="NA693" t="s">
        <v>1996</v>
      </c>
      <c r="NE693" t="s">
        <v>2036</v>
      </c>
      <c r="NF693" t="s">
        <v>2037</v>
      </c>
      <c r="NG693" t="s">
        <v>2038</v>
      </c>
      <c r="NH693" t="s">
        <v>2039</v>
      </c>
      <c r="NP693" t="s">
        <v>2030</v>
      </c>
      <c r="NQ693" t="s">
        <v>1998</v>
      </c>
      <c r="NR693">
        <v>3.68</v>
      </c>
      <c r="NS693" t="s">
        <v>29</v>
      </c>
      <c r="NT693" t="s">
        <v>29</v>
      </c>
      <c r="NW693">
        <v>32</v>
      </c>
      <c r="OH693" t="s">
        <v>1999</v>
      </c>
      <c r="OI693" s="19"/>
      <c r="OK693">
        <v>2009</v>
      </c>
      <c r="OL693">
        <v>2010</v>
      </c>
      <c r="OO693" t="s">
        <v>2000</v>
      </c>
      <c r="OP693" s="58">
        <v>46133</v>
      </c>
    </row>
    <row r="694" spans="1:411">
      <c r="A694" s="87" t="s">
        <v>36</v>
      </c>
      <c r="B694" s="87" t="s">
        <v>1975</v>
      </c>
      <c r="C694" s="87" t="s">
        <v>1976</v>
      </c>
      <c r="D694" s="87" t="s">
        <v>1955</v>
      </c>
      <c r="E694" s="87" t="s">
        <v>1977</v>
      </c>
      <c r="F694" s="87" t="s">
        <v>1978</v>
      </c>
      <c r="G694" s="87" t="s">
        <v>2</v>
      </c>
      <c r="H694" s="87" t="s">
        <v>30</v>
      </c>
      <c r="I694" s="87">
        <v>-8.9</v>
      </c>
      <c r="J694" s="87">
        <v>-74.983000000000004</v>
      </c>
      <c r="K694" s="87"/>
      <c r="L694" s="87" t="s">
        <v>1976</v>
      </c>
      <c r="M694" s="87" t="s">
        <v>245</v>
      </c>
      <c r="N694" s="87" t="s">
        <v>1979</v>
      </c>
      <c r="O694" s="87" t="s">
        <v>1980</v>
      </c>
      <c r="P694" s="87" t="s">
        <v>2</v>
      </c>
      <c r="Q694" s="87" t="s">
        <v>30</v>
      </c>
      <c r="R694" s="87">
        <v>-8.5169999999999995</v>
      </c>
      <c r="S694" s="87">
        <v>-74.766999999999996</v>
      </c>
      <c r="T694" s="87"/>
      <c r="U694" s="87"/>
      <c r="V694" s="87"/>
      <c r="W694" s="87"/>
      <c r="X694" s="87"/>
      <c r="Y694" s="87"/>
      <c r="Z694" s="87"/>
      <c r="AA694" s="87"/>
      <c r="AB694" s="87"/>
      <c r="AC694" s="87"/>
      <c r="AD694" s="87"/>
      <c r="AE694" s="87"/>
      <c r="AF694" s="87"/>
      <c r="AG694" s="87"/>
      <c r="AH694" s="87"/>
      <c r="AI694" s="87"/>
      <c r="AJ694" s="87"/>
      <c r="AK694" s="87"/>
      <c r="AL694" s="87"/>
      <c r="AM694" s="87"/>
      <c r="AN694" s="87"/>
      <c r="AO694" s="87"/>
      <c r="AP694" s="87"/>
      <c r="AQ694" s="87"/>
      <c r="AR694" s="87"/>
      <c r="AS694" s="87"/>
      <c r="AT694" s="87"/>
      <c r="AU694" s="87"/>
      <c r="AV694" s="87" t="s">
        <v>1981</v>
      </c>
      <c r="AW694" s="87">
        <v>625</v>
      </c>
      <c r="AX694" s="87" t="s">
        <v>29</v>
      </c>
      <c r="AY694" s="87">
        <v>2</v>
      </c>
      <c r="AZ694" s="87" t="s">
        <v>1982</v>
      </c>
      <c r="BA694" s="87">
        <v>2009</v>
      </c>
      <c r="BB694" s="87">
        <v>2010</v>
      </c>
      <c r="BC694" s="87" t="s">
        <v>1983</v>
      </c>
      <c r="BD694" s="87" t="s">
        <v>1985</v>
      </c>
      <c r="BE694" s="87" t="s">
        <v>1984</v>
      </c>
      <c r="BF694" s="87" t="s">
        <v>39</v>
      </c>
      <c r="BG694" s="87" t="s">
        <v>1762</v>
      </c>
      <c r="BH694" s="87"/>
      <c r="BI694" s="87"/>
      <c r="BJ694" s="87"/>
      <c r="BK694" s="87"/>
      <c r="BL694" s="87"/>
      <c r="BM694" s="87"/>
      <c r="BN694" s="87"/>
      <c r="BO694" s="87"/>
      <c r="BP694" s="87"/>
      <c r="BQ694" s="87"/>
      <c r="BR694" s="87"/>
      <c r="BS694" s="87"/>
      <c r="BT694" s="87"/>
      <c r="BU694" s="87"/>
      <c r="BV694" s="87"/>
      <c r="BW694" s="87"/>
      <c r="BX694" s="87"/>
      <c r="BY694" s="87"/>
      <c r="BZ694" s="87"/>
      <c r="CA694" s="87"/>
      <c r="CB694" s="87"/>
      <c r="CC694" s="87"/>
      <c r="CD694" s="87"/>
      <c r="CE694" s="87"/>
      <c r="CF694" s="87"/>
      <c r="CG694" s="87"/>
      <c r="CH694" s="87"/>
      <c r="CI694" s="87"/>
      <c r="CJ694" s="87"/>
      <c r="CK694" s="87"/>
      <c r="CL694" s="87"/>
      <c r="CM694" s="87"/>
      <c r="CN694" s="87"/>
      <c r="CO694" s="87"/>
      <c r="CP694" s="87"/>
      <c r="CQ694" s="87"/>
      <c r="CR694" s="87"/>
      <c r="CS694" s="87"/>
      <c r="CT694" s="87"/>
      <c r="CU694" s="87"/>
      <c r="CV694" s="87"/>
      <c r="CW694" s="87"/>
      <c r="CX694" s="87"/>
      <c r="CY694" s="87"/>
      <c r="CZ694" s="87"/>
      <c r="DA694" s="87"/>
      <c r="DB694" s="87"/>
      <c r="DC694" s="87"/>
      <c r="DD694" s="87"/>
      <c r="DE694" s="87"/>
      <c r="DF694" s="87"/>
      <c r="DG694" s="87"/>
      <c r="DH694" s="87"/>
      <c r="DI694" s="87"/>
      <c r="DJ694" s="87"/>
      <c r="DK694" s="87"/>
      <c r="DL694" s="87"/>
      <c r="DM694" s="87"/>
      <c r="DN694" s="87"/>
      <c r="DO694" s="87"/>
      <c r="DP694" s="87"/>
      <c r="DQ694" s="87"/>
      <c r="DR694" s="87"/>
      <c r="DS694" s="87"/>
      <c r="DT694" s="87"/>
      <c r="DU694" s="87"/>
      <c r="DV694" s="87"/>
      <c r="DW694" s="87"/>
      <c r="DX694" s="87"/>
      <c r="DY694" s="87"/>
      <c r="DZ694" s="87"/>
      <c r="EA694" s="87"/>
      <c r="EB694" s="87"/>
      <c r="EC694" s="87"/>
      <c r="ED694" s="87"/>
      <c r="EE694" s="87"/>
      <c r="EF694" s="87"/>
      <c r="EG694" s="87"/>
      <c r="EH694" s="87"/>
      <c r="EI694" s="87"/>
      <c r="EJ694" s="144"/>
      <c r="EK694" s="144"/>
      <c r="EL694" s="144"/>
      <c r="EM694" s="144"/>
      <c r="EN694" s="144"/>
      <c r="EO694" s="144"/>
      <c r="EP694" s="144"/>
      <c r="EQ694" s="144"/>
      <c r="ER694" s="144"/>
      <c r="ES694" s="144"/>
      <c r="ET694" s="144"/>
      <c r="EU694" s="144"/>
      <c r="EV694" s="144"/>
      <c r="EW694" s="144"/>
      <c r="EX694" s="144"/>
      <c r="EY694" s="144"/>
      <c r="EZ694" s="144"/>
      <c r="FA694" s="144"/>
      <c r="FB694" s="144"/>
      <c r="FC694" s="144"/>
      <c r="FD694" s="144"/>
      <c r="FE694" s="144"/>
      <c r="FF694" s="144"/>
      <c r="FG694" s="144"/>
      <c r="FH694" s="144"/>
      <c r="FI694" s="144"/>
      <c r="FJ694" s="144"/>
      <c r="FK694" s="144"/>
      <c r="FL694" s="144"/>
      <c r="FM694" s="144"/>
      <c r="FN694" s="144"/>
      <c r="FO694" s="144"/>
      <c r="FP694" s="144"/>
      <c r="FQ694" s="144"/>
      <c r="FR694" s="144"/>
      <c r="FS694" s="144"/>
      <c r="FT694" s="144"/>
      <c r="FU694" s="144"/>
      <c r="FV694" s="144"/>
      <c r="FW694" s="144"/>
      <c r="FX694" s="144"/>
      <c r="FY694" s="144"/>
      <c r="FZ694" s="144"/>
      <c r="GA694" s="144"/>
      <c r="GB694" s="144"/>
      <c r="GC694" s="144"/>
      <c r="GD694" s="144"/>
      <c r="GE694" s="144"/>
      <c r="GF694" s="144"/>
      <c r="GG694" s="144"/>
      <c r="GH694" s="144"/>
      <c r="GI694" s="144"/>
      <c r="GJ694" s="144"/>
      <c r="GK694" s="144"/>
      <c r="GL694" s="144"/>
      <c r="GM694" s="144"/>
      <c r="GN694" s="144"/>
      <c r="GO694" s="144"/>
      <c r="GP694" s="144"/>
      <c r="GQ694" s="144"/>
      <c r="GR694" s="144"/>
      <c r="GS694" s="144"/>
      <c r="GT694" s="144"/>
      <c r="GU694" s="144"/>
      <c r="GV694" s="144"/>
      <c r="GW694" s="144"/>
      <c r="GX694" s="144"/>
      <c r="GY694" s="144"/>
      <c r="GZ694" s="144"/>
      <c r="HA694" s="144"/>
      <c r="HB694" s="144"/>
      <c r="HC694" s="144"/>
      <c r="HD694" s="144"/>
      <c r="HE694" s="144"/>
      <c r="HF694" s="144"/>
      <c r="HG694" s="144"/>
      <c r="HH694" s="144"/>
      <c r="HI694" s="144"/>
      <c r="HJ694" s="144"/>
      <c r="HK694" s="144"/>
      <c r="HL694" s="144" t="s">
        <v>1986</v>
      </c>
      <c r="HM694" s="144" t="s">
        <v>232</v>
      </c>
      <c r="HN694" s="87"/>
      <c r="HO694" s="87"/>
      <c r="HP694" s="87"/>
      <c r="HQ694" s="87"/>
      <c r="HR694" s="87"/>
      <c r="HS694" s="87"/>
      <c r="HT694" s="87"/>
      <c r="HU694" s="87"/>
      <c r="HV694" s="87"/>
      <c r="HW694" s="87"/>
      <c r="HX694" s="87"/>
      <c r="HY694" s="145"/>
      <c r="HZ694" s="87"/>
      <c r="IA694" s="87"/>
      <c r="IB694" s="87"/>
      <c r="IC694" s="87"/>
      <c r="ID694" s="87"/>
      <c r="IE694" s="87"/>
      <c r="IF694" s="87"/>
      <c r="IG694" s="87"/>
      <c r="IH694" s="87"/>
      <c r="II694" s="87"/>
      <c r="IJ694" s="87"/>
      <c r="IK694" s="87"/>
      <c r="IL694" s="87"/>
      <c r="IM694" s="87"/>
      <c r="IN694" s="87"/>
      <c r="IO694" s="87"/>
      <c r="IP694" s="87"/>
      <c r="IQ694" s="87"/>
      <c r="IR694" s="87"/>
      <c r="IS694" s="87"/>
      <c r="IT694" s="87"/>
      <c r="IU694" s="87"/>
      <c r="IV694" s="87"/>
      <c r="IW694" s="87"/>
      <c r="IX694" s="87"/>
      <c r="IY694" s="87">
        <v>20</v>
      </c>
      <c r="IZ694" s="87">
        <v>95</v>
      </c>
      <c r="JA694" s="87"/>
      <c r="JB694" s="87"/>
      <c r="JC694" s="87"/>
      <c r="JD694" s="87"/>
      <c r="JE694" s="87"/>
      <c r="JF694" s="87"/>
      <c r="JG694" s="87"/>
      <c r="JH694" s="87"/>
      <c r="JI694" s="87"/>
      <c r="JJ694" s="87"/>
      <c r="JK694" s="87"/>
      <c r="JL694" s="87"/>
      <c r="JM694" s="87"/>
      <c r="JN694" s="87"/>
      <c r="JO694" s="151"/>
      <c r="JP694" s="87"/>
      <c r="JQ694" s="87"/>
      <c r="JR694" s="87"/>
      <c r="JS694" s="87"/>
      <c r="JT694" s="87"/>
      <c r="JU694" s="87"/>
      <c r="JV694" s="87"/>
      <c r="JW694" s="87"/>
      <c r="JX694" s="87"/>
      <c r="JY694" s="151"/>
      <c r="JZ694" s="87"/>
      <c r="KA694" s="87"/>
      <c r="KB694" s="87"/>
      <c r="KC694" s="87"/>
      <c r="KD694" s="87"/>
      <c r="KE694" s="87"/>
      <c r="KF694" s="87"/>
      <c r="KG694" s="87"/>
      <c r="KH694" s="87"/>
      <c r="KI694" s="87"/>
      <c r="KJ694" s="87"/>
      <c r="KK694" s="87"/>
      <c r="KL694" s="87"/>
      <c r="KM694" s="87"/>
      <c r="KN694" s="87"/>
      <c r="KO694" s="87"/>
      <c r="KP694" s="87"/>
      <c r="KQ694" s="151"/>
      <c r="KR694" s="151"/>
      <c r="KS694" s="151"/>
      <c r="KT694" s="151"/>
      <c r="KU694" s="87"/>
      <c r="KV694" s="87"/>
      <c r="KW694" s="87"/>
      <c r="KX694" s="87"/>
      <c r="KY694" s="87"/>
      <c r="KZ694" s="87"/>
      <c r="LA694" s="87"/>
      <c r="LB694" s="87"/>
      <c r="LC694" s="87"/>
      <c r="LD694" s="87"/>
      <c r="LE694" s="87"/>
      <c r="LF694" s="87"/>
      <c r="LG694" s="87"/>
      <c r="LH694" s="87"/>
      <c r="LI694" s="87"/>
      <c r="LJ694" s="87"/>
      <c r="LK694" s="87"/>
      <c r="LL694" s="87"/>
      <c r="LM694" s="87"/>
      <c r="LN694" s="87"/>
      <c r="LO694" s="87"/>
      <c r="LP694" s="87"/>
      <c r="LQ694" s="87"/>
      <c r="LR694" s="87"/>
      <c r="LS694" s="87"/>
      <c r="LT694" s="87"/>
      <c r="LU694" s="87"/>
      <c r="LV694" s="87"/>
      <c r="LW694" s="87"/>
      <c r="LX694" s="87"/>
      <c r="LY694" s="87"/>
      <c r="LZ694" s="87"/>
      <c r="MA694" s="87"/>
      <c r="MB694" s="87"/>
      <c r="MC694" s="87"/>
      <c r="MD694" s="87"/>
      <c r="ME694" s="87"/>
      <c r="MF694" s="87"/>
      <c r="MG694" s="87"/>
      <c r="MH694" s="87"/>
      <c r="MI694" s="87"/>
      <c r="MJ694" s="87"/>
      <c r="MK694" s="87"/>
      <c r="ML694" s="87"/>
      <c r="MM694" s="87"/>
      <c r="MN694" s="87"/>
      <c r="MO694" s="87"/>
      <c r="MP694" s="87"/>
      <c r="MQ694" s="87"/>
      <c r="MR694" s="87"/>
      <c r="MS694" s="87" t="s">
        <v>1987</v>
      </c>
      <c r="MT694" s="87">
        <v>625</v>
      </c>
      <c r="MU694" s="87" t="s">
        <v>1988</v>
      </c>
      <c r="MV694" s="87"/>
      <c r="MW694" s="87" t="s">
        <v>1992</v>
      </c>
      <c r="MX694" s="87" t="s">
        <v>1993</v>
      </c>
      <c r="MY694" s="87" t="s">
        <v>1994</v>
      </c>
      <c r="MZ694" s="87" t="s">
        <v>1995</v>
      </c>
      <c r="NA694" s="87" t="s">
        <v>1996</v>
      </c>
      <c r="NB694" s="87"/>
      <c r="NC694" s="87"/>
      <c r="ND694" s="87"/>
      <c r="NE694" s="87" t="s">
        <v>2040</v>
      </c>
      <c r="NF694" s="87" t="s">
        <v>2041</v>
      </c>
      <c r="NG694" s="87" t="s">
        <v>2042</v>
      </c>
      <c r="NH694" s="87" t="s">
        <v>2043</v>
      </c>
      <c r="NI694" s="87"/>
      <c r="NJ694" s="87"/>
      <c r="NK694" s="87"/>
      <c r="NL694" s="87"/>
      <c r="NM694" s="87"/>
      <c r="NN694" s="87"/>
      <c r="NO694" s="87"/>
      <c r="NP694" s="87" t="s">
        <v>1997</v>
      </c>
      <c r="NQ694" s="87" t="s">
        <v>1998</v>
      </c>
      <c r="NR694" s="87">
        <v>0.99099999999999999</v>
      </c>
      <c r="NS694" s="87" t="s">
        <v>29</v>
      </c>
      <c r="NT694" s="87" t="s">
        <v>29</v>
      </c>
      <c r="NU694" s="87"/>
      <c r="NV694" s="87"/>
      <c r="NW694" s="87">
        <v>8</v>
      </c>
      <c r="NX694" s="87"/>
      <c r="NY694" s="87"/>
      <c r="NZ694" s="87"/>
      <c r="OA694" s="87"/>
      <c r="OB694" s="87"/>
      <c r="OC694" s="87"/>
      <c r="OD694" s="87"/>
      <c r="OE694" s="87"/>
      <c r="OF694" s="87"/>
      <c r="OG694" s="87"/>
      <c r="OH694" s="87" t="s">
        <v>1999</v>
      </c>
      <c r="OI694" s="149"/>
      <c r="OJ694" s="87"/>
      <c r="OK694" s="87">
        <v>2009</v>
      </c>
      <c r="OL694" s="87">
        <v>2010</v>
      </c>
      <c r="OM694" s="87"/>
      <c r="ON694" s="87"/>
      <c r="OO694" s="87" t="s">
        <v>2000</v>
      </c>
      <c r="OP694" s="145">
        <v>46133</v>
      </c>
      <c r="OQ694" s="87"/>
      <c r="OR694" s="87"/>
      <c r="OS694" s="87"/>
      <c r="OT694" s="87"/>
      <c r="OU694" s="143"/>
    </row>
    <row r="695" spans="1:411">
      <c r="A695" t="s">
        <v>36</v>
      </c>
      <c r="B695" t="s">
        <v>1975</v>
      </c>
      <c r="C695" t="s">
        <v>1976</v>
      </c>
      <c r="D695" t="s">
        <v>245</v>
      </c>
      <c r="E695" t="s">
        <v>1979</v>
      </c>
      <c r="F695" t="s">
        <v>1980</v>
      </c>
      <c r="G695" t="s">
        <v>2</v>
      </c>
      <c r="H695" t="s">
        <v>30</v>
      </c>
      <c r="I695">
        <v>-8.5169999999999995</v>
      </c>
      <c r="J695">
        <v>-74.766999999999996</v>
      </c>
      <c r="L695" t="s">
        <v>1976</v>
      </c>
      <c r="M695" t="s">
        <v>245</v>
      </c>
      <c r="N695" t="s">
        <v>2001</v>
      </c>
      <c r="O695" t="s">
        <v>1980</v>
      </c>
      <c r="P695" t="s">
        <v>2</v>
      </c>
      <c r="Q695" t="s">
        <v>30</v>
      </c>
      <c r="R695">
        <v>-8.3670000000000009</v>
      </c>
      <c r="S695">
        <v>-74.7</v>
      </c>
      <c r="AV695" t="s">
        <v>1981</v>
      </c>
      <c r="AW695">
        <v>625</v>
      </c>
      <c r="AX695" t="s">
        <v>29</v>
      </c>
      <c r="AY695">
        <v>2</v>
      </c>
      <c r="AZ695" t="s">
        <v>1982</v>
      </c>
      <c r="BA695">
        <v>2009</v>
      </c>
      <c r="BB695">
        <v>2010</v>
      </c>
      <c r="BC695" t="s">
        <v>1983</v>
      </c>
      <c r="BD695" t="s">
        <v>2009</v>
      </c>
      <c r="BE695" t="s">
        <v>2003</v>
      </c>
      <c r="BF695" t="s">
        <v>64</v>
      </c>
      <c r="BG695" t="s">
        <v>1243</v>
      </c>
      <c r="BH695" t="s">
        <v>2004</v>
      </c>
      <c r="BI695" t="s">
        <v>29</v>
      </c>
      <c r="BJ695" t="s">
        <v>29</v>
      </c>
      <c r="BK695" t="s">
        <v>29</v>
      </c>
      <c r="EE695" t="s">
        <v>2005</v>
      </c>
      <c r="EF695" t="s">
        <v>2006</v>
      </c>
      <c r="EG695">
        <v>0.24</v>
      </c>
      <c r="EH695" t="s">
        <v>2009</v>
      </c>
      <c r="EJ695" s="9"/>
      <c r="EK695" s="9"/>
      <c r="EL695" s="9"/>
      <c r="EM695" s="9"/>
      <c r="EN695" s="9"/>
      <c r="EO695" s="9"/>
      <c r="EP695" s="9"/>
      <c r="EQ695" s="9"/>
      <c r="ER695" s="9"/>
      <c r="ES695" s="9"/>
      <c r="ET695" s="9"/>
      <c r="EU695" s="9"/>
      <c r="EV695" s="9"/>
      <c r="EW695" s="9"/>
      <c r="EX695" s="9"/>
      <c r="EY695" s="9"/>
      <c r="EZ695" s="9"/>
      <c r="FA695" s="9"/>
      <c r="FB695" s="9"/>
      <c r="FC695" s="9"/>
      <c r="FD695" s="9"/>
      <c r="FE695" s="9"/>
      <c r="FF695" s="9"/>
      <c r="FG695" s="9"/>
      <c r="FH695" s="9"/>
      <c r="FI695" s="9"/>
      <c r="FJ695" s="9"/>
      <c r="FK695" s="9"/>
      <c r="FL695" s="9"/>
      <c r="FM695" s="9"/>
      <c r="FN695" s="9"/>
      <c r="FO695" s="9"/>
      <c r="FP695" s="9"/>
      <c r="FQ695" s="9"/>
      <c r="FR695" s="9"/>
      <c r="FS695" s="9"/>
      <c r="FT695" s="9"/>
      <c r="FU695" s="9"/>
      <c r="FV695" s="9"/>
      <c r="FW695" s="9"/>
      <c r="FX695" s="9"/>
      <c r="FY695" s="9"/>
      <c r="FZ695" s="9"/>
      <c r="GA695" s="9"/>
      <c r="GB695" s="9"/>
      <c r="GC695" s="9"/>
      <c r="GD695" s="9"/>
      <c r="GE695" s="9"/>
      <c r="GF695" s="9"/>
      <c r="GG695" s="9"/>
      <c r="GH695" s="9"/>
      <c r="GI695" s="9"/>
      <c r="GJ695" s="9"/>
      <c r="GK695" s="9"/>
      <c r="GL695" s="9"/>
      <c r="GM695" s="9"/>
      <c r="GN695" s="9"/>
      <c r="GO695" s="9"/>
      <c r="GP695" s="9"/>
      <c r="GQ695" s="9"/>
      <c r="GR695" s="9"/>
      <c r="GS695" s="9"/>
      <c r="GT695" s="9"/>
      <c r="GU695" s="9"/>
      <c r="GV695" s="9"/>
      <c r="GW695" s="9"/>
      <c r="GX695" s="9"/>
      <c r="GY695" s="9"/>
      <c r="GZ695" s="9"/>
      <c r="HA695" s="9"/>
      <c r="HB695" s="9"/>
      <c r="HC695" s="9"/>
      <c r="HD695" s="9"/>
      <c r="HE695" s="9"/>
      <c r="HF695" s="9"/>
      <c r="HG695" s="9"/>
      <c r="HH695" s="9"/>
      <c r="HI695" s="9"/>
      <c r="HJ695" s="9"/>
      <c r="HK695" s="9"/>
      <c r="HL695" s="9" t="s">
        <v>2007</v>
      </c>
      <c r="HM695" s="9" t="s">
        <v>232</v>
      </c>
      <c r="HY695" s="58"/>
      <c r="IU695" t="s">
        <v>2008</v>
      </c>
      <c r="IV695" t="s">
        <v>2009</v>
      </c>
      <c r="IW695" t="s">
        <v>2010</v>
      </c>
      <c r="IY695">
        <v>6</v>
      </c>
      <c r="IZ695">
        <v>77.5</v>
      </c>
      <c r="JA695">
        <v>75</v>
      </c>
      <c r="JB695">
        <v>80</v>
      </c>
      <c r="JC695">
        <v>7.5</v>
      </c>
      <c r="JD695">
        <v>6</v>
      </c>
      <c r="JE695">
        <v>9</v>
      </c>
      <c r="JO695" s="9"/>
      <c r="JY695" s="9"/>
      <c r="KQ695" s="9"/>
      <c r="KR695" s="9"/>
      <c r="KS695" s="9"/>
      <c r="KT695" s="9"/>
      <c r="MS695" t="s">
        <v>1987</v>
      </c>
      <c r="MT695">
        <v>625</v>
      </c>
      <c r="MU695" t="s">
        <v>1988</v>
      </c>
      <c r="MW695" t="s">
        <v>1992</v>
      </c>
      <c r="MX695" t="s">
        <v>1993</v>
      </c>
      <c r="MY695" t="s">
        <v>1994</v>
      </c>
      <c r="MZ695" t="s">
        <v>1995</v>
      </c>
      <c r="NA695" t="s">
        <v>1996</v>
      </c>
      <c r="NE695" t="s">
        <v>2040</v>
      </c>
      <c r="NF695" t="s">
        <v>2041</v>
      </c>
      <c r="NG695" t="s">
        <v>2042</v>
      </c>
      <c r="NH695" t="s">
        <v>2043</v>
      </c>
      <c r="NP695" t="s">
        <v>2011</v>
      </c>
      <c r="NQ695" t="s">
        <v>1998</v>
      </c>
      <c r="NR695">
        <v>0.98699999999999999</v>
      </c>
      <c r="NS695" t="s">
        <v>29</v>
      </c>
      <c r="NT695" t="s">
        <v>29</v>
      </c>
      <c r="NW695">
        <v>31</v>
      </c>
      <c r="OH695" t="s">
        <v>1999</v>
      </c>
      <c r="OI695" s="19"/>
      <c r="OK695">
        <v>2009</v>
      </c>
      <c r="OL695">
        <v>2010</v>
      </c>
      <c r="OO695" t="s">
        <v>2000</v>
      </c>
      <c r="OP695" s="58">
        <v>46133</v>
      </c>
    </row>
    <row r="696" spans="1:411">
      <c r="A696" s="87" t="s">
        <v>36</v>
      </c>
      <c r="B696" s="87" t="s">
        <v>1975</v>
      </c>
      <c r="C696" s="87" t="s">
        <v>1976</v>
      </c>
      <c r="D696" s="87" t="s">
        <v>245</v>
      </c>
      <c r="E696" s="87" t="s">
        <v>2012</v>
      </c>
      <c r="F696" s="87" t="s">
        <v>1980</v>
      </c>
      <c r="G696" s="87" t="s">
        <v>2</v>
      </c>
      <c r="H696" s="87" t="s">
        <v>30</v>
      </c>
      <c r="I696" s="87">
        <v>-8.8170000000000002</v>
      </c>
      <c r="J696" s="87">
        <v>-75.2</v>
      </c>
      <c r="K696" s="87"/>
      <c r="L696" s="87" t="s">
        <v>1976</v>
      </c>
      <c r="M696" s="87" t="s">
        <v>245</v>
      </c>
      <c r="N696" s="87" t="s">
        <v>1979</v>
      </c>
      <c r="O696" s="87" t="s">
        <v>1980</v>
      </c>
      <c r="P696" s="87" t="s">
        <v>2</v>
      </c>
      <c r="Q696" s="87" t="s">
        <v>30</v>
      </c>
      <c r="R696" s="87">
        <v>-8.5169999999999995</v>
      </c>
      <c r="S696" s="87">
        <v>-74.766999999999996</v>
      </c>
      <c r="T696" s="87"/>
      <c r="U696" s="87"/>
      <c r="V696" s="87"/>
      <c r="W696" s="87"/>
      <c r="X696" s="87"/>
      <c r="Y696" s="87"/>
      <c r="Z696" s="87"/>
      <c r="AA696" s="87"/>
      <c r="AB696" s="87"/>
      <c r="AC696" s="87"/>
      <c r="AD696" s="87"/>
      <c r="AE696" s="87"/>
      <c r="AF696" s="87"/>
      <c r="AG696" s="87"/>
      <c r="AH696" s="87"/>
      <c r="AI696" s="87"/>
      <c r="AJ696" s="87"/>
      <c r="AK696" s="87"/>
      <c r="AL696" s="87"/>
      <c r="AM696" s="87"/>
      <c r="AN696" s="87"/>
      <c r="AO696" s="87"/>
      <c r="AP696" s="87"/>
      <c r="AQ696" s="87"/>
      <c r="AR696" s="87"/>
      <c r="AS696" s="87"/>
      <c r="AT696" s="87"/>
      <c r="AU696" s="87"/>
      <c r="AV696" s="87" t="s">
        <v>1981</v>
      </c>
      <c r="AW696" s="87">
        <v>625</v>
      </c>
      <c r="AX696" s="87" t="s">
        <v>29</v>
      </c>
      <c r="AY696" s="87">
        <v>2</v>
      </c>
      <c r="AZ696" s="87" t="s">
        <v>1982</v>
      </c>
      <c r="BA696" s="87">
        <v>2009</v>
      </c>
      <c r="BB696" s="87">
        <v>2010</v>
      </c>
      <c r="BC696" s="87" t="s">
        <v>1983</v>
      </c>
      <c r="BD696" s="87" t="s">
        <v>2002</v>
      </c>
      <c r="BE696" s="87" t="s">
        <v>2013</v>
      </c>
      <c r="BF696" s="87" t="s">
        <v>57</v>
      </c>
      <c r="BG696" s="87" t="s">
        <v>1243</v>
      </c>
      <c r="BH696" s="87" t="s">
        <v>2014</v>
      </c>
      <c r="BI696" s="87" t="s">
        <v>29</v>
      </c>
      <c r="BJ696" s="87" t="s">
        <v>29</v>
      </c>
      <c r="BK696" s="87" t="s">
        <v>29</v>
      </c>
      <c r="BL696" s="87"/>
      <c r="BM696" s="87"/>
      <c r="BN696" s="87"/>
      <c r="BO696" s="87"/>
      <c r="BP696" s="87"/>
      <c r="BQ696" s="87"/>
      <c r="BR696" s="87"/>
      <c r="BS696" s="87"/>
      <c r="BT696" s="87"/>
      <c r="BU696" s="87"/>
      <c r="BV696" s="87"/>
      <c r="BW696" s="87"/>
      <c r="BX696" s="87"/>
      <c r="BY696" s="87"/>
      <c r="BZ696" s="87"/>
      <c r="CA696" s="87"/>
      <c r="CB696" s="87"/>
      <c r="CC696" s="87"/>
      <c r="CD696" s="87"/>
      <c r="CE696" s="87"/>
      <c r="CF696" s="87"/>
      <c r="CG696" s="87"/>
      <c r="CH696" s="87"/>
      <c r="CI696" s="87"/>
      <c r="CJ696" s="87"/>
      <c r="CK696" s="87"/>
      <c r="CL696" s="87"/>
      <c r="CM696" s="87"/>
      <c r="CN696" s="87"/>
      <c r="CO696" s="87"/>
      <c r="CP696" s="87"/>
      <c r="CQ696" s="87"/>
      <c r="CR696" s="87"/>
      <c r="CS696" s="87"/>
      <c r="CT696" s="87"/>
      <c r="CU696" s="87"/>
      <c r="CV696" s="87"/>
      <c r="CW696" s="87"/>
      <c r="CX696" s="87"/>
      <c r="CY696" s="87"/>
      <c r="CZ696" s="87"/>
      <c r="DA696" s="87"/>
      <c r="DB696" s="87"/>
      <c r="DC696" s="87"/>
      <c r="DD696" s="87"/>
      <c r="DE696" s="87"/>
      <c r="DF696" s="87"/>
      <c r="DG696" s="87"/>
      <c r="DH696" s="87"/>
      <c r="DI696" s="87"/>
      <c r="DJ696" s="87"/>
      <c r="DK696" s="87"/>
      <c r="DL696" s="87"/>
      <c r="DM696" s="87"/>
      <c r="DN696" s="87"/>
      <c r="DO696" s="87"/>
      <c r="DP696" s="87"/>
      <c r="DQ696" s="87"/>
      <c r="DR696" s="87"/>
      <c r="DS696" s="87"/>
      <c r="DT696" s="87"/>
      <c r="DU696" s="87"/>
      <c r="DV696" s="87"/>
      <c r="DW696" s="87"/>
      <c r="DX696" s="87"/>
      <c r="DY696" s="87"/>
      <c r="DZ696" s="87"/>
      <c r="EA696" s="87"/>
      <c r="EB696" s="87"/>
      <c r="EC696" s="87"/>
      <c r="ED696" s="87"/>
      <c r="EE696" s="87" t="s">
        <v>2015</v>
      </c>
      <c r="EF696" s="87" t="s">
        <v>2006</v>
      </c>
      <c r="EG696" s="87">
        <v>0.24</v>
      </c>
      <c r="EH696" s="87" t="s">
        <v>2056</v>
      </c>
      <c r="EI696" s="87" t="s">
        <v>2016</v>
      </c>
      <c r="EJ696" s="144" t="s">
        <v>2006</v>
      </c>
      <c r="EK696" s="144">
        <v>0.24</v>
      </c>
      <c r="EL696" s="144"/>
      <c r="EM696" s="144" t="s">
        <v>2017</v>
      </c>
      <c r="EN696" s="144" t="s">
        <v>2006</v>
      </c>
      <c r="EO696" s="144" t="s">
        <v>29</v>
      </c>
      <c r="EP696" s="144"/>
      <c r="EQ696" s="144" t="s">
        <v>2018</v>
      </c>
      <c r="ER696" s="144" t="s">
        <v>2006</v>
      </c>
      <c r="ES696" s="144" t="s">
        <v>29</v>
      </c>
      <c r="ET696" s="144"/>
      <c r="EU696" s="144" t="s">
        <v>2019</v>
      </c>
      <c r="EV696" s="144" t="s">
        <v>2006</v>
      </c>
      <c r="EW696" s="144" t="s">
        <v>29</v>
      </c>
      <c r="EX696" s="144"/>
      <c r="EY696" s="144"/>
      <c r="EZ696" s="144"/>
      <c r="FA696" s="144"/>
      <c r="FB696" s="144"/>
      <c r="FC696" s="144"/>
      <c r="FD696" s="144"/>
      <c r="FE696" s="144"/>
      <c r="FF696" s="144"/>
      <c r="FG696" s="144"/>
      <c r="FH696" s="144"/>
      <c r="FI696" s="144"/>
      <c r="FJ696" s="144"/>
      <c r="FK696" s="144"/>
      <c r="FL696" s="144"/>
      <c r="FM696" s="144"/>
      <c r="FN696" s="144"/>
      <c r="FO696" s="144"/>
      <c r="FP696" s="144"/>
      <c r="FQ696" s="144"/>
      <c r="FR696" s="144"/>
      <c r="FS696" s="144"/>
      <c r="FT696" s="144"/>
      <c r="FU696" s="144"/>
      <c r="FV696" s="144"/>
      <c r="FW696" s="144"/>
      <c r="FX696" s="144"/>
      <c r="FY696" s="144"/>
      <c r="FZ696" s="144"/>
      <c r="GA696" s="144"/>
      <c r="GB696" s="144"/>
      <c r="GC696" s="144"/>
      <c r="GD696" s="144"/>
      <c r="GE696" s="144"/>
      <c r="GF696" s="144"/>
      <c r="GG696" s="144"/>
      <c r="GH696" s="144"/>
      <c r="GI696" s="144"/>
      <c r="GJ696" s="144"/>
      <c r="GK696" s="144"/>
      <c r="GL696" s="144"/>
      <c r="GM696" s="144"/>
      <c r="GN696" s="144"/>
      <c r="GO696" s="144"/>
      <c r="GP696" s="144"/>
      <c r="GQ696" s="144"/>
      <c r="GR696" s="144"/>
      <c r="GS696" s="144"/>
      <c r="GT696" s="144"/>
      <c r="GU696" s="144"/>
      <c r="GV696" s="144"/>
      <c r="GW696" s="144"/>
      <c r="GX696" s="144"/>
      <c r="GY696" s="144"/>
      <c r="GZ696" s="144"/>
      <c r="HA696" s="144"/>
      <c r="HB696" s="144"/>
      <c r="HC696" s="144"/>
      <c r="HD696" s="144"/>
      <c r="HE696" s="144"/>
      <c r="HF696" s="144"/>
      <c r="HG696" s="144"/>
      <c r="HH696" s="144"/>
      <c r="HI696" s="144"/>
      <c r="HJ696" s="144"/>
      <c r="HK696" s="144"/>
      <c r="HL696" s="144" t="s">
        <v>2007</v>
      </c>
      <c r="HM696" s="144" t="s">
        <v>232</v>
      </c>
      <c r="HN696" s="87"/>
      <c r="HO696" s="87"/>
      <c r="HP696" s="87"/>
      <c r="HQ696" s="87"/>
      <c r="HR696" s="87"/>
      <c r="HS696" s="87"/>
      <c r="HT696" s="87"/>
      <c r="HU696" s="87"/>
      <c r="HV696" s="87"/>
      <c r="HW696" s="87"/>
      <c r="HX696" s="87"/>
      <c r="HY696" s="145"/>
      <c r="HZ696" s="87"/>
      <c r="IA696" s="87"/>
      <c r="IB696" s="87"/>
      <c r="IC696" s="87"/>
      <c r="ID696" s="87"/>
      <c r="IE696" s="87"/>
      <c r="IF696" s="87"/>
      <c r="IG696" s="87"/>
      <c r="IH696" s="87"/>
      <c r="II696" s="87"/>
      <c r="IJ696" s="87"/>
      <c r="IK696" s="87"/>
      <c r="IL696" s="87"/>
      <c r="IM696" s="87"/>
      <c r="IN696" s="87"/>
      <c r="IO696" s="87"/>
      <c r="IP696" s="87"/>
      <c r="IQ696" s="87"/>
      <c r="IR696" s="87"/>
      <c r="IS696" s="87"/>
      <c r="IT696" s="87"/>
      <c r="IU696" s="87" t="s">
        <v>2020</v>
      </c>
      <c r="IV696" s="87" t="s">
        <v>2009</v>
      </c>
      <c r="IW696" s="87" t="s">
        <v>2021</v>
      </c>
      <c r="IX696" s="87"/>
      <c r="IY696" s="87"/>
      <c r="IZ696" s="87">
        <v>50</v>
      </c>
      <c r="JA696" s="87"/>
      <c r="JB696" s="87"/>
      <c r="JC696" s="87">
        <v>12</v>
      </c>
      <c r="JD696" s="87"/>
      <c r="JE696" s="87"/>
      <c r="JF696" s="87"/>
      <c r="JG696" s="87"/>
      <c r="JH696" s="87"/>
      <c r="JI696" s="87"/>
      <c r="JJ696" s="87"/>
      <c r="JK696" s="87"/>
      <c r="JL696" s="87"/>
      <c r="JM696" s="87"/>
      <c r="JN696" s="87"/>
      <c r="JO696" s="151"/>
      <c r="JP696" s="87"/>
      <c r="JQ696" s="87"/>
      <c r="JR696" s="87"/>
      <c r="JS696" s="87"/>
      <c r="JT696" s="87"/>
      <c r="JU696" s="87"/>
      <c r="JV696" s="87"/>
      <c r="JW696" s="87"/>
      <c r="JX696" s="87"/>
      <c r="JY696" s="151"/>
      <c r="JZ696" s="87"/>
      <c r="KA696" s="87"/>
      <c r="KB696" s="87"/>
      <c r="KC696" s="87"/>
      <c r="KD696" s="87"/>
      <c r="KE696" s="87"/>
      <c r="KF696" s="87"/>
      <c r="KG696" s="87"/>
      <c r="KH696" s="87"/>
      <c r="KI696" s="87"/>
      <c r="KJ696" s="87"/>
      <c r="KK696" s="87"/>
      <c r="KL696" s="87"/>
      <c r="KM696" s="87"/>
      <c r="KN696" s="87"/>
      <c r="KO696" s="87"/>
      <c r="KP696" s="87"/>
      <c r="KQ696" s="151"/>
      <c r="KR696" s="151"/>
      <c r="KS696" s="151"/>
      <c r="KT696" s="151"/>
      <c r="KU696" s="87"/>
      <c r="KV696" s="87"/>
      <c r="KW696" s="87"/>
      <c r="KX696" s="87"/>
      <c r="KY696" s="87"/>
      <c r="KZ696" s="87"/>
      <c r="LA696" s="87"/>
      <c r="LB696" s="87"/>
      <c r="LC696" s="87"/>
      <c r="LD696" s="87"/>
      <c r="LE696" s="87"/>
      <c r="LF696" s="87"/>
      <c r="LG696" s="87"/>
      <c r="LH696" s="87"/>
      <c r="LI696" s="87"/>
      <c r="LJ696" s="87"/>
      <c r="LK696" s="87"/>
      <c r="LL696" s="87"/>
      <c r="LM696" s="87"/>
      <c r="LN696" s="87"/>
      <c r="LO696" s="87"/>
      <c r="LP696" s="87"/>
      <c r="LQ696" s="87"/>
      <c r="LR696" s="87"/>
      <c r="LS696" s="87"/>
      <c r="LT696" s="87"/>
      <c r="LU696" s="87"/>
      <c r="LV696" s="87"/>
      <c r="LW696" s="87"/>
      <c r="LX696" s="87"/>
      <c r="LY696" s="87"/>
      <c r="LZ696" s="87"/>
      <c r="MA696" s="87"/>
      <c r="MB696" s="87"/>
      <c r="MC696" s="87"/>
      <c r="MD696" s="87"/>
      <c r="ME696" s="87"/>
      <c r="MF696" s="87"/>
      <c r="MG696" s="87"/>
      <c r="MH696" s="87"/>
      <c r="MI696" s="87"/>
      <c r="MJ696" s="87"/>
      <c r="MK696" s="87"/>
      <c r="ML696" s="87"/>
      <c r="MM696" s="87"/>
      <c r="MN696" s="87"/>
      <c r="MO696" s="87"/>
      <c r="MP696" s="87"/>
      <c r="MQ696" s="87"/>
      <c r="MR696" s="87"/>
      <c r="MS696" s="87" t="s">
        <v>1987</v>
      </c>
      <c r="MT696" s="87">
        <v>625</v>
      </c>
      <c r="MU696" s="87" t="s">
        <v>1988</v>
      </c>
      <c r="MV696" s="87"/>
      <c r="MW696" s="87" t="s">
        <v>1992</v>
      </c>
      <c r="MX696" s="87" t="s">
        <v>1993</v>
      </c>
      <c r="MY696" s="87" t="s">
        <v>1994</v>
      </c>
      <c r="MZ696" s="87" t="s">
        <v>1995</v>
      </c>
      <c r="NA696" s="87" t="s">
        <v>1996</v>
      </c>
      <c r="NB696" s="87"/>
      <c r="NC696" s="87"/>
      <c r="ND696" s="87"/>
      <c r="NE696" s="87" t="s">
        <v>2040</v>
      </c>
      <c r="NF696" s="87" t="s">
        <v>2041</v>
      </c>
      <c r="NG696" s="87" t="s">
        <v>2042</v>
      </c>
      <c r="NH696" s="87" t="s">
        <v>2043</v>
      </c>
      <c r="NI696" s="87"/>
      <c r="NJ696" s="87"/>
      <c r="NK696" s="87"/>
      <c r="NL696" s="87"/>
      <c r="NM696" s="87"/>
      <c r="NN696" s="87"/>
      <c r="NO696" s="87"/>
      <c r="NP696" s="87" t="s">
        <v>2022</v>
      </c>
      <c r="NQ696" s="87" t="s">
        <v>1998</v>
      </c>
      <c r="NR696" s="87">
        <v>0.95</v>
      </c>
      <c r="NS696" s="87" t="s">
        <v>29</v>
      </c>
      <c r="NT696" s="87" t="s">
        <v>29</v>
      </c>
      <c r="NU696" s="87"/>
      <c r="NV696" s="87"/>
      <c r="NW696" s="87">
        <v>32</v>
      </c>
      <c r="NX696" s="87"/>
      <c r="NY696" s="87"/>
      <c r="NZ696" s="87"/>
      <c r="OA696" s="87"/>
      <c r="OB696" s="87"/>
      <c r="OC696" s="87"/>
      <c r="OD696" s="87"/>
      <c r="OE696" s="87"/>
      <c r="OF696" s="87"/>
      <c r="OG696" s="87"/>
      <c r="OH696" s="87" t="s">
        <v>1999</v>
      </c>
      <c r="OI696" s="149"/>
      <c r="OJ696" s="87"/>
      <c r="OK696" s="87">
        <v>2009</v>
      </c>
      <c r="OL696" s="87">
        <v>2010</v>
      </c>
      <c r="OM696" s="87"/>
      <c r="ON696" s="87"/>
      <c r="OO696" s="87" t="s">
        <v>2000</v>
      </c>
      <c r="OP696" s="145">
        <v>46133</v>
      </c>
      <c r="OQ696" s="87"/>
      <c r="OR696" s="87"/>
      <c r="OS696" s="87"/>
      <c r="OT696" s="87"/>
      <c r="OU696" s="143"/>
    </row>
    <row r="697" spans="1:411">
      <c r="A697" t="s">
        <v>36</v>
      </c>
      <c r="B697" t="s">
        <v>1975</v>
      </c>
      <c r="C697" t="s">
        <v>1976</v>
      </c>
      <c r="D697" t="s">
        <v>245</v>
      </c>
      <c r="E697" t="s">
        <v>2012</v>
      </c>
      <c r="F697" t="s">
        <v>1980</v>
      </c>
      <c r="G697" t="s">
        <v>2</v>
      </c>
      <c r="H697" t="s">
        <v>30</v>
      </c>
      <c r="I697">
        <v>-8.8170000000000002</v>
      </c>
      <c r="J697">
        <v>-75.2</v>
      </c>
      <c r="L697" t="s">
        <v>1976</v>
      </c>
      <c r="M697" t="s">
        <v>245</v>
      </c>
      <c r="N697" t="s">
        <v>1979</v>
      </c>
      <c r="O697" t="s">
        <v>1980</v>
      </c>
      <c r="P697" t="s">
        <v>2</v>
      </c>
      <c r="Q697" t="s">
        <v>30</v>
      </c>
      <c r="R697">
        <v>-8.5169999999999995</v>
      </c>
      <c r="S697">
        <v>-74.766999999999996</v>
      </c>
      <c r="U697" t="s">
        <v>1976</v>
      </c>
      <c r="V697" t="s">
        <v>245</v>
      </c>
      <c r="W697" t="s">
        <v>2001</v>
      </c>
      <c r="X697" t="s">
        <v>1980</v>
      </c>
      <c r="Y697" t="s">
        <v>2</v>
      </c>
      <c r="Z697" t="s">
        <v>30</v>
      </c>
      <c r="AA697">
        <v>-8.3670000000000009</v>
      </c>
      <c r="AB697">
        <v>-74.7</v>
      </c>
      <c r="AV697" t="s">
        <v>1981</v>
      </c>
      <c r="AW697">
        <v>625</v>
      </c>
      <c r="AX697" t="s">
        <v>29</v>
      </c>
      <c r="AY697">
        <v>2</v>
      </c>
      <c r="AZ697" t="s">
        <v>1982</v>
      </c>
      <c r="BA697">
        <v>2009</v>
      </c>
      <c r="BB697">
        <v>2010</v>
      </c>
      <c r="BC697" t="s">
        <v>1983</v>
      </c>
      <c r="BD697" t="s">
        <v>19</v>
      </c>
      <c r="BE697" t="s">
        <v>2023</v>
      </c>
      <c r="BF697" t="s">
        <v>24</v>
      </c>
      <c r="BG697" t="s">
        <v>1243</v>
      </c>
      <c r="BH697" t="s">
        <v>2024</v>
      </c>
      <c r="BI697" t="s">
        <v>29</v>
      </c>
      <c r="BJ697" t="s">
        <v>29</v>
      </c>
      <c r="BK697" t="s">
        <v>29</v>
      </c>
      <c r="EJ697" s="9"/>
      <c r="EK697" s="9"/>
      <c r="EL697" s="9"/>
      <c r="EM697" s="9"/>
      <c r="EN697" s="9"/>
      <c r="EO697" s="9"/>
      <c r="EP697" s="9"/>
      <c r="EQ697" s="9"/>
      <c r="ER697" s="9"/>
      <c r="ES697" s="9"/>
      <c r="ET697" s="9"/>
      <c r="EU697" s="9"/>
      <c r="EV697" s="9"/>
      <c r="EW697" s="9"/>
      <c r="EX697" s="9"/>
      <c r="EY697" s="9"/>
      <c r="EZ697" s="9"/>
      <c r="FA697" s="9"/>
      <c r="FB697" s="9"/>
      <c r="FC697" s="9"/>
      <c r="FD697" s="9"/>
      <c r="FE697" s="9"/>
      <c r="FF697" s="9"/>
      <c r="FG697" s="9"/>
      <c r="FH697" s="9"/>
      <c r="FI697" s="9"/>
      <c r="FJ697" s="9"/>
      <c r="FK697" s="9"/>
      <c r="FL697" s="9"/>
      <c r="FM697" s="9"/>
      <c r="FN697" s="9"/>
      <c r="FO697" s="9"/>
      <c r="FP697" s="9"/>
      <c r="FQ697" s="9"/>
      <c r="FR697" s="9"/>
      <c r="FS697" s="9"/>
      <c r="FT697" s="9"/>
      <c r="FU697" s="9"/>
      <c r="FV697" s="9"/>
      <c r="FW697" s="9"/>
      <c r="FX697" s="9"/>
      <c r="FY697" s="9"/>
      <c r="FZ697" s="9"/>
      <c r="GA697" s="9"/>
      <c r="GB697" s="9"/>
      <c r="GC697" s="9"/>
      <c r="GD697" s="9"/>
      <c r="GE697" s="9"/>
      <c r="GF697" s="9"/>
      <c r="GG697" s="9"/>
      <c r="GH697" s="9"/>
      <c r="GI697" s="9"/>
      <c r="GJ697" s="9"/>
      <c r="GK697" s="9"/>
      <c r="GL697" s="9"/>
      <c r="GM697" s="9"/>
      <c r="GN697" s="9"/>
      <c r="GO697" s="9"/>
      <c r="GP697" s="9"/>
      <c r="GQ697" s="9"/>
      <c r="GR697" s="9"/>
      <c r="GS697" s="9"/>
      <c r="GT697" s="9"/>
      <c r="GU697" s="9"/>
      <c r="GV697" s="9"/>
      <c r="GW697" s="9"/>
      <c r="GX697" s="9"/>
      <c r="GY697" s="9"/>
      <c r="GZ697" s="9"/>
      <c r="HA697" s="9"/>
      <c r="HB697" s="9"/>
      <c r="HC697" s="9"/>
      <c r="HD697" s="9"/>
      <c r="HE697" s="9"/>
      <c r="HF697" s="9"/>
      <c r="HG697" s="9"/>
      <c r="HH697" s="9"/>
      <c r="HI697" s="9"/>
      <c r="HJ697" s="9"/>
      <c r="HK697" s="9"/>
      <c r="HL697" s="9" t="s">
        <v>2025</v>
      </c>
      <c r="HM697" s="9" t="s">
        <v>297</v>
      </c>
      <c r="HN697" t="s">
        <v>12</v>
      </c>
      <c r="HY697" s="58"/>
      <c r="JO697" s="9"/>
      <c r="JY697" s="9"/>
      <c r="KQ697" s="9"/>
      <c r="KR697" s="9"/>
      <c r="KS697" s="9"/>
      <c r="KT697" s="9"/>
      <c r="MS697" t="s">
        <v>1987</v>
      </c>
      <c r="MT697">
        <v>625</v>
      </c>
      <c r="MU697" t="s">
        <v>1988</v>
      </c>
      <c r="MW697" t="s">
        <v>1992</v>
      </c>
      <c r="MX697" t="s">
        <v>1993</v>
      </c>
      <c r="MY697" t="s">
        <v>1994</v>
      </c>
      <c r="MZ697" t="s">
        <v>1995</v>
      </c>
      <c r="NA697" t="s">
        <v>1996</v>
      </c>
      <c r="NE697" t="s">
        <v>2040</v>
      </c>
      <c r="NF697" t="s">
        <v>2041</v>
      </c>
      <c r="NG697" t="s">
        <v>2042</v>
      </c>
      <c r="NH697" t="s">
        <v>2043</v>
      </c>
      <c r="NP697" t="s">
        <v>2026</v>
      </c>
      <c r="NQ697" t="s">
        <v>1998</v>
      </c>
      <c r="NR697">
        <v>0.97299999999999998</v>
      </c>
      <c r="NS697" t="s">
        <v>29</v>
      </c>
      <c r="NT697" t="s">
        <v>29</v>
      </c>
      <c r="NW697">
        <v>32</v>
      </c>
      <c r="OH697" t="s">
        <v>1999</v>
      </c>
      <c r="OI697" s="19"/>
      <c r="OK697">
        <v>2009</v>
      </c>
      <c r="OL697">
        <v>2010</v>
      </c>
      <c r="OO697" t="s">
        <v>2000</v>
      </c>
      <c r="OP697" s="58">
        <v>46133</v>
      </c>
    </row>
    <row r="698" spans="1:411">
      <c r="A698" s="87" t="s">
        <v>36</v>
      </c>
      <c r="B698" s="87" t="s">
        <v>1975</v>
      </c>
      <c r="C698" s="87" t="s">
        <v>1976</v>
      </c>
      <c r="D698" s="87" t="s">
        <v>245</v>
      </c>
      <c r="E698" s="87" t="s">
        <v>2012</v>
      </c>
      <c r="F698" s="87" t="s">
        <v>1980</v>
      </c>
      <c r="G698" s="87" t="s">
        <v>2</v>
      </c>
      <c r="H698" s="87" t="s">
        <v>30</v>
      </c>
      <c r="I698" s="87">
        <v>-8.8170000000000002</v>
      </c>
      <c r="J698" s="87">
        <v>-75.2</v>
      </c>
      <c r="K698" s="87"/>
      <c r="L698" s="87" t="s">
        <v>1976</v>
      </c>
      <c r="M698" s="87" t="s">
        <v>245</v>
      </c>
      <c r="N698" s="87" t="s">
        <v>1979</v>
      </c>
      <c r="O698" s="87" t="s">
        <v>1980</v>
      </c>
      <c r="P698" s="87" t="s">
        <v>2</v>
      </c>
      <c r="Q698" s="87" t="s">
        <v>30</v>
      </c>
      <c r="R698" s="87">
        <v>-8.5169999999999995</v>
      </c>
      <c r="S698" s="87">
        <v>-74.766999999999996</v>
      </c>
      <c r="T698" s="87"/>
      <c r="U698" s="87" t="s">
        <v>1976</v>
      </c>
      <c r="V698" s="87" t="s">
        <v>245</v>
      </c>
      <c r="W698" s="87" t="s">
        <v>2001</v>
      </c>
      <c r="X698" s="87" t="s">
        <v>1980</v>
      </c>
      <c r="Y698" s="87" t="s">
        <v>2</v>
      </c>
      <c r="Z698" s="87" t="s">
        <v>30</v>
      </c>
      <c r="AA698" s="87">
        <v>-8.3670000000000009</v>
      </c>
      <c r="AB698" s="87">
        <v>-74.7</v>
      </c>
      <c r="AC698" s="87"/>
      <c r="AD698" s="87"/>
      <c r="AE698" s="87"/>
      <c r="AF698" s="87"/>
      <c r="AG698" s="87"/>
      <c r="AH698" s="87"/>
      <c r="AI698" s="87"/>
      <c r="AJ698" s="87"/>
      <c r="AK698" s="87"/>
      <c r="AL698" s="87"/>
      <c r="AM698" s="87"/>
      <c r="AN698" s="87"/>
      <c r="AO698" s="87"/>
      <c r="AP698" s="87"/>
      <c r="AQ698" s="87"/>
      <c r="AR698" s="87"/>
      <c r="AS698" s="87"/>
      <c r="AT698" s="87"/>
      <c r="AU698" s="87"/>
      <c r="AV698" s="87" t="s">
        <v>1981</v>
      </c>
      <c r="AW698" s="87">
        <v>625</v>
      </c>
      <c r="AX698" s="87" t="s">
        <v>29</v>
      </c>
      <c r="AY698" s="87">
        <v>2</v>
      </c>
      <c r="AZ698" s="87" t="s">
        <v>1982</v>
      </c>
      <c r="BA698" s="87">
        <v>2009</v>
      </c>
      <c r="BB698" s="87">
        <v>2010</v>
      </c>
      <c r="BC698" s="87" t="s">
        <v>1983</v>
      </c>
      <c r="BD698" s="87" t="s">
        <v>2055</v>
      </c>
      <c r="BE698" s="87" t="s">
        <v>2027</v>
      </c>
      <c r="BF698" s="87" t="s">
        <v>299</v>
      </c>
      <c r="BG698" s="87" t="s">
        <v>1798</v>
      </c>
      <c r="BH698" s="87" t="s">
        <v>2028</v>
      </c>
      <c r="BI698" s="87" t="s">
        <v>29</v>
      </c>
      <c r="BJ698" s="87" t="s">
        <v>29</v>
      </c>
      <c r="BK698" s="87" t="s">
        <v>29</v>
      </c>
      <c r="BL698" s="87"/>
      <c r="BM698" s="87"/>
      <c r="BN698" s="87"/>
      <c r="BO698" s="87"/>
      <c r="BP698" s="87"/>
      <c r="BQ698" s="87"/>
      <c r="BR698" s="87"/>
      <c r="BS698" s="87"/>
      <c r="BT698" s="87"/>
      <c r="BU698" s="87"/>
      <c r="BV698" s="87"/>
      <c r="BW698" s="87"/>
      <c r="BX698" s="87"/>
      <c r="BY698" s="87"/>
      <c r="BZ698" s="87"/>
      <c r="CA698" s="87"/>
      <c r="CB698" s="87"/>
      <c r="CC698" s="87"/>
      <c r="CD698" s="87"/>
      <c r="CE698" s="87"/>
      <c r="CF698" s="87"/>
      <c r="CG698" s="87"/>
      <c r="CH698" s="87"/>
      <c r="CI698" s="87"/>
      <c r="CJ698" s="87"/>
      <c r="CK698" s="87"/>
      <c r="CL698" s="87"/>
      <c r="CM698" s="87"/>
      <c r="CN698" s="87"/>
      <c r="CO698" s="87"/>
      <c r="CP698" s="87"/>
      <c r="CQ698" s="87"/>
      <c r="CR698" s="87"/>
      <c r="CS698" s="87"/>
      <c r="CT698" s="87"/>
      <c r="CU698" s="87"/>
      <c r="CV698" s="87"/>
      <c r="CW698" s="87"/>
      <c r="CX698" s="87"/>
      <c r="CY698" s="87"/>
      <c r="CZ698" s="87"/>
      <c r="DA698" s="87"/>
      <c r="DB698" s="87"/>
      <c r="DC698" s="87"/>
      <c r="DD698" s="87"/>
      <c r="DE698" s="87"/>
      <c r="DF698" s="87"/>
      <c r="DG698" s="87"/>
      <c r="DH698" s="87"/>
      <c r="DI698" s="87"/>
      <c r="DJ698" s="87"/>
      <c r="DK698" s="87"/>
      <c r="DL698" s="87"/>
      <c r="DM698" s="87"/>
      <c r="DN698" s="87"/>
      <c r="DO698" s="87"/>
      <c r="DP698" s="87"/>
      <c r="DQ698" s="87"/>
      <c r="DR698" s="87"/>
      <c r="DS698" s="87"/>
      <c r="DT698" s="87"/>
      <c r="DU698" s="87"/>
      <c r="DV698" s="87"/>
      <c r="DW698" s="87"/>
      <c r="DX698" s="87"/>
      <c r="DY698" s="87"/>
      <c r="DZ698" s="87"/>
      <c r="EA698" s="87"/>
      <c r="EB698" s="87"/>
      <c r="EC698" s="87"/>
      <c r="ED698" s="87"/>
      <c r="EE698" s="87"/>
      <c r="EF698" s="87"/>
      <c r="EG698" s="87"/>
      <c r="EH698" s="87"/>
      <c r="EI698" s="87"/>
      <c r="EJ698" s="144"/>
      <c r="EK698" s="144"/>
      <c r="EL698" s="144"/>
      <c r="EM698" s="144"/>
      <c r="EN698" s="144"/>
      <c r="EO698" s="144"/>
      <c r="EP698" s="144"/>
      <c r="EQ698" s="144"/>
      <c r="ER698" s="144"/>
      <c r="ES698" s="144"/>
      <c r="ET698" s="144"/>
      <c r="EU698" s="144"/>
      <c r="EV698" s="144"/>
      <c r="EW698" s="144"/>
      <c r="EX698" s="144"/>
      <c r="EY698" s="144"/>
      <c r="EZ698" s="144"/>
      <c r="FA698" s="144"/>
      <c r="FB698" s="144"/>
      <c r="FC698" s="144"/>
      <c r="FD698" s="144"/>
      <c r="FE698" s="144"/>
      <c r="FF698" s="144"/>
      <c r="FG698" s="144"/>
      <c r="FH698" s="144"/>
      <c r="FI698" s="144"/>
      <c r="FJ698" s="144"/>
      <c r="FK698" s="144"/>
      <c r="FL698" s="144"/>
      <c r="FM698" s="144"/>
      <c r="FN698" s="144"/>
      <c r="FO698" s="144"/>
      <c r="FP698" s="144"/>
      <c r="FQ698" s="144"/>
      <c r="FR698" s="144"/>
      <c r="FS698" s="144"/>
      <c r="FT698" s="144"/>
      <c r="FU698" s="144"/>
      <c r="FV698" s="144"/>
      <c r="FW698" s="144"/>
      <c r="FX698" s="144"/>
      <c r="FY698" s="144"/>
      <c r="FZ698" s="144"/>
      <c r="GA698" s="144"/>
      <c r="GB698" s="144"/>
      <c r="GC698" s="144"/>
      <c r="GD698" s="144"/>
      <c r="GE698" s="144"/>
      <c r="GF698" s="144"/>
      <c r="GG698" s="144"/>
      <c r="GH698" s="144"/>
      <c r="GI698" s="144"/>
      <c r="GJ698" s="144"/>
      <c r="GK698" s="144"/>
      <c r="GL698" s="144"/>
      <c r="GM698" s="144"/>
      <c r="GN698" s="144"/>
      <c r="GO698" s="144"/>
      <c r="GP698" s="144"/>
      <c r="GQ698" s="144"/>
      <c r="GR698" s="144"/>
      <c r="GS698" s="144"/>
      <c r="GT698" s="144"/>
      <c r="GU698" s="144"/>
      <c r="GV698" s="144"/>
      <c r="GW698" s="144"/>
      <c r="GX698" s="144"/>
      <c r="GY698" s="144"/>
      <c r="GZ698" s="144"/>
      <c r="HA698" s="144"/>
      <c r="HB698" s="144"/>
      <c r="HC698" s="144"/>
      <c r="HD698" s="144"/>
      <c r="HE698" s="144"/>
      <c r="HF698" s="144"/>
      <c r="HG698" s="144"/>
      <c r="HH698" s="144"/>
      <c r="HI698" s="144"/>
      <c r="HJ698" s="144"/>
      <c r="HK698" s="144"/>
      <c r="HL698" s="144" t="s">
        <v>2029</v>
      </c>
      <c r="HM698" s="144" t="s">
        <v>232</v>
      </c>
      <c r="HN698" s="87"/>
      <c r="HO698" s="87"/>
      <c r="HP698" s="87"/>
      <c r="HQ698" s="87"/>
      <c r="HR698" s="87"/>
      <c r="HS698" s="87"/>
      <c r="HT698" s="87"/>
      <c r="HU698" s="87"/>
      <c r="HV698" s="87"/>
      <c r="HW698" s="87"/>
      <c r="HX698" s="87"/>
      <c r="HY698" s="145"/>
      <c r="HZ698" s="87"/>
      <c r="IA698" s="87"/>
      <c r="IB698" s="87"/>
      <c r="IC698" s="87"/>
      <c r="ID698" s="87"/>
      <c r="IE698" s="87"/>
      <c r="IF698" s="87"/>
      <c r="IG698" s="87"/>
      <c r="IH698" s="87"/>
      <c r="II698" s="87"/>
      <c r="IJ698" s="87"/>
      <c r="IK698" s="87"/>
      <c r="IL698" s="87"/>
      <c r="IM698" s="87"/>
      <c r="IN698" s="87"/>
      <c r="IO698" s="87"/>
      <c r="IP698" s="87"/>
      <c r="IQ698" s="87"/>
      <c r="IR698" s="87"/>
      <c r="IS698" s="87"/>
      <c r="IT698" s="87"/>
      <c r="IU698" s="87"/>
      <c r="IV698" s="87"/>
      <c r="IW698" s="87"/>
      <c r="IX698" s="87"/>
      <c r="IY698" s="87"/>
      <c r="IZ698" s="87"/>
      <c r="JA698" s="87"/>
      <c r="JB698" s="87"/>
      <c r="JC698" s="87"/>
      <c r="JD698" s="87"/>
      <c r="JE698" s="87"/>
      <c r="JF698" s="87"/>
      <c r="JG698" s="87"/>
      <c r="JH698" s="87"/>
      <c r="JI698" s="87"/>
      <c r="JJ698" s="87"/>
      <c r="JK698" s="87"/>
      <c r="JL698" s="87"/>
      <c r="JM698" s="87"/>
      <c r="JN698" s="87"/>
      <c r="JO698" s="151"/>
      <c r="JP698" s="87"/>
      <c r="JQ698" s="87"/>
      <c r="JR698" s="87"/>
      <c r="JS698" s="87"/>
      <c r="JT698" s="87"/>
      <c r="JU698" s="87"/>
      <c r="JV698" s="87"/>
      <c r="JW698" s="87"/>
      <c r="JX698" s="87"/>
      <c r="JY698" s="151"/>
      <c r="JZ698" s="87"/>
      <c r="KA698" s="87"/>
      <c r="KB698" s="87"/>
      <c r="KC698" s="87"/>
      <c r="KD698" s="87"/>
      <c r="KE698" s="87"/>
      <c r="KF698" s="87"/>
      <c r="KG698" s="87"/>
      <c r="KH698" s="87"/>
      <c r="KI698" s="87"/>
      <c r="KJ698" s="87"/>
      <c r="KK698" s="87"/>
      <c r="KL698" s="87"/>
      <c r="KM698" s="87"/>
      <c r="KN698" s="87"/>
      <c r="KO698" s="87"/>
      <c r="KP698" s="87"/>
      <c r="KQ698" s="151"/>
      <c r="KR698" s="151"/>
      <c r="KS698" s="151"/>
      <c r="KT698" s="151"/>
      <c r="KU698" s="87"/>
      <c r="KV698" s="87"/>
      <c r="KW698" s="87"/>
      <c r="KX698" s="87"/>
      <c r="KY698" s="87"/>
      <c r="KZ698" s="87"/>
      <c r="LA698" s="87"/>
      <c r="LB698" s="87"/>
      <c r="LC698" s="87"/>
      <c r="LD698" s="87"/>
      <c r="LE698" s="87"/>
      <c r="LF698" s="87"/>
      <c r="LG698" s="87"/>
      <c r="LH698" s="87"/>
      <c r="LI698" s="87"/>
      <c r="LJ698" s="87"/>
      <c r="LK698" s="87"/>
      <c r="LL698" s="87"/>
      <c r="LM698" s="87"/>
      <c r="LN698" s="87"/>
      <c r="LO698" s="87"/>
      <c r="LP698" s="87"/>
      <c r="LQ698" s="87"/>
      <c r="LR698" s="87"/>
      <c r="LS698" s="87"/>
      <c r="LT698" s="87"/>
      <c r="LU698" s="87"/>
      <c r="LV698" s="87"/>
      <c r="LW698" s="87"/>
      <c r="LX698" s="87"/>
      <c r="LY698" s="87"/>
      <c r="LZ698" s="87"/>
      <c r="MA698" s="87"/>
      <c r="MB698" s="87"/>
      <c r="MC698" s="87"/>
      <c r="MD698" s="87"/>
      <c r="ME698" s="87"/>
      <c r="MF698" s="87"/>
      <c r="MG698" s="87"/>
      <c r="MH698" s="87"/>
      <c r="MI698" s="87"/>
      <c r="MJ698" s="87"/>
      <c r="MK698" s="87"/>
      <c r="ML698" s="87"/>
      <c r="MM698" s="87"/>
      <c r="MN698" s="87"/>
      <c r="MO698" s="87"/>
      <c r="MP698" s="87"/>
      <c r="MQ698" s="87"/>
      <c r="MR698" s="87"/>
      <c r="MS698" s="87" t="s">
        <v>1987</v>
      </c>
      <c r="MT698" s="87">
        <v>625</v>
      </c>
      <c r="MU698" s="87" t="s">
        <v>1988</v>
      </c>
      <c r="MV698" s="87"/>
      <c r="MW698" s="87" t="s">
        <v>1992</v>
      </c>
      <c r="MX698" s="87" t="s">
        <v>1993</v>
      </c>
      <c r="MY698" s="87" t="s">
        <v>1994</v>
      </c>
      <c r="MZ698" s="87" t="s">
        <v>1995</v>
      </c>
      <c r="NA698" s="87" t="s">
        <v>1996</v>
      </c>
      <c r="NB698" s="87"/>
      <c r="NC698" s="87"/>
      <c r="ND698" s="87"/>
      <c r="NE698" s="87" t="s">
        <v>2040</v>
      </c>
      <c r="NF698" s="87" t="s">
        <v>2041</v>
      </c>
      <c r="NG698" s="87" t="s">
        <v>2042</v>
      </c>
      <c r="NH698" s="87" t="s">
        <v>2043</v>
      </c>
      <c r="NI698" s="87"/>
      <c r="NJ698" s="87"/>
      <c r="NK698" s="87"/>
      <c r="NL698" s="87"/>
      <c r="NM698" s="87"/>
      <c r="NN698" s="87"/>
      <c r="NO698" s="87"/>
      <c r="NP698" s="87" t="s">
        <v>2030</v>
      </c>
      <c r="NQ698" s="87" t="s">
        <v>1998</v>
      </c>
      <c r="NR698" s="87">
        <v>0.96899999999999997</v>
      </c>
      <c r="NS698" s="87" t="s">
        <v>29</v>
      </c>
      <c r="NT698" s="87" t="s">
        <v>29</v>
      </c>
      <c r="NU698" s="87"/>
      <c r="NV698" s="87"/>
      <c r="NW698" s="87">
        <v>32</v>
      </c>
      <c r="NX698" s="87"/>
      <c r="NY698" s="87"/>
      <c r="NZ698" s="87"/>
      <c r="OA698" s="87"/>
      <c r="OB698" s="87"/>
      <c r="OC698" s="87"/>
      <c r="OD698" s="87"/>
      <c r="OE698" s="87"/>
      <c r="OF698" s="87"/>
      <c r="OG698" s="87"/>
      <c r="OH698" s="87" t="s">
        <v>1999</v>
      </c>
      <c r="OI698" s="149"/>
      <c r="OJ698" s="87"/>
      <c r="OK698" s="87">
        <v>2009</v>
      </c>
      <c r="OL698" s="87">
        <v>2010</v>
      </c>
      <c r="OM698" s="87"/>
      <c r="ON698" s="87"/>
      <c r="OO698" s="87" t="s">
        <v>2000</v>
      </c>
      <c r="OP698" s="145">
        <v>46133</v>
      </c>
      <c r="OQ698" s="87"/>
      <c r="OR698" s="87"/>
      <c r="OS698" s="87"/>
      <c r="OT698" s="87"/>
      <c r="OU698" s="143"/>
    </row>
    <row r="699" spans="1:411">
      <c r="A699" t="s">
        <v>36</v>
      </c>
      <c r="B699" t="s">
        <v>1975</v>
      </c>
      <c r="C699" t="s">
        <v>1976</v>
      </c>
      <c r="D699" t="s">
        <v>1955</v>
      </c>
      <c r="E699" t="s">
        <v>1977</v>
      </c>
      <c r="F699" t="s">
        <v>1978</v>
      </c>
      <c r="G699" t="s">
        <v>2</v>
      </c>
      <c r="H699" t="s">
        <v>30</v>
      </c>
      <c r="I699">
        <v>-8.9</v>
      </c>
      <c r="J699">
        <v>-74.983000000000004</v>
      </c>
      <c r="L699" t="s">
        <v>1976</v>
      </c>
      <c r="M699" t="s">
        <v>245</v>
      </c>
      <c r="N699" t="s">
        <v>1979</v>
      </c>
      <c r="O699" t="s">
        <v>1980</v>
      </c>
      <c r="P699" t="s">
        <v>2</v>
      </c>
      <c r="Q699" t="s">
        <v>30</v>
      </c>
      <c r="R699">
        <v>-8.5169999999999995</v>
      </c>
      <c r="S699">
        <v>-74.766999999999996</v>
      </c>
      <c r="AV699" t="s">
        <v>1981</v>
      </c>
      <c r="AW699">
        <v>625</v>
      </c>
      <c r="AX699" t="s">
        <v>29</v>
      </c>
      <c r="AY699">
        <v>2</v>
      </c>
      <c r="AZ699" t="s">
        <v>1982</v>
      </c>
      <c r="BA699">
        <v>2009</v>
      </c>
      <c r="BB699">
        <v>2010</v>
      </c>
      <c r="BC699" t="s">
        <v>1983</v>
      </c>
      <c r="BD699" t="s">
        <v>1985</v>
      </c>
      <c r="BE699" t="s">
        <v>1984</v>
      </c>
      <c r="BF699" t="s">
        <v>39</v>
      </c>
      <c r="BG699" t="s">
        <v>1762</v>
      </c>
      <c r="EJ699" s="9"/>
      <c r="EK699" s="9"/>
      <c r="EL699" s="9"/>
      <c r="EM699" s="9"/>
      <c r="EN699" s="9"/>
      <c r="EO699" s="9"/>
      <c r="EP699" s="9"/>
      <c r="EQ699" s="9"/>
      <c r="ER699" s="9"/>
      <c r="ES699" s="9"/>
      <c r="ET699" s="9"/>
      <c r="EU699" s="9"/>
      <c r="EV699" s="9"/>
      <c r="EW699" s="9"/>
      <c r="EX699" s="9"/>
      <c r="EY699" s="9"/>
      <c r="EZ699" s="9"/>
      <c r="FA699" s="9"/>
      <c r="FB699" s="9"/>
      <c r="FC699" s="9"/>
      <c r="FD699" s="9"/>
      <c r="FE699" s="9"/>
      <c r="FF699" s="9"/>
      <c r="FG699" s="9"/>
      <c r="FH699" s="9"/>
      <c r="FI699" s="9"/>
      <c r="FJ699" s="9"/>
      <c r="FK699" s="9"/>
      <c r="FL699" s="9"/>
      <c r="FM699" s="9"/>
      <c r="FN699" s="9"/>
      <c r="FO699" s="9"/>
      <c r="FP699" s="9"/>
      <c r="FQ699" s="9"/>
      <c r="FR699" s="9"/>
      <c r="FS699" s="9"/>
      <c r="FT699" s="9"/>
      <c r="FU699" s="9"/>
      <c r="FV699" s="9"/>
      <c r="FW699" s="9"/>
      <c r="FX699" s="9"/>
      <c r="FY699" s="9"/>
      <c r="FZ699" s="9"/>
      <c r="GA699" s="9"/>
      <c r="GB699" s="9"/>
      <c r="GC699" s="9"/>
      <c r="GD699" s="9"/>
      <c r="GE699" s="9"/>
      <c r="GF699" s="9"/>
      <c r="GG699" s="9"/>
      <c r="GH699" s="9"/>
      <c r="GI699" s="9"/>
      <c r="GJ699" s="9"/>
      <c r="GK699" s="9"/>
      <c r="GL699" s="9"/>
      <c r="GM699" s="9"/>
      <c r="GN699" s="9"/>
      <c r="GO699" s="9"/>
      <c r="GP699" s="9"/>
      <c r="GQ699" s="9"/>
      <c r="GR699" s="9"/>
      <c r="GS699" s="9"/>
      <c r="GT699" s="9"/>
      <c r="GU699" s="9"/>
      <c r="GV699" s="9"/>
      <c r="GW699" s="9"/>
      <c r="GX699" s="9"/>
      <c r="GY699" s="9"/>
      <c r="GZ699" s="9"/>
      <c r="HA699" s="9"/>
      <c r="HB699" s="9"/>
      <c r="HC699" s="9"/>
      <c r="HD699" s="9"/>
      <c r="HE699" s="9"/>
      <c r="HF699" s="9"/>
      <c r="HG699" s="9"/>
      <c r="HH699" s="9"/>
      <c r="HI699" s="9"/>
      <c r="HJ699" s="9"/>
      <c r="HK699" s="9"/>
      <c r="HL699" s="9" t="s">
        <v>1986</v>
      </c>
      <c r="HM699" s="9" t="s">
        <v>232</v>
      </c>
      <c r="HY699" s="58"/>
      <c r="IY699">
        <v>20</v>
      </c>
      <c r="IZ699">
        <v>95</v>
      </c>
      <c r="JO699" s="9"/>
      <c r="JY699" s="9"/>
      <c r="KQ699" s="9"/>
      <c r="KR699" s="9"/>
      <c r="KS699" s="9"/>
      <c r="KT699" s="9"/>
      <c r="MS699" t="s">
        <v>1987</v>
      </c>
      <c r="MT699">
        <v>625</v>
      </c>
      <c r="MU699" t="s">
        <v>1988</v>
      </c>
      <c r="MW699" t="s">
        <v>1992</v>
      </c>
      <c r="MX699" t="s">
        <v>1993</v>
      </c>
      <c r="MY699" t="s">
        <v>1994</v>
      </c>
      <c r="MZ699" t="s">
        <v>1995</v>
      </c>
      <c r="NA699" t="s">
        <v>1996</v>
      </c>
      <c r="NE699" t="s">
        <v>2044</v>
      </c>
      <c r="NF699" t="s">
        <v>2045</v>
      </c>
      <c r="NG699" t="s">
        <v>1770</v>
      </c>
      <c r="NH699" t="s">
        <v>2046</v>
      </c>
      <c r="NP699" t="s">
        <v>1997</v>
      </c>
      <c r="NQ699" t="s">
        <v>6</v>
      </c>
      <c r="NR699">
        <v>109</v>
      </c>
      <c r="NS699" t="s">
        <v>1456</v>
      </c>
      <c r="NT699">
        <v>21</v>
      </c>
      <c r="NW699">
        <v>8</v>
      </c>
      <c r="OH699" t="s">
        <v>1999</v>
      </c>
      <c r="OI699" s="19"/>
      <c r="OK699">
        <v>2009</v>
      </c>
      <c r="OL699">
        <v>2010</v>
      </c>
      <c r="OO699" t="s">
        <v>2000</v>
      </c>
      <c r="OP699" s="58">
        <v>46133</v>
      </c>
    </row>
    <row r="700" spans="1:411">
      <c r="A700" s="87" t="s">
        <v>36</v>
      </c>
      <c r="B700" s="87" t="s">
        <v>1975</v>
      </c>
      <c r="C700" s="87" t="s">
        <v>1976</v>
      </c>
      <c r="D700" s="87" t="s">
        <v>245</v>
      </c>
      <c r="E700" s="87" t="s">
        <v>1979</v>
      </c>
      <c r="F700" s="87" t="s">
        <v>1980</v>
      </c>
      <c r="G700" s="87" t="s">
        <v>2</v>
      </c>
      <c r="H700" s="87" t="s">
        <v>30</v>
      </c>
      <c r="I700" s="87">
        <v>-8.5169999999999995</v>
      </c>
      <c r="J700" s="87">
        <v>-74.766999999999996</v>
      </c>
      <c r="K700" s="87"/>
      <c r="L700" s="87" t="s">
        <v>1976</v>
      </c>
      <c r="M700" s="87" t="s">
        <v>245</v>
      </c>
      <c r="N700" s="87" t="s">
        <v>2001</v>
      </c>
      <c r="O700" s="87" t="s">
        <v>1980</v>
      </c>
      <c r="P700" s="87" t="s">
        <v>2</v>
      </c>
      <c r="Q700" s="87" t="s">
        <v>30</v>
      </c>
      <c r="R700" s="87">
        <v>-8.3670000000000009</v>
      </c>
      <c r="S700" s="87">
        <v>-74.7</v>
      </c>
      <c r="T700" s="87"/>
      <c r="U700" s="87"/>
      <c r="V700" s="87"/>
      <c r="W700" s="87"/>
      <c r="X700" s="87"/>
      <c r="Y700" s="87"/>
      <c r="Z700" s="87"/>
      <c r="AA700" s="87"/>
      <c r="AB700" s="87"/>
      <c r="AC700" s="87"/>
      <c r="AD700" s="87"/>
      <c r="AE700" s="87"/>
      <c r="AF700" s="87"/>
      <c r="AG700" s="87"/>
      <c r="AH700" s="87"/>
      <c r="AI700" s="87"/>
      <c r="AJ700" s="87"/>
      <c r="AK700" s="87"/>
      <c r="AL700" s="87"/>
      <c r="AM700" s="87"/>
      <c r="AN700" s="87"/>
      <c r="AO700" s="87"/>
      <c r="AP700" s="87"/>
      <c r="AQ700" s="87"/>
      <c r="AR700" s="87"/>
      <c r="AS700" s="87"/>
      <c r="AT700" s="87"/>
      <c r="AU700" s="87"/>
      <c r="AV700" s="87" t="s">
        <v>1981</v>
      </c>
      <c r="AW700" s="87">
        <v>625</v>
      </c>
      <c r="AX700" s="87" t="s">
        <v>29</v>
      </c>
      <c r="AY700" s="87">
        <v>2</v>
      </c>
      <c r="AZ700" s="87" t="s">
        <v>1982</v>
      </c>
      <c r="BA700" s="87">
        <v>2009</v>
      </c>
      <c r="BB700" s="87">
        <v>2010</v>
      </c>
      <c r="BC700" s="87" t="s">
        <v>1983</v>
      </c>
      <c r="BD700" s="87" t="s">
        <v>2009</v>
      </c>
      <c r="BE700" s="87" t="s">
        <v>2003</v>
      </c>
      <c r="BF700" s="87" t="s">
        <v>64</v>
      </c>
      <c r="BG700" s="87" t="s">
        <v>1243</v>
      </c>
      <c r="BH700" s="87" t="s">
        <v>2004</v>
      </c>
      <c r="BI700" s="87" t="s">
        <v>29</v>
      </c>
      <c r="BJ700" s="87" t="s">
        <v>29</v>
      </c>
      <c r="BK700" s="87" t="s">
        <v>29</v>
      </c>
      <c r="BL700" s="87"/>
      <c r="BM700" s="87"/>
      <c r="BN700" s="87"/>
      <c r="BO700" s="87"/>
      <c r="BP700" s="87"/>
      <c r="BQ700" s="87"/>
      <c r="BR700" s="87"/>
      <c r="BS700" s="87"/>
      <c r="BT700" s="87"/>
      <c r="BU700" s="87"/>
      <c r="BV700" s="87"/>
      <c r="BW700" s="87"/>
      <c r="BX700" s="87"/>
      <c r="BY700" s="87"/>
      <c r="BZ700" s="87"/>
      <c r="CA700" s="87"/>
      <c r="CB700" s="87"/>
      <c r="CC700" s="87"/>
      <c r="CD700" s="87"/>
      <c r="CE700" s="87"/>
      <c r="CF700" s="87"/>
      <c r="CG700" s="87"/>
      <c r="CH700" s="87"/>
      <c r="CI700" s="87"/>
      <c r="CJ700" s="87"/>
      <c r="CK700" s="87"/>
      <c r="CL700" s="87"/>
      <c r="CM700" s="87"/>
      <c r="CN700" s="87"/>
      <c r="CO700" s="87"/>
      <c r="CP700" s="87"/>
      <c r="CQ700" s="87"/>
      <c r="CR700" s="87"/>
      <c r="CS700" s="87"/>
      <c r="CT700" s="87"/>
      <c r="CU700" s="87"/>
      <c r="CV700" s="87"/>
      <c r="CW700" s="87"/>
      <c r="CX700" s="87"/>
      <c r="CY700" s="87"/>
      <c r="CZ700" s="87"/>
      <c r="DA700" s="87"/>
      <c r="DB700" s="87"/>
      <c r="DC700" s="87"/>
      <c r="DD700" s="87"/>
      <c r="DE700" s="87"/>
      <c r="DF700" s="87"/>
      <c r="DG700" s="87"/>
      <c r="DH700" s="87"/>
      <c r="DI700" s="87"/>
      <c r="DJ700" s="87"/>
      <c r="DK700" s="87"/>
      <c r="DL700" s="87"/>
      <c r="DM700" s="87"/>
      <c r="DN700" s="87"/>
      <c r="DO700" s="87"/>
      <c r="DP700" s="87"/>
      <c r="DQ700" s="87"/>
      <c r="DR700" s="87"/>
      <c r="DS700" s="87"/>
      <c r="DT700" s="87"/>
      <c r="DU700" s="87"/>
      <c r="DV700" s="87"/>
      <c r="DW700" s="87"/>
      <c r="DX700" s="87"/>
      <c r="DY700" s="87"/>
      <c r="DZ700" s="87"/>
      <c r="EA700" s="87"/>
      <c r="EB700" s="87"/>
      <c r="EC700" s="87"/>
      <c r="ED700" s="87"/>
      <c r="EE700" s="87" t="s">
        <v>2005</v>
      </c>
      <c r="EF700" s="87" t="s">
        <v>2006</v>
      </c>
      <c r="EG700" s="87">
        <v>0.24</v>
      </c>
      <c r="EH700" s="87" t="s">
        <v>2009</v>
      </c>
      <c r="EI700" s="87"/>
      <c r="EJ700" s="144"/>
      <c r="EK700" s="144"/>
      <c r="EL700" s="144"/>
      <c r="EM700" s="144"/>
      <c r="EN700" s="144"/>
      <c r="EO700" s="144"/>
      <c r="EP700" s="144"/>
      <c r="EQ700" s="144"/>
      <c r="ER700" s="144"/>
      <c r="ES700" s="144"/>
      <c r="ET700" s="144"/>
      <c r="EU700" s="144"/>
      <c r="EV700" s="144"/>
      <c r="EW700" s="144"/>
      <c r="EX700" s="144"/>
      <c r="EY700" s="144"/>
      <c r="EZ700" s="144"/>
      <c r="FA700" s="144"/>
      <c r="FB700" s="144"/>
      <c r="FC700" s="144"/>
      <c r="FD700" s="144"/>
      <c r="FE700" s="144"/>
      <c r="FF700" s="144"/>
      <c r="FG700" s="144"/>
      <c r="FH700" s="144"/>
      <c r="FI700" s="144"/>
      <c r="FJ700" s="144"/>
      <c r="FK700" s="144"/>
      <c r="FL700" s="144"/>
      <c r="FM700" s="144"/>
      <c r="FN700" s="144"/>
      <c r="FO700" s="144"/>
      <c r="FP700" s="144"/>
      <c r="FQ700" s="144"/>
      <c r="FR700" s="144"/>
      <c r="FS700" s="144"/>
      <c r="FT700" s="144"/>
      <c r="FU700" s="144"/>
      <c r="FV700" s="144"/>
      <c r="FW700" s="144"/>
      <c r="FX700" s="144"/>
      <c r="FY700" s="144"/>
      <c r="FZ700" s="144"/>
      <c r="GA700" s="144"/>
      <c r="GB700" s="144"/>
      <c r="GC700" s="144"/>
      <c r="GD700" s="144"/>
      <c r="GE700" s="144"/>
      <c r="GF700" s="144"/>
      <c r="GG700" s="144"/>
      <c r="GH700" s="144"/>
      <c r="GI700" s="144"/>
      <c r="GJ700" s="144"/>
      <c r="GK700" s="144"/>
      <c r="GL700" s="144"/>
      <c r="GM700" s="144"/>
      <c r="GN700" s="144"/>
      <c r="GO700" s="144"/>
      <c r="GP700" s="144"/>
      <c r="GQ700" s="144"/>
      <c r="GR700" s="144"/>
      <c r="GS700" s="144"/>
      <c r="GT700" s="144"/>
      <c r="GU700" s="144"/>
      <c r="GV700" s="144"/>
      <c r="GW700" s="144"/>
      <c r="GX700" s="144"/>
      <c r="GY700" s="144"/>
      <c r="GZ700" s="144"/>
      <c r="HA700" s="144"/>
      <c r="HB700" s="144"/>
      <c r="HC700" s="144"/>
      <c r="HD700" s="144"/>
      <c r="HE700" s="144"/>
      <c r="HF700" s="144"/>
      <c r="HG700" s="144"/>
      <c r="HH700" s="144"/>
      <c r="HI700" s="144"/>
      <c r="HJ700" s="144"/>
      <c r="HK700" s="144"/>
      <c r="HL700" s="144" t="s">
        <v>2007</v>
      </c>
      <c r="HM700" s="144" t="s">
        <v>232</v>
      </c>
      <c r="HN700" s="87"/>
      <c r="HO700" s="87"/>
      <c r="HP700" s="87"/>
      <c r="HQ700" s="87"/>
      <c r="HR700" s="87"/>
      <c r="HS700" s="87"/>
      <c r="HT700" s="87"/>
      <c r="HU700" s="87"/>
      <c r="HV700" s="87"/>
      <c r="HW700" s="87"/>
      <c r="HX700" s="87"/>
      <c r="HY700" s="145"/>
      <c r="HZ700" s="87"/>
      <c r="IA700" s="87"/>
      <c r="IB700" s="87"/>
      <c r="IC700" s="87"/>
      <c r="ID700" s="87"/>
      <c r="IE700" s="87"/>
      <c r="IF700" s="87"/>
      <c r="IG700" s="87"/>
      <c r="IH700" s="87"/>
      <c r="II700" s="87"/>
      <c r="IJ700" s="87"/>
      <c r="IK700" s="87"/>
      <c r="IL700" s="87"/>
      <c r="IM700" s="87"/>
      <c r="IN700" s="87"/>
      <c r="IO700" s="87"/>
      <c r="IP700" s="87"/>
      <c r="IQ700" s="87"/>
      <c r="IR700" s="87"/>
      <c r="IS700" s="87"/>
      <c r="IT700" s="87"/>
      <c r="IU700" s="87" t="s">
        <v>2008</v>
      </c>
      <c r="IV700" s="87" t="s">
        <v>2009</v>
      </c>
      <c r="IW700" s="87" t="s">
        <v>2010</v>
      </c>
      <c r="IX700" s="87"/>
      <c r="IY700" s="87">
        <v>6</v>
      </c>
      <c r="IZ700" s="87">
        <v>77.5</v>
      </c>
      <c r="JA700" s="87">
        <v>75</v>
      </c>
      <c r="JB700" s="87">
        <v>80</v>
      </c>
      <c r="JC700" s="87">
        <v>7.5</v>
      </c>
      <c r="JD700" s="87">
        <v>6</v>
      </c>
      <c r="JE700" s="87">
        <v>9</v>
      </c>
      <c r="JF700" s="87"/>
      <c r="JG700" s="87"/>
      <c r="JH700" s="87"/>
      <c r="JI700" s="87"/>
      <c r="JJ700" s="87"/>
      <c r="JK700" s="87"/>
      <c r="JL700" s="87"/>
      <c r="JM700" s="87"/>
      <c r="JN700" s="87"/>
      <c r="JO700" s="151"/>
      <c r="JP700" s="87"/>
      <c r="JQ700" s="87"/>
      <c r="JR700" s="87"/>
      <c r="JS700" s="87"/>
      <c r="JT700" s="87"/>
      <c r="JU700" s="87"/>
      <c r="JV700" s="87"/>
      <c r="JW700" s="87"/>
      <c r="JX700" s="87"/>
      <c r="JY700" s="151"/>
      <c r="JZ700" s="87"/>
      <c r="KA700" s="87"/>
      <c r="KB700" s="87"/>
      <c r="KC700" s="87"/>
      <c r="KD700" s="87"/>
      <c r="KE700" s="87"/>
      <c r="KF700" s="87"/>
      <c r="KG700" s="87"/>
      <c r="KH700" s="87"/>
      <c r="KI700" s="87"/>
      <c r="KJ700" s="87"/>
      <c r="KK700" s="87"/>
      <c r="KL700" s="87"/>
      <c r="KM700" s="87"/>
      <c r="KN700" s="87"/>
      <c r="KO700" s="87"/>
      <c r="KP700" s="87"/>
      <c r="KQ700" s="151"/>
      <c r="KR700" s="151"/>
      <c r="KS700" s="151"/>
      <c r="KT700" s="151"/>
      <c r="KU700" s="87"/>
      <c r="KV700" s="87"/>
      <c r="KW700" s="87"/>
      <c r="KX700" s="87"/>
      <c r="KY700" s="87"/>
      <c r="KZ700" s="87"/>
      <c r="LA700" s="87"/>
      <c r="LB700" s="87"/>
      <c r="LC700" s="87"/>
      <c r="LD700" s="87"/>
      <c r="LE700" s="87"/>
      <c r="LF700" s="87"/>
      <c r="LG700" s="87"/>
      <c r="LH700" s="87"/>
      <c r="LI700" s="87"/>
      <c r="LJ700" s="87"/>
      <c r="LK700" s="87"/>
      <c r="LL700" s="87"/>
      <c r="LM700" s="87"/>
      <c r="LN700" s="87"/>
      <c r="LO700" s="87"/>
      <c r="LP700" s="87"/>
      <c r="LQ700" s="87"/>
      <c r="LR700" s="87"/>
      <c r="LS700" s="87"/>
      <c r="LT700" s="87"/>
      <c r="LU700" s="87"/>
      <c r="LV700" s="87"/>
      <c r="LW700" s="87"/>
      <c r="LX700" s="87"/>
      <c r="LY700" s="87"/>
      <c r="LZ700" s="87"/>
      <c r="MA700" s="87"/>
      <c r="MB700" s="87"/>
      <c r="MC700" s="87"/>
      <c r="MD700" s="87"/>
      <c r="ME700" s="87"/>
      <c r="MF700" s="87"/>
      <c r="MG700" s="87"/>
      <c r="MH700" s="87"/>
      <c r="MI700" s="87"/>
      <c r="MJ700" s="87"/>
      <c r="MK700" s="87"/>
      <c r="ML700" s="87"/>
      <c r="MM700" s="87"/>
      <c r="MN700" s="87"/>
      <c r="MO700" s="87"/>
      <c r="MP700" s="87"/>
      <c r="MQ700" s="87"/>
      <c r="MR700" s="87"/>
      <c r="MS700" s="87" t="s">
        <v>1987</v>
      </c>
      <c r="MT700" s="87">
        <v>625</v>
      </c>
      <c r="MU700" s="87" t="s">
        <v>1988</v>
      </c>
      <c r="MV700" s="87"/>
      <c r="MW700" s="87" t="s">
        <v>1992</v>
      </c>
      <c r="MX700" s="87" t="s">
        <v>1993</v>
      </c>
      <c r="MY700" s="87" t="s">
        <v>1994</v>
      </c>
      <c r="MZ700" s="87" t="s">
        <v>1995</v>
      </c>
      <c r="NA700" s="87" t="s">
        <v>1996</v>
      </c>
      <c r="NB700" s="87"/>
      <c r="NC700" s="87"/>
      <c r="ND700" s="87"/>
      <c r="NE700" s="87" t="s">
        <v>2044</v>
      </c>
      <c r="NF700" s="87" t="s">
        <v>2045</v>
      </c>
      <c r="NG700" s="87" t="s">
        <v>1770</v>
      </c>
      <c r="NH700" s="87" t="s">
        <v>2046</v>
      </c>
      <c r="NI700" s="87"/>
      <c r="NJ700" s="87"/>
      <c r="NK700" s="87"/>
      <c r="NL700" s="87"/>
      <c r="NM700" s="87"/>
      <c r="NN700" s="87"/>
      <c r="NO700" s="87"/>
      <c r="NP700" s="87" t="s">
        <v>2011</v>
      </c>
      <c r="NQ700" s="87" t="s">
        <v>6</v>
      </c>
      <c r="NR700" s="87">
        <v>18.8</v>
      </c>
      <c r="NS700" s="87" t="s">
        <v>1456</v>
      </c>
      <c r="NT700" s="87">
        <v>3.16</v>
      </c>
      <c r="NU700" s="87"/>
      <c r="NV700" s="87"/>
      <c r="NW700" s="87">
        <v>31</v>
      </c>
      <c r="NX700" s="87"/>
      <c r="NY700" s="87"/>
      <c r="NZ700" s="87"/>
      <c r="OA700" s="87"/>
      <c r="OB700" s="87"/>
      <c r="OC700" s="87"/>
      <c r="OD700" s="87"/>
      <c r="OE700" s="87"/>
      <c r="OF700" s="87"/>
      <c r="OG700" s="87"/>
      <c r="OH700" s="87" t="s">
        <v>1999</v>
      </c>
      <c r="OI700" s="149"/>
      <c r="OJ700" s="87"/>
      <c r="OK700" s="87">
        <v>2009</v>
      </c>
      <c r="OL700" s="87">
        <v>2010</v>
      </c>
      <c r="OM700" s="87"/>
      <c r="ON700" s="87"/>
      <c r="OO700" s="87" t="s">
        <v>2000</v>
      </c>
      <c r="OP700" s="145">
        <v>46133</v>
      </c>
      <c r="OQ700" s="87"/>
      <c r="OR700" s="87"/>
      <c r="OS700" s="87"/>
      <c r="OT700" s="87"/>
      <c r="OU700" s="143"/>
    </row>
    <row r="701" spans="1:411">
      <c r="A701" t="s">
        <v>36</v>
      </c>
      <c r="B701" t="s">
        <v>1975</v>
      </c>
      <c r="C701" t="s">
        <v>1976</v>
      </c>
      <c r="D701" t="s">
        <v>245</v>
      </c>
      <c r="E701" t="s">
        <v>2012</v>
      </c>
      <c r="F701" t="s">
        <v>1980</v>
      </c>
      <c r="G701" t="s">
        <v>2</v>
      </c>
      <c r="H701" t="s">
        <v>30</v>
      </c>
      <c r="I701">
        <v>-8.8170000000000002</v>
      </c>
      <c r="J701">
        <v>-75.2</v>
      </c>
      <c r="L701" t="s">
        <v>1976</v>
      </c>
      <c r="M701" t="s">
        <v>245</v>
      </c>
      <c r="N701" t="s">
        <v>1979</v>
      </c>
      <c r="O701" t="s">
        <v>1980</v>
      </c>
      <c r="P701" t="s">
        <v>2</v>
      </c>
      <c r="Q701" t="s">
        <v>30</v>
      </c>
      <c r="R701">
        <v>-8.5169999999999995</v>
      </c>
      <c r="S701">
        <v>-74.766999999999996</v>
      </c>
      <c r="AV701" t="s">
        <v>1981</v>
      </c>
      <c r="AW701">
        <v>625</v>
      </c>
      <c r="AX701" t="s">
        <v>29</v>
      </c>
      <c r="AY701">
        <v>2</v>
      </c>
      <c r="AZ701" t="s">
        <v>1982</v>
      </c>
      <c r="BA701">
        <v>2009</v>
      </c>
      <c r="BB701">
        <v>2010</v>
      </c>
      <c r="BC701" t="s">
        <v>1983</v>
      </c>
      <c r="BD701" t="s">
        <v>2002</v>
      </c>
      <c r="BE701" t="s">
        <v>2013</v>
      </c>
      <c r="BF701" t="s">
        <v>57</v>
      </c>
      <c r="BG701" t="s">
        <v>1243</v>
      </c>
      <c r="BH701" t="s">
        <v>2014</v>
      </c>
      <c r="BI701" t="s">
        <v>29</v>
      </c>
      <c r="BJ701" t="s">
        <v>29</v>
      </c>
      <c r="BK701" t="s">
        <v>29</v>
      </c>
      <c r="EE701" t="s">
        <v>2015</v>
      </c>
      <c r="EF701" t="s">
        <v>2006</v>
      </c>
      <c r="EG701">
        <v>0.24</v>
      </c>
      <c r="EH701" t="s">
        <v>2056</v>
      </c>
      <c r="EI701" t="s">
        <v>2016</v>
      </c>
      <c r="EJ701" s="9" t="s">
        <v>2006</v>
      </c>
      <c r="EK701" s="9">
        <v>0.24</v>
      </c>
      <c r="EL701" s="9"/>
      <c r="EM701" s="9" t="s">
        <v>2017</v>
      </c>
      <c r="EN701" s="9" t="s">
        <v>2006</v>
      </c>
      <c r="EO701" s="9" t="s">
        <v>29</v>
      </c>
      <c r="EP701" s="9"/>
      <c r="EQ701" s="9" t="s">
        <v>2018</v>
      </c>
      <c r="ER701" s="9" t="s">
        <v>2006</v>
      </c>
      <c r="ES701" s="9" t="s">
        <v>29</v>
      </c>
      <c r="ET701" s="9"/>
      <c r="EU701" s="9" t="s">
        <v>2019</v>
      </c>
      <c r="EV701" s="9" t="s">
        <v>2006</v>
      </c>
      <c r="EW701" s="9" t="s">
        <v>29</v>
      </c>
      <c r="EX701" s="9"/>
      <c r="EY701" s="9"/>
      <c r="EZ701" s="9"/>
      <c r="FA701" s="9"/>
      <c r="FB701" s="9"/>
      <c r="FC701" s="9"/>
      <c r="FD701" s="9"/>
      <c r="FE701" s="9"/>
      <c r="FF701" s="9"/>
      <c r="FG701" s="9"/>
      <c r="FH701" s="9"/>
      <c r="FI701" s="9"/>
      <c r="FJ701" s="9"/>
      <c r="FK701" s="9"/>
      <c r="FL701" s="9"/>
      <c r="FM701" s="9"/>
      <c r="FN701" s="9"/>
      <c r="FO701" s="9"/>
      <c r="FP701" s="9"/>
      <c r="FQ701" s="9"/>
      <c r="FR701" s="9"/>
      <c r="FS701" s="9"/>
      <c r="FT701" s="9"/>
      <c r="FU701" s="9"/>
      <c r="FV701" s="9"/>
      <c r="FW701" s="9"/>
      <c r="FX701" s="9"/>
      <c r="FY701" s="9"/>
      <c r="FZ701" s="9"/>
      <c r="GA701" s="9"/>
      <c r="GB701" s="9"/>
      <c r="GC701" s="9"/>
      <c r="GD701" s="9"/>
      <c r="GE701" s="9"/>
      <c r="GF701" s="9"/>
      <c r="GG701" s="9"/>
      <c r="GH701" s="9"/>
      <c r="GI701" s="9"/>
      <c r="GJ701" s="9"/>
      <c r="GK701" s="9"/>
      <c r="GL701" s="9"/>
      <c r="GM701" s="9"/>
      <c r="GN701" s="9"/>
      <c r="GO701" s="9"/>
      <c r="GP701" s="9"/>
      <c r="GQ701" s="9"/>
      <c r="GR701" s="9"/>
      <c r="GS701" s="9"/>
      <c r="GT701" s="9"/>
      <c r="GU701" s="9"/>
      <c r="GV701" s="9"/>
      <c r="GW701" s="9"/>
      <c r="GX701" s="9"/>
      <c r="GY701" s="9"/>
      <c r="GZ701" s="9"/>
      <c r="HA701" s="9"/>
      <c r="HB701" s="9"/>
      <c r="HC701" s="9"/>
      <c r="HD701" s="9"/>
      <c r="HE701" s="9"/>
      <c r="HF701" s="9"/>
      <c r="HG701" s="9"/>
      <c r="HH701" s="9"/>
      <c r="HI701" s="9"/>
      <c r="HJ701" s="9"/>
      <c r="HK701" s="9"/>
      <c r="HL701" s="9" t="s">
        <v>2007</v>
      </c>
      <c r="HM701" s="9" t="s">
        <v>232</v>
      </c>
      <c r="HY701" s="58"/>
      <c r="IU701" t="s">
        <v>2020</v>
      </c>
      <c r="IV701" t="s">
        <v>2009</v>
      </c>
      <c r="IW701" t="s">
        <v>2021</v>
      </c>
      <c r="IZ701">
        <v>50</v>
      </c>
      <c r="JC701">
        <v>12</v>
      </c>
      <c r="JO701" s="9"/>
      <c r="JY701" s="9"/>
      <c r="KQ701" s="9"/>
      <c r="KR701" s="9"/>
      <c r="KS701" s="9"/>
      <c r="KT701" s="9"/>
      <c r="MS701" t="s">
        <v>1987</v>
      </c>
      <c r="MT701">
        <v>625</v>
      </c>
      <c r="MU701" t="s">
        <v>1988</v>
      </c>
      <c r="MW701" t="s">
        <v>1992</v>
      </c>
      <c r="MX701" t="s">
        <v>1993</v>
      </c>
      <c r="MY701" t="s">
        <v>1994</v>
      </c>
      <c r="MZ701" t="s">
        <v>1995</v>
      </c>
      <c r="NA701" t="s">
        <v>1996</v>
      </c>
      <c r="NE701" t="s">
        <v>2044</v>
      </c>
      <c r="NF701" t="s">
        <v>2045</v>
      </c>
      <c r="NG701" t="s">
        <v>1770</v>
      </c>
      <c r="NH701" t="s">
        <v>2046</v>
      </c>
      <c r="NP701" t="s">
        <v>2022</v>
      </c>
      <c r="NQ701" t="s">
        <v>6</v>
      </c>
      <c r="NR701">
        <v>6.72</v>
      </c>
      <c r="NS701" t="s">
        <v>1456</v>
      </c>
      <c r="NT701">
        <v>1.22</v>
      </c>
      <c r="NW701">
        <v>32</v>
      </c>
      <c r="OH701" t="s">
        <v>1999</v>
      </c>
      <c r="OI701" s="19"/>
      <c r="OK701">
        <v>2009</v>
      </c>
      <c r="OL701">
        <v>2010</v>
      </c>
      <c r="OO701" t="s">
        <v>2000</v>
      </c>
      <c r="OP701" s="58">
        <v>46133</v>
      </c>
    </row>
    <row r="702" spans="1:411">
      <c r="A702" s="87" t="s">
        <v>36</v>
      </c>
      <c r="B702" s="87" t="s">
        <v>1975</v>
      </c>
      <c r="C702" s="87" t="s">
        <v>1976</v>
      </c>
      <c r="D702" s="87" t="s">
        <v>245</v>
      </c>
      <c r="E702" s="87" t="s">
        <v>2012</v>
      </c>
      <c r="F702" s="87" t="s">
        <v>1980</v>
      </c>
      <c r="G702" s="87" t="s">
        <v>2</v>
      </c>
      <c r="H702" s="87" t="s">
        <v>30</v>
      </c>
      <c r="I702" s="87">
        <v>-8.8170000000000002</v>
      </c>
      <c r="J702" s="87">
        <v>-75.2</v>
      </c>
      <c r="K702" s="87"/>
      <c r="L702" s="87" t="s">
        <v>1976</v>
      </c>
      <c r="M702" s="87" t="s">
        <v>245</v>
      </c>
      <c r="N702" s="87" t="s">
        <v>1979</v>
      </c>
      <c r="O702" s="87" t="s">
        <v>1980</v>
      </c>
      <c r="P702" s="87" t="s">
        <v>2</v>
      </c>
      <c r="Q702" s="87" t="s">
        <v>30</v>
      </c>
      <c r="R702" s="87">
        <v>-8.5169999999999995</v>
      </c>
      <c r="S702" s="87">
        <v>-74.766999999999996</v>
      </c>
      <c r="T702" s="87"/>
      <c r="U702" s="87" t="s">
        <v>1976</v>
      </c>
      <c r="V702" s="87" t="s">
        <v>245</v>
      </c>
      <c r="W702" s="87" t="s">
        <v>2001</v>
      </c>
      <c r="X702" s="87" t="s">
        <v>1980</v>
      </c>
      <c r="Y702" s="87" t="s">
        <v>2</v>
      </c>
      <c r="Z702" s="87" t="s">
        <v>30</v>
      </c>
      <c r="AA702" s="87">
        <v>-8.3670000000000009</v>
      </c>
      <c r="AB702" s="87">
        <v>-74.7</v>
      </c>
      <c r="AC702" s="87"/>
      <c r="AD702" s="87"/>
      <c r="AE702" s="87"/>
      <c r="AF702" s="87"/>
      <c r="AG702" s="87"/>
      <c r="AH702" s="87"/>
      <c r="AI702" s="87"/>
      <c r="AJ702" s="87"/>
      <c r="AK702" s="87"/>
      <c r="AL702" s="87"/>
      <c r="AM702" s="87"/>
      <c r="AN702" s="87"/>
      <c r="AO702" s="87"/>
      <c r="AP702" s="87"/>
      <c r="AQ702" s="87"/>
      <c r="AR702" s="87"/>
      <c r="AS702" s="87"/>
      <c r="AT702" s="87"/>
      <c r="AU702" s="87"/>
      <c r="AV702" s="87" t="s">
        <v>1981</v>
      </c>
      <c r="AW702" s="87">
        <v>625</v>
      </c>
      <c r="AX702" s="87" t="s">
        <v>29</v>
      </c>
      <c r="AY702" s="87">
        <v>2</v>
      </c>
      <c r="AZ702" s="87" t="s">
        <v>1982</v>
      </c>
      <c r="BA702" s="87">
        <v>2009</v>
      </c>
      <c r="BB702" s="87">
        <v>2010</v>
      </c>
      <c r="BC702" s="87" t="s">
        <v>1983</v>
      </c>
      <c r="BD702" s="87" t="s">
        <v>19</v>
      </c>
      <c r="BE702" s="87" t="s">
        <v>2023</v>
      </c>
      <c r="BF702" s="87" t="s">
        <v>24</v>
      </c>
      <c r="BG702" s="87" t="s">
        <v>1243</v>
      </c>
      <c r="BH702" s="87" t="s">
        <v>2024</v>
      </c>
      <c r="BI702" s="87" t="s">
        <v>29</v>
      </c>
      <c r="BJ702" s="87" t="s">
        <v>29</v>
      </c>
      <c r="BK702" s="87" t="s">
        <v>29</v>
      </c>
      <c r="BL702" s="87"/>
      <c r="BM702" s="87"/>
      <c r="BN702" s="87"/>
      <c r="BO702" s="87"/>
      <c r="BP702" s="87"/>
      <c r="BQ702" s="87"/>
      <c r="BR702" s="87"/>
      <c r="BS702" s="87"/>
      <c r="BT702" s="87"/>
      <c r="BU702" s="87"/>
      <c r="BV702" s="87"/>
      <c r="BW702" s="87"/>
      <c r="BX702" s="87"/>
      <c r="BY702" s="87"/>
      <c r="BZ702" s="87"/>
      <c r="CA702" s="87"/>
      <c r="CB702" s="87"/>
      <c r="CC702" s="87"/>
      <c r="CD702" s="87"/>
      <c r="CE702" s="87"/>
      <c r="CF702" s="87"/>
      <c r="CG702" s="87"/>
      <c r="CH702" s="87"/>
      <c r="CI702" s="87"/>
      <c r="CJ702" s="87"/>
      <c r="CK702" s="87"/>
      <c r="CL702" s="87"/>
      <c r="CM702" s="87"/>
      <c r="CN702" s="87"/>
      <c r="CO702" s="87"/>
      <c r="CP702" s="87"/>
      <c r="CQ702" s="87"/>
      <c r="CR702" s="87"/>
      <c r="CS702" s="87"/>
      <c r="CT702" s="87"/>
      <c r="CU702" s="87"/>
      <c r="CV702" s="87"/>
      <c r="CW702" s="87"/>
      <c r="CX702" s="87"/>
      <c r="CY702" s="87"/>
      <c r="CZ702" s="87"/>
      <c r="DA702" s="87"/>
      <c r="DB702" s="87"/>
      <c r="DC702" s="87"/>
      <c r="DD702" s="87"/>
      <c r="DE702" s="87"/>
      <c r="DF702" s="87"/>
      <c r="DG702" s="87"/>
      <c r="DH702" s="87"/>
      <c r="DI702" s="87"/>
      <c r="DJ702" s="87"/>
      <c r="DK702" s="87"/>
      <c r="DL702" s="87"/>
      <c r="DM702" s="87"/>
      <c r="DN702" s="87"/>
      <c r="DO702" s="87"/>
      <c r="DP702" s="87"/>
      <c r="DQ702" s="87"/>
      <c r="DR702" s="87"/>
      <c r="DS702" s="87"/>
      <c r="DT702" s="87"/>
      <c r="DU702" s="87"/>
      <c r="DV702" s="87"/>
      <c r="DW702" s="87"/>
      <c r="DX702" s="87"/>
      <c r="DY702" s="87"/>
      <c r="DZ702" s="87"/>
      <c r="EA702" s="87"/>
      <c r="EB702" s="87"/>
      <c r="EC702" s="87"/>
      <c r="ED702" s="87"/>
      <c r="EE702" s="87"/>
      <c r="EF702" s="87"/>
      <c r="EG702" s="87"/>
      <c r="EH702" s="87"/>
      <c r="EI702" s="87"/>
      <c r="EJ702" s="144"/>
      <c r="EK702" s="144"/>
      <c r="EL702" s="144"/>
      <c r="EM702" s="144"/>
      <c r="EN702" s="144"/>
      <c r="EO702" s="144"/>
      <c r="EP702" s="144"/>
      <c r="EQ702" s="144"/>
      <c r="ER702" s="144"/>
      <c r="ES702" s="144"/>
      <c r="ET702" s="144"/>
      <c r="EU702" s="144"/>
      <c r="EV702" s="144"/>
      <c r="EW702" s="144"/>
      <c r="EX702" s="144"/>
      <c r="EY702" s="144"/>
      <c r="EZ702" s="144"/>
      <c r="FA702" s="144"/>
      <c r="FB702" s="144"/>
      <c r="FC702" s="144"/>
      <c r="FD702" s="144"/>
      <c r="FE702" s="144"/>
      <c r="FF702" s="144"/>
      <c r="FG702" s="144"/>
      <c r="FH702" s="144"/>
      <c r="FI702" s="144"/>
      <c r="FJ702" s="144"/>
      <c r="FK702" s="144"/>
      <c r="FL702" s="144"/>
      <c r="FM702" s="144"/>
      <c r="FN702" s="144"/>
      <c r="FO702" s="144"/>
      <c r="FP702" s="144"/>
      <c r="FQ702" s="144"/>
      <c r="FR702" s="144"/>
      <c r="FS702" s="144"/>
      <c r="FT702" s="144"/>
      <c r="FU702" s="144"/>
      <c r="FV702" s="144"/>
      <c r="FW702" s="144"/>
      <c r="FX702" s="144"/>
      <c r="FY702" s="144"/>
      <c r="FZ702" s="144"/>
      <c r="GA702" s="144"/>
      <c r="GB702" s="144"/>
      <c r="GC702" s="144"/>
      <c r="GD702" s="144"/>
      <c r="GE702" s="144"/>
      <c r="GF702" s="144"/>
      <c r="GG702" s="144"/>
      <c r="GH702" s="144"/>
      <c r="GI702" s="144"/>
      <c r="GJ702" s="144"/>
      <c r="GK702" s="144"/>
      <c r="GL702" s="144"/>
      <c r="GM702" s="144"/>
      <c r="GN702" s="144"/>
      <c r="GO702" s="144"/>
      <c r="GP702" s="144"/>
      <c r="GQ702" s="144"/>
      <c r="GR702" s="144"/>
      <c r="GS702" s="144"/>
      <c r="GT702" s="144"/>
      <c r="GU702" s="144"/>
      <c r="GV702" s="144"/>
      <c r="GW702" s="144"/>
      <c r="GX702" s="144"/>
      <c r="GY702" s="144"/>
      <c r="GZ702" s="144"/>
      <c r="HA702" s="144"/>
      <c r="HB702" s="144"/>
      <c r="HC702" s="144"/>
      <c r="HD702" s="144"/>
      <c r="HE702" s="144"/>
      <c r="HF702" s="144"/>
      <c r="HG702" s="144"/>
      <c r="HH702" s="144"/>
      <c r="HI702" s="144"/>
      <c r="HJ702" s="144"/>
      <c r="HK702" s="144"/>
      <c r="HL702" s="144" t="s">
        <v>2025</v>
      </c>
      <c r="HM702" s="144" t="s">
        <v>297</v>
      </c>
      <c r="HN702" s="87" t="s">
        <v>12</v>
      </c>
      <c r="HO702" s="87"/>
      <c r="HP702" s="87"/>
      <c r="HQ702" s="87"/>
      <c r="HR702" s="87"/>
      <c r="HS702" s="87"/>
      <c r="HT702" s="87"/>
      <c r="HU702" s="87"/>
      <c r="HV702" s="87"/>
      <c r="HW702" s="87"/>
      <c r="HX702" s="87"/>
      <c r="HY702" s="145"/>
      <c r="HZ702" s="87"/>
      <c r="IA702" s="87"/>
      <c r="IB702" s="87"/>
      <c r="IC702" s="87"/>
      <c r="ID702" s="87"/>
      <c r="IE702" s="87"/>
      <c r="IF702" s="87"/>
      <c r="IG702" s="87"/>
      <c r="IH702" s="87"/>
      <c r="II702" s="87"/>
      <c r="IJ702" s="87"/>
      <c r="IK702" s="87"/>
      <c r="IL702" s="87"/>
      <c r="IM702" s="87"/>
      <c r="IN702" s="87"/>
      <c r="IO702" s="87"/>
      <c r="IP702" s="87"/>
      <c r="IQ702" s="87"/>
      <c r="IR702" s="87"/>
      <c r="IS702" s="87"/>
      <c r="IT702" s="87"/>
      <c r="IU702" s="87"/>
      <c r="IV702" s="87"/>
      <c r="IW702" s="87"/>
      <c r="IX702" s="87"/>
      <c r="IY702" s="87"/>
      <c r="IZ702" s="87"/>
      <c r="JA702" s="87"/>
      <c r="JB702" s="87"/>
      <c r="JC702" s="87"/>
      <c r="JD702" s="87"/>
      <c r="JE702" s="87"/>
      <c r="JF702" s="87"/>
      <c r="JG702" s="87"/>
      <c r="JH702" s="87"/>
      <c r="JI702" s="87"/>
      <c r="JJ702" s="87"/>
      <c r="JK702" s="87"/>
      <c r="JL702" s="87"/>
      <c r="JM702" s="87"/>
      <c r="JN702" s="87"/>
      <c r="JO702" s="151"/>
      <c r="JP702" s="87"/>
      <c r="JQ702" s="87"/>
      <c r="JR702" s="87"/>
      <c r="JS702" s="87"/>
      <c r="JT702" s="87"/>
      <c r="JU702" s="87"/>
      <c r="JV702" s="87"/>
      <c r="JW702" s="87"/>
      <c r="JX702" s="87"/>
      <c r="JY702" s="151"/>
      <c r="JZ702" s="87"/>
      <c r="KA702" s="87"/>
      <c r="KB702" s="87"/>
      <c r="KC702" s="87"/>
      <c r="KD702" s="87"/>
      <c r="KE702" s="87"/>
      <c r="KF702" s="87"/>
      <c r="KG702" s="87"/>
      <c r="KH702" s="87"/>
      <c r="KI702" s="87"/>
      <c r="KJ702" s="87"/>
      <c r="KK702" s="87"/>
      <c r="KL702" s="87"/>
      <c r="KM702" s="87"/>
      <c r="KN702" s="87"/>
      <c r="KO702" s="87"/>
      <c r="KP702" s="87"/>
      <c r="KQ702" s="151"/>
      <c r="KR702" s="151"/>
      <c r="KS702" s="151"/>
      <c r="KT702" s="151"/>
      <c r="KU702" s="87"/>
      <c r="KV702" s="87"/>
      <c r="KW702" s="87"/>
      <c r="KX702" s="87"/>
      <c r="KY702" s="87"/>
      <c r="KZ702" s="87"/>
      <c r="LA702" s="87"/>
      <c r="LB702" s="87"/>
      <c r="LC702" s="87"/>
      <c r="LD702" s="87"/>
      <c r="LE702" s="87"/>
      <c r="LF702" s="87"/>
      <c r="LG702" s="87"/>
      <c r="LH702" s="87"/>
      <c r="LI702" s="87"/>
      <c r="LJ702" s="87"/>
      <c r="LK702" s="87"/>
      <c r="LL702" s="87"/>
      <c r="LM702" s="87"/>
      <c r="LN702" s="87"/>
      <c r="LO702" s="87"/>
      <c r="LP702" s="87"/>
      <c r="LQ702" s="87"/>
      <c r="LR702" s="87"/>
      <c r="LS702" s="87"/>
      <c r="LT702" s="87"/>
      <c r="LU702" s="87"/>
      <c r="LV702" s="87"/>
      <c r="LW702" s="87"/>
      <c r="LX702" s="87"/>
      <c r="LY702" s="87"/>
      <c r="LZ702" s="87"/>
      <c r="MA702" s="87"/>
      <c r="MB702" s="87"/>
      <c r="MC702" s="87"/>
      <c r="MD702" s="87"/>
      <c r="ME702" s="87"/>
      <c r="MF702" s="87"/>
      <c r="MG702" s="87"/>
      <c r="MH702" s="87"/>
      <c r="MI702" s="87"/>
      <c r="MJ702" s="87"/>
      <c r="MK702" s="87"/>
      <c r="ML702" s="87"/>
      <c r="MM702" s="87"/>
      <c r="MN702" s="87"/>
      <c r="MO702" s="87"/>
      <c r="MP702" s="87"/>
      <c r="MQ702" s="87"/>
      <c r="MR702" s="87"/>
      <c r="MS702" s="87" t="s">
        <v>1987</v>
      </c>
      <c r="MT702" s="87">
        <v>625</v>
      </c>
      <c r="MU702" s="87" t="s">
        <v>1988</v>
      </c>
      <c r="MV702" s="87"/>
      <c r="MW702" s="87" t="s">
        <v>1992</v>
      </c>
      <c r="MX702" s="87" t="s">
        <v>1993</v>
      </c>
      <c r="MY702" s="87" t="s">
        <v>1994</v>
      </c>
      <c r="MZ702" s="87" t="s">
        <v>1995</v>
      </c>
      <c r="NA702" s="87" t="s">
        <v>1996</v>
      </c>
      <c r="NB702" s="87"/>
      <c r="NC702" s="87"/>
      <c r="ND702" s="87"/>
      <c r="NE702" s="87" t="s">
        <v>2044</v>
      </c>
      <c r="NF702" s="87" t="s">
        <v>2045</v>
      </c>
      <c r="NG702" s="87" t="s">
        <v>1770</v>
      </c>
      <c r="NH702" s="87" t="s">
        <v>2046</v>
      </c>
      <c r="NI702" s="87"/>
      <c r="NJ702" s="87"/>
      <c r="NK702" s="87"/>
      <c r="NL702" s="87"/>
      <c r="NM702" s="87"/>
      <c r="NN702" s="87"/>
      <c r="NO702" s="87"/>
      <c r="NP702" s="87" t="s">
        <v>2026</v>
      </c>
      <c r="NQ702" s="87" t="s">
        <v>6</v>
      </c>
      <c r="NR702" s="87">
        <v>4.13</v>
      </c>
      <c r="NS702" s="87" t="s">
        <v>1456</v>
      </c>
      <c r="NT702" s="87">
        <v>0.71</v>
      </c>
      <c r="NU702" s="87"/>
      <c r="NV702" s="87"/>
      <c r="NW702" s="87">
        <v>32</v>
      </c>
      <c r="NX702" s="87"/>
      <c r="NY702" s="87"/>
      <c r="NZ702" s="87"/>
      <c r="OA702" s="87"/>
      <c r="OB702" s="87"/>
      <c r="OC702" s="87"/>
      <c r="OD702" s="87"/>
      <c r="OE702" s="87"/>
      <c r="OF702" s="87"/>
      <c r="OG702" s="87"/>
      <c r="OH702" s="87" t="s">
        <v>1999</v>
      </c>
      <c r="OI702" s="149"/>
      <c r="OJ702" s="87"/>
      <c r="OK702" s="87">
        <v>2009</v>
      </c>
      <c r="OL702" s="87">
        <v>2010</v>
      </c>
      <c r="OM702" s="87"/>
      <c r="ON702" s="87"/>
      <c r="OO702" s="87" t="s">
        <v>2000</v>
      </c>
      <c r="OP702" s="145">
        <v>46133</v>
      </c>
      <c r="OQ702" s="87"/>
      <c r="OR702" s="87"/>
      <c r="OS702" s="87"/>
      <c r="OT702" s="87"/>
      <c r="OU702" s="143"/>
    </row>
    <row r="703" spans="1:411">
      <c r="A703" t="s">
        <v>36</v>
      </c>
      <c r="B703" t="s">
        <v>1975</v>
      </c>
      <c r="C703" t="s">
        <v>1976</v>
      </c>
      <c r="D703" t="s">
        <v>245</v>
      </c>
      <c r="E703" t="s">
        <v>2012</v>
      </c>
      <c r="F703" t="s">
        <v>1980</v>
      </c>
      <c r="G703" t="s">
        <v>2</v>
      </c>
      <c r="H703" t="s">
        <v>30</v>
      </c>
      <c r="I703">
        <v>-8.8170000000000002</v>
      </c>
      <c r="J703">
        <v>-75.2</v>
      </c>
      <c r="L703" t="s">
        <v>1976</v>
      </c>
      <c r="M703" t="s">
        <v>245</v>
      </c>
      <c r="N703" t="s">
        <v>1979</v>
      </c>
      <c r="O703" t="s">
        <v>1980</v>
      </c>
      <c r="P703" t="s">
        <v>2</v>
      </c>
      <c r="Q703" t="s">
        <v>30</v>
      </c>
      <c r="R703">
        <v>-8.5169999999999995</v>
      </c>
      <c r="S703">
        <v>-74.766999999999996</v>
      </c>
      <c r="U703" t="s">
        <v>1976</v>
      </c>
      <c r="V703" t="s">
        <v>245</v>
      </c>
      <c r="W703" t="s">
        <v>2001</v>
      </c>
      <c r="X703" t="s">
        <v>1980</v>
      </c>
      <c r="Y703" t="s">
        <v>2</v>
      </c>
      <c r="Z703" t="s">
        <v>30</v>
      </c>
      <c r="AA703">
        <v>-8.3670000000000009</v>
      </c>
      <c r="AB703">
        <v>-74.7</v>
      </c>
      <c r="AV703" t="s">
        <v>1981</v>
      </c>
      <c r="AW703">
        <v>625</v>
      </c>
      <c r="AX703" t="s">
        <v>29</v>
      </c>
      <c r="AY703">
        <v>2</v>
      </c>
      <c r="AZ703" t="s">
        <v>1982</v>
      </c>
      <c r="BA703">
        <v>2009</v>
      </c>
      <c r="BB703">
        <v>2010</v>
      </c>
      <c r="BC703" t="s">
        <v>1983</v>
      </c>
      <c r="BD703" t="s">
        <v>2055</v>
      </c>
      <c r="BE703" t="s">
        <v>2027</v>
      </c>
      <c r="BF703" t="s">
        <v>299</v>
      </c>
      <c r="BG703" t="s">
        <v>1798</v>
      </c>
      <c r="BH703" t="s">
        <v>2028</v>
      </c>
      <c r="BI703" t="s">
        <v>29</v>
      </c>
      <c r="BJ703" t="s">
        <v>29</v>
      </c>
      <c r="BK703" t="s">
        <v>29</v>
      </c>
      <c r="EJ703" s="9"/>
      <c r="EK703" s="9"/>
      <c r="EL703" s="9"/>
      <c r="EM703" s="9"/>
      <c r="EN703" s="9"/>
      <c r="EO703" s="9"/>
      <c r="EP703" s="9"/>
      <c r="EQ703" s="9"/>
      <c r="ER703" s="9"/>
      <c r="ES703" s="9"/>
      <c r="ET703" s="9"/>
      <c r="EU703" s="9"/>
      <c r="EV703" s="9"/>
      <c r="EW703" s="9"/>
      <c r="EX703" s="9"/>
      <c r="EY703" s="9"/>
      <c r="EZ703" s="9"/>
      <c r="FA703" s="9"/>
      <c r="FB703" s="9"/>
      <c r="FC703" s="9"/>
      <c r="FD703" s="9"/>
      <c r="FE703" s="9"/>
      <c r="FF703" s="9"/>
      <c r="FG703" s="9"/>
      <c r="FH703" s="9"/>
      <c r="FI703" s="9"/>
      <c r="FJ703" s="9"/>
      <c r="FK703" s="9"/>
      <c r="FL703" s="9"/>
      <c r="FM703" s="9"/>
      <c r="FN703" s="9"/>
      <c r="FO703" s="9"/>
      <c r="FP703" s="9"/>
      <c r="FQ703" s="9"/>
      <c r="FR703" s="9"/>
      <c r="FS703" s="9"/>
      <c r="FT703" s="9"/>
      <c r="FU703" s="9"/>
      <c r="FV703" s="9"/>
      <c r="FW703" s="9"/>
      <c r="FX703" s="9"/>
      <c r="FY703" s="9"/>
      <c r="FZ703" s="9"/>
      <c r="GA703" s="9"/>
      <c r="GB703" s="9"/>
      <c r="GC703" s="9"/>
      <c r="GD703" s="9"/>
      <c r="GE703" s="9"/>
      <c r="GF703" s="9"/>
      <c r="GG703" s="9"/>
      <c r="GH703" s="9"/>
      <c r="GI703" s="9"/>
      <c r="GJ703" s="9"/>
      <c r="GK703" s="9"/>
      <c r="GL703" s="9"/>
      <c r="GM703" s="9"/>
      <c r="GN703" s="9"/>
      <c r="GO703" s="9"/>
      <c r="GP703" s="9"/>
      <c r="GQ703" s="9"/>
      <c r="GR703" s="9"/>
      <c r="GS703" s="9"/>
      <c r="GT703" s="9"/>
      <c r="GU703" s="9"/>
      <c r="GV703" s="9"/>
      <c r="GW703" s="9"/>
      <c r="GX703" s="9"/>
      <c r="GY703" s="9"/>
      <c r="GZ703" s="9"/>
      <c r="HA703" s="9"/>
      <c r="HB703" s="9"/>
      <c r="HC703" s="9"/>
      <c r="HD703" s="9"/>
      <c r="HE703" s="9"/>
      <c r="HF703" s="9"/>
      <c r="HG703" s="9"/>
      <c r="HH703" s="9"/>
      <c r="HI703" s="9"/>
      <c r="HJ703" s="9"/>
      <c r="HK703" s="9"/>
      <c r="HL703" s="9" t="s">
        <v>2029</v>
      </c>
      <c r="HM703" s="9" t="s">
        <v>232</v>
      </c>
      <c r="HY703" s="58"/>
      <c r="JO703" s="9"/>
      <c r="JY703" s="9"/>
      <c r="KQ703" s="9"/>
      <c r="KR703" s="9"/>
      <c r="KS703" s="9"/>
      <c r="KT703" s="9"/>
      <c r="MS703" t="s">
        <v>1987</v>
      </c>
      <c r="MT703">
        <v>625</v>
      </c>
      <c r="MU703" t="s">
        <v>1988</v>
      </c>
      <c r="MW703" t="s">
        <v>1992</v>
      </c>
      <c r="MX703" t="s">
        <v>1993</v>
      </c>
      <c r="MY703" t="s">
        <v>1994</v>
      </c>
      <c r="MZ703" t="s">
        <v>1995</v>
      </c>
      <c r="NA703" t="s">
        <v>1996</v>
      </c>
      <c r="NE703" t="s">
        <v>2044</v>
      </c>
      <c r="NF703" t="s">
        <v>2045</v>
      </c>
      <c r="NG703" t="s">
        <v>1770</v>
      </c>
      <c r="NH703" t="s">
        <v>2046</v>
      </c>
      <c r="NP703" t="s">
        <v>2030</v>
      </c>
      <c r="NQ703" t="s">
        <v>6</v>
      </c>
      <c r="NR703">
        <v>3.06</v>
      </c>
      <c r="NS703" t="s">
        <v>1456</v>
      </c>
      <c r="NT703">
        <v>0.76</v>
      </c>
      <c r="NW703">
        <v>32</v>
      </c>
      <c r="OH703" t="s">
        <v>1999</v>
      </c>
      <c r="OI703" s="19"/>
      <c r="OK703">
        <v>2009</v>
      </c>
      <c r="OL703">
        <v>2010</v>
      </c>
      <c r="OO703" t="s">
        <v>2000</v>
      </c>
      <c r="OP703" s="58">
        <v>46133</v>
      </c>
    </row>
    <row r="704" spans="1:411">
      <c r="A704" s="87" t="s">
        <v>36</v>
      </c>
      <c r="B704" s="87" t="s">
        <v>1975</v>
      </c>
      <c r="C704" s="87" t="s">
        <v>1976</v>
      </c>
      <c r="D704" s="87" t="s">
        <v>1955</v>
      </c>
      <c r="E704" s="87" t="s">
        <v>1977</v>
      </c>
      <c r="F704" s="87" t="s">
        <v>1978</v>
      </c>
      <c r="G704" s="87" t="s">
        <v>2</v>
      </c>
      <c r="H704" s="87" t="s">
        <v>30</v>
      </c>
      <c r="I704" s="87">
        <v>-8.9</v>
      </c>
      <c r="J704" s="87">
        <v>-74.983000000000004</v>
      </c>
      <c r="K704" s="87"/>
      <c r="L704" s="87" t="s">
        <v>1976</v>
      </c>
      <c r="M704" s="87" t="s">
        <v>245</v>
      </c>
      <c r="N704" s="87" t="s">
        <v>1979</v>
      </c>
      <c r="O704" s="87" t="s">
        <v>1980</v>
      </c>
      <c r="P704" s="87" t="s">
        <v>2</v>
      </c>
      <c r="Q704" s="87" t="s">
        <v>30</v>
      </c>
      <c r="R704" s="87">
        <v>-8.5169999999999995</v>
      </c>
      <c r="S704" s="87">
        <v>-74.766999999999996</v>
      </c>
      <c r="T704" s="87"/>
      <c r="U704" s="87"/>
      <c r="V704" s="87"/>
      <c r="W704" s="87"/>
      <c r="X704" s="87"/>
      <c r="Y704" s="87"/>
      <c r="Z704" s="87"/>
      <c r="AA704" s="87"/>
      <c r="AB704" s="87"/>
      <c r="AC704" s="87"/>
      <c r="AD704" s="87"/>
      <c r="AE704" s="87"/>
      <c r="AF704" s="87"/>
      <c r="AG704" s="87"/>
      <c r="AH704" s="87"/>
      <c r="AI704" s="87"/>
      <c r="AJ704" s="87"/>
      <c r="AK704" s="87"/>
      <c r="AL704" s="87"/>
      <c r="AM704" s="87"/>
      <c r="AN704" s="87"/>
      <c r="AO704" s="87"/>
      <c r="AP704" s="87"/>
      <c r="AQ704" s="87"/>
      <c r="AR704" s="87"/>
      <c r="AS704" s="87"/>
      <c r="AT704" s="87"/>
      <c r="AU704" s="87"/>
      <c r="AV704" s="87" t="s">
        <v>1981</v>
      </c>
      <c r="AW704" s="87">
        <v>625</v>
      </c>
      <c r="AX704" s="87" t="s">
        <v>29</v>
      </c>
      <c r="AY704" s="87">
        <v>2</v>
      </c>
      <c r="AZ704" s="87" t="s">
        <v>1982</v>
      </c>
      <c r="BA704" s="87">
        <v>2009</v>
      </c>
      <c r="BB704" s="87">
        <v>2010</v>
      </c>
      <c r="BC704" s="87" t="s">
        <v>1983</v>
      </c>
      <c r="BD704" s="87" t="s">
        <v>1985</v>
      </c>
      <c r="BE704" s="87" t="s">
        <v>1984</v>
      </c>
      <c r="BF704" s="87" t="s">
        <v>39</v>
      </c>
      <c r="BG704" s="87" t="s">
        <v>1762</v>
      </c>
      <c r="BH704" s="87"/>
      <c r="BI704" s="87"/>
      <c r="BJ704" s="87"/>
      <c r="BK704" s="87"/>
      <c r="BL704" s="87"/>
      <c r="BM704" s="87"/>
      <c r="BN704" s="87"/>
      <c r="BO704" s="87"/>
      <c r="BP704" s="87"/>
      <c r="BQ704" s="87"/>
      <c r="BR704" s="87"/>
      <c r="BS704" s="87"/>
      <c r="BT704" s="87"/>
      <c r="BU704" s="87"/>
      <c r="BV704" s="87"/>
      <c r="BW704" s="87"/>
      <c r="BX704" s="87"/>
      <c r="BY704" s="87"/>
      <c r="BZ704" s="87"/>
      <c r="CA704" s="87"/>
      <c r="CB704" s="87"/>
      <c r="CC704" s="87"/>
      <c r="CD704" s="87"/>
      <c r="CE704" s="87"/>
      <c r="CF704" s="87"/>
      <c r="CG704" s="87"/>
      <c r="CH704" s="87"/>
      <c r="CI704" s="87"/>
      <c r="CJ704" s="87"/>
      <c r="CK704" s="87"/>
      <c r="CL704" s="87"/>
      <c r="CM704" s="87"/>
      <c r="CN704" s="87"/>
      <c r="CO704" s="87"/>
      <c r="CP704" s="87"/>
      <c r="CQ704" s="87"/>
      <c r="CR704" s="87"/>
      <c r="CS704" s="87"/>
      <c r="CT704" s="87"/>
      <c r="CU704" s="87"/>
      <c r="CV704" s="87"/>
      <c r="CW704" s="87"/>
      <c r="CX704" s="87"/>
      <c r="CY704" s="87"/>
      <c r="CZ704" s="87"/>
      <c r="DA704" s="87"/>
      <c r="DB704" s="87"/>
      <c r="DC704" s="87"/>
      <c r="DD704" s="87"/>
      <c r="DE704" s="87"/>
      <c r="DF704" s="87"/>
      <c r="DG704" s="87"/>
      <c r="DH704" s="87"/>
      <c r="DI704" s="87"/>
      <c r="DJ704" s="87"/>
      <c r="DK704" s="87"/>
      <c r="DL704" s="87"/>
      <c r="DM704" s="87"/>
      <c r="DN704" s="87"/>
      <c r="DO704" s="87"/>
      <c r="DP704" s="87"/>
      <c r="DQ704" s="87"/>
      <c r="DR704" s="87"/>
      <c r="DS704" s="87"/>
      <c r="DT704" s="87"/>
      <c r="DU704" s="87"/>
      <c r="DV704" s="87"/>
      <c r="DW704" s="87"/>
      <c r="DX704" s="87"/>
      <c r="DY704" s="87"/>
      <c r="DZ704" s="87"/>
      <c r="EA704" s="87"/>
      <c r="EB704" s="87"/>
      <c r="EC704" s="87"/>
      <c r="ED704" s="87"/>
      <c r="EE704" s="87"/>
      <c r="EF704" s="87"/>
      <c r="EG704" s="87"/>
      <c r="EH704" s="87"/>
      <c r="EI704" s="87"/>
      <c r="EJ704" s="144"/>
      <c r="EK704" s="144"/>
      <c r="EL704" s="144"/>
      <c r="EM704" s="144"/>
      <c r="EN704" s="144"/>
      <c r="EO704" s="144"/>
      <c r="EP704" s="144"/>
      <c r="EQ704" s="144"/>
      <c r="ER704" s="144"/>
      <c r="ES704" s="144"/>
      <c r="ET704" s="144"/>
      <c r="EU704" s="144"/>
      <c r="EV704" s="144"/>
      <c r="EW704" s="144"/>
      <c r="EX704" s="144"/>
      <c r="EY704" s="144"/>
      <c r="EZ704" s="144"/>
      <c r="FA704" s="144"/>
      <c r="FB704" s="144"/>
      <c r="FC704" s="144"/>
      <c r="FD704" s="144"/>
      <c r="FE704" s="144"/>
      <c r="FF704" s="144"/>
      <c r="FG704" s="144"/>
      <c r="FH704" s="144"/>
      <c r="FI704" s="144"/>
      <c r="FJ704" s="144"/>
      <c r="FK704" s="144"/>
      <c r="FL704" s="144"/>
      <c r="FM704" s="144"/>
      <c r="FN704" s="144"/>
      <c r="FO704" s="144"/>
      <c r="FP704" s="144"/>
      <c r="FQ704" s="144"/>
      <c r="FR704" s="144"/>
      <c r="FS704" s="144"/>
      <c r="FT704" s="144"/>
      <c r="FU704" s="144"/>
      <c r="FV704" s="144"/>
      <c r="FW704" s="144"/>
      <c r="FX704" s="144"/>
      <c r="FY704" s="144"/>
      <c r="FZ704" s="144"/>
      <c r="GA704" s="144"/>
      <c r="GB704" s="144"/>
      <c r="GC704" s="144"/>
      <c r="GD704" s="144"/>
      <c r="GE704" s="144"/>
      <c r="GF704" s="144"/>
      <c r="GG704" s="144"/>
      <c r="GH704" s="144"/>
      <c r="GI704" s="144"/>
      <c r="GJ704" s="144"/>
      <c r="GK704" s="144"/>
      <c r="GL704" s="144"/>
      <c r="GM704" s="144"/>
      <c r="GN704" s="144"/>
      <c r="GO704" s="144"/>
      <c r="GP704" s="144"/>
      <c r="GQ704" s="144"/>
      <c r="GR704" s="144"/>
      <c r="GS704" s="144"/>
      <c r="GT704" s="144"/>
      <c r="GU704" s="144"/>
      <c r="GV704" s="144"/>
      <c r="GW704" s="144"/>
      <c r="GX704" s="144"/>
      <c r="GY704" s="144"/>
      <c r="GZ704" s="144"/>
      <c r="HA704" s="144"/>
      <c r="HB704" s="144"/>
      <c r="HC704" s="144"/>
      <c r="HD704" s="144"/>
      <c r="HE704" s="144"/>
      <c r="HF704" s="144"/>
      <c r="HG704" s="144"/>
      <c r="HH704" s="144"/>
      <c r="HI704" s="144"/>
      <c r="HJ704" s="144"/>
      <c r="HK704" s="144"/>
      <c r="HL704" s="144" t="s">
        <v>1986</v>
      </c>
      <c r="HM704" s="144" t="s">
        <v>232</v>
      </c>
      <c r="HN704" s="87"/>
      <c r="HO704" s="87"/>
      <c r="HP704" s="87"/>
      <c r="HQ704" s="87"/>
      <c r="HR704" s="87"/>
      <c r="HS704" s="87"/>
      <c r="HT704" s="87"/>
      <c r="HU704" s="87"/>
      <c r="HV704" s="87"/>
      <c r="HW704" s="87"/>
      <c r="HX704" s="87"/>
      <c r="HY704" s="145"/>
      <c r="HZ704" s="87"/>
      <c r="IA704" s="87"/>
      <c r="IB704" s="87"/>
      <c r="IC704" s="87"/>
      <c r="ID704" s="87"/>
      <c r="IE704" s="87"/>
      <c r="IF704" s="87"/>
      <c r="IG704" s="87"/>
      <c r="IH704" s="87"/>
      <c r="II704" s="87"/>
      <c r="IJ704" s="87"/>
      <c r="IK704" s="87"/>
      <c r="IL704" s="87"/>
      <c r="IM704" s="87"/>
      <c r="IN704" s="87"/>
      <c r="IO704" s="87"/>
      <c r="IP704" s="87"/>
      <c r="IQ704" s="87"/>
      <c r="IR704" s="87"/>
      <c r="IS704" s="87"/>
      <c r="IT704" s="87"/>
      <c r="IU704" s="87"/>
      <c r="IV704" s="87"/>
      <c r="IW704" s="87"/>
      <c r="IX704" s="87"/>
      <c r="IY704" s="87">
        <v>20</v>
      </c>
      <c r="IZ704" s="87">
        <v>95</v>
      </c>
      <c r="JA704" s="87"/>
      <c r="JB704" s="87"/>
      <c r="JC704" s="87"/>
      <c r="JD704" s="87"/>
      <c r="JE704" s="87"/>
      <c r="JF704" s="87"/>
      <c r="JG704" s="87"/>
      <c r="JH704" s="87"/>
      <c r="JI704" s="87"/>
      <c r="JJ704" s="87"/>
      <c r="JK704" s="87"/>
      <c r="JL704" s="87"/>
      <c r="JM704" s="87"/>
      <c r="JN704" s="87"/>
      <c r="JO704" s="151"/>
      <c r="JP704" s="87"/>
      <c r="JQ704" s="87"/>
      <c r="JR704" s="87"/>
      <c r="JS704" s="87"/>
      <c r="JT704" s="87"/>
      <c r="JU704" s="87"/>
      <c r="JV704" s="87"/>
      <c r="JW704" s="87"/>
      <c r="JX704" s="87"/>
      <c r="JY704" s="151"/>
      <c r="JZ704" s="87"/>
      <c r="KA704" s="87"/>
      <c r="KB704" s="87"/>
      <c r="KC704" s="87"/>
      <c r="KD704" s="87"/>
      <c r="KE704" s="87"/>
      <c r="KF704" s="87"/>
      <c r="KG704" s="87"/>
      <c r="KH704" s="87"/>
      <c r="KI704" s="87"/>
      <c r="KJ704" s="87"/>
      <c r="KK704" s="87"/>
      <c r="KL704" s="87"/>
      <c r="KM704" s="87"/>
      <c r="KN704" s="87"/>
      <c r="KO704" s="87"/>
      <c r="KP704" s="87"/>
      <c r="KQ704" s="151"/>
      <c r="KR704" s="151"/>
      <c r="KS704" s="151"/>
      <c r="KT704" s="151"/>
      <c r="KU704" s="87"/>
      <c r="KV704" s="87"/>
      <c r="KW704" s="87"/>
      <c r="KX704" s="87"/>
      <c r="KY704" s="87"/>
      <c r="KZ704" s="87"/>
      <c r="LA704" s="87"/>
      <c r="LB704" s="87"/>
      <c r="LC704" s="87"/>
      <c r="LD704" s="87"/>
      <c r="LE704" s="87"/>
      <c r="LF704" s="87"/>
      <c r="LG704" s="87"/>
      <c r="LH704" s="87"/>
      <c r="LI704" s="87"/>
      <c r="LJ704" s="87"/>
      <c r="LK704" s="87"/>
      <c r="LL704" s="87"/>
      <c r="LM704" s="87"/>
      <c r="LN704" s="87"/>
      <c r="LO704" s="87"/>
      <c r="LP704" s="87"/>
      <c r="LQ704" s="87"/>
      <c r="LR704" s="87"/>
      <c r="LS704" s="87"/>
      <c r="LT704" s="87"/>
      <c r="LU704" s="87"/>
      <c r="LV704" s="87"/>
      <c r="LW704" s="87"/>
      <c r="LX704" s="87"/>
      <c r="LY704" s="87"/>
      <c r="LZ704" s="87"/>
      <c r="MA704" s="87"/>
      <c r="MB704" s="87"/>
      <c r="MC704" s="87"/>
      <c r="MD704" s="87"/>
      <c r="ME704" s="87"/>
      <c r="MF704" s="87"/>
      <c r="MG704" s="87"/>
      <c r="MH704" s="87"/>
      <c r="MI704" s="87"/>
      <c r="MJ704" s="87"/>
      <c r="MK704" s="87"/>
      <c r="ML704" s="87"/>
      <c r="MM704" s="87"/>
      <c r="MN704" s="87"/>
      <c r="MO704" s="87"/>
      <c r="MP704" s="87"/>
      <c r="MQ704" s="87"/>
      <c r="MR704" s="87"/>
      <c r="MS704" s="87" t="s">
        <v>1987</v>
      </c>
      <c r="MT704" s="87">
        <v>625</v>
      </c>
      <c r="MU704" s="87" t="s">
        <v>1988</v>
      </c>
      <c r="MV704" s="87"/>
      <c r="MW704" s="87" t="s">
        <v>1992</v>
      </c>
      <c r="MX704" s="87" t="s">
        <v>1993</v>
      </c>
      <c r="MY704" s="87" t="s">
        <v>1994</v>
      </c>
      <c r="MZ704" s="87" t="s">
        <v>1995</v>
      </c>
      <c r="NA704" s="87" t="s">
        <v>1996</v>
      </c>
      <c r="NB704" s="87"/>
      <c r="NC704" s="87"/>
      <c r="ND704" s="87"/>
      <c r="NE704" s="87" t="s">
        <v>2047</v>
      </c>
      <c r="NF704" s="87" t="s">
        <v>2048</v>
      </c>
      <c r="NG704" s="87" t="s">
        <v>2035</v>
      </c>
      <c r="NH704" s="87" t="s">
        <v>2046</v>
      </c>
      <c r="NI704" s="87"/>
      <c r="NJ704" s="87"/>
      <c r="NK704" s="87"/>
      <c r="NL704" s="87"/>
      <c r="NM704" s="87"/>
      <c r="NN704" s="87"/>
      <c r="NO704" s="87"/>
      <c r="NP704" s="87" t="s">
        <v>1997</v>
      </c>
      <c r="NQ704" s="87" t="s">
        <v>6</v>
      </c>
      <c r="NR704" s="87">
        <v>148</v>
      </c>
      <c r="NS704" s="87" t="s">
        <v>1456</v>
      </c>
      <c r="NT704" s="87">
        <v>28.4</v>
      </c>
      <c r="NU704" s="87"/>
      <c r="NV704" s="87"/>
      <c r="NW704" s="87">
        <v>8</v>
      </c>
      <c r="NX704" s="87"/>
      <c r="NY704" s="87"/>
      <c r="NZ704" s="87"/>
      <c r="OA704" s="87"/>
      <c r="OB704" s="87"/>
      <c r="OC704" s="87"/>
      <c r="OD704" s="87"/>
      <c r="OE704" s="87"/>
      <c r="OF704" s="87"/>
      <c r="OG704" s="87"/>
      <c r="OH704" s="87" t="s">
        <v>1999</v>
      </c>
      <c r="OI704" s="149"/>
      <c r="OJ704" s="87"/>
      <c r="OK704" s="87">
        <v>2009</v>
      </c>
      <c r="OL704" s="87">
        <v>2010</v>
      </c>
      <c r="OM704" s="87"/>
      <c r="ON704" s="87"/>
      <c r="OO704" s="87" t="s">
        <v>2000</v>
      </c>
      <c r="OP704" s="145">
        <v>46133</v>
      </c>
      <c r="OQ704" s="87"/>
      <c r="OR704" s="87"/>
      <c r="OS704" s="87"/>
      <c r="OT704" s="87"/>
      <c r="OU704" s="143"/>
    </row>
    <row r="705" spans="1:411">
      <c r="A705" t="s">
        <v>36</v>
      </c>
      <c r="B705" t="s">
        <v>1975</v>
      </c>
      <c r="C705" t="s">
        <v>1976</v>
      </c>
      <c r="D705" t="s">
        <v>245</v>
      </c>
      <c r="E705" t="s">
        <v>1979</v>
      </c>
      <c r="F705" t="s">
        <v>1980</v>
      </c>
      <c r="G705" t="s">
        <v>2</v>
      </c>
      <c r="H705" t="s">
        <v>30</v>
      </c>
      <c r="I705">
        <v>-8.5169999999999995</v>
      </c>
      <c r="J705">
        <v>-74.766999999999996</v>
      </c>
      <c r="L705" t="s">
        <v>1976</v>
      </c>
      <c r="M705" t="s">
        <v>245</v>
      </c>
      <c r="N705" t="s">
        <v>2001</v>
      </c>
      <c r="O705" t="s">
        <v>1980</v>
      </c>
      <c r="P705" t="s">
        <v>2</v>
      </c>
      <c r="Q705" t="s">
        <v>30</v>
      </c>
      <c r="R705">
        <v>-8.3670000000000009</v>
      </c>
      <c r="S705">
        <v>-74.7</v>
      </c>
      <c r="AV705" t="s">
        <v>1981</v>
      </c>
      <c r="AW705">
        <v>625</v>
      </c>
      <c r="AX705" t="s">
        <v>29</v>
      </c>
      <c r="AY705">
        <v>2</v>
      </c>
      <c r="AZ705" t="s">
        <v>1982</v>
      </c>
      <c r="BA705">
        <v>2009</v>
      </c>
      <c r="BB705">
        <v>2010</v>
      </c>
      <c r="BC705" t="s">
        <v>1983</v>
      </c>
      <c r="BD705" t="s">
        <v>2009</v>
      </c>
      <c r="BE705" t="s">
        <v>2003</v>
      </c>
      <c r="BF705" t="s">
        <v>64</v>
      </c>
      <c r="BG705" t="s">
        <v>1243</v>
      </c>
      <c r="BH705" t="s">
        <v>2004</v>
      </c>
      <c r="BI705" t="s">
        <v>29</v>
      </c>
      <c r="BJ705" t="s">
        <v>29</v>
      </c>
      <c r="BK705" t="s">
        <v>29</v>
      </c>
      <c r="EE705" t="s">
        <v>2005</v>
      </c>
      <c r="EF705" t="s">
        <v>2006</v>
      </c>
      <c r="EG705">
        <v>0.24</v>
      </c>
      <c r="EH705" t="s">
        <v>2009</v>
      </c>
      <c r="EJ705" s="9"/>
      <c r="EK705" s="9"/>
      <c r="EL705" s="9"/>
      <c r="EM705" s="9"/>
      <c r="EN705" s="9"/>
      <c r="EO705" s="9"/>
      <c r="EP705" s="9"/>
      <c r="EQ705" s="9"/>
      <c r="ER705" s="9"/>
      <c r="ES705" s="9"/>
      <c r="ET705" s="9"/>
      <c r="EU705" s="9"/>
      <c r="EV705" s="9"/>
      <c r="EW705" s="9"/>
      <c r="EX705" s="9"/>
      <c r="EY705" s="9"/>
      <c r="EZ705" s="9"/>
      <c r="FA705" s="9"/>
      <c r="FB705" s="9"/>
      <c r="FC705" s="9"/>
      <c r="FD705" s="9"/>
      <c r="FE705" s="9"/>
      <c r="FF705" s="9"/>
      <c r="FG705" s="9"/>
      <c r="FH705" s="9"/>
      <c r="FI705" s="9"/>
      <c r="FJ705" s="9"/>
      <c r="FK705" s="9"/>
      <c r="FL705" s="9"/>
      <c r="FM705" s="9"/>
      <c r="FN705" s="9"/>
      <c r="FO705" s="9"/>
      <c r="FP705" s="9"/>
      <c r="FQ705" s="9"/>
      <c r="FR705" s="9"/>
      <c r="FS705" s="9"/>
      <c r="FT705" s="9"/>
      <c r="FU705" s="9"/>
      <c r="FV705" s="9"/>
      <c r="FW705" s="9"/>
      <c r="FX705" s="9"/>
      <c r="FY705" s="9"/>
      <c r="FZ705" s="9"/>
      <c r="GA705" s="9"/>
      <c r="GB705" s="9"/>
      <c r="GC705" s="9"/>
      <c r="GD705" s="9"/>
      <c r="GE705" s="9"/>
      <c r="GF705" s="9"/>
      <c r="GG705" s="9"/>
      <c r="GH705" s="9"/>
      <c r="GI705" s="9"/>
      <c r="GJ705" s="9"/>
      <c r="GK705" s="9"/>
      <c r="GL705" s="9"/>
      <c r="GM705" s="9"/>
      <c r="GN705" s="9"/>
      <c r="GO705" s="9"/>
      <c r="GP705" s="9"/>
      <c r="GQ705" s="9"/>
      <c r="GR705" s="9"/>
      <c r="GS705" s="9"/>
      <c r="GT705" s="9"/>
      <c r="GU705" s="9"/>
      <c r="GV705" s="9"/>
      <c r="GW705" s="9"/>
      <c r="GX705" s="9"/>
      <c r="GY705" s="9"/>
      <c r="GZ705" s="9"/>
      <c r="HA705" s="9"/>
      <c r="HB705" s="9"/>
      <c r="HC705" s="9"/>
      <c r="HD705" s="9"/>
      <c r="HE705" s="9"/>
      <c r="HF705" s="9"/>
      <c r="HG705" s="9"/>
      <c r="HH705" s="9"/>
      <c r="HI705" s="9"/>
      <c r="HJ705" s="9"/>
      <c r="HK705" s="9"/>
      <c r="HL705" s="9" t="s">
        <v>2007</v>
      </c>
      <c r="HM705" s="9" t="s">
        <v>232</v>
      </c>
      <c r="HY705" s="58"/>
      <c r="IU705" t="s">
        <v>2008</v>
      </c>
      <c r="IV705" t="s">
        <v>2009</v>
      </c>
      <c r="IW705" t="s">
        <v>2010</v>
      </c>
      <c r="IY705">
        <v>6</v>
      </c>
      <c r="IZ705">
        <v>77.5</v>
      </c>
      <c r="JA705">
        <v>75</v>
      </c>
      <c r="JB705">
        <v>80</v>
      </c>
      <c r="JC705">
        <v>7.5</v>
      </c>
      <c r="JD705">
        <v>6</v>
      </c>
      <c r="JE705">
        <v>9</v>
      </c>
      <c r="JO705" s="9"/>
      <c r="JY705" s="9"/>
      <c r="KQ705" s="9"/>
      <c r="KR705" s="9"/>
      <c r="KS705" s="9"/>
      <c r="KT705" s="9"/>
      <c r="MS705" t="s">
        <v>1987</v>
      </c>
      <c r="MT705">
        <v>625</v>
      </c>
      <c r="MU705" t="s">
        <v>1988</v>
      </c>
      <c r="MW705" t="s">
        <v>1992</v>
      </c>
      <c r="MX705" t="s">
        <v>1993</v>
      </c>
      <c r="MY705" t="s">
        <v>1994</v>
      </c>
      <c r="MZ705" t="s">
        <v>1995</v>
      </c>
      <c r="NA705" t="s">
        <v>1996</v>
      </c>
      <c r="NE705" t="s">
        <v>2047</v>
      </c>
      <c r="NF705" t="s">
        <v>2048</v>
      </c>
      <c r="NG705" t="s">
        <v>2035</v>
      </c>
      <c r="NH705" t="s">
        <v>2046</v>
      </c>
      <c r="NP705" t="s">
        <v>2011</v>
      </c>
      <c r="NQ705" t="s">
        <v>6</v>
      </c>
      <c r="NR705">
        <v>24.4</v>
      </c>
      <c r="NS705" t="s">
        <v>1456</v>
      </c>
      <c r="NT705">
        <v>4.0999999999999996</v>
      </c>
      <c r="NW705">
        <v>31</v>
      </c>
      <c r="OH705" t="s">
        <v>1999</v>
      </c>
      <c r="OI705" s="19"/>
      <c r="OK705">
        <v>2009</v>
      </c>
      <c r="OL705">
        <v>2010</v>
      </c>
      <c r="OO705" t="s">
        <v>2000</v>
      </c>
      <c r="OP705" s="58">
        <v>46133</v>
      </c>
    </row>
    <row r="706" spans="1:411">
      <c r="A706" s="87" t="s">
        <v>36</v>
      </c>
      <c r="B706" s="87" t="s">
        <v>1975</v>
      </c>
      <c r="C706" s="87" t="s">
        <v>1976</v>
      </c>
      <c r="D706" s="87" t="s">
        <v>245</v>
      </c>
      <c r="E706" s="87" t="s">
        <v>2012</v>
      </c>
      <c r="F706" s="87" t="s">
        <v>1980</v>
      </c>
      <c r="G706" s="87" t="s">
        <v>2</v>
      </c>
      <c r="H706" s="87" t="s">
        <v>30</v>
      </c>
      <c r="I706" s="87">
        <v>-8.8170000000000002</v>
      </c>
      <c r="J706" s="87">
        <v>-75.2</v>
      </c>
      <c r="K706" s="87"/>
      <c r="L706" s="87" t="s">
        <v>1976</v>
      </c>
      <c r="M706" s="87" t="s">
        <v>245</v>
      </c>
      <c r="N706" s="87" t="s">
        <v>1979</v>
      </c>
      <c r="O706" s="87" t="s">
        <v>1980</v>
      </c>
      <c r="P706" s="87" t="s">
        <v>2</v>
      </c>
      <c r="Q706" s="87" t="s">
        <v>30</v>
      </c>
      <c r="R706" s="87">
        <v>-8.5169999999999995</v>
      </c>
      <c r="S706" s="87">
        <v>-74.766999999999996</v>
      </c>
      <c r="T706" s="87"/>
      <c r="U706" s="87"/>
      <c r="V706" s="87"/>
      <c r="W706" s="87"/>
      <c r="X706" s="87"/>
      <c r="Y706" s="87"/>
      <c r="Z706" s="87"/>
      <c r="AA706" s="87"/>
      <c r="AB706" s="87"/>
      <c r="AC706" s="87"/>
      <c r="AD706" s="87"/>
      <c r="AE706" s="87"/>
      <c r="AF706" s="87"/>
      <c r="AG706" s="87"/>
      <c r="AH706" s="87"/>
      <c r="AI706" s="87"/>
      <c r="AJ706" s="87"/>
      <c r="AK706" s="87"/>
      <c r="AL706" s="87"/>
      <c r="AM706" s="87"/>
      <c r="AN706" s="87"/>
      <c r="AO706" s="87"/>
      <c r="AP706" s="87"/>
      <c r="AQ706" s="87"/>
      <c r="AR706" s="87"/>
      <c r="AS706" s="87"/>
      <c r="AT706" s="87"/>
      <c r="AU706" s="87"/>
      <c r="AV706" s="87" t="s">
        <v>1981</v>
      </c>
      <c r="AW706" s="87">
        <v>625</v>
      </c>
      <c r="AX706" s="87" t="s">
        <v>29</v>
      </c>
      <c r="AY706" s="87">
        <v>2</v>
      </c>
      <c r="AZ706" s="87" t="s">
        <v>1982</v>
      </c>
      <c r="BA706" s="87">
        <v>2009</v>
      </c>
      <c r="BB706" s="87">
        <v>2010</v>
      </c>
      <c r="BC706" s="87" t="s">
        <v>1983</v>
      </c>
      <c r="BD706" s="87" t="s">
        <v>2002</v>
      </c>
      <c r="BE706" s="87" t="s">
        <v>2013</v>
      </c>
      <c r="BF706" s="87" t="s">
        <v>57</v>
      </c>
      <c r="BG706" s="87" t="s">
        <v>1243</v>
      </c>
      <c r="BH706" s="87" t="s">
        <v>2014</v>
      </c>
      <c r="BI706" s="87" t="s">
        <v>29</v>
      </c>
      <c r="BJ706" s="87" t="s">
        <v>29</v>
      </c>
      <c r="BK706" s="87" t="s">
        <v>29</v>
      </c>
      <c r="BL706" s="87"/>
      <c r="BM706" s="87"/>
      <c r="BN706" s="87"/>
      <c r="BO706" s="87"/>
      <c r="BP706" s="87"/>
      <c r="BQ706" s="87"/>
      <c r="BR706" s="87"/>
      <c r="BS706" s="87"/>
      <c r="BT706" s="87"/>
      <c r="BU706" s="87"/>
      <c r="BV706" s="87"/>
      <c r="BW706" s="87"/>
      <c r="BX706" s="87"/>
      <c r="BY706" s="87"/>
      <c r="BZ706" s="87"/>
      <c r="CA706" s="87"/>
      <c r="CB706" s="87"/>
      <c r="CC706" s="87"/>
      <c r="CD706" s="87"/>
      <c r="CE706" s="87"/>
      <c r="CF706" s="87"/>
      <c r="CG706" s="87"/>
      <c r="CH706" s="87"/>
      <c r="CI706" s="87"/>
      <c r="CJ706" s="87"/>
      <c r="CK706" s="87"/>
      <c r="CL706" s="87"/>
      <c r="CM706" s="87"/>
      <c r="CN706" s="87"/>
      <c r="CO706" s="87"/>
      <c r="CP706" s="87"/>
      <c r="CQ706" s="87"/>
      <c r="CR706" s="87"/>
      <c r="CS706" s="87"/>
      <c r="CT706" s="87"/>
      <c r="CU706" s="87"/>
      <c r="CV706" s="87"/>
      <c r="CW706" s="87"/>
      <c r="CX706" s="87"/>
      <c r="CY706" s="87"/>
      <c r="CZ706" s="87"/>
      <c r="DA706" s="87"/>
      <c r="DB706" s="87"/>
      <c r="DC706" s="87"/>
      <c r="DD706" s="87"/>
      <c r="DE706" s="87"/>
      <c r="DF706" s="87"/>
      <c r="DG706" s="87"/>
      <c r="DH706" s="87"/>
      <c r="DI706" s="87"/>
      <c r="DJ706" s="87"/>
      <c r="DK706" s="87"/>
      <c r="DL706" s="87"/>
      <c r="DM706" s="87"/>
      <c r="DN706" s="87"/>
      <c r="DO706" s="87"/>
      <c r="DP706" s="87"/>
      <c r="DQ706" s="87"/>
      <c r="DR706" s="87"/>
      <c r="DS706" s="87"/>
      <c r="DT706" s="87"/>
      <c r="DU706" s="87"/>
      <c r="DV706" s="87"/>
      <c r="DW706" s="87"/>
      <c r="DX706" s="87"/>
      <c r="DY706" s="87"/>
      <c r="DZ706" s="87"/>
      <c r="EA706" s="87"/>
      <c r="EB706" s="87"/>
      <c r="EC706" s="87"/>
      <c r="ED706" s="87"/>
      <c r="EE706" s="87" t="s">
        <v>2015</v>
      </c>
      <c r="EF706" s="87" t="s">
        <v>2006</v>
      </c>
      <c r="EG706" s="87">
        <v>0.24</v>
      </c>
      <c r="EH706" s="87" t="s">
        <v>2056</v>
      </c>
      <c r="EI706" s="87" t="s">
        <v>2016</v>
      </c>
      <c r="EJ706" s="144" t="s">
        <v>2006</v>
      </c>
      <c r="EK706" s="144">
        <v>0.24</v>
      </c>
      <c r="EL706" s="144"/>
      <c r="EM706" s="144" t="s">
        <v>2017</v>
      </c>
      <c r="EN706" s="144" t="s">
        <v>2006</v>
      </c>
      <c r="EO706" s="144" t="s">
        <v>29</v>
      </c>
      <c r="EP706" s="144"/>
      <c r="EQ706" s="144" t="s">
        <v>2018</v>
      </c>
      <c r="ER706" s="144" t="s">
        <v>2006</v>
      </c>
      <c r="ES706" s="144" t="s">
        <v>29</v>
      </c>
      <c r="ET706" s="144"/>
      <c r="EU706" s="144" t="s">
        <v>2019</v>
      </c>
      <c r="EV706" s="144" t="s">
        <v>2006</v>
      </c>
      <c r="EW706" s="144" t="s">
        <v>29</v>
      </c>
      <c r="EX706" s="144"/>
      <c r="EY706" s="144"/>
      <c r="EZ706" s="144"/>
      <c r="FA706" s="144"/>
      <c r="FB706" s="144"/>
      <c r="FC706" s="144"/>
      <c r="FD706" s="144"/>
      <c r="FE706" s="144"/>
      <c r="FF706" s="144"/>
      <c r="FG706" s="144"/>
      <c r="FH706" s="144"/>
      <c r="FI706" s="144"/>
      <c r="FJ706" s="144"/>
      <c r="FK706" s="144"/>
      <c r="FL706" s="144"/>
      <c r="FM706" s="144"/>
      <c r="FN706" s="144"/>
      <c r="FO706" s="144"/>
      <c r="FP706" s="144"/>
      <c r="FQ706" s="144"/>
      <c r="FR706" s="144"/>
      <c r="FS706" s="144"/>
      <c r="FT706" s="144"/>
      <c r="FU706" s="144"/>
      <c r="FV706" s="144"/>
      <c r="FW706" s="144"/>
      <c r="FX706" s="144"/>
      <c r="FY706" s="144"/>
      <c r="FZ706" s="144"/>
      <c r="GA706" s="144"/>
      <c r="GB706" s="144"/>
      <c r="GC706" s="144"/>
      <c r="GD706" s="144"/>
      <c r="GE706" s="144"/>
      <c r="GF706" s="144"/>
      <c r="GG706" s="144"/>
      <c r="GH706" s="144"/>
      <c r="GI706" s="144"/>
      <c r="GJ706" s="144"/>
      <c r="GK706" s="144"/>
      <c r="GL706" s="144"/>
      <c r="GM706" s="144"/>
      <c r="GN706" s="144"/>
      <c r="GO706" s="144"/>
      <c r="GP706" s="144"/>
      <c r="GQ706" s="144"/>
      <c r="GR706" s="144"/>
      <c r="GS706" s="144"/>
      <c r="GT706" s="144"/>
      <c r="GU706" s="144"/>
      <c r="GV706" s="144"/>
      <c r="GW706" s="144"/>
      <c r="GX706" s="144"/>
      <c r="GY706" s="144"/>
      <c r="GZ706" s="144"/>
      <c r="HA706" s="144"/>
      <c r="HB706" s="144"/>
      <c r="HC706" s="144"/>
      <c r="HD706" s="144"/>
      <c r="HE706" s="144"/>
      <c r="HF706" s="144"/>
      <c r="HG706" s="144"/>
      <c r="HH706" s="144"/>
      <c r="HI706" s="144"/>
      <c r="HJ706" s="144"/>
      <c r="HK706" s="144"/>
      <c r="HL706" s="144" t="s">
        <v>2007</v>
      </c>
      <c r="HM706" s="144" t="s">
        <v>232</v>
      </c>
      <c r="HN706" s="87"/>
      <c r="HO706" s="87"/>
      <c r="HP706" s="87"/>
      <c r="HQ706" s="87"/>
      <c r="HR706" s="87"/>
      <c r="HS706" s="87"/>
      <c r="HT706" s="87"/>
      <c r="HU706" s="87"/>
      <c r="HV706" s="87"/>
      <c r="HW706" s="87"/>
      <c r="HX706" s="87"/>
      <c r="HY706" s="145"/>
      <c r="HZ706" s="87"/>
      <c r="IA706" s="87"/>
      <c r="IB706" s="87"/>
      <c r="IC706" s="87"/>
      <c r="ID706" s="87"/>
      <c r="IE706" s="87"/>
      <c r="IF706" s="87"/>
      <c r="IG706" s="87"/>
      <c r="IH706" s="87"/>
      <c r="II706" s="87"/>
      <c r="IJ706" s="87"/>
      <c r="IK706" s="87"/>
      <c r="IL706" s="87"/>
      <c r="IM706" s="87"/>
      <c r="IN706" s="87"/>
      <c r="IO706" s="87"/>
      <c r="IP706" s="87"/>
      <c r="IQ706" s="87"/>
      <c r="IR706" s="87"/>
      <c r="IS706" s="87"/>
      <c r="IT706" s="87"/>
      <c r="IU706" s="87" t="s">
        <v>2020</v>
      </c>
      <c r="IV706" s="87" t="s">
        <v>2009</v>
      </c>
      <c r="IW706" s="87" t="s">
        <v>2021</v>
      </c>
      <c r="IX706" s="87"/>
      <c r="IY706" s="87"/>
      <c r="IZ706" s="87">
        <v>50</v>
      </c>
      <c r="JA706" s="87"/>
      <c r="JB706" s="87"/>
      <c r="JC706" s="87">
        <v>12</v>
      </c>
      <c r="JD706" s="87"/>
      <c r="JE706" s="87"/>
      <c r="JF706" s="87"/>
      <c r="JG706" s="87"/>
      <c r="JH706" s="87"/>
      <c r="JI706" s="87"/>
      <c r="JJ706" s="87"/>
      <c r="JK706" s="87"/>
      <c r="JL706" s="87"/>
      <c r="JM706" s="87"/>
      <c r="JN706" s="87"/>
      <c r="JO706" s="151"/>
      <c r="JP706" s="87"/>
      <c r="JQ706" s="87"/>
      <c r="JR706" s="87"/>
      <c r="JS706" s="87"/>
      <c r="JT706" s="87"/>
      <c r="JU706" s="87"/>
      <c r="JV706" s="87"/>
      <c r="JW706" s="87"/>
      <c r="JX706" s="87"/>
      <c r="JY706" s="151"/>
      <c r="JZ706" s="87"/>
      <c r="KA706" s="87"/>
      <c r="KB706" s="87"/>
      <c r="KC706" s="87"/>
      <c r="KD706" s="87"/>
      <c r="KE706" s="87"/>
      <c r="KF706" s="87"/>
      <c r="KG706" s="87"/>
      <c r="KH706" s="87"/>
      <c r="KI706" s="87"/>
      <c r="KJ706" s="87"/>
      <c r="KK706" s="87"/>
      <c r="KL706" s="87"/>
      <c r="KM706" s="87"/>
      <c r="KN706" s="87"/>
      <c r="KO706" s="87"/>
      <c r="KP706" s="87"/>
      <c r="KQ706" s="151"/>
      <c r="KR706" s="151"/>
      <c r="KS706" s="151"/>
      <c r="KT706" s="151"/>
      <c r="KU706" s="87"/>
      <c r="KV706" s="87"/>
      <c r="KW706" s="87"/>
      <c r="KX706" s="87"/>
      <c r="KY706" s="87"/>
      <c r="KZ706" s="87"/>
      <c r="LA706" s="87"/>
      <c r="LB706" s="87"/>
      <c r="LC706" s="87"/>
      <c r="LD706" s="87"/>
      <c r="LE706" s="87"/>
      <c r="LF706" s="87"/>
      <c r="LG706" s="87"/>
      <c r="LH706" s="87"/>
      <c r="LI706" s="87"/>
      <c r="LJ706" s="87"/>
      <c r="LK706" s="87"/>
      <c r="LL706" s="87"/>
      <c r="LM706" s="87"/>
      <c r="LN706" s="87"/>
      <c r="LO706" s="87"/>
      <c r="LP706" s="87"/>
      <c r="LQ706" s="87"/>
      <c r="LR706" s="87"/>
      <c r="LS706" s="87"/>
      <c r="LT706" s="87"/>
      <c r="LU706" s="87"/>
      <c r="LV706" s="87"/>
      <c r="LW706" s="87"/>
      <c r="LX706" s="87"/>
      <c r="LY706" s="87"/>
      <c r="LZ706" s="87"/>
      <c r="MA706" s="87"/>
      <c r="MB706" s="87"/>
      <c r="MC706" s="87"/>
      <c r="MD706" s="87"/>
      <c r="ME706" s="87"/>
      <c r="MF706" s="87"/>
      <c r="MG706" s="87"/>
      <c r="MH706" s="87"/>
      <c r="MI706" s="87"/>
      <c r="MJ706" s="87"/>
      <c r="MK706" s="87"/>
      <c r="ML706" s="87"/>
      <c r="MM706" s="87"/>
      <c r="MN706" s="87"/>
      <c r="MO706" s="87"/>
      <c r="MP706" s="87"/>
      <c r="MQ706" s="87"/>
      <c r="MR706" s="87"/>
      <c r="MS706" s="87" t="s">
        <v>1987</v>
      </c>
      <c r="MT706" s="87">
        <v>625</v>
      </c>
      <c r="MU706" s="87" t="s">
        <v>1988</v>
      </c>
      <c r="MV706" s="87"/>
      <c r="MW706" s="87" t="s">
        <v>1992</v>
      </c>
      <c r="MX706" s="87" t="s">
        <v>1993</v>
      </c>
      <c r="MY706" s="87" t="s">
        <v>1994</v>
      </c>
      <c r="MZ706" s="87" t="s">
        <v>1995</v>
      </c>
      <c r="NA706" s="87" t="s">
        <v>1996</v>
      </c>
      <c r="NB706" s="87"/>
      <c r="NC706" s="87"/>
      <c r="ND706" s="87"/>
      <c r="NE706" s="87" t="s">
        <v>2047</v>
      </c>
      <c r="NF706" s="87" t="s">
        <v>2048</v>
      </c>
      <c r="NG706" s="87" t="s">
        <v>2035</v>
      </c>
      <c r="NH706" s="87" t="s">
        <v>2046</v>
      </c>
      <c r="NI706" s="87"/>
      <c r="NJ706" s="87"/>
      <c r="NK706" s="87"/>
      <c r="NL706" s="87"/>
      <c r="NM706" s="87"/>
      <c r="NN706" s="87"/>
      <c r="NO706" s="87"/>
      <c r="NP706" s="87" t="s">
        <v>2022</v>
      </c>
      <c r="NQ706" s="87" t="s">
        <v>6</v>
      </c>
      <c r="NR706" s="87">
        <v>8.3800000000000008</v>
      </c>
      <c r="NS706" s="87" t="s">
        <v>1456</v>
      </c>
      <c r="NT706" s="87">
        <v>1.62</v>
      </c>
      <c r="NU706" s="87"/>
      <c r="NV706" s="87"/>
      <c r="NW706" s="87">
        <v>32</v>
      </c>
      <c r="NX706" s="87"/>
      <c r="NY706" s="87"/>
      <c r="NZ706" s="87"/>
      <c r="OA706" s="87"/>
      <c r="OB706" s="87"/>
      <c r="OC706" s="87"/>
      <c r="OD706" s="87"/>
      <c r="OE706" s="87"/>
      <c r="OF706" s="87"/>
      <c r="OG706" s="87"/>
      <c r="OH706" s="87" t="s">
        <v>1999</v>
      </c>
      <c r="OI706" s="149"/>
      <c r="OJ706" s="87"/>
      <c r="OK706" s="87">
        <v>2009</v>
      </c>
      <c r="OL706" s="87">
        <v>2010</v>
      </c>
      <c r="OM706" s="87"/>
      <c r="ON706" s="87"/>
      <c r="OO706" s="87" t="s">
        <v>2000</v>
      </c>
      <c r="OP706" s="145">
        <v>46133</v>
      </c>
      <c r="OQ706" s="87"/>
      <c r="OR706" s="87"/>
      <c r="OS706" s="87"/>
      <c r="OT706" s="87"/>
      <c r="OU706" s="143"/>
    </row>
    <row r="707" spans="1:411">
      <c r="A707" t="s">
        <v>36</v>
      </c>
      <c r="B707" t="s">
        <v>1975</v>
      </c>
      <c r="C707" t="s">
        <v>1976</v>
      </c>
      <c r="D707" t="s">
        <v>245</v>
      </c>
      <c r="E707" t="s">
        <v>2012</v>
      </c>
      <c r="F707" t="s">
        <v>1980</v>
      </c>
      <c r="G707" t="s">
        <v>2</v>
      </c>
      <c r="H707" t="s">
        <v>30</v>
      </c>
      <c r="I707">
        <v>-8.8170000000000002</v>
      </c>
      <c r="J707">
        <v>-75.2</v>
      </c>
      <c r="L707" t="s">
        <v>1976</v>
      </c>
      <c r="M707" t="s">
        <v>245</v>
      </c>
      <c r="N707" t="s">
        <v>1979</v>
      </c>
      <c r="O707" t="s">
        <v>1980</v>
      </c>
      <c r="P707" t="s">
        <v>2</v>
      </c>
      <c r="Q707" t="s">
        <v>30</v>
      </c>
      <c r="R707">
        <v>-8.5169999999999995</v>
      </c>
      <c r="S707">
        <v>-74.766999999999996</v>
      </c>
      <c r="U707" t="s">
        <v>1976</v>
      </c>
      <c r="V707" t="s">
        <v>245</v>
      </c>
      <c r="W707" t="s">
        <v>2001</v>
      </c>
      <c r="X707" t="s">
        <v>1980</v>
      </c>
      <c r="Y707" t="s">
        <v>2</v>
      </c>
      <c r="Z707" t="s">
        <v>30</v>
      </c>
      <c r="AA707">
        <v>-8.3670000000000009</v>
      </c>
      <c r="AB707">
        <v>-74.7</v>
      </c>
      <c r="AV707" t="s">
        <v>1981</v>
      </c>
      <c r="AW707">
        <v>625</v>
      </c>
      <c r="AX707" t="s">
        <v>29</v>
      </c>
      <c r="AY707">
        <v>2</v>
      </c>
      <c r="AZ707" t="s">
        <v>1982</v>
      </c>
      <c r="BA707">
        <v>2009</v>
      </c>
      <c r="BB707">
        <v>2010</v>
      </c>
      <c r="BC707" t="s">
        <v>1983</v>
      </c>
      <c r="BD707" t="s">
        <v>19</v>
      </c>
      <c r="BE707" t="s">
        <v>2023</v>
      </c>
      <c r="BF707" t="s">
        <v>24</v>
      </c>
      <c r="BG707" t="s">
        <v>1243</v>
      </c>
      <c r="BH707" t="s">
        <v>2024</v>
      </c>
      <c r="BI707" t="s">
        <v>29</v>
      </c>
      <c r="BJ707" t="s">
        <v>29</v>
      </c>
      <c r="BK707" t="s">
        <v>29</v>
      </c>
      <c r="EJ707" s="9"/>
      <c r="EK707" s="9"/>
      <c r="EL707" s="9"/>
      <c r="EM707" s="9"/>
      <c r="EN707" s="9"/>
      <c r="EO707" s="9"/>
      <c r="EP707" s="9"/>
      <c r="EQ707" s="9"/>
      <c r="ER707" s="9"/>
      <c r="ES707" s="9"/>
      <c r="ET707" s="9"/>
      <c r="EU707" s="9"/>
      <c r="EV707" s="9"/>
      <c r="EW707" s="9"/>
      <c r="EX707" s="9"/>
      <c r="EY707" s="9"/>
      <c r="EZ707" s="9"/>
      <c r="FA707" s="9"/>
      <c r="FB707" s="9"/>
      <c r="FC707" s="9"/>
      <c r="FD707" s="9"/>
      <c r="FE707" s="9"/>
      <c r="FF707" s="9"/>
      <c r="FG707" s="9"/>
      <c r="FH707" s="9"/>
      <c r="FI707" s="9"/>
      <c r="FJ707" s="9"/>
      <c r="FK707" s="9"/>
      <c r="FL707" s="9"/>
      <c r="FM707" s="9"/>
      <c r="FN707" s="9"/>
      <c r="FO707" s="9"/>
      <c r="FP707" s="9"/>
      <c r="FQ707" s="9"/>
      <c r="FR707" s="9"/>
      <c r="FS707" s="9"/>
      <c r="FT707" s="9"/>
      <c r="FU707" s="9"/>
      <c r="FV707" s="9"/>
      <c r="FW707" s="9"/>
      <c r="FX707" s="9"/>
      <c r="FY707" s="9"/>
      <c r="FZ707" s="9"/>
      <c r="GA707" s="9"/>
      <c r="GB707" s="9"/>
      <c r="GC707" s="9"/>
      <c r="GD707" s="9"/>
      <c r="GE707" s="9"/>
      <c r="GF707" s="9"/>
      <c r="GG707" s="9"/>
      <c r="GH707" s="9"/>
      <c r="GI707" s="9"/>
      <c r="GJ707" s="9"/>
      <c r="GK707" s="9"/>
      <c r="GL707" s="9"/>
      <c r="GM707" s="9"/>
      <c r="GN707" s="9"/>
      <c r="GO707" s="9"/>
      <c r="GP707" s="9"/>
      <c r="GQ707" s="9"/>
      <c r="GR707" s="9"/>
      <c r="GS707" s="9"/>
      <c r="GT707" s="9"/>
      <c r="GU707" s="9"/>
      <c r="GV707" s="9"/>
      <c r="GW707" s="9"/>
      <c r="GX707" s="9"/>
      <c r="GY707" s="9"/>
      <c r="GZ707" s="9"/>
      <c r="HA707" s="9"/>
      <c r="HB707" s="9"/>
      <c r="HC707" s="9"/>
      <c r="HD707" s="9"/>
      <c r="HE707" s="9"/>
      <c r="HF707" s="9"/>
      <c r="HG707" s="9"/>
      <c r="HH707" s="9"/>
      <c r="HI707" s="9"/>
      <c r="HJ707" s="9"/>
      <c r="HK707" s="9"/>
      <c r="HL707" s="9" t="s">
        <v>2025</v>
      </c>
      <c r="HM707" s="9" t="s">
        <v>297</v>
      </c>
      <c r="HN707" t="s">
        <v>12</v>
      </c>
      <c r="HY707" s="58"/>
      <c r="JO707" s="9"/>
      <c r="JY707" s="9"/>
      <c r="KQ707" s="9"/>
      <c r="KR707" s="9"/>
      <c r="KS707" s="9"/>
      <c r="KT707" s="9"/>
      <c r="MS707" t="s">
        <v>1987</v>
      </c>
      <c r="MT707">
        <v>625</v>
      </c>
      <c r="MU707" t="s">
        <v>1988</v>
      </c>
      <c r="MW707" t="s">
        <v>1992</v>
      </c>
      <c r="MX707" t="s">
        <v>1993</v>
      </c>
      <c r="MY707" t="s">
        <v>1994</v>
      </c>
      <c r="MZ707" t="s">
        <v>1995</v>
      </c>
      <c r="NA707" t="s">
        <v>1996</v>
      </c>
      <c r="NE707" t="s">
        <v>2047</v>
      </c>
      <c r="NF707" t="s">
        <v>2048</v>
      </c>
      <c r="NG707" t="s">
        <v>2035</v>
      </c>
      <c r="NH707" t="s">
        <v>2046</v>
      </c>
      <c r="NP707" t="s">
        <v>2026</v>
      </c>
      <c r="NQ707" t="s">
        <v>6</v>
      </c>
      <c r="NR707">
        <v>4.72</v>
      </c>
      <c r="NS707" t="s">
        <v>1456</v>
      </c>
      <c r="NT707">
        <v>1.1100000000000001</v>
      </c>
      <c r="NW707">
        <v>32</v>
      </c>
      <c r="OH707" t="s">
        <v>1999</v>
      </c>
      <c r="OI707" s="19"/>
      <c r="OK707">
        <v>2009</v>
      </c>
      <c r="OL707">
        <v>2010</v>
      </c>
      <c r="OO707" t="s">
        <v>2000</v>
      </c>
      <c r="OP707" s="58">
        <v>46133</v>
      </c>
    </row>
    <row r="708" spans="1:411">
      <c r="A708" s="87" t="s">
        <v>36</v>
      </c>
      <c r="B708" s="87" t="s">
        <v>1975</v>
      </c>
      <c r="C708" s="87" t="s">
        <v>1976</v>
      </c>
      <c r="D708" s="87" t="s">
        <v>245</v>
      </c>
      <c r="E708" s="87" t="s">
        <v>2012</v>
      </c>
      <c r="F708" s="87" t="s">
        <v>1980</v>
      </c>
      <c r="G708" s="87" t="s">
        <v>2</v>
      </c>
      <c r="H708" s="87" t="s">
        <v>30</v>
      </c>
      <c r="I708" s="87">
        <v>-8.8170000000000002</v>
      </c>
      <c r="J708" s="87">
        <v>-75.2</v>
      </c>
      <c r="K708" s="87"/>
      <c r="L708" s="87" t="s">
        <v>1976</v>
      </c>
      <c r="M708" s="87" t="s">
        <v>245</v>
      </c>
      <c r="N708" s="87" t="s">
        <v>1979</v>
      </c>
      <c r="O708" s="87" t="s">
        <v>1980</v>
      </c>
      <c r="P708" s="87" t="s">
        <v>2</v>
      </c>
      <c r="Q708" s="87" t="s">
        <v>30</v>
      </c>
      <c r="R708" s="87">
        <v>-8.5169999999999995</v>
      </c>
      <c r="S708" s="87">
        <v>-74.766999999999996</v>
      </c>
      <c r="T708" s="87"/>
      <c r="U708" s="87" t="s">
        <v>1976</v>
      </c>
      <c r="V708" s="87" t="s">
        <v>245</v>
      </c>
      <c r="W708" s="87" t="s">
        <v>2001</v>
      </c>
      <c r="X708" s="87" t="s">
        <v>1980</v>
      </c>
      <c r="Y708" s="87" t="s">
        <v>2</v>
      </c>
      <c r="Z708" s="87" t="s">
        <v>30</v>
      </c>
      <c r="AA708" s="87">
        <v>-8.3670000000000009</v>
      </c>
      <c r="AB708" s="87">
        <v>-74.7</v>
      </c>
      <c r="AC708" s="87"/>
      <c r="AD708" s="87"/>
      <c r="AE708" s="87"/>
      <c r="AF708" s="87"/>
      <c r="AG708" s="87"/>
      <c r="AH708" s="87"/>
      <c r="AI708" s="87"/>
      <c r="AJ708" s="87"/>
      <c r="AK708" s="87"/>
      <c r="AL708" s="87"/>
      <c r="AM708" s="87"/>
      <c r="AN708" s="87"/>
      <c r="AO708" s="87"/>
      <c r="AP708" s="87"/>
      <c r="AQ708" s="87"/>
      <c r="AR708" s="87"/>
      <c r="AS708" s="87"/>
      <c r="AT708" s="87"/>
      <c r="AU708" s="87"/>
      <c r="AV708" s="87" t="s">
        <v>1981</v>
      </c>
      <c r="AW708" s="87">
        <v>625</v>
      </c>
      <c r="AX708" s="87" t="s">
        <v>29</v>
      </c>
      <c r="AY708" s="87">
        <v>2</v>
      </c>
      <c r="AZ708" s="87" t="s">
        <v>1982</v>
      </c>
      <c r="BA708" s="87">
        <v>2009</v>
      </c>
      <c r="BB708" s="87">
        <v>2010</v>
      </c>
      <c r="BC708" s="87" t="s">
        <v>1983</v>
      </c>
      <c r="BD708" s="87" t="s">
        <v>2055</v>
      </c>
      <c r="BE708" s="87" t="s">
        <v>2027</v>
      </c>
      <c r="BF708" s="87" t="s">
        <v>299</v>
      </c>
      <c r="BG708" s="87" t="s">
        <v>1798</v>
      </c>
      <c r="BH708" s="87" t="s">
        <v>2028</v>
      </c>
      <c r="BI708" s="87" t="s">
        <v>29</v>
      </c>
      <c r="BJ708" s="87" t="s">
        <v>29</v>
      </c>
      <c r="BK708" s="87" t="s">
        <v>29</v>
      </c>
      <c r="BL708" s="87"/>
      <c r="BM708" s="87"/>
      <c r="BN708" s="87"/>
      <c r="BO708" s="87"/>
      <c r="BP708" s="87"/>
      <c r="BQ708" s="87"/>
      <c r="BR708" s="87"/>
      <c r="BS708" s="87"/>
      <c r="BT708" s="87"/>
      <c r="BU708" s="87"/>
      <c r="BV708" s="87"/>
      <c r="BW708" s="87"/>
      <c r="BX708" s="87"/>
      <c r="BY708" s="87"/>
      <c r="BZ708" s="87"/>
      <c r="CA708" s="87"/>
      <c r="CB708" s="87"/>
      <c r="CC708" s="87"/>
      <c r="CD708" s="87"/>
      <c r="CE708" s="87"/>
      <c r="CF708" s="87"/>
      <c r="CG708" s="87"/>
      <c r="CH708" s="87"/>
      <c r="CI708" s="87"/>
      <c r="CJ708" s="87"/>
      <c r="CK708" s="87"/>
      <c r="CL708" s="87"/>
      <c r="CM708" s="87"/>
      <c r="CN708" s="87"/>
      <c r="CO708" s="87"/>
      <c r="CP708" s="87"/>
      <c r="CQ708" s="87"/>
      <c r="CR708" s="87"/>
      <c r="CS708" s="87"/>
      <c r="CT708" s="87"/>
      <c r="CU708" s="87"/>
      <c r="CV708" s="87"/>
      <c r="CW708" s="87"/>
      <c r="CX708" s="87"/>
      <c r="CY708" s="87"/>
      <c r="CZ708" s="87"/>
      <c r="DA708" s="87"/>
      <c r="DB708" s="87"/>
      <c r="DC708" s="87"/>
      <c r="DD708" s="87"/>
      <c r="DE708" s="87"/>
      <c r="DF708" s="87"/>
      <c r="DG708" s="87"/>
      <c r="DH708" s="87"/>
      <c r="DI708" s="87"/>
      <c r="DJ708" s="87"/>
      <c r="DK708" s="87"/>
      <c r="DL708" s="87"/>
      <c r="DM708" s="87"/>
      <c r="DN708" s="87"/>
      <c r="DO708" s="87"/>
      <c r="DP708" s="87"/>
      <c r="DQ708" s="87"/>
      <c r="DR708" s="87"/>
      <c r="DS708" s="87"/>
      <c r="DT708" s="87"/>
      <c r="DU708" s="87"/>
      <c r="DV708" s="87"/>
      <c r="DW708" s="87"/>
      <c r="DX708" s="87"/>
      <c r="DY708" s="87"/>
      <c r="DZ708" s="87"/>
      <c r="EA708" s="87"/>
      <c r="EB708" s="87"/>
      <c r="EC708" s="87"/>
      <c r="ED708" s="87"/>
      <c r="EE708" s="87"/>
      <c r="EF708" s="87"/>
      <c r="EG708" s="87"/>
      <c r="EH708" s="87"/>
      <c r="EI708" s="87"/>
      <c r="EJ708" s="144"/>
      <c r="EK708" s="144"/>
      <c r="EL708" s="144"/>
      <c r="EM708" s="144"/>
      <c r="EN708" s="144"/>
      <c r="EO708" s="144"/>
      <c r="EP708" s="144"/>
      <c r="EQ708" s="144"/>
      <c r="ER708" s="144"/>
      <c r="ES708" s="144"/>
      <c r="ET708" s="144"/>
      <c r="EU708" s="144"/>
      <c r="EV708" s="144"/>
      <c r="EW708" s="144"/>
      <c r="EX708" s="144"/>
      <c r="EY708" s="144"/>
      <c r="EZ708" s="144"/>
      <c r="FA708" s="144"/>
      <c r="FB708" s="144"/>
      <c r="FC708" s="144"/>
      <c r="FD708" s="144"/>
      <c r="FE708" s="144"/>
      <c r="FF708" s="144"/>
      <c r="FG708" s="144"/>
      <c r="FH708" s="144"/>
      <c r="FI708" s="144"/>
      <c r="FJ708" s="144"/>
      <c r="FK708" s="144"/>
      <c r="FL708" s="144"/>
      <c r="FM708" s="144"/>
      <c r="FN708" s="144"/>
      <c r="FO708" s="144"/>
      <c r="FP708" s="144"/>
      <c r="FQ708" s="144"/>
      <c r="FR708" s="144"/>
      <c r="FS708" s="144"/>
      <c r="FT708" s="144"/>
      <c r="FU708" s="144"/>
      <c r="FV708" s="144"/>
      <c r="FW708" s="144"/>
      <c r="FX708" s="144"/>
      <c r="FY708" s="144"/>
      <c r="FZ708" s="144"/>
      <c r="GA708" s="144"/>
      <c r="GB708" s="144"/>
      <c r="GC708" s="144"/>
      <c r="GD708" s="144"/>
      <c r="GE708" s="144"/>
      <c r="GF708" s="144"/>
      <c r="GG708" s="144"/>
      <c r="GH708" s="144"/>
      <c r="GI708" s="144"/>
      <c r="GJ708" s="144"/>
      <c r="GK708" s="144"/>
      <c r="GL708" s="144"/>
      <c r="GM708" s="144"/>
      <c r="GN708" s="144"/>
      <c r="GO708" s="144"/>
      <c r="GP708" s="144"/>
      <c r="GQ708" s="144"/>
      <c r="GR708" s="144"/>
      <c r="GS708" s="144"/>
      <c r="GT708" s="144"/>
      <c r="GU708" s="144"/>
      <c r="GV708" s="144"/>
      <c r="GW708" s="144"/>
      <c r="GX708" s="144"/>
      <c r="GY708" s="144"/>
      <c r="GZ708" s="144"/>
      <c r="HA708" s="144"/>
      <c r="HB708" s="144"/>
      <c r="HC708" s="144"/>
      <c r="HD708" s="144"/>
      <c r="HE708" s="144"/>
      <c r="HF708" s="144"/>
      <c r="HG708" s="144"/>
      <c r="HH708" s="144"/>
      <c r="HI708" s="144"/>
      <c r="HJ708" s="144"/>
      <c r="HK708" s="144"/>
      <c r="HL708" s="144" t="s">
        <v>2029</v>
      </c>
      <c r="HM708" s="144" t="s">
        <v>232</v>
      </c>
      <c r="HN708" s="87"/>
      <c r="HO708" s="87"/>
      <c r="HP708" s="87"/>
      <c r="HQ708" s="87"/>
      <c r="HR708" s="87"/>
      <c r="HS708" s="87"/>
      <c r="HT708" s="87"/>
      <c r="HU708" s="87"/>
      <c r="HV708" s="87"/>
      <c r="HW708" s="87"/>
      <c r="HX708" s="87"/>
      <c r="HY708" s="145"/>
      <c r="HZ708" s="87"/>
      <c r="IA708" s="87"/>
      <c r="IB708" s="87"/>
      <c r="IC708" s="87"/>
      <c r="ID708" s="87"/>
      <c r="IE708" s="87"/>
      <c r="IF708" s="87"/>
      <c r="IG708" s="87"/>
      <c r="IH708" s="87"/>
      <c r="II708" s="87"/>
      <c r="IJ708" s="87"/>
      <c r="IK708" s="87"/>
      <c r="IL708" s="87"/>
      <c r="IM708" s="87"/>
      <c r="IN708" s="87"/>
      <c r="IO708" s="87"/>
      <c r="IP708" s="87"/>
      <c r="IQ708" s="87"/>
      <c r="IR708" s="87"/>
      <c r="IS708" s="87"/>
      <c r="IT708" s="87"/>
      <c r="IU708" s="87"/>
      <c r="IV708" s="87"/>
      <c r="IW708" s="87"/>
      <c r="IX708" s="87"/>
      <c r="IY708" s="87"/>
      <c r="IZ708" s="87"/>
      <c r="JA708" s="87"/>
      <c r="JB708" s="87"/>
      <c r="JC708" s="87"/>
      <c r="JD708" s="87"/>
      <c r="JE708" s="87"/>
      <c r="JF708" s="87"/>
      <c r="JG708" s="87"/>
      <c r="JH708" s="87"/>
      <c r="JI708" s="87"/>
      <c r="JJ708" s="87"/>
      <c r="JK708" s="87"/>
      <c r="JL708" s="87"/>
      <c r="JM708" s="87"/>
      <c r="JN708" s="87"/>
      <c r="JO708" s="151"/>
      <c r="JP708" s="87"/>
      <c r="JQ708" s="87"/>
      <c r="JR708" s="87"/>
      <c r="JS708" s="87"/>
      <c r="JT708" s="87"/>
      <c r="JU708" s="87"/>
      <c r="JV708" s="87"/>
      <c r="JW708" s="87"/>
      <c r="JX708" s="87"/>
      <c r="JY708" s="151"/>
      <c r="JZ708" s="87"/>
      <c r="KA708" s="87"/>
      <c r="KB708" s="87"/>
      <c r="KC708" s="87"/>
      <c r="KD708" s="87"/>
      <c r="KE708" s="87"/>
      <c r="KF708" s="87"/>
      <c r="KG708" s="87"/>
      <c r="KH708" s="87"/>
      <c r="KI708" s="87"/>
      <c r="KJ708" s="87"/>
      <c r="KK708" s="87"/>
      <c r="KL708" s="87"/>
      <c r="KM708" s="87"/>
      <c r="KN708" s="87"/>
      <c r="KO708" s="87"/>
      <c r="KP708" s="87"/>
      <c r="KQ708" s="151"/>
      <c r="KR708" s="151"/>
      <c r="KS708" s="151"/>
      <c r="KT708" s="151"/>
      <c r="KU708" s="87"/>
      <c r="KV708" s="87"/>
      <c r="KW708" s="87"/>
      <c r="KX708" s="87"/>
      <c r="KY708" s="87"/>
      <c r="KZ708" s="87"/>
      <c r="LA708" s="87"/>
      <c r="LB708" s="87"/>
      <c r="LC708" s="87"/>
      <c r="LD708" s="87"/>
      <c r="LE708" s="87"/>
      <c r="LF708" s="87"/>
      <c r="LG708" s="87"/>
      <c r="LH708" s="87"/>
      <c r="LI708" s="87"/>
      <c r="LJ708" s="87"/>
      <c r="LK708" s="87"/>
      <c r="LL708" s="87"/>
      <c r="LM708" s="87"/>
      <c r="LN708" s="87"/>
      <c r="LO708" s="87"/>
      <c r="LP708" s="87"/>
      <c r="LQ708" s="87"/>
      <c r="LR708" s="87"/>
      <c r="LS708" s="87"/>
      <c r="LT708" s="87"/>
      <c r="LU708" s="87"/>
      <c r="LV708" s="87"/>
      <c r="LW708" s="87"/>
      <c r="LX708" s="87"/>
      <c r="LY708" s="87"/>
      <c r="LZ708" s="87"/>
      <c r="MA708" s="87"/>
      <c r="MB708" s="87"/>
      <c r="MC708" s="87"/>
      <c r="MD708" s="87"/>
      <c r="ME708" s="87"/>
      <c r="MF708" s="87"/>
      <c r="MG708" s="87"/>
      <c r="MH708" s="87"/>
      <c r="MI708" s="87"/>
      <c r="MJ708" s="87"/>
      <c r="MK708" s="87"/>
      <c r="ML708" s="87"/>
      <c r="MM708" s="87"/>
      <c r="MN708" s="87"/>
      <c r="MO708" s="87"/>
      <c r="MP708" s="87"/>
      <c r="MQ708" s="87"/>
      <c r="MR708" s="87"/>
      <c r="MS708" s="87" t="s">
        <v>1987</v>
      </c>
      <c r="MT708" s="87">
        <v>625</v>
      </c>
      <c r="MU708" s="87" t="s">
        <v>1988</v>
      </c>
      <c r="MV708" s="87"/>
      <c r="MW708" s="87" t="s">
        <v>1992</v>
      </c>
      <c r="MX708" s="87" t="s">
        <v>1993</v>
      </c>
      <c r="MY708" s="87" t="s">
        <v>1994</v>
      </c>
      <c r="MZ708" s="87" t="s">
        <v>1995</v>
      </c>
      <c r="NA708" s="87" t="s">
        <v>1996</v>
      </c>
      <c r="NB708" s="87"/>
      <c r="NC708" s="87"/>
      <c r="ND708" s="87"/>
      <c r="NE708" s="87" t="s">
        <v>2047</v>
      </c>
      <c r="NF708" s="87" t="s">
        <v>2048</v>
      </c>
      <c r="NG708" s="87" t="s">
        <v>2035</v>
      </c>
      <c r="NH708" s="87" t="s">
        <v>2046</v>
      </c>
      <c r="NI708" s="87"/>
      <c r="NJ708" s="87"/>
      <c r="NK708" s="87"/>
      <c r="NL708" s="87"/>
      <c r="NM708" s="87"/>
      <c r="NN708" s="87"/>
      <c r="NO708" s="87"/>
      <c r="NP708" s="87" t="s">
        <v>2030</v>
      </c>
      <c r="NQ708" s="87" t="s">
        <v>6</v>
      </c>
      <c r="NR708" s="87">
        <v>3.34</v>
      </c>
      <c r="NS708" s="87" t="s">
        <v>1456</v>
      </c>
      <c r="NT708" s="87">
        <v>0.9</v>
      </c>
      <c r="NU708" s="87"/>
      <c r="NV708" s="87"/>
      <c r="NW708" s="87">
        <v>32</v>
      </c>
      <c r="NX708" s="87"/>
      <c r="NY708" s="87"/>
      <c r="NZ708" s="87"/>
      <c r="OA708" s="87"/>
      <c r="OB708" s="87"/>
      <c r="OC708" s="87"/>
      <c r="OD708" s="87"/>
      <c r="OE708" s="87"/>
      <c r="OF708" s="87"/>
      <c r="OG708" s="87"/>
      <c r="OH708" s="87" t="s">
        <v>1999</v>
      </c>
      <c r="OI708" s="149"/>
      <c r="OJ708" s="87"/>
      <c r="OK708" s="87">
        <v>2009</v>
      </c>
      <c r="OL708" s="87">
        <v>2010</v>
      </c>
      <c r="OM708" s="87"/>
      <c r="ON708" s="87"/>
      <c r="OO708" s="87" t="s">
        <v>2000</v>
      </c>
      <c r="OP708" s="145">
        <v>46133</v>
      </c>
      <c r="OQ708" s="87"/>
      <c r="OR708" s="87"/>
      <c r="OS708" s="87"/>
      <c r="OT708" s="87"/>
      <c r="OU708" s="143"/>
    </row>
    <row r="709" spans="1:411">
      <c r="A709" t="s">
        <v>36</v>
      </c>
      <c r="B709" t="s">
        <v>1975</v>
      </c>
      <c r="C709" t="s">
        <v>1976</v>
      </c>
      <c r="D709" t="s">
        <v>1955</v>
      </c>
      <c r="E709" t="s">
        <v>1977</v>
      </c>
      <c r="F709" t="s">
        <v>1978</v>
      </c>
      <c r="G709" t="s">
        <v>2</v>
      </c>
      <c r="H709" t="s">
        <v>30</v>
      </c>
      <c r="I709">
        <v>-8.9</v>
      </c>
      <c r="J709">
        <v>-74.983000000000004</v>
      </c>
      <c r="L709" t="s">
        <v>1976</v>
      </c>
      <c r="M709" t="s">
        <v>245</v>
      </c>
      <c r="N709" t="s">
        <v>1979</v>
      </c>
      <c r="O709" t="s">
        <v>1980</v>
      </c>
      <c r="P709" t="s">
        <v>2</v>
      </c>
      <c r="Q709" t="s">
        <v>30</v>
      </c>
      <c r="R709">
        <v>-8.5169999999999995</v>
      </c>
      <c r="S709">
        <v>-74.766999999999996</v>
      </c>
      <c r="AV709" t="s">
        <v>1981</v>
      </c>
      <c r="AW709">
        <v>625</v>
      </c>
      <c r="AX709" t="s">
        <v>29</v>
      </c>
      <c r="AY709">
        <v>2</v>
      </c>
      <c r="AZ709" t="s">
        <v>1982</v>
      </c>
      <c r="BA709">
        <v>2009</v>
      </c>
      <c r="BB709">
        <v>2010</v>
      </c>
      <c r="BC709" t="s">
        <v>1983</v>
      </c>
      <c r="BD709" t="s">
        <v>1985</v>
      </c>
      <c r="BE709" t="s">
        <v>1984</v>
      </c>
      <c r="BF709" t="s">
        <v>39</v>
      </c>
      <c r="BG709" t="s">
        <v>1762</v>
      </c>
      <c r="EJ709" s="9"/>
      <c r="EK709" s="9"/>
      <c r="EL709" s="9"/>
      <c r="EM709" s="9"/>
      <c r="EN709" s="9"/>
      <c r="EO709" s="9"/>
      <c r="EP709" s="9"/>
      <c r="EQ709" s="9"/>
      <c r="ER709" s="9"/>
      <c r="ES709" s="9"/>
      <c r="ET709" s="9"/>
      <c r="EU709" s="9"/>
      <c r="EV709" s="9"/>
      <c r="EW709" s="9"/>
      <c r="EX709" s="9"/>
      <c r="EY709" s="9"/>
      <c r="EZ709" s="9"/>
      <c r="FA709" s="9"/>
      <c r="FB709" s="9"/>
      <c r="FC709" s="9"/>
      <c r="FD709" s="9"/>
      <c r="FE709" s="9"/>
      <c r="FF709" s="9"/>
      <c r="FG709" s="9"/>
      <c r="FH709" s="9"/>
      <c r="FI709" s="9"/>
      <c r="FJ709" s="9"/>
      <c r="FK709" s="9"/>
      <c r="FL709" s="9"/>
      <c r="FM709" s="9"/>
      <c r="FN709" s="9"/>
      <c r="FO709" s="9"/>
      <c r="FP709" s="9"/>
      <c r="FQ709" s="9"/>
      <c r="FR709" s="9"/>
      <c r="FS709" s="9"/>
      <c r="FT709" s="9"/>
      <c r="FU709" s="9"/>
      <c r="FV709" s="9"/>
      <c r="FW709" s="9"/>
      <c r="FX709" s="9"/>
      <c r="FY709" s="9"/>
      <c r="FZ709" s="9"/>
      <c r="GA709" s="9"/>
      <c r="GB709" s="9"/>
      <c r="GC709" s="9"/>
      <c r="GD709" s="9"/>
      <c r="GE709" s="9"/>
      <c r="GF709" s="9"/>
      <c r="GG709" s="9"/>
      <c r="GH709" s="9"/>
      <c r="GI709" s="9"/>
      <c r="GJ709" s="9"/>
      <c r="GK709" s="9"/>
      <c r="GL709" s="9"/>
      <c r="GM709" s="9"/>
      <c r="GN709" s="9"/>
      <c r="GO709" s="9"/>
      <c r="GP709" s="9"/>
      <c r="GQ709" s="9"/>
      <c r="GR709" s="9"/>
      <c r="GS709" s="9"/>
      <c r="GT709" s="9"/>
      <c r="GU709" s="9"/>
      <c r="GV709" s="9"/>
      <c r="GW709" s="9"/>
      <c r="GX709" s="9"/>
      <c r="GY709" s="9"/>
      <c r="GZ709" s="9"/>
      <c r="HA709" s="9"/>
      <c r="HB709" s="9"/>
      <c r="HC709" s="9"/>
      <c r="HD709" s="9"/>
      <c r="HE709" s="9"/>
      <c r="HF709" s="9"/>
      <c r="HG709" s="9"/>
      <c r="HH709" s="9"/>
      <c r="HI709" s="9"/>
      <c r="HJ709" s="9"/>
      <c r="HK709" s="9"/>
      <c r="HL709" s="9" t="s">
        <v>1986</v>
      </c>
      <c r="HM709" s="9" t="s">
        <v>232</v>
      </c>
      <c r="HY709" s="58"/>
      <c r="IY709">
        <v>20</v>
      </c>
      <c r="IZ709">
        <v>95</v>
      </c>
      <c r="JO709" s="9"/>
      <c r="JY709" s="9"/>
      <c r="KQ709" s="9"/>
      <c r="KR709" s="9"/>
      <c r="KS709" s="9"/>
      <c r="KT709" s="9"/>
      <c r="MS709" t="s">
        <v>1987</v>
      </c>
      <c r="MT709">
        <v>625</v>
      </c>
      <c r="MU709" t="s">
        <v>1988</v>
      </c>
      <c r="MW709" t="s">
        <v>1992</v>
      </c>
      <c r="MX709" t="s">
        <v>1993</v>
      </c>
      <c r="MY709" t="s">
        <v>1994</v>
      </c>
      <c r="MZ709" t="s">
        <v>1995</v>
      </c>
      <c r="NA709" t="s">
        <v>1996</v>
      </c>
      <c r="NE709" t="s">
        <v>1858</v>
      </c>
      <c r="NF709" t="s">
        <v>2049</v>
      </c>
      <c r="NG709" t="s">
        <v>1770</v>
      </c>
      <c r="NH709" t="s">
        <v>2050</v>
      </c>
      <c r="NP709" t="s">
        <v>1997</v>
      </c>
      <c r="NQ709" t="s">
        <v>1998</v>
      </c>
      <c r="NR709">
        <v>0.121</v>
      </c>
      <c r="NS709" t="s">
        <v>29</v>
      </c>
      <c r="NT709" t="s">
        <v>29</v>
      </c>
      <c r="NW709">
        <v>8</v>
      </c>
      <c r="OH709" t="s">
        <v>1999</v>
      </c>
      <c r="OI709" s="19"/>
      <c r="OK709">
        <v>2009</v>
      </c>
      <c r="OL709">
        <v>2010</v>
      </c>
      <c r="OO709" t="s">
        <v>2000</v>
      </c>
      <c r="OP709" s="58">
        <v>46133</v>
      </c>
    </row>
    <row r="710" spans="1:411">
      <c r="A710" s="87" t="s">
        <v>36</v>
      </c>
      <c r="B710" s="87" t="s">
        <v>1975</v>
      </c>
      <c r="C710" s="87" t="s">
        <v>1976</v>
      </c>
      <c r="D710" s="87" t="s">
        <v>245</v>
      </c>
      <c r="E710" s="87" t="s">
        <v>1979</v>
      </c>
      <c r="F710" s="87" t="s">
        <v>1980</v>
      </c>
      <c r="G710" s="87" t="s">
        <v>2</v>
      </c>
      <c r="H710" s="87" t="s">
        <v>30</v>
      </c>
      <c r="I710" s="87">
        <v>-8.5169999999999995</v>
      </c>
      <c r="J710" s="87">
        <v>-74.766999999999996</v>
      </c>
      <c r="K710" s="87"/>
      <c r="L710" s="87" t="s">
        <v>1976</v>
      </c>
      <c r="M710" s="87" t="s">
        <v>245</v>
      </c>
      <c r="N710" s="87" t="s">
        <v>2001</v>
      </c>
      <c r="O710" s="87" t="s">
        <v>1980</v>
      </c>
      <c r="P710" s="87" t="s">
        <v>2</v>
      </c>
      <c r="Q710" s="87" t="s">
        <v>30</v>
      </c>
      <c r="R710" s="87">
        <v>-8.3670000000000009</v>
      </c>
      <c r="S710" s="87">
        <v>-74.7</v>
      </c>
      <c r="T710" s="87"/>
      <c r="U710" s="87"/>
      <c r="V710" s="87"/>
      <c r="W710" s="87"/>
      <c r="X710" s="87"/>
      <c r="Y710" s="87"/>
      <c r="Z710" s="87"/>
      <c r="AA710" s="87"/>
      <c r="AB710" s="87"/>
      <c r="AC710" s="87"/>
      <c r="AD710" s="87"/>
      <c r="AE710" s="87"/>
      <c r="AF710" s="87"/>
      <c r="AG710" s="87"/>
      <c r="AH710" s="87"/>
      <c r="AI710" s="87"/>
      <c r="AJ710" s="87"/>
      <c r="AK710" s="87"/>
      <c r="AL710" s="87"/>
      <c r="AM710" s="87"/>
      <c r="AN710" s="87"/>
      <c r="AO710" s="87"/>
      <c r="AP710" s="87"/>
      <c r="AQ710" s="87"/>
      <c r="AR710" s="87"/>
      <c r="AS710" s="87"/>
      <c r="AT710" s="87"/>
      <c r="AU710" s="87"/>
      <c r="AV710" s="87" t="s">
        <v>1981</v>
      </c>
      <c r="AW710" s="87">
        <v>625</v>
      </c>
      <c r="AX710" s="87" t="s">
        <v>29</v>
      </c>
      <c r="AY710" s="87">
        <v>2</v>
      </c>
      <c r="AZ710" s="87" t="s">
        <v>1982</v>
      </c>
      <c r="BA710" s="87">
        <v>2009</v>
      </c>
      <c r="BB710" s="87">
        <v>2010</v>
      </c>
      <c r="BC710" s="87" t="s">
        <v>1983</v>
      </c>
      <c r="BD710" s="87" t="s">
        <v>2009</v>
      </c>
      <c r="BE710" s="87" t="s">
        <v>2003</v>
      </c>
      <c r="BF710" s="87" t="s">
        <v>64</v>
      </c>
      <c r="BG710" s="87" t="s">
        <v>1243</v>
      </c>
      <c r="BH710" s="87" t="s">
        <v>2004</v>
      </c>
      <c r="BI710" s="87" t="s">
        <v>29</v>
      </c>
      <c r="BJ710" s="87" t="s">
        <v>29</v>
      </c>
      <c r="BK710" s="87" t="s">
        <v>29</v>
      </c>
      <c r="BL710" s="87"/>
      <c r="BM710" s="87"/>
      <c r="BN710" s="87"/>
      <c r="BO710" s="87"/>
      <c r="BP710" s="87"/>
      <c r="BQ710" s="87"/>
      <c r="BR710" s="87"/>
      <c r="BS710" s="87"/>
      <c r="BT710" s="87"/>
      <c r="BU710" s="87"/>
      <c r="BV710" s="87"/>
      <c r="BW710" s="87"/>
      <c r="BX710" s="87"/>
      <c r="BY710" s="87"/>
      <c r="BZ710" s="87"/>
      <c r="CA710" s="87"/>
      <c r="CB710" s="87"/>
      <c r="CC710" s="87"/>
      <c r="CD710" s="87"/>
      <c r="CE710" s="87"/>
      <c r="CF710" s="87"/>
      <c r="CG710" s="87"/>
      <c r="CH710" s="87"/>
      <c r="CI710" s="87"/>
      <c r="CJ710" s="87"/>
      <c r="CK710" s="87"/>
      <c r="CL710" s="87"/>
      <c r="CM710" s="87"/>
      <c r="CN710" s="87"/>
      <c r="CO710" s="87"/>
      <c r="CP710" s="87"/>
      <c r="CQ710" s="87"/>
      <c r="CR710" s="87"/>
      <c r="CS710" s="87"/>
      <c r="CT710" s="87"/>
      <c r="CU710" s="87"/>
      <c r="CV710" s="87"/>
      <c r="CW710" s="87"/>
      <c r="CX710" s="87"/>
      <c r="CY710" s="87"/>
      <c r="CZ710" s="87"/>
      <c r="DA710" s="87"/>
      <c r="DB710" s="87"/>
      <c r="DC710" s="87"/>
      <c r="DD710" s="87"/>
      <c r="DE710" s="87"/>
      <c r="DF710" s="87"/>
      <c r="DG710" s="87"/>
      <c r="DH710" s="87"/>
      <c r="DI710" s="87"/>
      <c r="DJ710" s="87"/>
      <c r="DK710" s="87"/>
      <c r="DL710" s="87"/>
      <c r="DM710" s="87"/>
      <c r="DN710" s="87"/>
      <c r="DO710" s="87"/>
      <c r="DP710" s="87"/>
      <c r="DQ710" s="87"/>
      <c r="DR710" s="87"/>
      <c r="DS710" s="87"/>
      <c r="DT710" s="87"/>
      <c r="DU710" s="87"/>
      <c r="DV710" s="87"/>
      <c r="DW710" s="87"/>
      <c r="DX710" s="87"/>
      <c r="DY710" s="87"/>
      <c r="DZ710" s="87"/>
      <c r="EA710" s="87"/>
      <c r="EB710" s="87"/>
      <c r="EC710" s="87"/>
      <c r="ED710" s="87"/>
      <c r="EE710" s="87" t="s">
        <v>2005</v>
      </c>
      <c r="EF710" s="87" t="s">
        <v>2006</v>
      </c>
      <c r="EG710" s="87">
        <v>0.24</v>
      </c>
      <c r="EH710" s="87" t="s">
        <v>2009</v>
      </c>
      <c r="EI710" s="87"/>
      <c r="EJ710" s="144"/>
      <c r="EK710" s="144"/>
      <c r="EL710" s="144"/>
      <c r="EM710" s="144"/>
      <c r="EN710" s="144"/>
      <c r="EO710" s="144"/>
      <c r="EP710" s="144"/>
      <c r="EQ710" s="144"/>
      <c r="ER710" s="144"/>
      <c r="ES710" s="144"/>
      <c r="ET710" s="144"/>
      <c r="EU710" s="144"/>
      <c r="EV710" s="144"/>
      <c r="EW710" s="144"/>
      <c r="EX710" s="144"/>
      <c r="EY710" s="144"/>
      <c r="EZ710" s="144"/>
      <c r="FA710" s="144"/>
      <c r="FB710" s="144"/>
      <c r="FC710" s="144"/>
      <c r="FD710" s="144"/>
      <c r="FE710" s="144"/>
      <c r="FF710" s="144"/>
      <c r="FG710" s="144"/>
      <c r="FH710" s="144"/>
      <c r="FI710" s="144"/>
      <c r="FJ710" s="144"/>
      <c r="FK710" s="144"/>
      <c r="FL710" s="144"/>
      <c r="FM710" s="144"/>
      <c r="FN710" s="144"/>
      <c r="FO710" s="144"/>
      <c r="FP710" s="144"/>
      <c r="FQ710" s="144"/>
      <c r="FR710" s="144"/>
      <c r="FS710" s="144"/>
      <c r="FT710" s="144"/>
      <c r="FU710" s="144"/>
      <c r="FV710" s="144"/>
      <c r="FW710" s="144"/>
      <c r="FX710" s="144"/>
      <c r="FY710" s="144"/>
      <c r="FZ710" s="144"/>
      <c r="GA710" s="144"/>
      <c r="GB710" s="144"/>
      <c r="GC710" s="144"/>
      <c r="GD710" s="144"/>
      <c r="GE710" s="144"/>
      <c r="GF710" s="144"/>
      <c r="GG710" s="144"/>
      <c r="GH710" s="144"/>
      <c r="GI710" s="144"/>
      <c r="GJ710" s="144"/>
      <c r="GK710" s="144"/>
      <c r="GL710" s="144"/>
      <c r="GM710" s="144"/>
      <c r="GN710" s="144"/>
      <c r="GO710" s="144"/>
      <c r="GP710" s="144"/>
      <c r="GQ710" s="144"/>
      <c r="GR710" s="144"/>
      <c r="GS710" s="144"/>
      <c r="GT710" s="144"/>
      <c r="GU710" s="144"/>
      <c r="GV710" s="144"/>
      <c r="GW710" s="144"/>
      <c r="GX710" s="144"/>
      <c r="GY710" s="144"/>
      <c r="GZ710" s="144"/>
      <c r="HA710" s="144"/>
      <c r="HB710" s="144"/>
      <c r="HC710" s="144"/>
      <c r="HD710" s="144"/>
      <c r="HE710" s="144"/>
      <c r="HF710" s="144"/>
      <c r="HG710" s="144"/>
      <c r="HH710" s="144"/>
      <c r="HI710" s="144"/>
      <c r="HJ710" s="144"/>
      <c r="HK710" s="144"/>
      <c r="HL710" s="144" t="s">
        <v>2007</v>
      </c>
      <c r="HM710" s="144" t="s">
        <v>232</v>
      </c>
      <c r="HN710" s="87"/>
      <c r="HO710" s="87"/>
      <c r="HP710" s="87"/>
      <c r="HQ710" s="87"/>
      <c r="HR710" s="87"/>
      <c r="HS710" s="87"/>
      <c r="HT710" s="87"/>
      <c r="HU710" s="87"/>
      <c r="HV710" s="87"/>
      <c r="HW710" s="87"/>
      <c r="HX710" s="87"/>
      <c r="HY710" s="145"/>
      <c r="HZ710" s="87"/>
      <c r="IA710" s="87"/>
      <c r="IB710" s="87"/>
      <c r="IC710" s="87"/>
      <c r="ID710" s="87"/>
      <c r="IE710" s="87"/>
      <c r="IF710" s="87"/>
      <c r="IG710" s="87"/>
      <c r="IH710" s="87"/>
      <c r="II710" s="87"/>
      <c r="IJ710" s="87"/>
      <c r="IK710" s="87"/>
      <c r="IL710" s="87"/>
      <c r="IM710" s="87"/>
      <c r="IN710" s="87"/>
      <c r="IO710" s="87"/>
      <c r="IP710" s="87"/>
      <c r="IQ710" s="87"/>
      <c r="IR710" s="87"/>
      <c r="IS710" s="87"/>
      <c r="IT710" s="87"/>
      <c r="IU710" s="87" t="s">
        <v>2008</v>
      </c>
      <c r="IV710" s="87" t="s">
        <v>2009</v>
      </c>
      <c r="IW710" s="87" t="s">
        <v>2010</v>
      </c>
      <c r="IX710" s="87"/>
      <c r="IY710" s="87">
        <v>6</v>
      </c>
      <c r="IZ710" s="87">
        <v>77.5</v>
      </c>
      <c r="JA710" s="87">
        <v>75</v>
      </c>
      <c r="JB710" s="87">
        <v>80</v>
      </c>
      <c r="JC710" s="87">
        <v>7.5</v>
      </c>
      <c r="JD710" s="87">
        <v>6</v>
      </c>
      <c r="JE710" s="87">
        <v>9</v>
      </c>
      <c r="JF710" s="87"/>
      <c r="JG710" s="87"/>
      <c r="JH710" s="87"/>
      <c r="JI710" s="87"/>
      <c r="JJ710" s="87"/>
      <c r="JK710" s="87"/>
      <c r="JL710" s="87"/>
      <c r="JM710" s="87"/>
      <c r="JN710" s="87"/>
      <c r="JO710" s="151"/>
      <c r="JP710" s="87"/>
      <c r="JQ710" s="87"/>
      <c r="JR710" s="87"/>
      <c r="JS710" s="87"/>
      <c r="JT710" s="87"/>
      <c r="JU710" s="87"/>
      <c r="JV710" s="87"/>
      <c r="JW710" s="87"/>
      <c r="JX710" s="87"/>
      <c r="JY710" s="151"/>
      <c r="JZ710" s="87"/>
      <c r="KA710" s="87"/>
      <c r="KB710" s="87"/>
      <c r="KC710" s="87"/>
      <c r="KD710" s="87"/>
      <c r="KE710" s="87"/>
      <c r="KF710" s="87"/>
      <c r="KG710" s="87"/>
      <c r="KH710" s="87"/>
      <c r="KI710" s="87"/>
      <c r="KJ710" s="87"/>
      <c r="KK710" s="87"/>
      <c r="KL710" s="87"/>
      <c r="KM710" s="87"/>
      <c r="KN710" s="87"/>
      <c r="KO710" s="87"/>
      <c r="KP710" s="87"/>
      <c r="KQ710" s="151"/>
      <c r="KR710" s="151"/>
      <c r="KS710" s="151"/>
      <c r="KT710" s="151"/>
      <c r="KU710" s="87"/>
      <c r="KV710" s="87"/>
      <c r="KW710" s="87"/>
      <c r="KX710" s="87"/>
      <c r="KY710" s="87"/>
      <c r="KZ710" s="87"/>
      <c r="LA710" s="87"/>
      <c r="LB710" s="87"/>
      <c r="LC710" s="87"/>
      <c r="LD710" s="87"/>
      <c r="LE710" s="87"/>
      <c r="LF710" s="87"/>
      <c r="LG710" s="87"/>
      <c r="LH710" s="87"/>
      <c r="LI710" s="87"/>
      <c r="LJ710" s="87"/>
      <c r="LK710" s="87"/>
      <c r="LL710" s="87"/>
      <c r="LM710" s="87"/>
      <c r="LN710" s="87"/>
      <c r="LO710" s="87"/>
      <c r="LP710" s="87"/>
      <c r="LQ710" s="87"/>
      <c r="LR710" s="87"/>
      <c r="LS710" s="87"/>
      <c r="LT710" s="87"/>
      <c r="LU710" s="87"/>
      <c r="LV710" s="87"/>
      <c r="LW710" s="87"/>
      <c r="LX710" s="87"/>
      <c r="LY710" s="87"/>
      <c r="LZ710" s="87"/>
      <c r="MA710" s="87"/>
      <c r="MB710" s="87"/>
      <c r="MC710" s="87"/>
      <c r="MD710" s="87"/>
      <c r="ME710" s="87"/>
      <c r="MF710" s="87"/>
      <c r="MG710" s="87"/>
      <c r="MH710" s="87"/>
      <c r="MI710" s="87"/>
      <c r="MJ710" s="87"/>
      <c r="MK710" s="87"/>
      <c r="ML710" s="87"/>
      <c r="MM710" s="87"/>
      <c r="MN710" s="87"/>
      <c r="MO710" s="87"/>
      <c r="MP710" s="87"/>
      <c r="MQ710" s="87"/>
      <c r="MR710" s="87"/>
      <c r="MS710" s="87" t="s">
        <v>1987</v>
      </c>
      <c r="MT710" s="87">
        <v>625</v>
      </c>
      <c r="MU710" s="87" t="s">
        <v>1988</v>
      </c>
      <c r="MV710" s="87"/>
      <c r="MW710" s="87" t="s">
        <v>1992</v>
      </c>
      <c r="MX710" s="87" t="s">
        <v>1993</v>
      </c>
      <c r="MY710" s="87" t="s">
        <v>1994</v>
      </c>
      <c r="MZ710" s="87" t="s">
        <v>1995</v>
      </c>
      <c r="NA710" s="87" t="s">
        <v>1996</v>
      </c>
      <c r="NB710" s="87"/>
      <c r="NC710" s="87"/>
      <c r="ND710" s="87"/>
      <c r="NE710" s="87" t="s">
        <v>1858</v>
      </c>
      <c r="NF710" s="87" t="s">
        <v>2049</v>
      </c>
      <c r="NG710" s="87" t="s">
        <v>1770</v>
      </c>
      <c r="NH710" s="87" t="s">
        <v>2050</v>
      </c>
      <c r="NI710" s="87"/>
      <c r="NJ710" s="87"/>
      <c r="NK710" s="87"/>
      <c r="NL710" s="87"/>
      <c r="NM710" s="87"/>
      <c r="NN710" s="87"/>
      <c r="NO710" s="87"/>
      <c r="NP710" s="87" t="s">
        <v>2011</v>
      </c>
      <c r="NQ710" s="87" t="s">
        <v>1998</v>
      </c>
      <c r="NR710" s="87">
        <v>8.5999999999999993E-2</v>
      </c>
      <c r="NS710" s="87" t="s">
        <v>29</v>
      </c>
      <c r="NT710" s="87" t="s">
        <v>29</v>
      </c>
      <c r="NU710" s="87"/>
      <c r="NV710" s="87"/>
      <c r="NW710" s="87">
        <v>31</v>
      </c>
      <c r="NX710" s="87"/>
      <c r="NY710" s="87"/>
      <c r="NZ710" s="87"/>
      <c r="OA710" s="87"/>
      <c r="OB710" s="87"/>
      <c r="OC710" s="87"/>
      <c r="OD710" s="87"/>
      <c r="OE710" s="87"/>
      <c r="OF710" s="87"/>
      <c r="OG710" s="87"/>
      <c r="OH710" s="87" t="s">
        <v>1999</v>
      </c>
      <c r="OI710" s="149"/>
      <c r="OJ710" s="87"/>
      <c r="OK710" s="87">
        <v>2009</v>
      </c>
      <c r="OL710" s="87">
        <v>2010</v>
      </c>
      <c r="OM710" s="87"/>
      <c r="ON710" s="87"/>
      <c r="OO710" s="87" t="s">
        <v>2000</v>
      </c>
      <c r="OP710" s="145">
        <v>46133</v>
      </c>
      <c r="OQ710" s="87"/>
      <c r="OR710" s="87"/>
      <c r="OS710" s="87"/>
      <c r="OT710" s="87"/>
      <c r="OU710" s="143"/>
    </row>
    <row r="711" spans="1:411">
      <c r="A711" t="s">
        <v>36</v>
      </c>
      <c r="B711" t="s">
        <v>1975</v>
      </c>
      <c r="C711" t="s">
        <v>1976</v>
      </c>
      <c r="D711" t="s">
        <v>245</v>
      </c>
      <c r="E711" t="s">
        <v>2012</v>
      </c>
      <c r="F711" t="s">
        <v>1980</v>
      </c>
      <c r="G711" t="s">
        <v>2</v>
      </c>
      <c r="H711" t="s">
        <v>30</v>
      </c>
      <c r="I711">
        <v>-8.8170000000000002</v>
      </c>
      <c r="J711">
        <v>-75.2</v>
      </c>
      <c r="L711" t="s">
        <v>1976</v>
      </c>
      <c r="M711" t="s">
        <v>245</v>
      </c>
      <c r="N711" t="s">
        <v>1979</v>
      </c>
      <c r="O711" t="s">
        <v>1980</v>
      </c>
      <c r="P711" t="s">
        <v>2</v>
      </c>
      <c r="Q711" t="s">
        <v>30</v>
      </c>
      <c r="R711">
        <v>-8.5169999999999995</v>
      </c>
      <c r="S711">
        <v>-74.766999999999996</v>
      </c>
      <c r="AV711" t="s">
        <v>1981</v>
      </c>
      <c r="AW711">
        <v>625</v>
      </c>
      <c r="AX711" t="s">
        <v>29</v>
      </c>
      <c r="AY711">
        <v>2</v>
      </c>
      <c r="AZ711" t="s">
        <v>1982</v>
      </c>
      <c r="BA711">
        <v>2009</v>
      </c>
      <c r="BB711">
        <v>2010</v>
      </c>
      <c r="BC711" t="s">
        <v>1983</v>
      </c>
      <c r="BD711" t="s">
        <v>2002</v>
      </c>
      <c r="BE711" t="s">
        <v>2013</v>
      </c>
      <c r="BF711" t="s">
        <v>57</v>
      </c>
      <c r="BG711" t="s">
        <v>1243</v>
      </c>
      <c r="BH711" t="s">
        <v>2014</v>
      </c>
      <c r="BI711" t="s">
        <v>29</v>
      </c>
      <c r="BJ711" t="s">
        <v>29</v>
      </c>
      <c r="BK711" t="s">
        <v>29</v>
      </c>
      <c r="EE711" t="s">
        <v>2015</v>
      </c>
      <c r="EF711" t="s">
        <v>2006</v>
      </c>
      <c r="EG711">
        <v>0.24</v>
      </c>
      <c r="EH711" t="s">
        <v>2056</v>
      </c>
      <c r="EI711" t="s">
        <v>2016</v>
      </c>
      <c r="EJ711" s="9" t="s">
        <v>2006</v>
      </c>
      <c r="EK711" s="9">
        <v>0.24</v>
      </c>
      <c r="EL711" s="9"/>
      <c r="EM711" s="9" t="s">
        <v>2017</v>
      </c>
      <c r="EN711" s="9" t="s">
        <v>2006</v>
      </c>
      <c r="EO711" s="9" t="s">
        <v>29</v>
      </c>
      <c r="EP711" s="9"/>
      <c r="EQ711" s="9" t="s">
        <v>2018</v>
      </c>
      <c r="ER711" s="9" t="s">
        <v>2006</v>
      </c>
      <c r="ES711" s="9" t="s">
        <v>29</v>
      </c>
      <c r="ET711" s="9"/>
      <c r="EU711" s="9" t="s">
        <v>2019</v>
      </c>
      <c r="EV711" s="9" t="s">
        <v>2006</v>
      </c>
      <c r="EW711" s="9" t="s">
        <v>29</v>
      </c>
      <c r="EX711" s="9"/>
      <c r="EY711" s="9"/>
      <c r="EZ711" s="9"/>
      <c r="FA711" s="9"/>
      <c r="FB711" s="9"/>
      <c r="FC711" s="9"/>
      <c r="FD711" s="9"/>
      <c r="FE711" s="9"/>
      <c r="FF711" s="9"/>
      <c r="FG711" s="9"/>
      <c r="FH711" s="9"/>
      <c r="FI711" s="9"/>
      <c r="FJ711" s="9"/>
      <c r="FK711" s="9"/>
      <c r="FL711" s="9"/>
      <c r="FM711" s="9"/>
      <c r="FN711" s="9"/>
      <c r="FO711" s="9"/>
      <c r="FP711" s="9"/>
      <c r="FQ711" s="9"/>
      <c r="FR711" s="9"/>
      <c r="FS711" s="9"/>
      <c r="FT711" s="9"/>
      <c r="FU711" s="9"/>
      <c r="FV711" s="9"/>
      <c r="FW711" s="9"/>
      <c r="FX711" s="9"/>
      <c r="FY711" s="9"/>
      <c r="FZ711" s="9"/>
      <c r="GA711" s="9"/>
      <c r="GB711" s="9"/>
      <c r="GC711" s="9"/>
      <c r="GD711" s="9"/>
      <c r="GE711" s="9"/>
      <c r="GF711" s="9"/>
      <c r="GG711" s="9"/>
      <c r="GH711" s="9"/>
      <c r="GI711" s="9"/>
      <c r="GJ711" s="9"/>
      <c r="GK711" s="9"/>
      <c r="GL711" s="9"/>
      <c r="GM711" s="9"/>
      <c r="GN711" s="9"/>
      <c r="GO711" s="9"/>
      <c r="GP711" s="9"/>
      <c r="GQ711" s="9"/>
      <c r="GR711" s="9"/>
      <c r="GS711" s="9"/>
      <c r="GT711" s="9"/>
      <c r="GU711" s="9"/>
      <c r="GV711" s="9"/>
      <c r="GW711" s="9"/>
      <c r="GX711" s="9"/>
      <c r="GY711" s="9"/>
      <c r="GZ711" s="9"/>
      <c r="HA711" s="9"/>
      <c r="HB711" s="9"/>
      <c r="HC711" s="9"/>
      <c r="HD711" s="9"/>
      <c r="HE711" s="9"/>
      <c r="HF711" s="9"/>
      <c r="HG711" s="9"/>
      <c r="HH711" s="9"/>
      <c r="HI711" s="9"/>
      <c r="HJ711" s="9"/>
      <c r="HK711" s="9"/>
      <c r="HL711" s="9" t="s">
        <v>2007</v>
      </c>
      <c r="HM711" s="9" t="s">
        <v>232</v>
      </c>
      <c r="HY711" s="58"/>
      <c r="IU711" t="s">
        <v>2020</v>
      </c>
      <c r="IV711" t="s">
        <v>2009</v>
      </c>
      <c r="IW711" t="s">
        <v>2021</v>
      </c>
      <c r="IZ711">
        <v>50</v>
      </c>
      <c r="JC711">
        <v>12</v>
      </c>
      <c r="JO711" s="9"/>
      <c r="JY711" s="9"/>
      <c r="KQ711" s="9"/>
      <c r="KR711" s="9"/>
      <c r="KS711" s="9"/>
      <c r="KT711" s="9"/>
      <c r="MS711" t="s">
        <v>1987</v>
      </c>
      <c r="MT711">
        <v>625</v>
      </c>
      <c r="MU711" t="s">
        <v>1988</v>
      </c>
      <c r="MW711" t="s">
        <v>1992</v>
      </c>
      <c r="MX711" t="s">
        <v>1993</v>
      </c>
      <c r="MY711" t="s">
        <v>1994</v>
      </c>
      <c r="MZ711" t="s">
        <v>1995</v>
      </c>
      <c r="NA711" t="s">
        <v>1996</v>
      </c>
      <c r="NE711" t="s">
        <v>1858</v>
      </c>
      <c r="NF711" t="s">
        <v>2049</v>
      </c>
      <c r="NG711" t="s">
        <v>1770</v>
      </c>
      <c r="NH711" t="s">
        <v>2050</v>
      </c>
      <c r="NP711" t="s">
        <v>2022</v>
      </c>
      <c r="NQ711" t="s">
        <v>1998</v>
      </c>
      <c r="NR711">
        <v>0.03</v>
      </c>
      <c r="NS711" t="s">
        <v>29</v>
      </c>
      <c r="NT711" t="s">
        <v>29</v>
      </c>
      <c r="NW711">
        <v>32</v>
      </c>
      <c r="OH711" t="s">
        <v>1999</v>
      </c>
      <c r="OI711" s="19"/>
      <c r="OK711">
        <v>2009</v>
      </c>
      <c r="OL711">
        <v>2010</v>
      </c>
      <c r="OO711" t="s">
        <v>2000</v>
      </c>
      <c r="OP711" s="58">
        <v>46133</v>
      </c>
    </row>
    <row r="712" spans="1:411">
      <c r="A712" s="87" t="s">
        <v>36</v>
      </c>
      <c r="B712" s="87" t="s">
        <v>1975</v>
      </c>
      <c r="C712" s="87" t="s">
        <v>1976</v>
      </c>
      <c r="D712" s="87" t="s">
        <v>245</v>
      </c>
      <c r="E712" s="87" t="s">
        <v>2012</v>
      </c>
      <c r="F712" s="87" t="s">
        <v>1980</v>
      </c>
      <c r="G712" s="87" t="s">
        <v>2</v>
      </c>
      <c r="H712" s="87" t="s">
        <v>30</v>
      </c>
      <c r="I712" s="87">
        <v>-8.8170000000000002</v>
      </c>
      <c r="J712" s="87">
        <v>-75.2</v>
      </c>
      <c r="K712" s="87"/>
      <c r="L712" s="87" t="s">
        <v>1976</v>
      </c>
      <c r="M712" s="87" t="s">
        <v>245</v>
      </c>
      <c r="N712" s="87" t="s">
        <v>1979</v>
      </c>
      <c r="O712" s="87" t="s">
        <v>1980</v>
      </c>
      <c r="P712" s="87" t="s">
        <v>2</v>
      </c>
      <c r="Q712" s="87" t="s">
        <v>30</v>
      </c>
      <c r="R712" s="87">
        <v>-8.5169999999999995</v>
      </c>
      <c r="S712" s="87">
        <v>-74.766999999999996</v>
      </c>
      <c r="T712" s="87"/>
      <c r="U712" s="87" t="s">
        <v>1976</v>
      </c>
      <c r="V712" s="87" t="s">
        <v>245</v>
      </c>
      <c r="W712" s="87" t="s">
        <v>2001</v>
      </c>
      <c r="X712" s="87" t="s">
        <v>1980</v>
      </c>
      <c r="Y712" s="87" t="s">
        <v>2</v>
      </c>
      <c r="Z712" s="87" t="s">
        <v>30</v>
      </c>
      <c r="AA712" s="87">
        <v>-8.3670000000000009</v>
      </c>
      <c r="AB712" s="87">
        <v>-74.7</v>
      </c>
      <c r="AC712" s="87"/>
      <c r="AD712" s="87"/>
      <c r="AE712" s="87"/>
      <c r="AF712" s="87"/>
      <c r="AG712" s="87"/>
      <c r="AH712" s="87"/>
      <c r="AI712" s="87"/>
      <c r="AJ712" s="87"/>
      <c r="AK712" s="87"/>
      <c r="AL712" s="87"/>
      <c r="AM712" s="87"/>
      <c r="AN712" s="87"/>
      <c r="AO712" s="87"/>
      <c r="AP712" s="87"/>
      <c r="AQ712" s="87"/>
      <c r="AR712" s="87"/>
      <c r="AS712" s="87"/>
      <c r="AT712" s="87"/>
      <c r="AU712" s="87"/>
      <c r="AV712" s="87" t="s">
        <v>1981</v>
      </c>
      <c r="AW712" s="87">
        <v>625</v>
      </c>
      <c r="AX712" s="87" t="s">
        <v>29</v>
      </c>
      <c r="AY712" s="87">
        <v>2</v>
      </c>
      <c r="AZ712" s="87" t="s">
        <v>1982</v>
      </c>
      <c r="BA712" s="87">
        <v>2009</v>
      </c>
      <c r="BB712" s="87">
        <v>2010</v>
      </c>
      <c r="BC712" s="87" t="s">
        <v>1983</v>
      </c>
      <c r="BD712" s="87" t="s">
        <v>19</v>
      </c>
      <c r="BE712" s="87" t="s">
        <v>2023</v>
      </c>
      <c r="BF712" s="87" t="s">
        <v>24</v>
      </c>
      <c r="BG712" s="87" t="s">
        <v>1243</v>
      </c>
      <c r="BH712" s="87" t="s">
        <v>2024</v>
      </c>
      <c r="BI712" s="87" t="s">
        <v>29</v>
      </c>
      <c r="BJ712" s="87" t="s">
        <v>29</v>
      </c>
      <c r="BK712" s="87" t="s">
        <v>29</v>
      </c>
      <c r="BL712" s="87"/>
      <c r="BM712" s="87"/>
      <c r="BN712" s="87"/>
      <c r="BO712" s="87"/>
      <c r="BP712" s="87"/>
      <c r="BQ712" s="87"/>
      <c r="BR712" s="87"/>
      <c r="BS712" s="87"/>
      <c r="BT712" s="87"/>
      <c r="BU712" s="87"/>
      <c r="BV712" s="87"/>
      <c r="BW712" s="87"/>
      <c r="BX712" s="87"/>
      <c r="BY712" s="87"/>
      <c r="BZ712" s="87"/>
      <c r="CA712" s="87"/>
      <c r="CB712" s="87"/>
      <c r="CC712" s="87"/>
      <c r="CD712" s="87"/>
      <c r="CE712" s="87"/>
      <c r="CF712" s="87"/>
      <c r="CG712" s="87"/>
      <c r="CH712" s="87"/>
      <c r="CI712" s="87"/>
      <c r="CJ712" s="87"/>
      <c r="CK712" s="87"/>
      <c r="CL712" s="87"/>
      <c r="CM712" s="87"/>
      <c r="CN712" s="87"/>
      <c r="CO712" s="87"/>
      <c r="CP712" s="87"/>
      <c r="CQ712" s="87"/>
      <c r="CR712" s="87"/>
      <c r="CS712" s="87"/>
      <c r="CT712" s="87"/>
      <c r="CU712" s="87"/>
      <c r="CV712" s="87"/>
      <c r="CW712" s="87"/>
      <c r="CX712" s="87"/>
      <c r="CY712" s="87"/>
      <c r="CZ712" s="87"/>
      <c r="DA712" s="87"/>
      <c r="DB712" s="87"/>
      <c r="DC712" s="87"/>
      <c r="DD712" s="87"/>
      <c r="DE712" s="87"/>
      <c r="DF712" s="87"/>
      <c r="DG712" s="87"/>
      <c r="DH712" s="87"/>
      <c r="DI712" s="87"/>
      <c r="DJ712" s="87"/>
      <c r="DK712" s="87"/>
      <c r="DL712" s="87"/>
      <c r="DM712" s="87"/>
      <c r="DN712" s="87"/>
      <c r="DO712" s="87"/>
      <c r="DP712" s="87"/>
      <c r="DQ712" s="87"/>
      <c r="DR712" s="87"/>
      <c r="DS712" s="87"/>
      <c r="DT712" s="87"/>
      <c r="DU712" s="87"/>
      <c r="DV712" s="87"/>
      <c r="DW712" s="87"/>
      <c r="DX712" s="87"/>
      <c r="DY712" s="87"/>
      <c r="DZ712" s="87"/>
      <c r="EA712" s="87"/>
      <c r="EB712" s="87"/>
      <c r="EC712" s="87"/>
      <c r="ED712" s="87"/>
      <c r="EE712" s="87"/>
      <c r="EF712" s="87"/>
      <c r="EG712" s="87"/>
      <c r="EH712" s="87"/>
      <c r="EI712" s="87"/>
      <c r="EJ712" s="144"/>
      <c r="EK712" s="144"/>
      <c r="EL712" s="144"/>
      <c r="EM712" s="144"/>
      <c r="EN712" s="144"/>
      <c r="EO712" s="144"/>
      <c r="EP712" s="144"/>
      <c r="EQ712" s="144"/>
      <c r="ER712" s="144"/>
      <c r="ES712" s="144"/>
      <c r="ET712" s="144"/>
      <c r="EU712" s="144"/>
      <c r="EV712" s="144"/>
      <c r="EW712" s="144"/>
      <c r="EX712" s="144"/>
      <c r="EY712" s="144"/>
      <c r="EZ712" s="144"/>
      <c r="FA712" s="144"/>
      <c r="FB712" s="144"/>
      <c r="FC712" s="144"/>
      <c r="FD712" s="144"/>
      <c r="FE712" s="144"/>
      <c r="FF712" s="144"/>
      <c r="FG712" s="144"/>
      <c r="FH712" s="144"/>
      <c r="FI712" s="144"/>
      <c r="FJ712" s="144"/>
      <c r="FK712" s="144"/>
      <c r="FL712" s="144"/>
      <c r="FM712" s="144"/>
      <c r="FN712" s="144"/>
      <c r="FO712" s="144"/>
      <c r="FP712" s="144"/>
      <c r="FQ712" s="144"/>
      <c r="FR712" s="144"/>
      <c r="FS712" s="144"/>
      <c r="FT712" s="144"/>
      <c r="FU712" s="144"/>
      <c r="FV712" s="144"/>
      <c r="FW712" s="144"/>
      <c r="FX712" s="144"/>
      <c r="FY712" s="144"/>
      <c r="FZ712" s="144"/>
      <c r="GA712" s="144"/>
      <c r="GB712" s="144"/>
      <c r="GC712" s="144"/>
      <c r="GD712" s="144"/>
      <c r="GE712" s="144"/>
      <c r="GF712" s="144"/>
      <c r="GG712" s="144"/>
      <c r="GH712" s="144"/>
      <c r="GI712" s="144"/>
      <c r="GJ712" s="144"/>
      <c r="GK712" s="144"/>
      <c r="GL712" s="144"/>
      <c r="GM712" s="144"/>
      <c r="GN712" s="144"/>
      <c r="GO712" s="144"/>
      <c r="GP712" s="144"/>
      <c r="GQ712" s="144"/>
      <c r="GR712" s="144"/>
      <c r="GS712" s="144"/>
      <c r="GT712" s="144"/>
      <c r="GU712" s="144"/>
      <c r="GV712" s="144"/>
      <c r="GW712" s="144"/>
      <c r="GX712" s="144"/>
      <c r="GY712" s="144"/>
      <c r="GZ712" s="144"/>
      <c r="HA712" s="144"/>
      <c r="HB712" s="144"/>
      <c r="HC712" s="144"/>
      <c r="HD712" s="144"/>
      <c r="HE712" s="144"/>
      <c r="HF712" s="144"/>
      <c r="HG712" s="144"/>
      <c r="HH712" s="144"/>
      <c r="HI712" s="144"/>
      <c r="HJ712" s="144"/>
      <c r="HK712" s="144"/>
      <c r="HL712" s="144" t="s">
        <v>2025</v>
      </c>
      <c r="HM712" s="144" t="s">
        <v>297</v>
      </c>
      <c r="HN712" s="87" t="s">
        <v>12</v>
      </c>
      <c r="HO712" s="87"/>
      <c r="HP712" s="87"/>
      <c r="HQ712" s="87"/>
      <c r="HR712" s="87"/>
      <c r="HS712" s="87"/>
      <c r="HT712" s="87"/>
      <c r="HU712" s="87"/>
      <c r="HV712" s="87"/>
      <c r="HW712" s="87"/>
      <c r="HX712" s="87"/>
      <c r="HY712" s="145"/>
      <c r="HZ712" s="87"/>
      <c r="IA712" s="87"/>
      <c r="IB712" s="87"/>
      <c r="IC712" s="87"/>
      <c r="ID712" s="87"/>
      <c r="IE712" s="87"/>
      <c r="IF712" s="87"/>
      <c r="IG712" s="87"/>
      <c r="IH712" s="87"/>
      <c r="II712" s="87"/>
      <c r="IJ712" s="87"/>
      <c r="IK712" s="87"/>
      <c r="IL712" s="87"/>
      <c r="IM712" s="87"/>
      <c r="IN712" s="87"/>
      <c r="IO712" s="87"/>
      <c r="IP712" s="87"/>
      <c r="IQ712" s="87"/>
      <c r="IR712" s="87"/>
      <c r="IS712" s="87"/>
      <c r="IT712" s="87"/>
      <c r="IU712" s="87"/>
      <c r="IV712" s="87"/>
      <c r="IW712" s="87"/>
      <c r="IX712" s="87"/>
      <c r="IY712" s="87"/>
      <c r="IZ712" s="87"/>
      <c r="JA712" s="87"/>
      <c r="JB712" s="87"/>
      <c r="JC712" s="87"/>
      <c r="JD712" s="87"/>
      <c r="JE712" s="87"/>
      <c r="JF712" s="87"/>
      <c r="JG712" s="87"/>
      <c r="JH712" s="87"/>
      <c r="JI712" s="87"/>
      <c r="JJ712" s="87"/>
      <c r="JK712" s="87"/>
      <c r="JL712" s="87"/>
      <c r="JM712" s="87"/>
      <c r="JN712" s="87"/>
      <c r="JO712" s="151"/>
      <c r="JP712" s="87"/>
      <c r="JQ712" s="87"/>
      <c r="JR712" s="87"/>
      <c r="JS712" s="87"/>
      <c r="JT712" s="87"/>
      <c r="JU712" s="87"/>
      <c r="JV712" s="87"/>
      <c r="JW712" s="87"/>
      <c r="JX712" s="87"/>
      <c r="JY712" s="151"/>
      <c r="JZ712" s="87"/>
      <c r="KA712" s="87"/>
      <c r="KB712" s="87"/>
      <c r="KC712" s="87"/>
      <c r="KD712" s="87"/>
      <c r="KE712" s="87"/>
      <c r="KF712" s="87"/>
      <c r="KG712" s="87"/>
      <c r="KH712" s="87"/>
      <c r="KI712" s="87"/>
      <c r="KJ712" s="87"/>
      <c r="KK712" s="87"/>
      <c r="KL712" s="87"/>
      <c r="KM712" s="87"/>
      <c r="KN712" s="87"/>
      <c r="KO712" s="87"/>
      <c r="KP712" s="87"/>
      <c r="KQ712" s="151"/>
      <c r="KR712" s="151"/>
      <c r="KS712" s="151"/>
      <c r="KT712" s="151"/>
      <c r="KU712" s="87"/>
      <c r="KV712" s="87"/>
      <c r="KW712" s="87"/>
      <c r="KX712" s="87"/>
      <c r="KY712" s="87"/>
      <c r="KZ712" s="87"/>
      <c r="LA712" s="87"/>
      <c r="LB712" s="87"/>
      <c r="LC712" s="87"/>
      <c r="LD712" s="87"/>
      <c r="LE712" s="87"/>
      <c r="LF712" s="87"/>
      <c r="LG712" s="87"/>
      <c r="LH712" s="87"/>
      <c r="LI712" s="87"/>
      <c r="LJ712" s="87"/>
      <c r="LK712" s="87"/>
      <c r="LL712" s="87"/>
      <c r="LM712" s="87"/>
      <c r="LN712" s="87"/>
      <c r="LO712" s="87"/>
      <c r="LP712" s="87"/>
      <c r="LQ712" s="87"/>
      <c r="LR712" s="87"/>
      <c r="LS712" s="87"/>
      <c r="LT712" s="87"/>
      <c r="LU712" s="87"/>
      <c r="LV712" s="87"/>
      <c r="LW712" s="87"/>
      <c r="LX712" s="87"/>
      <c r="LY712" s="87"/>
      <c r="LZ712" s="87"/>
      <c r="MA712" s="87"/>
      <c r="MB712" s="87"/>
      <c r="MC712" s="87"/>
      <c r="MD712" s="87"/>
      <c r="ME712" s="87"/>
      <c r="MF712" s="87"/>
      <c r="MG712" s="87"/>
      <c r="MH712" s="87"/>
      <c r="MI712" s="87"/>
      <c r="MJ712" s="87"/>
      <c r="MK712" s="87"/>
      <c r="ML712" s="87"/>
      <c r="MM712" s="87"/>
      <c r="MN712" s="87"/>
      <c r="MO712" s="87"/>
      <c r="MP712" s="87"/>
      <c r="MQ712" s="87"/>
      <c r="MR712" s="87"/>
      <c r="MS712" s="87" t="s">
        <v>1987</v>
      </c>
      <c r="MT712" s="87">
        <v>625</v>
      </c>
      <c r="MU712" s="87" t="s">
        <v>1988</v>
      </c>
      <c r="MV712" s="87"/>
      <c r="MW712" s="87" t="s">
        <v>1992</v>
      </c>
      <c r="MX712" s="87" t="s">
        <v>1993</v>
      </c>
      <c r="MY712" s="87" t="s">
        <v>1994</v>
      </c>
      <c r="MZ712" s="87" t="s">
        <v>1995</v>
      </c>
      <c r="NA712" s="87" t="s">
        <v>1996</v>
      </c>
      <c r="NB712" s="87"/>
      <c r="NC712" s="87"/>
      <c r="ND712" s="87"/>
      <c r="NE712" s="87" t="s">
        <v>1858</v>
      </c>
      <c r="NF712" s="87" t="s">
        <v>2049</v>
      </c>
      <c r="NG712" s="87" t="s">
        <v>1770</v>
      </c>
      <c r="NH712" s="87" t="s">
        <v>2050</v>
      </c>
      <c r="NI712" s="87"/>
      <c r="NJ712" s="87"/>
      <c r="NK712" s="87"/>
      <c r="NL712" s="87"/>
      <c r="NM712" s="87"/>
      <c r="NN712" s="87"/>
      <c r="NO712" s="87"/>
      <c r="NP712" s="87" t="s">
        <v>2026</v>
      </c>
      <c r="NQ712" s="87" t="s">
        <v>1998</v>
      </c>
      <c r="NR712" s="87">
        <v>1.6E-2</v>
      </c>
      <c r="NS712" s="87" t="s">
        <v>29</v>
      </c>
      <c r="NT712" s="87" t="s">
        <v>29</v>
      </c>
      <c r="NU712" s="87"/>
      <c r="NV712" s="87"/>
      <c r="NW712" s="87">
        <v>32</v>
      </c>
      <c r="NX712" s="87"/>
      <c r="NY712" s="87"/>
      <c r="NZ712" s="87"/>
      <c r="OA712" s="87"/>
      <c r="OB712" s="87"/>
      <c r="OC712" s="87"/>
      <c r="OD712" s="87"/>
      <c r="OE712" s="87"/>
      <c r="OF712" s="87"/>
      <c r="OG712" s="87"/>
      <c r="OH712" s="87" t="s">
        <v>1999</v>
      </c>
      <c r="OI712" s="149"/>
      <c r="OJ712" s="87"/>
      <c r="OK712" s="87">
        <v>2009</v>
      </c>
      <c r="OL712" s="87">
        <v>2010</v>
      </c>
      <c r="OM712" s="87"/>
      <c r="ON712" s="87"/>
      <c r="OO712" s="87" t="s">
        <v>2000</v>
      </c>
      <c r="OP712" s="145">
        <v>46133</v>
      </c>
      <c r="OQ712" s="87"/>
      <c r="OR712" s="87"/>
      <c r="OS712" s="87"/>
      <c r="OT712" s="87"/>
      <c r="OU712" s="143"/>
    </row>
    <row r="713" spans="1:411">
      <c r="A713" t="s">
        <v>36</v>
      </c>
      <c r="B713" t="s">
        <v>1975</v>
      </c>
      <c r="C713" t="s">
        <v>1976</v>
      </c>
      <c r="D713" t="s">
        <v>245</v>
      </c>
      <c r="E713" t="s">
        <v>2012</v>
      </c>
      <c r="F713" t="s">
        <v>1980</v>
      </c>
      <c r="G713" t="s">
        <v>2</v>
      </c>
      <c r="H713" t="s">
        <v>30</v>
      </c>
      <c r="I713">
        <v>-8.8170000000000002</v>
      </c>
      <c r="J713">
        <v>-75.2</v>
      </c>
      <c r="L713" t="s">
        <v>1976</v>
      </c>
      <c r="M713" t="s">
        <v>245</v>
      </c>
      <c r="N713" t="s">
        <v>1979</v>
      </c>
      <c r="O713" t="s">
        <v>1980</v>
      </c>
      <c r="P713" t="s">
        <v>2</v>
      </c>
      <c r="Q713" t="s">
        <v>30</v>
      </c>
      <c r="R713">
        <v>-8.5169999999999995</v>
      </c>
      <c r="S713">
        <v>-74.766999999999996</v>
      </c>
      <c r="U713" t="s">
        <v>1976</v>
      </c>
      <c r="V713" t="s">
        <v>245</v>
      </c>
      <c r="W713" t="s">
        <v>2001</v>
      </c>
      <c r="X713" t="s">
        <v>1980</v>
      </c>
      <c r="Y713" t="s">
        <v>2</v>
      </c>
      <c r="Z713" t="s">
        <v>30</v>
      </c>
      <c r="AA713">
        <v>-8.3670000000000009</v>
      </c>
      <c r="AB713">
        <v>-74.7</v>
      </c>
      <c r="AV713" t="s">
        <v>1981</v>
      </c>
      <c r="AW713">
        <v>625</v>
      </c>
      <c r="AX713" t="s">
        <v>29</v>
      </c>
      <c r="AY713">
        <v>2</v>
      </c>
      <c r="AZ713" t="s">
        <v>1982</v>
      </c>
      <c r="BA713">
        <v>2009</v>
      </c>
      <c r="BB713">
        <v>2010</v>
      </c>
      <c r="BC713" t="s">
        <v>1983</v>
      </c>
      <c r="BD713" t="s">
        <v>2055</v>
      </c>
      <c r="BE713" t="s">
        <v>2027</v>
      </c>
      <c r="BF713" t="s">
        <v>299</v>
      </c>
      <c r="BG713" t="s">
        <v>1798</v>
      </c>
      <c r="BH713" t="s">
        <v>2028</v>
      </c>
      <c r="BI713" t="s">
        <v>29</v>
      </c>
      <c r="BJ713" t="s">
        <v>29</v>
      </c>
      <c r="BK713" t="s">
        <v>29</v>
      </c>
      <c r="EJ713" s="9"/>
      <c r="EK713" s="9"/>
      <c r="EL713" s="9"/>
      <c r="EM713" s="9"/>
      <c r="EN713" s="9"/>
      <c r="EO713" s="9"/>
      <c r="EP713" s="9"/>
      <c r="EQ713" s="9"/>
      <c r="ER713" s="9"/>
      <c r="ES713" s="9"/>
      <c r="ET713" s="9"/>
      <c r="EU713" s="9"/>
      <c r="EV713" s="9"/>
      <c r="EW713" s="9"/>
      <c r="EX713" s="9"/>
      <c r="EY713" s="9"/>
      <c r="EZ713" s="9"/>
      <c r="FA713" s="9"/>
      <c r="FB713" s="9"/>
      <c r="FC713" s="9"/>
      <c r="FD713" s="9"/>
      <c r="FE713" s="9"/>
      <c r="FF713" s="9"/>
      <c r="FG713" s="9"/>
      <c r="FH713" s="9"/>
      <c r="FI713" s="9"/>
      <c r="FJ713" s="9"/>
      <c r="FK713" s="9"/>
      <c r="FL713" s="9"/>
      <c r="FM713" s="9"/>
      <c r="FN713" s="9"/>
      <c r="FO713" s="9"/>
      <c r="FP713" s="9"/>
      <c r="FQ713" s="9"/>
      <c r="FR713" s="9"/>
      <c r="FS713" s="9"/>
      <c r="FT713" s="9"/>
      <c r="FU713" s="9"/>
      <c r="FV713" s="9"/>
      <c r="FW713" s="9"/>
      <c r="FX713" s="9"/>
      <c r="FY713" s="9"/>
      <c r="FZ713" s="9"/>
      <c r="GA713" s="9"/>
      <c r="GB713" s="9"/>
      <c r="GC713" s="9"/>
      <c r="GD713" s="9"/>
      <c r="GE713" s="9"/>
      <c r="GF713" s="9"/>
      <c r="GG713" s="9"/>
      <c r="GH713" s="9"/>
      <c r="GI713" s="9"/>
      <c r="GJ713" s="9"/>
      <c r="GK713" s="9"/>
      <c r="GL713" s="9"/>
      <c r="GM713" s="9"/>
      <c r="GN713" s="9"/>
      <c r="GO713" s="9"/>
      <c r="GP713" s="9"/>
      <c r="GQ713" s="9"/>
      <c r="GR713" s="9"/>
      <c r="GS713" s="9"/>
      <c r="GT713" s="9"/>
      <c r="GU713" s="9"/>
      <c r="GV713" s="9"/>
      <c r="GW713" s="9"/>
      <c r="GX713" s="9"/>
      <c r="GY713" s="9"/>
      <c r="GZ713" s="9"/>
      <c r="HA713" s="9"/>
      <c r="HB713" s="9"/>
      <c r="HC713" s="9"/>
      <c r="HD713" s="9"/>
      <c r="HE713" s="9"/>
      <c r="HF713" s="9"/>
      <c r="HG713" s="9"/>
      <c r="HH713" s="9"/>
      <c r="HI713" s="9"/>
      <c r="HJ713" s="9"/>
      <c r="HK713" s="9"/>
      <c r="HL713" s="9" t="s">
        <v>2029</v>
      </c>
      <c r="HM713" s="9" t="s">
        <v>232</v>
      </c>
      <c r="HY713" s="58"/>
      <c r="JO713" s="9"/>
      <c r="JY713" s="9"/>
      <c r="KQ713" s="9"/>
      <c r="KR713" s="9"/>
      <c r="KS713" s="9"/>
      <c r="KT713" s="9"/>
      <c r="MS713" t="s">
        <v>1987</v>
      </c>
      <c r="MT713">
        <v>625</v>
      </c>
      <c r="MU713" t="s">
        <v>1988</v>
      </c>
      <c r="MW713" t="s">
        <v>1992</v>
      </c>
      <c r="MX713" t="s">
        <v>1993</v>
      </c>
      <c r="MY713" t="s">
        <v>1994</v>
      </c>
      <c r="MZ713" t="s">
        <v>1995</v>
      </c>
      <c r="NA713" t="s">
        <v>1996</v>
      </c>
      <c r="NE713" t="s">
        <v>1858</v>
      </c>
      <c r="NF713" t="s">
        <v>2049</v>
      </c>
      <c r="NG713" t="s">
        <v>1770</v>
      </c>
      <c r="NH713" t="s">
        <v>2050</v>
      </c>
      <c r="NP713" t="s">
        <v>2030</v>
      </c>
      <c r="NQ713" t="s">
        <v>1998</v>
      </c>
      <c r="NR713">
        <v>0.01</v>
      </c>
      <c r="NS713" t="s">
        <v>29</v>
      </c>
      <c r="NT713" t="s">
        <v>29</v>
      </c>
      <c r="NW713">
        <v>32</v>
      </c>
      <c r="OH713" t="s">
        <v>1999</v>
      </c>
      <c r="OI713" s="19"/>
      <c r="OK713">
        <v>2009</v>
      </c>
      <c r="OL713">
        <v>2010</v>
      </c>
      <c r="OO713" t="s">
        <v>2000</v>
      </c>
      <c r="OP713" s="58">
        <v>46133</v>
      </c>
    </row>
    <row r="714" spans="1:411">
      <c r="A714" s="87" t="s">
        <v>36</v>
      </c>
      <c r="B714" s="87" t="s">
        <v>1975</v>
      </c>
      <c r="C714" s="87" t="s">
        <v>1976</v>
      </c>
      <c r="D714" s="87" t="s">
        <v>1955</v>
      </c>
      <c r="E714" s="87" t="s">
        <v>1977</v>
      </c>
      <c r="F714" s="87" t="s">
        <v>1978</v>
      </c>
      <c r="G714" s="87" t="s">
        <v>2</v>
      </c>
      <c r="H714" s="87" t="s">
        <v>30</v>
      </c>
      <c r="I714" s="87">
        <v>-8.9</v>
      </c>
      <c r="J714" s="87">
        <v>-74.983000000000004</v>
      </c>
      <c r="K714" s="87"/>
      <c r="L714" s="87" t="s">
        <v>1976</v>
      </c>
      <c r="M714" s="87" t="s">
        <v>245</v>
      </c>
      <c r="N714" s="87" t="s">
        <v>1979</v>
      </c>
      <c r="O714" s="87" t="s">
        <v>1980</v>
      </c>
      <c r="P714" s="87" t="s">
        <v>2</v>
      </c>
      <c r="Q714" s="87" t="s">
        <v>30</v>
      </c>
      <c r="R714" s="87">
        <v>-8.5169999999999995</v>
      </c>
      <c r="S714" s="87">
        <v>-74.766999999999996</v>
      </c>
      <c r="T714" s="87"/>
      <c r="U714" s="87"/>
      <c r="V714" s="87"/>
      <c r="W714" s="87"/>
      <c r="X714" s="87"/>
      <c r="Y714" s="87"/>
      <c r="Z714" s="87"/>
      <c r="AA714" s="87"/>
      <c r="AB714" s="87"/>
      <c r="AC714" s="87"/>
      <c r="AD714" s="87"/>
      <c r="AE714" s="87"/>
      <c r="AF714" s="87"/>
      <c r="AG714" s="87"/>
      <c r="AH714" s="87"/>
      <c r="AI714" s="87"/>
      <c r="AJ714" s="87"/>
      <c r="AK714" s="87"/>
      <c r="AL714" s="87"/>
      <c r="AM714" s="87"/>
      <c r="AN714" s="87"/>
      <c r="AO714" s="87"/>
      <c r="AP714" s="87"/>
      <c r="AQ714" s="87"/>
      <c r="AR714" s="87"/>
      <c r="AS714" s="87"/>
      <c r="AT714" s="87"/>
      <c r="AU714" s="87"/>
      <c r="AV714" s="87" t="s">
        <v>1981</v>
      </c>
      <c r="AW714" s="87">
        <v>625</v>
      </c>
      <c r="AX714" s="87" t="s">
        <v>29</v>
      </c>
      <c r="AY714" s="87">
        <v>2</v>
      </c>
      <c r="AZ714" s="87" t="s">
        <v>1982</v>
      </c>
      <c r="BA714" s="87">
        <v>2009</v>
      </c>
      <c r="BB714" s="87">
        <v>2010</v>
      </c>
      <c r="BC714" s="87" t="s">
        <v>1983</v>
      </c>
      <c r="BD714" s="87" t="s">
        <v>1985</v>
      </c>
      <c r="BE714" s="87" t="s">
        <v>1984</v>
      </c>
      <c r="BF714" s="87" t="s">
        <v>39</v>
      </c>
      <c r="BG714" s="87" t="s">
        <v>1762</v>
      </c>
      <c r="BH714" s="87"/>
      <c r="BI714" s="87"/>
      <c r="BJ714" s="87"/>
      <c r="BK714" s="87"/>
      <c r="BL714" s="87"/>
      <c r="BM714" s="87"/>
      <c r="BN714" s="87"/>
      <c r="BO714" s="87"/>
      <c r="BP714" s="87"/>
      <c r="BQ714" s="87"/>
      <c r="BR714" s="87"/>
      <c r="BS714" s="87"/>
      <c r="BT714" s="87"/>
      <c r="BU714" s="87"/>
      <c r="BV714" s="87"/>
      <c r="BW714" s="87"/>
      <c r="BX714" s="87"/>
      <c r="BY714" s="87"/>
      <c r="BZ714" s="87"/>
      <c r="CA714" s="87"/>
      <c r="CB714" s="87"/>
      <c r="CC714" s="87"/>
      <c r="CD714" s="87"/>
      <c r="CE714" s="87"/>
      <c r="CF714" s="87"/>
      <c r="CG714" s="87"/>
      <c r="CH714" s="87"/>
      <c r="CI714" s="87"/>
      <c r="CJ714" s="87"/>
      <c r="CK714" s="87"/>
      <c r="CL714" s="87"/>
      <c r="CM714" s="87"/>
      <c r="CN714" s="87"/>
      <c r="CO714" s="87"/>
      <c r="CP714" s="87"/>
      <c r="CQ714" s="87"/>
      <c r="CR714" s="87"/>
      <c r="CS714" s="87"/>
      <c r="CT714" s="87"/>
      <c r="CU714" s="87"/>
      <c r="CV714" s="87"/>
      <c r="CW714" s="87"/>
      <c r="CX714" s="87"/>
      <c r="CY714" s="87"/>
      <c r="CZ714" s="87"/>
      <c r="DA714" s="87"/>
      <c r="DB714" s="87"/>
      <c r="DC714" s="87"/>
      <c r="DD714" s="87"/>
      <c r="DE714" s="87"/>
      <c r="DF714" s="87"/>
      <c r="DG714" s="87"/>
      <c r="DH714" s="87"/>
      <c r="DI714" s="87"/>
      <c r="DJ714" s="87"/>
      <c r="DK714" s="87"/>
      <c r="DL714" s="87"/>
      <c r="DM714" s="87"/>
      <c r="DN714" s="87"/>
      <c r="DO714" s="87"/>
      <c r="DP714" s="87"/>
      <c r="DQ714" s="87"/>
      <c r="DR714" s="87"/>
      <c r="DS714" s="87"/>
      <c r="DT714" s="87"/>
      <c r="DU714" s="87"/>
      <c r="DV714" s="87"/>
      <c r="DW714" s="87"/>
      <c r="DX714" s="87"/>
      <c r="DY714" s="87"/>
      <c r="DZ714" s="87"/>
      <c r="EA714" s="87"/>
      <c r="EB714" s="87"/>
      <c r="EC714" s="87"/>
      <c r="ED714" s="87"/>
      <c r="EE714" s="87"/>
      <c r="EF714" s="87"/>
      <c r="EG714" s="87"/>
      <c r="EH714" s="87"/>
      <c r="EI714" s="87"/>
      <c r="EJ714" s="144"/>
      <c r="EK714" s="144"/>
      <c r="EL714" s="144"/>
      <c r="EM714" s="144"/>
      <c r="EN714" s="144"/>
      <c r="EO714" s="144"/>
      <c r="EP714" s="144"/>
      <c r="EQ714" s="144"/>
      <c r="ER714" s="144"/>
      <c r="ES714" s="144"/>
      <c r="ET714" s="144"/>
      <c r="EU714" s="144"/>
      <c r="EV714" s="144"/>
      <c r="EW714" s="144"/>
      <c r="EX714" s="144"/>
      <c r="EY714" s="144"/>
      <c r="EZ714" s="144"/>
      <c r="FA714" s="144"/>
      <c r="FB714" s="144"/>
      <c r="FC714" s="144"/>
      <c r="FD714" s="144"/>
      <c r="FE714" s="144"/>
      <c r="FF714" s="144"/>
      <c r="FG714" s="144"/>
      <c r="FH714" s="144"/>
      <c r="FI714" s="144"/>
      <c r="FJ714" s="144"/>
      <c r="FK714" s="144"/>
      <c r="FL714" s="144"/>
      <c r="FM714" s="144"/>
      <c r="FN714" s="144"/>
      <c r="FO714" s="144"/>
      <c r="FP714" s="144"/>
      <c r="FQ714" s="144"/>
      <c r="FR714" s="144"/>
      <c r="FS714" s="144"/>
      <c r="FT714" s="144"/>
      <c r="FU714" s="144"/>
      <c r="FV714" s="144"/>
      <c r="FW714" s="144"/>
      <c r="FX714" s="144"/>
      <c r="FY714" s="144"/>
      <c r="FZ714" s="144"/>
      <c r="GA714" s="144"/>
      <c r="GB714" s="144"/>
      <c r="GC714" s="144"/>
      <c r="GD714" s="144"/>
      <c r="GE714" s="144"/>
      <c r="GF714" s="144"/>
      <c r="GG714" s="144"/>
      <c r="GH714" s="144"/>
      <c r="GI714" s="144"/>
      <c r="GJ714" s="144"/>
      <c r="GK714" s="144"/>
      <c r="GL714" s="144"/>
      <c r="GM714" s="144"/>
      <c r="GN714" s="144"/>
      <c r="GO714" s="144"/>
      <c r="GP714" s="144"/>
      <c r="GQ714" s="144"/>
      <c r="GR714" s="144"/>
      <c r="GS714" s="144"/>
      <c r="GT714" s="144"/>
      <c r="GU714" s="144"/>
      <c r="GV714" s="144"/>
      <c r="GW714" s="144"/>
      <c r="GX714" s="144"/>
      <c r="GY714" s="144"/>
      <c r="GZ714" s="144"/>
      <c r="HA714" s="144"/>
      <c r="HB714" s="144"/>
      <c r="HC714" s="144"/>
      <c r="HD714" s="144"/>
      <c r="HE714" s="144"/>
      <c r="HF714" s="144"/>
      <c r="HG714" s="144"/>
      <c r="HH714" s="144"/>
      <c r="HI714" s="144"/>
      <c r="HJ714" s="144"/>
      <c r="HK714" s="144"/>
      <c r="HL714" s="144" t="s">
        <v>1986</v>
      </c>
      <c r="HM714" s="144" t="s">
        <v>232</v>
      </c>
      <c r="HN714" s="87"/>
      <c r="HO714" s="87"/>
      <c r="HP714" s="87"/>
      <c r="HQ714" s="87"/>
      <c r="HR714" s="87"/>
      <c r="HS714" s="87"/>
      <c r="HT714" s="87"/>
      <c r="HU714" s="87"/>
      <c r="HV714" s="87"/>
      <c r="HW714" s="87"/>
      <c r="HX714" s="87"/>
      <c r="HY714" s="145"/>
      <c r="HZ714" s="87"/>
      <c r="IA714" s="87"/>
      <c r="IB714" s="87"/>
      <c r="IC714" s="87"/>
      <c r="ID714" s="87"/>
      <c r="IE714" s="87"/>
      <c r="IF714" s="87"/>
      <c r="IG714" s="87"/>
      <c r="IH714" s="87"/>
      <c r="II714" s="87"/>
      <c r="IJ714" s="87"/>
      <c r="IK714" s="87"/>
      <c r="IL714" s="87"/>
      <c r="IM714" s="87"/>
      <c r="IN714" s="87"/>
      <c r="IO714" s="87"/>
      <c r="IP714" s="87"/>
      <c r="IQ714" s="87"/>
      <c r="IR714" s="87"/>
      <c r="IS714" s="87"/>
      <c r="IT714" s="87"/>
      <c r="IU714" s="87"/>
      <c r="IV714" s="87"/>
      <c r="IW714" s="87"/>
      <c r="IX714" s="87"/>
      <c r="IY714" s="87">
        <v>20</v>
      </c>
      <c r="IZ714" s="87">
        <v>95</v>
      </c>
      <c r="JA714" s="87"/>
      <c r="JB714" s="87"/>
      <c r="JC714" s="87"/>
      <c r="JD714" s="87"/>
      <c r="JE714" s="87"/>
      <c r="JF714" s="87"/>
      <c r="JG714" s="87"/>
      <c r="JH714" s="87"/>
      <c r="JI714" s="87"/>
      <c r="JJ714" s="87"/>
      <c r="JK714" s="87"/>
      <c r="JL714" s="87"/>
      <c r="JM714" s="87"/>
      <c r="JN714" s="87"/>
      <c r="JO714" s="151"/>
      <c r="JP714" s="87"/>
      <c r="JQ714" s="87"/>
      <c r="JR714" s="87"/>
      <c r="JS714" s="87"/>
      <c r="JT714" s="87"/>
      <c r="JU714" s="87"/>
      <c r="JV714" s="87"/>
      <c r="JW714" s="87"/>
      <c r="JX714" s="87"/>
      <c r="JY714" s="151"/>
      <c r="JZ714" s="87"/>
      <c r="KA714" s="87"/>
      <c r="KB714" s="87"/>
      <c r="KC714" s="87"/>
      <c r="KD714" s="87"/>
      <c r="KE714" s="87"/>
      <c r="KF714" s="87"/>
      <c r="KG714" s="87"/>
      <c r="KH714" s="87"/>
      <c r="KI714" s="87"/>
      <c r="KJ714" s="87"/>
      <c r="KK714" s="87"/>
      <c r="KL714" s="87"/>
      <c r="KM714" s="87"/>
      <c r="KN714" s="87"/>
      <c r="KO714" s="87"/>
      <c r="KP714" s="87"/>
      <c r="KQ714" s="151"/>
      <c r="KR714" s="151"/>
      <c r="KS714" s="151"/>
      <c r="KT714" s="151"/>
      <c r="KU714" s="87"/>
      <c r="KV714" s="87"/>
      <c r="KW714" s="87"/>
      <c r="KX714" s="87"/>
      <c r="KY714" s="87"/>
      <c r="KZ714" s="87"/>
      <c r="LA714" s="87"/>
      <c r="LB714" s="87"/>
      <c r="LC714" s="87"/>
      <c r="LD714" s="87"/>
      <c r="LE714" s="87"/>
      <c r="LF714" s="87"/>
      <c r="LG714" s="87"/>
      <c r="LH714" s="87"/>
      <c r="LI714" s="87"/>
      <c r="LJ714" s="87"/>
      <c r="LK714" s="87"/>
      <c r="LL714" s="87"/>
      <c r="LM714" s="87"/>
      <c r="LN714" s="87"/>
      <c r="LO714" s="87"/>
      <c r="LP714" s="87"/>
      <c r="LQ714" s="87"/>
      <c r="LR714" s="87"/>
      <c r="LS714" s="87"/>
      <c r="LT714" s="87"/>
      <c r="LU714" s="87"/>
      <c r="LV714" s="87"/>
      <c r="LW714" s="87"/>
      <c r="LX714" s="87"/>
      <c r="LY714" s="87"/>
      <c r="LZ714" s="87"/>
      <c r="MA714" s="87"/>
      <c r="MB714" s="87"/>
      <c r="MC714" s="87"/>
      <c r="MD714" s="87"/>
      <c r="ME714" s="87"/>
      <c r="MF714" s="87"/>
      <c r="MG714" s="87"/>
      <c r="MH714" s="87"/>
      <c r="MI714" s="87"/>
      <c r="MJ714" s="87"/>
      <c r="MK714" s="87"/>
      <c r="ML714" s="87"/>
      <c r="MM714" s="87"/>
      <c r="MN714" s="87"/>
      <c r="MO714" s="87"/>
      <c r="MP714" s="87"/>
      <c r="MQ714" s="87"/>
      <c r="MR714" s="87"/>
      <c r="MS714" s="87" t="s">
        <v>1987</v>
      </c>
      <c r="MT714" s="87">
        <v>625</v>
      </c>
      <c r="MU714" s="87" t="s">
        <v>1988</v>
      </c>
      <c r="MV714" s="87"/>
      <c r="MW714" s="87" t="s">
        <v>1992</v>
      </c>
      <c r="MX714" s="87" t="s">
        <v>1993</v>
      </c>
      <c r="MY714" s="87" t="s">
        <v>1994</v>
      </c>
      <c r="MZ714" s="87" t="s">
        <v>1995</v>
      </c>
      <c r="NA714" s="87" t="s">
        <v>1996</v>
      </c>
      <c r="NB714" s="87"/>
      <c r="NC714" s="87"/>
      <c r="ND714" s="87"/>
      <c r="NE714" s="87" t="s">
        <v>2051</v>
      </c>
      <c r="NF714" s="87" t="s">
        <v>2052</v>
      </c>
      <c r="NG714" s="87" t="s">
        <v>2038</v>
      </c>
      <c r="NH714" s="87" t="s">
        <v>2039</v>
      </c>
      <c r="NI714" s="87"/>
      <c r="NJ714" s="87"/>
      <c r="NK714" s="87"/>
      <c r="NL714" s="87"/>
      <c r="NM714" s="87"/>
      <c r="NN714" s="87"/>
      <c r="NO714" s="87"/>
      <c r="NP714" s="87" t="s">
        <v>1997</v>
      </c>
      <c r="NQ714" s="87" t="s">
        <v>6</v>
      </c>
      <c r="NR714" s="87">
        <v>0.64800000000000002</v>
      </c>
      <c r="NS714" s="87" t="s">
        <v>1456</v>
      </c>
      <c r="NT714" s="87">
        <v>0.155</v>
      </c>
      <c r="NU714" s="87"/>
      <c r="NV714" s="87"/>
      <c r="NW714" s="87">
        <v>8</v>
      </c>
      <c r="NX714" s="87"/>
      <c r="NY714" s="87"/>
      <c r="NZ714" s="87"/>
      <c r="OA714" s="87"/>
      <c r="OB714" s="87"/>
      <c r="OC714" s="87"/>
      <c r="OD714" s="87"/>
      <c r="OE714" s="87"/>
      <c r="OF714" s="87"/>
      <c r="OG714" s="87"/>
      <c r="OH714" s="87" t="s">
        <v>1999</v>
      </c>
      <c r="OI714" s="149"/>
      <c r="OJ714" s="87"/>
      <c r="OK714" s="87">
        <v>2009</v>
      </c>
      <c r="OL714" s="87">
        <v>2010</v>
      </c>
      <c r="OM714" s="87"/>
      <c r="ON714" s="87"/>
      <c r="OO714" s="87" t="s">
        <v>2000</v>
      </c>
      <c r="OP714" s="145">
        <v>46133</v>
      </c>
      <c r="OQ714" s="87"/>
      <c r="OR714" s="87"/>
      <c r="OS714" s="87"/>
      <c r="OT714" s="87"/>
      <c r="OU714" s="143"/>
    </row>
    <row r="715" spans="1:411">
      <c r="A715" t="s">
        <v>36</v>
      </c>
      <c r="B715" t="s">
        <v>1975</v>
      </c>
      <c r="C715" t="s">
        <v>1976</v>
      </c>
      <c r="D715" t="s">
        <v>245</v>
      </c>
      <c r="E715" t="s">
        <v>1979</v>
      </c>
      <c r="F715" t="s">
        <v>1980</v>
      </c>
      <c r="G715" t="s">
        <v>2</v>
      </c>
      <c r="H715" t="s">
        <v>30</v>
      </c>
      <c r="I715">
        <v>-8.5169999999999995</v>
      </c>
      <c r="J715">
        <v>-74.766999999999996</v>
      </c>
      <c r="L715" t="s">
        <v>1976</v>
      </c>
      <c r="M715" t="s">
        <v>245</v>
      </c>
      <c r="N715" t="s">
        <v>2001</v>
      </c>
      <c r="O715" t="s">
        <v>1980</v>
      </c>
      <c r="P715" t="s">
        <v>2</v>
      </c>
      <c r="Q715" t="s">
        <v>30</v>
      </c>
      <c r="R715">
        <v>-8.3670000000000009</v>
      </c>
      <c r="S715">
        <v>-74.7</v>
      </c>
      <c r="AV715" t="s">
        <v>1981</v>
      </c>
      <c r="AW715">
        <v>625</v>
      </c>
      <c r="AX715" t="s">
        <v>29</v>
      </c>
      <c r="AY715">
        <v>2</v>
      </c>
      <c r="AZ715" t="s">
        <v>1982</v>
      </c>
      <c r="BA715">
        <v>2009</v>
      </c>
      <c r="BB715">
        <v>2010</v>
      </c>
      <c r="BC715" t="s">
        <v>1983</v>
      </c>
      <c r="BD715" t="s">
        <v>2009</v>
      </c>
      <c r="BE715" t="s">
        <v>2003</v>
      </c>
      <c r="BF715" t="s">
        <v>64</v>
      </c>
      <c r="BG715" t="s">
        <v>1243</v>
      </c>
      <c r="BH715" t="s">
        <v>2004</v>
      </c>
      <c r="BI715" t="s">
        <v>29</v>
      </c>
      <c r="BJ715" t="s">
        <v>29</v>
      </c>
      <c r="BK715" t="s">
        <v>29</v>
      </c>
      <c r="EE715" t="s">
        <v>2005</v>
      </c>
      <c r="EF715" t="s">
        <v>2006</v>
      </c>
      <c r="EG715">
        <v>0.24</v>
      </c>
      <c r="EH715" t="s">
        <v>2009</v>
      </c>
      <c r="EJ715" s="9"/>
      <c r="EK715" s="9"/>
      <c r="EL715" s="9"/>
      <c r="EM715" s="9"/>
      <c r="EN715" s="9"/>
      <c r="EO715" s="9"/>
      <c r="EP715" s="9"/>
      <c r="EQ715" s="9"/>
      <c r="ER715" s="9"/>
      <c r="ES715" s="9"/>
      <c r="ET715" s="9"/>
      <c r="EU715" s="9"/>
      <c r="EV715" s="9"/>
      <c r="EW715" s="9"/>
      <c r="EX715" s="9"/>
      <c r="EY715" s="9"/>
      <c r="EZ715" s="9"/>
      <c r="FA715" s="9"/>
      <c r="FB715" s="9"/>
      <c r="FC715" s="9"/>
      <c r="FD715" s="9"/>
      <c r="FE715" s="9"/>
      <c r="FF715" s="9"/>
      <c r="FG715" s="9"/>
      <c r="FH715" s="9"/>
      <c r="FI715" s="9"/>
      <c r="FJ715" s="9"/>
      <c r="FK715" s="9"/>
      <c r="FL715" s="9"/>
      <c r="FM715" s="9"/>
      <c r="FN715" s="9"/>
      <c r="FO715" s="9"/>
      <c r="FP715" s="9"/>
      <c r="FQ715" s="9"/>
      <c r="FR715" s="9"/>
      <c r="FS715" s="9"/>
      <c r="FT715" s="9"/>
      <c r="FU715" s="9"/>
      <c r="FV715" s="9"/>
      <c r="FW715" s="9"/>
      <c r="FX715" s="9"/>
      <c r="FY715" s="9"/>
      <c r="FZ715" s="9"/>
      <c r="GA715" s="9"/>
      <c r="GB715" s="9"/>
      <c r="GC715" s="9"/>
      <c r="GD715" s="9"/>
      <c r="GE715" s="9"/>
      <c r="GF715" s="9"/>
      <c r="GG715" s="9"/>
      <c r="GH715" s="9"/>
      <c r="GI715" s="9"/>
      <c r="GJ715" s="9"/>
      <c r="GK715" s="9"/>
      <c r="GL715" s="9"/>
      <c r="GM715" s="9"/>
      <c r="GN715" s="9"/>
      <c r="GO715" s="9"/>
      <c r="GP715" s="9"/>
      <c r="GQ715" s="9"/>
      <c r="GR715" s="9"/>
      <c r="GS715" s="9"/>
      <c r="GT715" s="9"/>
      <c r="GU715" s="9"/>
      <c r="GV715" s="9"/>
      <c r="GW715" s="9"/>
      <c r="GX715" s="9"/>
      <c r="GY715" s="9"/>
      <c r="GZ715" s="9"/>
      <c r="HA715" s="9"/>
      <c r="HB715" s="9"/>
      <c r="HC715" s="9"/>
      <c r="HD715" s="9"/>
      <c r="HE715" s="9"/>
      <c r="HF715" s="9"/>
      <c r="HG715" s="9"/>
      <c r="HH715" s="9"/>
      <c r="HI715" s="9"/>
      <c r="HJ715" s="9"/>
      <c r="HK715" s="9"/>
      <c r="HL715" s="9" t="s">
        <v>2007</v>
      </c>
      <c r="HM715" s="9" t="s">
        <v>232</v>
      </c>
      <c r="HY715" s="58"/>
      <c r="IU715" t="s">
        <v>2008</v>
      </c>
      <c r="IV715" t="s">
        <v>2009</v>
      </c>
      <c r="IW715" t="s">
        <v>2010</v>
      </c>
      <c r="IY715">
        <v>6</v>
      </c>
      <c r="IZ715">
        <v>77.5</v>
      </c>
      <c r="JA715">
        <v>75</v>
      </c>
      <c r="JB715">
        <v>80</v>
      </c>
      <c r="JC715">
        <v>7.5</v>
      </c>
      <c r="JD715">
        <v>6</v>
      </c>
      <c r="JE715">
        <v>9</v>
      </c>
      <c r="JO715" s="9"/>
      <c r="JY715" s="9"/>
      <c r="KQ715" s="9"/>
      <c r="KR715" s="9"/>
      <c r="KS715" s="9"/>
      <c r="KT715" s="9"/>
      <c r="MS715" t="s">
        <v>1987</v>
      </c>
      <c r="MT715">
        <v>625</v>
      </c>
      <c r="MU715" t="s">
        <v>1988</v>
      </c>
      <c r="MW715" t="s">
        <v>1992</v>
      </c>
      <c r="MX715" t="s">
        <v>1993</v>
      </c>
      <c r="MY715" t="s">
        <v>1994</v>
      </c>
      <c r="MZ715" t="s">
        <v>1995</v>
      </c>
      <c r="NA715" t="s">
        <v>1996</v>
      </c>
      <c r="NE715" t="s">
        <v>2051</v>
      </c>
      <c r="NF715" t="s">
        <v>2052</v>
      </c>
      <c r="NG715" t="s">
        <v>2038</v>
      </c>
      <c r="NH715" t="s">
        <v>2039</v>
      </c>
      <c r="NP715" t="s">
        <v>2011</v>
      </c>
      <c r="NQ715" t="s">
        <v>6</v>
      </c>
      <c r="NR715">
        <v>0.18099999999999999</v>
      </c>
      <c r="NS715" t="s">
        <v>1456</v>
      </c>
      <c r="NT715">
        <v>3.3000000000000002E-2</v>
      </c>
      <c r="NW715">
        <v>31</v>
      </c>
      <c r="OH715" t="s">
        <v>1999</v>
      </c>
      <c r="OI715" s="19"/>
      <c r="OK715">
        <v>2009</v>
      </c>
      <c r="OL715">
        <v>2010</v>
      </c>
      <c r="OO715" t="s">
        <v>2000</v>
      </c>
      <c r="OP715" s="58">
        <v>46133</v>
      </c>
    </row>
    <row r="716" spans="1:411">
      <c r="A716" s="87" t="s">
        <v>36</v>
      </c>
      <c r="B716" s="87" t="s">
        <v>1975</v>
      </c>
      <c r="C716" s="87" t="s">
        <v>1976</v>
      </c>
      <c r="D716" s="87" t="s">
        <v>245</v>
      </c>
      <c r="E716" s="87" t="s">
        <v>2012</v>
      </c>
      <c r="F716" s="87" t="s">
        <v>1980</v>
      </c>
      <c r="G716" s="87" t="s">
        <v>2</v>
      </c>
      <c r="H716" s="87" t="s">
        <v>30</v>
      </c>
      <c r="I716" s="87">
        <v>-8.8170000000000002</v>
      </c>
      <c r="J716" s="87">
        <v>-75.2</v>
      </c>
      <c r="K716" s="87"/>
      <c r="L716" s="87" t="s">
        <v>1976</v>
      </c>
      <c r="M716" s="87" t="s">
        <v>245</v>
      </c>
      <c r="N716" s="87" t="s">
        <v>1979</v>
      </c>
      <c r="O716" s="87" t="s">
        <v>1980</v>
      </c>
      <c r="P716" s="87" t="s">
        <v>2</v>
      </c>
      <c r="Q716" s="87" t="s">
        <v>30</v>
      </c>
      <c r="R716" s="87">
        <v>-8.5169999999999995</v>
      </c>
      <c r="S716" s="87">
        <v>-74.766999999999996</v>
      </c>
      <c r="T716" s="87"/>
      <c r="U716" s="87"/>
      <c r="V716" s="87"/>
      <c r="W716" s="87"/>
      <c r="X716" s="87"/>
      <c r="Y716" s="87"/>
      <c r="Z716" s="87"/>
      <c r="AA716" s="87"/>
      <c r="AB716" s="87"/>
      <c r="AC716" s="87"/>
      <c r="AD716" s="87"/>
      <c r="AE716" s="87"/>
      <c r="AF716" s="87"/>
      <c r="AG716" s="87"/>
      <c r="AH716" s="87"/>
      <c r="AI716" s="87"/>
      <c r="AJ716" s="87"/>
      <c r="AK716" s="87"/>
      <c r="AL716" s="87"/>
      <c r="AM716" s="87"/>
      <c r="AN716" s="87"/>
      <c r="AO716" s="87"/>
      <c r="AP716" s="87"/>
      <c r="AQ716" s="87"/>
      <c r="AR716" s="87"/>
      <c r="AS716" s="87"/>
      <c r="AT716" s="87"/>
      <c r="AU716" s="87"/>
      <c r="AV716" s="87" t="s">
        <v>1981</v>
      </c>
      <c r="AW716" s="87">
        <v>625</v>
      </c>
      <c r="AX716" s="87" t="s">
        <v>29</v>
      </c>
      <c r="AY716" s="87">
        <v>2</v>
      </c>
      <c r="AZ716" s="87" t="s">
        <v>1982</v>
      </c>
      <c r="BA716" s="87">
        <v>2009</v>
      </c>
      <c r="BB716" s="87">
        <v>2010</v>
      </c>
      <c r="BC716" s="87" t="s">
        <v>1983</v>
      </c>
      <c r="BD716" s="87" t="s">
        <v>2002</v>
      </c>
      <c r="BE716" s="87" t="s">
        <v>2013</v>
      </c>
      <c r="BF716" s="87" t="s">
        <v>57</v>
      </c>
      <c r="BG716" s="87" t="s">
        <v>1243</v>
      </c>
      <c r="BH716" s="87" t="s">
        <v>2014</v>
      </c>
      <c r="BI716" s="87" t="s">
        <v>29</v>
      </c>
      <c r="BJ716" s="87" t="s">
        <v>29</v>
      </c>
      <c r="BK716" s="87" t="s">
        <v>29</v>
      </c>
      <c r="BL716" s="87"/>
      <c r="BM716" s="87"/>
      <c r="BN716" s="87"/>
      <c r="BO716" s="87"/>
      <c r="BP716" s="87"/>
      <c r="BQ716" s="87"/>
      <c r="BR716" s="87"/>
      <c r="BS716" s="87"/>
      <c r="BT716" s="87"/>
      <c r="BU716" s="87"/>
      <c r="BV716" s="87"/>
      <c r="BW716" s="87"/>
      <c r="BX716" s="87"/>
      <c r="BY716" s="87"/>
      <c r="BZ716" s="87"/>
      <c r="CA716" s="87"/>
      <c r="CB716" s="87"/>
      <c r="CC716" s="87"/>
      <c r="CD716" s="87"/>
      <c r="CE716" s="87"/>
      <c r="CF716" s="87"/>
      <c r="CG716" s="87"/>
      <c r="CH716" s="87"/>
      <c r="CI716" s="87"/>
      <c r="CJ716" s="87"/>
      <c r="CK716" s="87"/>
      <c r="CL716" s="87"/>
      <c r="CM716" s="87"/>
      <c r="CN716" s="87"/>
      <c r="CO716" s="87"/>
      <c r="CP716" s="87"/>
      <c r="CQ716" s="87"/>
      <c r="CR716" s="87"/>
      <c r="CS716" s="87"/>
      <c r="CT716" s="87"/>
      <c r="CU716" s="87"/>
      <c r="CV716" s="87"/>
      <c r="CW716" s="87"/>
      <c r="CX716" s="87"/>
      <c r="CY716" s="87"/>
      <c r="CZ716" s="87"/>
      <c r="DA716" s="87"/>
      <c r="DB716" s="87"/>
      <c r="DC716" s="87"/>
      <c r="DD716" s="87"/>
      <c r="DE716" s="87"/>
      <c r="DF716" s="87"/>
      <c r="DG716" s="87"/>
      <c r="DH716" s="87"/>
      <c r="DI716" s="87"/>
      <c r="DJ716" s="87"/>
      <c r="DK716" s="87"/>
      <c r="DL716" s="87"/>
      <c r="DM716" s="87"/>
      <c r="DN716" s="87"/>
      <c r="DO716" s="87"/>
      <c r="DP716" s="87"/>
      <c r="DQ716" s="87"/>
      <c r="DR716" s="87"/>
      <c r="DS716" s="87"/>
      <c r="DT716" s="87"/>
      <c r="DU716" s="87"/>
      <c r="DV716" s="87"/>
      <c r="DW716" s="87"/>
      <c r="DX716" s="87"/>
      <c r="DY716" s="87"/>
      <c r="DZ716" s="87"/>
      <c r="EA716" s="87"/>
      <c r="EB716" s="87"/>
      <c r="EC716" s="87"/>
      <c r="ED716" s="87"/>
      <c r="EE716" s="87" t="s">
        <v>2015</v>
      </c>
      <c r="EF716" s="87" t="s">
        <v>2006</v>
      </c>
      <c r="EG716" s="87">
        <v>0.24</v>
      </c>
      <c r="EH716" s="87" t="s">
        <v>2056</v>
      </c>
      <c r="EI716" s="87" t="s">
        <v>2016</v>
      </c>
      <c r="EJ716" s="144" t="s">
        <v>2006</v>
      </c>
      <c r="EK716" s="144">
        <v>0.24</v>
      </c>
      <c r="EL716" s="144"/>
      <c r="EM716" s="144" t="s">
        <v>2017</v>
      </c>
      <c r="EN716" s="144" t="s">
        <v>2006</v>
      </c>
      <c r="EO716" s="144" t="s">
        <v>29</v>
      </c>
      <c r="EP716" s="144"/>
      <c r="EQ716" s="144" t="s">
        <v>2018</v>
      </c>
      <c r="ER716" s="144" t="s">
        <v>2006</v>
      </c>
      <c r="ES716" s="144" t="s">
        <v>29</v>
      </c>
      <c r="ET716" s="144"/>
      <c r="EU716" s="144" t="s">
        <v>2019</v>
      </c>
      <c r="EV716" s="144" t="s">
        <v>2006</v>
      </c>
      <c r="EW716" s="144" t="s">
        <v>29</v>
      </c>
      <c r="EX716" s="144"/>
      <c r="EY716" s="144"/>
      <c r="EZ716" s="144"/>
      <c r="FA716" s="144"/>
      <c r="FB716" s="144"/>
      <c r="FC716" s="144"/>
      <c r="FD716" s="144"/>
      <c r="FE716" s="144"/>
      <c r="FF716" s="144"/>
      <c r="FG716" s="144"/>
      <c r="FH716" s="144"/>
      <c r="FI716" s="144"/>
      <c r="FJ716" s="144"/>
      <c r="FK716" s="144"/>
      <c r="FL716" s="144"/>
      <c r="FM716" s="144"/>
      <c r="FN716" s="144"/>
      <c r="FO716" s="144"/>
      <c r="FP716" s="144"/>
      <c r="FQ716" s="144"/>
      <c r="FR716" s="144"/>
      <c r="FS716" s="144"/>
      <c r="FT716" s="144"/>
      <c r="FU716" s="144"/>
      <c r="FV716" s="144"/>
      <c r="FW716" s="144"/>
      <c r="FX716" s="144"/>
      <c r="FY716" s="144"/>
      <c r="FZ716" s="144"/>
      <c r="GA716" s="144"/>
      <c r="GB716" s="144"/>
      <c r="GC716" s="144"/>
      <c r="GD716" s="144"/>
      <c r="GE716" s="144"/>
      <c r="GF716" s="144"/>
      <c r="GG716" s="144"/>
      <c r="GH716" s="144"/>
      <c r="GI716" s="144"/>
      <c r="GJ716" s="144"/>
      <c r="GK716" s="144"/>
      <c r="GL716" s="144"/>
      <c r="GM716" s="144"/>
      <c r="GN716" s="144"/>
      <c r="GO716" s="144"/>
      <c r="GP716" s="144"/>
      <c r="GQ716" s="144"/>
      <c r="GR716" s="144"/>
      <c r="GS716" s="144"/>
      <c r="GT716" s="144"/>
      <c r="GU716" s="144"/>
      <c r="GV716" s="144"/>
      <c r="GW716" s="144"/>
      <c r="GX716" s="144"/>
      <c r="GY716" s="144"/>
      <c r="GZ716" s="144"/>
      <c r="HA716" s="144"/>
      <c r="HB716" s="144"/>
      <c r="HC716" s="144"/>
      <c r="HD716" s="144"/>
      <c r="HE716" s="144"/>
      <c r="HF716" s="144"/>
      <c r="HG716" s="144"/>
      <c r="HH716" s="144"/>
      <c r="HI716" s="144"/>
      <c r="HJ716" s="144"/>
      <c r="HK716" s="144"/>
      <c r="HL716" s="144" t="s">
        <v>2007</v>
      </c>
      <c r="HM716" s="144" t="s">
        <v>232</v>
      </c>
      <c r="HN716" s="87"/>
      <c r="HO716" s="87"/>
      <c r="HP716" s="87"/>
      <c r="HQ716" s="87"/>
      <c r="HR716" s="87"/>
      <c r="HS716" s="87"/>
      <c r="HT716" s="87"/>
      <c r="HU716" s="87"/>
      <c r="HV716" s="87"/>
      <c r="HW716" s="87"/>
      <c r="HX716" s="87"/>
      <c r="HY716" s="145"/>
      <c r="HZ716" s="87"/>
      <c r="IA716" s="87"/>
      <c r="IB716" s="87"/>
      <c r="IC716" s="87"/>
      <c r="ID716" s="87"/>
      <c r="IE716" s="87"/>
      <c r="IF716" s="87"/>
      <c r="IG716" s="87"/>
      <c r="IH716" s="87"/>
      <c r="II716" s="87"/>
      <c r="IJ716" s="87"/>
      <c r="IK716" s="87"/>
      <c r="IL716" s="87"/>
      <c r="IM716" s="87"/>
      <c r="IN716" s="87"/>
      <c r="IO716" s="87"/>
      <c r="IP716" s="87"/>
      <c r="IQ716" s="87"/>
      <c r="IR716" s="87"/>
      <c r="IS716" s="87"/>
      <c r="IT716" s="87"/>
      <c r="IU716" s="87" t="s">
        <v>2020</v>
      </c>
      <c r="IV716" s="87" t="s">
        <v>2009</v>
      </c>
      <c r="IW716" s="87" t="s">
        <v>2021</v>
      </c>
      <c r="IX716" s="87"/>
      <c r="IY716" s="87"/>
      <c r="IZ716" s="87">
        <v>50</v>
      </c>
      <c r="JA716" s="87"/>
      <c r="JB716" s="87"/>
      <c r="JC716" s="87">
        <v>12</v>
      </c>
      <c r="JD716" s="87"/>
      <c r="JE716" s="87"/>
      <c r="JF716" s="87"/>
      <c r="JG716" s="87"/>
      <c r="JH716" s="87"/>
      <c r="JI716" s="87"/>
      <c r="JJ716" s="87"/>
      <c r="JK716" s="87"/>
      <c r="JL716" s="87"/>
      <c r="JM716" s="87"/>
      <c r="JN716" s="87"/>
      <c r="JO716" s="151"/>
      <c r="JP716" s="87"/>
      <c r="JQ716" s="87"/>
      <c r="JR716" s="87"/>
      <c r="JS716" s="87"/>
      <c r="JT716" s="87"/>
      <c r="JU716" s="87"/>
      <c r="JV716" s="87"/>
      <c r="JW716" s="87"/>
      <c r="JX716" s="87"/>
      <c r="JY716" s="151"/>
      <c r="JZ716" s="87"/>
      <c r="KA716" s="87"/>
      <c r="KB716" s="87"/>
      <c r="KC716" s="87"/>
      <c r="KD716" s="87"/>
      <c r="KE716" s="87"/>
      <c r="KF716" s="87"/>
      <c r="KG716" s="87"/>
      <c r="KH716" s="87"/>
      <c r="KI716" s="87"/>
      <c r="KJ716" s="87"/>
      <c r="KK716" s="87"/>
      <c r="KL716" s="87"/>
      <c r="KM716" s="87"/>
      <c r="KN716" s="87"/>
      <c r="KO716" s="87"/>
      <c r="KP716" s="87"/>
      <c r="KQ716" s="151"/>
      <c r="KR716" s="151"/>
      <c r="KS716" s="151"/>
      <c r="KT716" s="151"/>
      <c r="KU716" s="87"/>
      <c r="KV716" s="87"/>
      <c r="KW716" s="87"/>
      <c r="KX716" s="87"/>
      <c r="KY716" s="87"/>
      <c r="KZ716" s="87"/>
      <c r="LA716" s="87"/>
      <c r="LB716" s="87"/>
      <c r="LC716" s="87"/>
      <c r="LD716" s="87"/>
      <c r="LE716" s="87"/>
      <c r="LF716" s="87"/>
      <c r="LG716" s="87"/>
      <c r="LH716" s="87"/>
      <c r="LI716" s="87"/>
      <c r="LJ716" s="87"/>
      <c r="LK716" s="87"/>
      <c r="LL716" s="87"/>
      <c r="LM716" s="87"/>
      <c r="LN716" s="87"/>
      <c r="LO716" s="87"/>
      <c r="LP716" s="87"/>
      <c r="LQ716" s="87"/>
      <c r="LR716" s="87"/>
      <c r="LS716" s="87"/>
      <c r="LT716" s="87"/>
      <c r="LU716" s="87"/>
      <c r="LV716" s="87"/>
      <c r="LW716" s="87"/>
      <c r="LX716" s="87"/>
      <c r="LY716" s="87"/>
      <c r="LZ716" s="87"/>
      <c r="MA716" s="87"/>
      <c r="MB716" s="87"/>
      <c r="MC716" s="87"/>
      <c r="MD716" s="87"/>
      <c r="ME716" s="87"/>
      <c r="MF716" s="87"/>
      <c r="MG716" s="87"/>
      <c r="MH716" s="87"/>
      <c r="MI716" s="87"/>
      <c r="MJ716" s="87"/>
      <c r="MK716" s="87"/>
      <c r="ML716" s="87"/>
      <c r="MM716" s="87"/>
      <c r="MN716" s="87"/>
      <c r="MO716" s="87"/>
      <c r="MP716" s="87"/>
      <c r="MQ716" s="87"/>
      <c r="MR716" s="87"/>
      <c r="MS716" s="87" t="s">
        <v>1987</v>
      </c>
      <c r="MT716" s="87">
        <v>625</v>
      </c>
      <c r="MU716" s="87" t="s">
        <v>1988</v>
      </c>
      <c r="MV716" s="87"/>
      <c r="MW716" s="87" t="s">
        <v>1992</v>
      </c>
      <c r="MX716" s="87" t="s">
        <v>1993</v>
      </c>
      <c r="MY716" s="87" t="s">
        <v>1994</v>
      </c>
      <c r="MZ716" s="87" t="s">
        <v>1995</v>
      </c>
      <c r="NA716" s="87" t="s">
        <v>1996</v>
      </c>
      <c r="NB716" s="87"/>
      <c r="NC716" s="87"/>
      <c r="ND716" s="87"/>
      <c r="NE716" s="87" t="s">
        <v>2051</v>
      </c>
      <c r="NF716" s="87" t="s">
        <v>2052</v>
      </c>
      <c r="NG716" s="87" t="s">
        <v>2038</v>
      </c>
      <c r="NH716" s="87" t="s">
        <v>2039</v>
      </c>
      <c r="NI716" s="87"/>
      <c r="NJ716" s="87"/>
      <c r="NK716" s="87"/>
      <c r="NL716" s="87"/>
      <c r="NM716" s="87"/>
      <c r="NN716" s="87"/>
      <c r="NO716" s="87"/>
      <c r="NP716" s="87" t="s">
        <v>2022</v>
      </c>
      <c r="NQ716" s="87" t="s">
        <v>6</v>
      </c>
      <c r="NR716" s="87">
        <v>0.16600000000000001</v>
      </c>
      <c r="NS716" s="87" t="s">
        <v>1456</v>
      </c>
      <c r="NT716" s="87">
        <v>0.04</v>
      </c>
      <c r="NU716" s="87"/>
      <c r="NV716" s="87"/>
      <c r="NW716" s="87">
        <v>32</v>
      </c>
      <c r="NX716" s="87"/>
      <c r="NY716" s="87"/>
      <c r="NZ716" s="87"/>
      <c r="OA716" s="87"/>
      <c r="OB716" s="87"/>
      <c r="OC716" s="87"/>
      <c r="OD716" s="87"/>
      <c r="OE716" s="87"/>
      <c r="OF716" s="87"/>
      <c r="OG716" s="87"/>
      <c r="OH716" s="87" t="s">
        <v>1999</v>
      </c>
      <c r="OI716" s="149"/>
      <c r="OJ716" s="87"/>
      <c r="OK716" s="87">
        <v>2009</v>
      </c>
      <c r="OL716" s="87">
        <v>2010</v>
      </c>
      <c r="OM716" s="87"/>
      <c r="ON716" s="87"/>
      <c r="OO716" s="87" t="s">
        <v>2000</v>
      </c>
      <c r="OP716" s="145">
        <v>46133</v>
      </c>
      <c r="OQ716" s="87"/>
      <c r="OR716" s="87"/>
      <c r="OS716" s="87"/>
      <c r="OT716" s="87"/>
      <c r="OU716" s="143"/>
    </row>
    <row r="717" spans="1:411">
      <c r="A717" t="s">
        <v>36</v>
      </c>
      <c r="B717" t="s">
        <v>1975</v>
      </c>
      <c r="C717" t="s">
        <v>1976</v>
      </c>
      <c r="D717" t="s">
        <v>245</v>
      </c>
      <c r="E717" t="s">
        <v>2012</v>
      </c>
      <c r="F717" t="s">
        <v>1980</v>
      </c>
      <c r="G717" t="s">
        <v>2</v>
      </c>
      <c r="H717" t="s">
        <v>30</v>
      </c>
      <c r="I717">
        <v>-8.8170000000000002</v>
      </c>
      <c r="J717">
        <v>-75.2</v>
      </c>
      <c r="L717" t="s">
        <v>1976</v>
      </c>
      <c r="M717" t="s">
        <v>245</v>
      </c>
      <c r="N717" t="s">
        <v>1979</v>
      </c>
      <c r="O717" t="s">
        <v>1980</v>
      </c>
      <c r="P717" t="s">
        <v>2</v>
      </c>
      <c r="Q717" t="s">
        <v>30</v>
      </c>
      <c r="R717">
        <v>-8.5169999999999995</v>
      </c>
      <c r="S717">
        <v>-74.766999999999996</v>
      </c>
      <c r="U717" t="s">
        <v>1976</v>
      </c>
      <c r="V717" t="s">
        <v>245</v>
      </c>
      <c r="W717" t="s">
        <v>2001</v>
      </c>
      <c r="X717" t="s">
        <v>1980</v>
      </c>
      <c r="Y717" t="s">
        <v>2</v>
      </c>
      <c r="Z717" t="s">
        <v>30</v>
      </c>
      <c r="AA717">
        <v>-8.3670000000000009</v>
      </c>
      <c r="AB717">
        <v>-74.7</v>
      </c>
      <c r="AV717" t="s">
        <v>1981</v>
      </c>
      <c r="AW717">
        <v>625</v>
      </c>
      <c r="AX717" t="s">
        <v>29</v>
      </c>
      <c r="AY717">
        <v>2</v>
      </c>
      <c r="AZ717" t="s">
        <v>1982</v>
      </c>
      <c r="BA717">
        <v>2009</v>
      </c>
      <c r="BB717">
        <v>2010</v>
      </c>
      <c r="BC717" t="s">
        <v>1983</v>
      </c>
      <c r="BD717" t="s">
        <v>19</v>
      </c>
      <c r="BE717" t="s">
        <v>2023</v>
      </c>
      <c r="BF717" t="s">
        <v>24</v>
      </c>
      <c r="BG717" t="s">
        <v>1243</v>
      </c>
      <c r="BH717" t="s">
        <v>2024</v>
      </c>
      <c r="BI717" t="s">
        <v>29</v>
      </c>
      <c r="BJ717" t="s">
        <v>29</v>
      </c>
      <c r="BK717" t="s">
        <v>29</v>
      </c>
      <c r="EJ717" s="9"/>
      <c r="EK717" s="9"/>
      <c r="EL717" s="9"/>
      <c r="EM717" s="9"/>
      <c r="EN717" s="9"/>
      <c r="EO717" s="9"/>
      <c r="EP717" s="9"/>
      <c r="EQ717" s="9"/>
      <c r="ER717" s="9"/>
      <c r="ES717" s="9"/>
      <c r="ET717" s="9"/>
      <c r="EU717" s="9"/>
      <c r="EV717" s="9"/>
      <c r="EW717" s="9"/>
      <c r="EX717" s="9"/>
      <c r="EY717" s="9"/>
      <c r="EZ717" s="9"/>
      <c r="FA717" s="9"/>
      <c r="FB717" s="9"/>
      <c r="FC717" s="9"/>
      <c r="FD717" s="9"/>
      <c r="FE717" s="9"/>
      <c r="FF717" s="9"/>
      <c r="FG717" s="9"/>
      <c r="FH717" s="9"/>
      <c r="FI717" s="9"/>
      <c r="FJ717" s="9"/>
      <c r="FK717" s="9"/>
      <c r="FL717" s="9"/>
      <c r="FM717" s="9"/>
      <c r="FN717" s="9"/>
      <c r="FO717" s="9"/>
      <c r="FP717" s="9"/>
      <c r="FQ717" s="9"/>
      <c r="FR717" s="9"/>
      <c r="FS717" s="9"/>
      <c r="FT717" s="9"/>
      <c r="FU717" s="9"/>
      <c r="FV717" s="9"/>
      <c r="FW717" s="9"/>
      <c r="FX717" s="9"/>
      <c r="FY717" s="9"/>
      <c r="FZ717" s="9"/>
      <c r="GA717" s="9"/>
      <c r="GB717" s="9"/>
      <c r="GC717" s="9"/>
      <c r="GD717" s="9"/>
      <c r="GE717" s="9"/>
      <c r="GF717" s="9"/>
      <c r="GG717" s="9"/>
      <c r="GH717" s="9"/>
      <c r="GI717" s="9"/>
      <c r="GJ717" s="9"/>
      <c r="GK717" s="9"/>
      <c r="GL717" s="9"/>
      <c r="GM717" s="9"/>
      <c r="GN717" s="9"/>
      <c r="GO717" s="9"/>
      <c r="GP717" s="9"/>
      <c r="GQ717" s="9"/>
      <c r="GR717" s="9"/>
      <c r="GS717" s="9"/>
      <c r="GT717" s="9"/>
      <c r="GU717" s="9"/>
      <c r="GV717" s="9"/>
      <c r="GW717" s="9"/>
      <c r="GX717" s="9"/>
      <c r="GY717" s="9"/>
      <c r="GZ717" s="9"/>
      <c r="HA717" s="9"/>
      <c r="HB717" s="9"/>
      <c r="HC717" s="9"/>
      <c r="HD717" s="9"/>
      <c r="HE717" s="9"/>
      <c r="HF717" s="9"/>
      <c r="HG717" s="9"/>
      <c r="HH717" s="9"/>
      <c r="HI717" s="9"/>
      <c r="HJ717" s="9"/>
      <c r="HK717" s="9"/>
      <c r="HL717" s="9" t="s">
        <v>2025</v>
      </c>
      <c r="HM717" s="9" t="s">
        <v>297</v>
      </c>
      <c r="HN717" t="s">
        <v>12</v>
      </c>
      <c r="HY717" s="58"/>
      <c r="JO717" s="9"/>
      <c r="JY717" s="9"/>
      <c r="KQ717" s="9"/>
      <c r="KR717" s="9"/>
      <c r="KS717" s="9"/>
      <c r="KT717" s="9"/>
      <c r="MS717" t="s">
        <v>1987</v>
      </c>
      <c r="MT717">
        <v>625</v>
      </c>
      <c r="MU717" t="s">
        <v>1988</v>
      </c>
      <c r="MW717" t="s">
        <v>1992</v>
      </c>
      <c r="MX717" t="s">
        <v>1993</v>
      </c>
      <c r="MY717" t="s">
        <v>1994</v>
      </c>
      <c r="MZ717" t="s">
        <v>1995</v>
      </c>
      <c r="NA717" t="s">
        <v>1996</v>
      </c>
      <c r="NE717" t="s">
        <v>2051</v>
      </c>
      <c r="NF717" t="s">
        <v>2052</v>
      </c>
      <c r="NG717" t="s">
        <v>2038</v>
      </c>
      <c r="NH717" t="s">
        <v>2039</v>
      </c>
      <c r="NP717" t="s">
        <v>2026</v>
      </c>
      <c r="NQ717" t="s">
        <v>6</v>
      </c>
      <c r="NR717">
        <v>0.14099999999999999</v>
      </c>
      <c r="NS717" t="s">
        <v>1456</v>
      </c>
      <c r="NT717">
        <v>2.7E-2</v>
      </c>
      <c r="NW717">
        <v>32</v>
      </c>
      <c r="OH717" t="s">
        <v>1999</v>
      </c>
      <c r="OI717" s="19"/>
      <c r="OK717">
        <v>2009</v>
      </c>
      <c r="OL717">
        <v>2010</v>
      </c>
      <c r="OO717" t="s">
        <v>2000</v>
      </c>
      <c r="OP717" s="58">
        <v>46133</v>
      </c>
    </row>
    <row r="718" spans="1:411">
      <c r="A718" s="87" t="s">
        <v>36</v>
      </c>
      <c r="B718" s="87" t="s">
        <v>1975</v>
      </c>
      <c r="C718" s="87" t="s">
        <v>1976</v>
      </c>
      <c r="D718" s="87" t="s">
        <v>245</v>
      </c>
      <c r="E718" s="87" t="s">
        <v>2012</v>
      </c>
      <c r="F718" s="87" t="s">
        <v>1980</v>
      </c>
      <c r="G718" s="87" t="s">
        <v>2</v>
      </c>
      <c r="H718" s="87" t="s">
        <v>30</v>
      </c>
      <c r="I718" s="87">
        <v>-8.8170000000000002</v>
      </c>
      <c r="J718" s="87">
        <v>-75.2</v>
      </c>
      <c r="K718" s="87"/>
      <c r="L718" s="87" t="s">
        <v>1976</v>
      </c>
      <c r="M718" s="87" t="s">
        <v>245</v>
      </c>
      <c r="N718" s="87" t="s">
        <v>1979</v>
      </c>
      <c r="O718" s="87" t="s">
        <v>1980</v>
      </c>
      <c r="P718" s="87" t="s">
        <v>2</v>
      </c>
      <c r="Q718" s="87" t="s">
        <v>30</v>
      </c>
      <c r="R718" s="87">
        <v>-8.5169999999999995</v>
      </c>
      <c r="S718" s="87">
        <v>-74.766999999999996</v>
      </c>
      <c r="T718" s="87"/>
      <c r="U718" s="87" t="s">
        <v>1976</v>
      </c>
      <c r="V718" s="87" t="s">
        <v>245</v>
      </c>
      <c r="W718" s="87" t="s">
        <v>2001</v>
      </c>
      <c r="X718" s="87" t="s">
        <v>1980</v>
      </c>
      <c r="Y718" s="87" t="s">
        <v>2</v>
      </c>
      <c r="Z718" s="87" t="s">
        <v>30</v>
      </c>
      <c r="AA718" s="87">
        <v>-8.3670000000000009</v>
      </c>
      <c r="AB718" s="87">
        <v>-74.7</v>
      </c>
      <c r="AC718" s="87"/>
      <c r="AD718" s="87"/>
      <c r="AE718" s="87"/>
      <c r="AF718" s="87"/>
      <c r="AG718" s="87"/>
      <c r="AH718" s="87"/>
      <c r="AI718" s="87"/>
      <c r="AJ718" s="87"/>
      <c r="AK718" s="87"/>
      <c r="AL718" s="87"/>
      <c r="AM718" s="87"/>
      <c r="AN718" s="87"/>
      <c r="AO718" s="87"/>
      <c r="AP718" s="87"/>
      <c r="AQ718" s="87"/>
      <c r="AR718" s="87"/>
      <c r="AS718" s="87"/>
      <c r="AT718" s="87"/>
      <c r="AU718" s="87"/>
      <c r="AV718" s="87" t="s">
        <v>1981</v>
      </c>
      <c r="AW718" s="87">
        <v>625</v>
      </c>
      <c r="AX718" s="87" t="s">
        <v>29</v>
      </c>
      <c r="AY718" s="87">
        <v>2</v>
      </c>
      <c r="AZ718" s="87" t="s">
        <v>1982</v>
      </c>
      <c r="BA718" s="87">
        <v>2009</v>
      </c>
      <c r="BB718" s="87">
        <v>2010</v>
      </c>
      <c r="BC718" s="87" t="s">
        <v>1983</v>
      </c>
      <c r="BD718" s="87" t="s">
        <v>2055</v>
      </c>
      <c r="BE718" s="87" t="s">
        <v>2027</v>
      </c>
      <c r="BF718" s="87" t="s">
        <v>299</v>
      </c>
      <c r="BG718" s="87" t="s">
        <v>1798</v>
      </c>
      <c r="BH718" s="87" t="s">
        <v>2028</v>
      </c>
      <c r="BI718" s="87" t="s">
        <v>29</v>
      </c>
      <c r="BJ718" s="87" t="s">
        <v>29</v>
      </c>
      <c r="BK718" s="87" t="s">
        <v>29</v>
      </c>
      <c r="BL718" s="87"/>
      <c r="BM718" s="87"/>
      <c r="BN718" s="87"/>
      <c r="BO718" s="87"/>
      <c r="BP718" s="87"/>
      <c r="BQ718" s="87"/>
      <c r="BR718" s="87"/>
      <c r="BS718" s="87"/>
      <c r="BT718" s="87"/>
      <c r="BU718" s="87"/>
      <c r="BV718" s="87"/>
      <c r="BW718" s="87"/>
      <c r="BX718" s="87"/>
      <c r="BY718" s="87"/>
      <c r="BZ718" s="87"/>
      <c r="CA718" s="87"/>
      <c r="CB718" s="87"/>
      <c r="CC718" s="87"/>
      <c r="CD718" s="87"/>
      <c r="CE718" s="87"/>
      <c r="CF718" s="87"/>
      <c r="CG718" s="87"/>
      <c r="CH718" s="87"/>
      <c r="CI718" s="87"/>
      <c r="CJ718" s="87"/>
      <c r="CK718" s="87"/>
      <c r="CL718" s="87"/>
      <c r="CM718" s="87"/>
      <c r="CN718" s="87"/>
      <c r="CO718" s="87"/>
      <c r="CP718" s="87"/>
      <c r="CQ718" s="87"/>
      <c r="CR718" s="87"/>
      <c r="CS718" s="87"/>
      <c r="CT718" s="87"/>
      <c r="CU718" s="87"/>
      <c r="CV718" s="87"/>
      <c r="CW718" s="87"/>
      <c r="CX718" s="87"/>
      <c r="CY718" s="87"/>
      <c r="CZ718" s="87"/>
      <c r="DA718" s="87"/>
      <c r="DB718" s="87"/>
      <c r="DC718" s="87"/>
      <c r="DD718" s="87"/>
      <c r="DE718" s="87"/>
      <c r="DF718" s="87"/>
      <c r="DG718" s="87"/>
      <c r="DH718" s="87"/>
      <c r="DI718" s="87"/>
      <c r="DJ718" s="87"/>
      <c r="DK718" s="87"/>
      <c r="DL718" s="87"/>
      <c r="DM718" s="87"/>
      <c r="DN718" s="87"/>
      <c r="DO718" s="87"/>
      <c r="DP718" s="87"/>
      <c r="DQ718" s="87"/>
      <c r="DR718" s="87"/>
      <c r="DS718" s="87"/>
      <c r="DT718" s="87"/>
      <c r="DU718" s="87"/>
      <c r="DV718" s="87"/>
      <c r="DW718" s="87"/>
      <c r="DX718" s="87"/>
      <c r="DY718" s="87"/>
      <c r="DZ718" s="87"/>
      <c r="EA718" s="87"/>
      <c r="EB718" s="87"/>
      <c r="EC718" s="87"/>
      <c r="ED718" s="87"/>
      <c r="EE718" s="87"/>
      <c r="EF718" s="87"/>
      <c r="EG718" s="87"/>
      <c r="EH718" s="87"/>
      <c r="EI718" s="87"/>
      <c r="EJ718" s="144"/>
      <c r="EK718" s="144"/>
      <c r="EL718" s="144"/>
      <c r="EM718" s="144"/>
      <c r="EN718" s="144"/>
      <c r="EO718" s="144"/>
      <c r="EP718" s="144"/>
      <c r="EQ718" s="144"/>
      <c r="ER718" s="144"/>
      <c r="ES718" s="144"/>
      <c r="ET718" s="144"/>
      <c r="EU718" s="144"/>
      <c r="EV718" s="144"/>
      <c r="EW718" s="144"/>
      <c r="EX718" s="144"/>
      <c r="EY718" s="144"/>
      <c r="EZ718" s="144"/>
      <c r="FA718" s="144"/>
      <c r="FB718" s="144"/>
      <c r="FC718" s="144"/>
      <c r="FD718" s="144"/>
      <c r="FE718" s="144"/>
      <c r="FF718" s="144"/>
      <c r="FG718" s="144"/>
      <c r="FH718" s="144"/>
      <c r="FI718" s="144"/>
      <c r="FJ718" s="144"/>
      <c r="FK718" s="144"/>
      <c r="FL718" s="144"/>
      <c r="FM718" s="144"/>
      <c r="FN718" s="144"/>
      <c r="FO718" s="144"/>
      <c r="FP718" s="144"/>
      <c r="FQ718" s="144"/>
      <c r="FR718" s="144"/>
      <c r="FS718" s="144"/>
      <c r="FT718" s="144"/>
      <c r="FU718" s="144"/>
      <c r="FV718" s="144"/>
      <c r="FW718" s="144"/>
      <c r="FX718" s="144"/>
      <c r="FY718" s="144"/>
      <c r="FZ718" s="144"/>
      <c r="GA718" s="144"/>
      <c r="GB718" s="144"/>
      <c r="GC718" s="144"/>
      <c r="GD718" s="144"/>
      <c r="GE718" s="144"/>
      <c r="GF718" s="144"/>
      <c r="GG718" s="144"/>
      <c r="GH718" s="144"/>
      <c r="GI718" s="144"/>
      <c r="GJ718" s="144"/>
      <c r="GK718" s="144"/>
      <c r="GL718" s="144"/>
      <c r="GM718" s="144"/>
      <c r="GN718" s="144"/>
      <c r="GO718" s="144"/>
      <c r="GP718" s="144"/>
      <c r="GQ718" s="144"/>
      <c r="GR718" s="144"/>
      <c r="GS718" s="144"/>
      <c r="GT718" s="144"/>
      <c r="GU718" s="144"/>
      <c r="GV718" s="144"/>
      <c r="GW718" s="144"/>
      <c r="GX718" s="144"/>
      <c r="GY718" s="144"/>
      <c r="GZ718" s="144"/>
      <c r="HA718" s="144"/>
      <c r="HB718" s="144"/>
      <c r="HC718" s="144"/>
      <c r="HD718" s="144"/>
      <c r="HE718" s="144"/>
      <c r="HF718" s="144"/>
      <c r="HG718" s="144"/>
      <c r="HH718" s="144"/>
      <c r="HI718" s="144"/>
      <c r="HJ718" s="144"/>
      <c r="HK718" s="144"/>
      <c r="HL718" s="144" t="s">
        <v>2029</v>
      </c>
      <c r="HM718" s="144" t="s">
        <v>232</v>
      </c>
      <c r="HN718" s="87"/>
      <c r="HO718" s="87"/>
      <c r="HP718" s="87"/>
      <c r="HQ718" s="87"/>
      <c r="HR718" s="87"/>
      <c r="HS718" s="87"/>
      <c r="HT718" s="87"/>
      <c r="HU718" s="87"/>
      <c r="HV718" s="87"/>
      <c r="HW718" s="87"/>
      <c r="HX718" s="87"/>
      <c r="HY718" s="145"/>
      <c r="HZ718" s="87"/>
      <c r="IA718" s="87"/>
      <c r="IB718" s="87"/>
      <c r="IC718" s="87"/>
      <c r="ID718" s="87"/>
      <c r="IE718" s="87"/>
      <c r="IF718" s="87"/>
      <c r="IG718" s="87"/>
      <c r="IH718" s="87"/>
      <c r="II718" s="87"/>
      <c r="IJ718" s="87"/>
      <c r="IK718" s="87"/>
      <c r="IL718" s="87"/>
      <c r="IM718" s="87"/>
      <c r="IN718" s="87"/>
      <c r="IO718" s="87"/>
      <c r="IP718" s="87"/>
      <c r="IQ718" s="87"/>
      <c r="IR718" s="87"/>
      <c r="IS718" s="87"/>
      <c r="IT718" s="87"/>
      <c r="IU718" s="87"/>
      <c r="IV718" s="87"/>
      <c r="IW718" s="87"/>
      <c r="IX718" s="87"/>
      <c r="IY718" s="87"/>
      <c r="IZ718" s="87"/>
      <c r="JA718" s="87"/>
      <c r="JB718" s="87"/>
      <c r="JC718" s="87"/>
      <c r="JD718" s="87"/>
      <c r="JE718" s="87"/>
      <c r="JF718" s="87"/>
      <c r="JG718" s="87"/>
      <c r="JH718" s="87"/>
      <c r="JI718" s="87"/>
      <c r="JJ718" s="87"/>
      <c r="JK718" s="87"/>
      <c r="JL718" s="87"/>
      <c r="JM718" s="87"/>
      <c r="JN718" s="87"/>
      <c r="JO718" s="151"/>
      <c r="JP718" s="87"/>
      <c r="JQ718" s="87"/>
      <c r="JR718" s="87"/>
      <c r="JS718" s="87"/>
      <c r="JT718" s="87"/>
      <c r="JU718" s="87"/>
      <c r="JV718" s="87"/>
      <c r="JW718" s="87"/>
      <c r="JX718" s="87"/>
      <c r="JY718" s="151"/>
      <c r="JZ718" s="87"/>
      <c r="KA718" s="87"/>
      <c r="KB718" s="87"/>
      <c r="KC718" s="87"/>
      <c r="KD718" s="87"/>
      <c r="KE718" s="87"/>
      <c r="KF718" s="87"/>
      <c r="KG718" s="87"/>
      <c r="KH718" s="87"/>
      <c r="KI718" s="87"/>
      <c r="KJ718" s="87"/>
      <c r="KK718" s="87"/>
      <c r="KL718" s="87"/>
      <c r="KM718" s="87"/>
      <c r="KN718" s="87"/>
      <c r="KO718" s="87"/>
      <c r="KP718" s="87"/>
      <c r="KQ718" s="151"/>
      <c r="KR718" s="151"/>
      <c r="KS718" s="151"/>
      <c r="KT718" s="151"/>
      <c r="KU718" s="87"/>
      <c r="KV718" s="87"/>
      <c r="KW718" s="87"/>
      <c r="KX718" s="87"/>
      <c r="KY718" s="87"/>
      <c r="KZ718" s="87"/>
      <c r="LA718" s="87"/>
      <c r="LB718" s="87"/>
      <c r="LC718" s="87"/>
      <c r="LD718" s="87"/>
      <c r="LE718" s="87"/>
      <c r="LF718" s="87"/>
      <c r="LG718" s="87"/>
      <c r="LH718" s="87"/>
      <c r="LI718" s="87"/>
      <c r="LJ718" s="87"/>
      <c r="LK718" s="87"/>
      <c r="LL718" s="87"/>
      <c r="LM718" s="87"/>
      <c r="LN718" s="87"/>
      <c r="LO718" s="87"/>
      <c r="LP718" s="87"/>
      <c r="LQ718" s="87"/>
      <c r="LR718" s="87"/>
      <c r="LS718" s="87"/>
      <c r="LT718" s="87"/>
      <c r="LU718" s="87"/>
      <c r="LV718" s="87"/>
      <c r="LW718" s="87"/>
      <c r="LX718" s="87"/>
      <c r="LY718" s="87"/>
      <c r="LZ718" s="87"/>
      <c r="MA718" s="87"/>
      <c r="MB718" s="87"/>
      <c r="MC718" s="87"/>
      <c r="MD718" s="87"/>
      <c r="ME718" s="87"/>
      <c r="MF718" s="87"/>
      <c r="MG718" s="87"/>
      <c r="MH718" s="87"/>
      <c r="MI718" s="87"/>
      <c r="MJ718" s="87"/>
      <c r="MK718" s="87"/>
      <c r="ML718" s="87"/>
      <c r="MM718" s="87"/>
      <c r="MN718" s="87"/>
      <c r="MO718" s="87"/>
      <c r="MP718" s="87"/>
      <c r="MQ718" s="87"/>
      <c r="MR718" s="87"/>
      <c r="MS718" s="87" t="s">
        <v>1987</v>
      </c>
      <c r="MT718" s="87">
        <v>625</v>
      </c>
      <c r="MU718" s="87" t="s">
        <v>1988</v>
      </c>
      <c r="MV718" s="87"/>
      <c r="MW718" s="87" t="s">
        <v>1992</v>
      </c>
      <c r="MX718" s="87" t="s">
        <v>1993</v>
      </c>
      <c r="MY718" s="87" t="s">
        <v>1994</v>
      </c>
      <c r="MZ718" s="87" t="s">
        <v>1995</v>
      </c>
      <c r="NA718" s="87" t="s">
        <v>1996</v>
      </c>
      <c r="NB718" s="87"/>
      <c r="NC718" s="87"/>
      <c r="ND718" s="87"/>
      <c r="NE718" s="87" t="s">
        <v>2051</v>
      </c>
      <c r="NF718" s="87" t="s">
        <v>2052</v>
      </c>
      <c r="NG718" s="87" t="s">
        <v>2038</v>
      </c>
      <c r="NH718" s="87" t="s">
        <v>2039</v>
      </c>
      <c r="NI718" s="87"/>
      <c r="NJ718" s="87"/>
      <c r="NK718" s="87"/>
      <c r="NL718" s="87"/>
      <c r="NM718" s="87"/>
      <c r="NN718" s="87"/>
      <c r="NO718" s="87"/>
      <c r="NP718" s="87" t="s">
        <v>2030</v>
      </c>
      <c r="NQ718" s="87" t="s">
        <v>6</v>
      </c>
      <c r="NR718" s="87">
        <v>0.13900000000000001</v>
      </c>
      <c r="NS718" s="87" t="s">
        <v>1456</v>
      </c>
      <c r="NT718" s="87">
        <v>2.9000000000000001E-2</v>
      </c>
      <c r="NU718" s="87"/>
      <c r="NV718" s="87"/>
      <c r="NW718" s="87">
        <v>32</v>
      </c>
      <c r="NX718" s="87"/>
      <c r="NY718" s="87"/>
      <c r="NZ718" s="87"/>
      <c r="OA718" s="87"/>
      <c r="OB718" s="87"/>
      <c r="OC718" s="87"/>
      <c r="OD718" s="87"/>
      <c r="OE718" s="87"/>
      <c r="OF718" s="87"/>
      <c r="OG718" s="87"/>
      <c r="OH718" s="87" t="s">
        <v>1999</v>
      </c>
      <c r="OI718" s="149"/>
      <c r="OJ718" s="87"/>
      <c r="OK718" s="87">
        <v>2009</v>
      </c>
      <c r="OL718" s="87">
        <v>2010</v>
      </c>
      <c r="OM718" s="87"/>
      <c r="ON718" s="87"/>
      <c r="OO718" s="87" t="s">
        <v>2000</v>
      </c>
      <c r="OP718" s="145">
        <v>46133</v>
      </c>
      <c r="OQ718" s="87"/>
      <c r="OR718" s="87"/>
      <c r="OS718" s="87"/>
      <c r="OT718" s="87"/>
      <c r="OU718" s="143"/>
    </row>
    <row r="719" spans="1:411">
      <c r="A719" t="s">
        <v>36</v>
      </c>
      <c r="B719" t="s">
        <v>1975</v>
      </c>
      <c r="C719" t="s">
        <v>1976</v>
      </c>
      <c r="D719" t="s">
        <v>1955</v>
      </c>
      <c r="E719" t="s">
        <v>1977</v>
      </c>
      <c r="F719" t="s">
        <v>1978</v>
      </c>
      <c r="G719" t="s">
        <v>2</v>
      </c>
      <c r="H719" t="s">
        <v>30</v>
      </c>
      <c r="I719">
        <v>-8.9</v>
      </c>
      <c r="J719">
        <v>-74.983000000000004</v>
      </c>
      <c r="L719" t="s">
        <v>1976</v>
      </c>
      <c r="M719" t="s">
        <v>245</v>
      </c>
      <c r="N719" t="s">
        <v>1979</v>
      </c>
      <c r="O719" t="s">
        <v>1980</v>
      </c>
      <c r="P719" t="s">
        <v>2</v>
      </c>
      <c r="Q719" t="s">
        <v>30</v>
      </c>
      <c r="R719">
        <v>-8.5169999999999995</v>
      </c>
      <c r="S719">
        <v>-74.766999999999996</v>
      </c>
      <c r="AV719" t="s">
        <v>1981</v>
      </c>
      <c r="AW719">
        <v>625</v>
      </c>
      <c r="AX719" t="s">
        <v>29</v>
      </c>
      <c r="AY719">
        <v>2</v>
      </c>
      <c r="AZ719" t="s">
        <v>1982</v>
      </c>
      <c r="BA719">
        <v>2009</v>
      </c>
      <c r="BB719">
        <v>2010</v>
      </c>
      <c r="BC719" t="s">
        <v>1983</v>
      </c>
      <c r="BD719" t="s">
        <v>1985</v>
      </c>
      <c r="BE719" t="s">
        <v>1984</v>
      </c>
      <c r="BF719" t="s">
        <v>39</v>
      </c>
      <c r="BG719" t="s">
        <v>1762</v>
      </c>
      <c r="EJ719" s="9"/>
      <c r="EK719" s="9"/>
      <c r="EL719" s="9"/>
      <c r="EM719" s="9"/>
      <c r="EN719" s="9"/>
      <c r="EO719" s="9"/>
      <c r="EP719" s="9"/>
      <c r="EQ719" s="9"/>
      <c r="ER719" s="9"/>
      <c r="ES719" s="9"/>
      <c r="ET719" s="9"/>
      <c r="EU719" s="9"/>
      <c r="EV719" s="9"/>
      <c r="EW719" s="9"/>
      <c r="EX719" s="9"/>
      <c r="EY719" s="9"/>
      <c r="EZ719" s="9"/>
      <c r="FA719" s="9"/>
      <c r="FB719" s="9"/>
      <c r="FC719" s="9"/>
      <c r="FD719" s="9"/>
      <c r="FE719" s="9"/>
      <c r="FF719" s="9"/>
      <c r="FG719" s="9"/>
      <c r="FH719" s="9"/>
      <c r="FI719" s="9"/>
      <c r="FJ719" s="9"/>
      <c r="FK719" s="9"/>
      <c r="FL719" s="9"/>
      <c r="FM719" s="9"/>
      <c r="FN719" s="9"/>
      <c r="FO719" s="9"/>
      <c r="FP719" s="9"/>
      <c r="FQ719" s="9"/>
      <c r="FR719" s="9"/>
      <c r="FS719" s="9"/>
      <c r="FT719" s="9"/>
      <c r="FU719" s="9"/>
      <c r="FV719" s="9"/>
      <c r="FW719" s="9"/>
      <c r="FX719" s="9"/>
      <c r="FY719" s="9"/>
      <c r="FZ719" s="9"/>
      <c r="GA719" s="9"/>
      <c r="GB719" s="9"/>
      <c r="GC719" s="9"/>
      <c r="GD719" s="9"/>
      <c r="GE719" s="9"/>
      <c r="GF719" s="9"/>
      <c r="GG719" s="9"/>
      <c r="GH719" s="9"/>
      <c r="GI719" s="9"/>
      <c r="GJ719" s="9"/>
      <c r="GK719" s="9"/>
      <c r="GL719" s="9"/>
      <c r="GM719" s="9"/>
      <c r="GN719" s="9"/>
      <c r="GO719" s="9"/>
      <c r="GP719" s="9"/>
      <c r="GQ719" s="9"/>
      <c r="GR719" s="9"/>
      <c r="GS719" s="9"/>
      <c r="GT719" s="9"/>
      <c r="GU719" s="9"/>
      <c r="GV719" s="9"/>
      <c r="GW719" s="9"/>
      <c r="GX719" s="9"/>
      <c r="GY719" s="9"/>
      <c r="GZ719" s="9"/>
      <c r="HA719" s="9"/>
      <c r="HB719" s="9"/>
      <c r="HC719" s="9"/>
      <c r="HD719" s="9"/>
      <c r="HE719" s="9"/>
      <c r="HF719" s="9"/>
      <c r="HG719" s="9"/>
      <c r="HH719" s="9"/>
      <c r="HI719" s="9"/>
      <c r="HJ719" s="9"/>
      <c r="HK719" s="9"/>
      <c r="HL719" s="9" t="s">
        <v>1986</v>
      </c>
      <c r="HM719" s="9" t="s">
        <v>232</v>
      </c>
      <c r="HY719" s="58"/>
      <c r="IY719">
        <v>20</v>
      </c>
      <c r="IZ719">
        <v>95</v>
      </c>
      <c r="JO719" s="9"/>
      <c r="JY719" s="9"/>
      <c r="KQ719" s="9"/>
      <c r="KR719" s="9"/>
      <c r="KS719" s="9"/>
      <c r="KT719" s="9"/>
      <c r="MS719" t="s">
        <v>1987</v>
      </c>
      <c r="MT719">
        <v>625</v>
      </c>
      <c r="MU719" t="s">
        <v>1988</v>
      </c>
      <c r="MW719" t="s">
        <v>1992</v>
      </c>
      <c r="MX719" t="s">
        <v>1993</v>
      </c>
      <c r="MY719" t="s">
        <v>1994</v>
      </c>
      <c r="MZ719" t="s">
        <v>1995</v>
      </c>
      <c r="NA719" t="s">
        <v>1996</v>
      </c>
      <c r="NE719" t="s">
        <v>2053</v>
      </c>
      <c r="NF719" t="s">
        <v>2054</v>
      </c>
      <c r="NG719" t="s">
        <v>2042</v>
      </c>
      <c r="NH719" t="s">
        <v>2043</v>
      </c>
      <c r="NP719" t="s">
        <v>1997</v>
      </c>
      <c r="NQ719" t="s">
        <v>6</v>
      </c>
      <c r="NR719">
        <v>0.90900000000000003</v>
      </c>
      <c r="NS719" t="s">
        <v>1456</v>
      </c>
      <c r="NT719">
        <v>3.1E-2</v>
      </c>
      <c r="NW719">
        <v>8</v>
      </c>
      <c r="OH719" t="s">
        <v>1999</v>
      </c>
      <c r="OI719" s="19"/>
      <c r="OK719">
        <v>2009</v>
      </c>
      <c r="OL719">
        <v>2010</v>
      </c>
      <c r="OO719" t="s">
        <v>2000</v>
      </c>
      <c r="OP719" s="58">
        <v>46133</v>
      </c>
    </row>
    <row r="720" spans="1:411">
      <c r="A720" s="87" t="s">
        <v>36</v>
      </c>
      <c r="B720" s="87" t="s">
        <v>1975</v>
      </c>
      <c r="C720" s="87" t="s">
        <v>1976</v>
      </c>
      <c r="D720" s="87" t="s">
        <v>245</v>
      </c>
      <c r="E720" s="87" t="s">
        <v>1979</v>
      </c>
      <c r="F720" s="87" t="s">
        <v>1980</v>
      </c>
      <c r="G720" s="87" t="s">
        <v>2</v>
      </c>
      <c r="H720" s="87" t="s">
        <v>30</v>
      </c>
      <c r="I720" s="87">
        <v>-8.5169999999999995</v>
      </c>
      <c r="J720" s="87">
        <v>-74.766999999999996</v>
      </c>
      <c r="K720" s="87"/>
      <c r="L720" s="87" t="s">
        <v>1976</v>
      </c>
      <c r="M720" s="87" t="s">
        <v>245</v>
      </c>
      <c r="N720" s="87" t="s">
        <v>2001</v>
      </c>
      <c r="O720" s="87" t="s">
        <v>1980</v>
      </c>
      <c r="P720" s="87" t="s">
        <v>2</v>
      </c>
      <c r="Q720" s="87" t="s">
        <v>30</v>
      </c>
      <c r="R720" s="87">
        <v>-8.3670000000000009</v>
      </c>
      <c r="S720" s="87">
        <v>-74.7</v>
      </c>
      <c r="T720" s="87"/>
      <c r="U720" s="87"/>
      <c r="V720" s="87"/>
      <c r="W720" s="87"/>
      <c r="X720" s="87"/>
      <c r="Y720" s="87"/>
      <c r="Z720" s="87"/>
      <c r="AA720" s="87"/>
      <c r="AB720" s="87"/>
      <c r="AC720" s="87"/>
      <c r="AD720" s="87"/>
      <c r="AE720" s="87"/>
      <c r="AF720" s="87"/>
      <c r="AG720" s="87"/>
      <c r="AH720" s="87"/>
      <c r="AI720" s="87"/>
      <c r="AJ720" s="87"/>
      <c r="AK720" s="87"/>
      <c r="AL720" s="87"/>
      <c r="AM720" s="87"/>
      <c r="AN720" s="87"/>
      <c r="AO720" s="87"/>
      <c r="AP720" s="87"/>
      <c r="AQ720" s="87"/>
      <c r="AR720" s="87"/>
      <c r="AS720" s="87"/>
      <c r="AT720" s="87"/>
      <c r="AU720" s="87"/>
      <c r="AV720" s="87" t="s">
        <v>1981</v>
      </c>
      <c r="AW720" s="87">
        <v>625</v>
      </c>
      <c r="AX720" s="87" t="s">
        <v>29</v>
      </c>
      <c r="AY720" s="87">
        <v>2</v>
      </c>
      <c r="AZ720" s="87" t="s">
        <v>1982</v>
      </c>
      <c r="BA720" s="87">
        <v>2009</v>
      </c>
      <c r="BB720" s="87">
        <v>2010</v>
      </c>
      <c r="BC720" s="87" t="s">
        <v>1983</v>
      </c>
      <c r="BD720" s="87" t="s">
        <v>2009</v>
      </c>
      <c r="BE720" s="87" t="s">
        <v>2003</v>
      </c>
      <c r="BF720" s="87" t="s">
        <v>64</v>
      </c>
      <c r="BG720" s="87" t="s">
        <v>1243</v>
      </c>
      <c r="BH720" s="87" t="s">
        <v>2004</v>
      </c>
      <c r="BI720" s="87" t="s">
        <v>29</v>
      </c>
      <c r="BJ720" s="87" t="s">
        <v>29</v>
      </c>
      <c r="BK720" s="87" t="s">
        <v>29</v>
      </c>
      <c r="BL720" s="87"/>
      <c r="BM720" s="87"/>
      <c r="BN720" s="87"/>
      <c r="BO720" s="87"/>
      <c r="BP720" s="87"/>
      <c r="BQ720" s="87"/>
      <c r="BR720" s="87"/>
      <c r="BS720" s="87"/>
      <c r="BT720" s="87"/>
      <c r="BU720" s="87"/>
      <c r="BV720" s="87"/>
      <c r="BW720" s="87"/>
      <c r="BX720" s="87"/>
      <c r="BY720" s="87"/>
      <c r="BZ720" s="87"/>
      <c r="CA720" s="87"/>
      <c r="CB720" s="87"/>
      <c r="CC720" s="87"/>
      <c r="CD720" s="87"/>
      <c r="CE720" s="87"/>
      <c r="CF720" s="87"/>
      <c r="CG720" s="87"/>
      <c r="CH720" s="87"/>
      <c r="CI720" s="87"/>
      <c r="CJ720" s="87"/>
      <c r="CK720" s="87"/>
      <c r="CL720" s="87"/>
      <c r="CM720" s="87"/>
      <c r="CN720" s="87"/>
      <c r="CO720" s="87"/>
      <c r="CP720" s="87"/>
      <c r="CQ720" s="87"/>
      <c r="CR720" s="87"/>
      <c r="CS720" s="87"/>
      <c r="CT720" s="87"/>
      <c r="CU720" s="87"/>
      <c r="CV720" s="87"/>
      <c r="CW720" s="87"/>
      <c r="CX720" s="87"/>
      <c r="CY720" s="87"/>
      <c r="CZ720" s="87"/>
      <c r="DA720" s="87"/>
      <c r="DB720" s="87"/>
      <c r="DC720" s="87"/>
      <c r="DD720" s="87"/>
      <c r="DE720" s="87"/>
      <c r="DF720" s="87"/>
      <c r="DG720" s="87"/>
      <c r="DH720" s="87"/>
      <c r="DI720" s="87"/>
      <c r="DJ720" s="87"/>
      <c r="DK720" s="87"/>
      <c r="DL720" s="87"/>
      <c r="DM720" s="87"/>
      <c r="DN720" s="87"/>
      <c r="DO720" s="87"/>
      <c r="DP720" s="87"/>
      <c r="DQ720" s="87"/>
      <c r="DR720" s="87"/>
      <c r="DS720" s="87"/>
      <c r="DT720" s="87"/>
      <c r="DU720" s="87"/>
      <c r="DV720" s="87"/>
      <c r="DW720" s="87"/>
      <c r="DX720" s="87"/>
      <c r="DY720" s="87"/>
      <c r="DZ720" s="87"/>
      <c r="EA720" s="87"/>
      <c r="EB720" s="87"/>
      <c r="EC720" s="87"/>
      <c r="ED720" s="87"/>
      <c r="EE720" s="87" t="s">
        <v>2005</v>
      </c>
      <c r="EF720" s="87" t="s">
        <v>2006</v>
      </c>
      <c r="EG720" s="87">
        <v>0.24</v>
      </c>
      <c r="EH720" s="87" t="s">
        <v>2009</v>
      </c>
      <c r="EI720" s="87"/>
      <c r="EJ720" s="144"/>
      <c r="EK720" s="144"/>
      <c r="EL720" s="144"/>
      <c r="EM720" s="144"/>
      <c r="EN720" s="144"/>
      <c r="EO720" s="144"/>
      <c r="EP720" s="144"/>
      <c r="EQ720" s="144"/>
      <c r="ER720" s="144"/>
      <c r="ES720" s="144"/>
      <c r="ET720" s="144"/>
      <c r="EU720" s="144"/>
      <c r="EV720" s="144"/>
      <c r="EW720" s="144"/>
      <c r="EX720" s="144"/>
      <c r="EY720" s="144"/>
      <c r="EZ720" s="144"/>
      <c r="FA720" s="144"/>
      <c r="FB720" s="144"/>
      <c r="FC720" s="144"/>
      <c r="FD720" s="144"/>
      <c r="FE720" s="144"/>
      <c r="FF720" s="144"/>
      <c r="FG720" s="144"/>
      <c r="FH720" s="144"/>
      <c r="FI720" s="144"/>
      <c r="FJ720" s="144"/>
      <c r="FK720" s="144"/>
      <c r="FL720" s="144"/>
      <c r="FM720" s="144"/>
      <c r="FN720" s="144"/>
      <c r="FO720" s="144"/>
      <c r="FP720" s="144"/>
      <c r="FQ720" s="144"/>
      <c r="FR720" s="144"/>
      <c r="FS720" s="144"/>
      <c r="FT720" s="144"/>
      <c r="FU720" s="144"/>
      <c r="FV720" s="144"/>
      <c r="FW720" s="144"/>
      <c r="FX720" s="144"/>
      <c r="FY720" s="144"/>
      <c r="FZ720" s="144"/>
      <c r="GA720" s="144"/>
      <c r="GB720" s="144"/>
      <c r="GC720" s="144"/>
      <c r="GD720" s="144"/>
      <c r="GE720" s="144"/>
      <c r="GF720" s="144"/>
      <c r="GG720" s="144"/>
      <c r="GH720" s="144"/>
      <c r="GI720" s="144"/>
      <c r="GJ720" s="144"/>
      <c r="GK720" s="144"/>
      <c r="GL720" s="144"/>
      <c r="GM720" s="144"/>
      <c r="GN720" s="144"/>
      <c r="GO720" s="144"/>
      <c r="GP720" s="144"/>
      <c r="GQ720" s="144"/>
      <c r="GR720" s="144"/>
      <c r="GS720" s="144"/>
      <c r="GT720" s="144"/>
      <c r="GU720" s="144"/>
      <c r="GV720" s="144"/>
      <c r="GW720" s="144"/>
      <c r="GX720" s="144"/>
      <c r="GY720" s="144"/>
      <c r="GZ720" s="144"/>
      <c r="HA720" s="144"/>
      <c r="HB720" s="144"/>
      <c r="HC720" s="144"/>
      <c r="HD720" s="144"/>
      <c r="HE720" s="144"/>
      <c r="HF720" s="144"/>
      <c r="HG720" s="144"/>
      <c r="HH720" s="144"/>
      <c r="HI720" s="144"/>
      <c r="HJ720" s="144"/>
      <c r="HK720" s="144"/>
      <c r="HL720" s="144" t="s">
        <v>2007</v>
      </c>
      <c r="HM720" s="144" t="s">
        <v>232</v>
      </c>
      <c r="HN720" s="87"/>
      <c r="HO720" s="87"/>
      <c r="HP720" s="87"/>
      <c r="HQ720" s="87"/>
      <c r="HR720" s="87"/>
      <c r="HS720" s="87"/>
      <c r="HT720" s="87"/>
      <c r="HU720" s="87"/>
      <c r="HV720" s="87"/>
      <c r="HW720" s="87"/>
      <c r="HX720" s="87"/>
      <c r="HY720" s="145"/>
      <c r="HZ720" s="87"/>
      <c r="IA720" s="87"/>
      <c r="IB720" s="87"/>
      <c r="IC720" s="87"/>
      <c r="ID720" s="87"/>
      <c r="IE720" s="87"/>
      <c r="IF720" s="87"/>
      <c r="IG720" s="87"/>
      <c r="IH720" s="87"/>
      <c r="II720" s="87"/>
      <c r="IJ720" s="87"/>
      <c r="IK720" s="87"/>
      <c r="IL720" s="87"/>
      <c r="IM720" s="87"/>
      <c r="IN720" s="87"/>
      <c r="IO720" s="87"/>
      <c r="IP720" s="87"/>
      <c r="IQ720" s="87"/>
      <c r="IR720" s="87"/>
      <c r="IS720" s="87"/>
      <c r="IT720" s="87"/>
      <c r="IU720" s="87" t="s">
        <v>2008</v>
      </c>
      <c r="IV720" s="87" t="s">
        <v>2009</v>
      </c>
      <c r="IW720" s="87" t="s">
        <v>2010</v>
      </c>
      <c r="IX720" s="87"/>
      <c r="IY720" s="87">
        <v>6</v>
      </c>
      <c r="IZ720" s="87">
        <v>77.5</v>
      </c>
      <c r="JA720" s="87">
        <v>75</v>
      </c>
      <c r="JB720" s="87">
        <v>80</v>
      </c>
      <c r="JC720" s="87">
        <v>7.5</v>
      </c>
      <c r="JD720" s="87">
        <v>6</v>
      </c>
      <c r="JE720" s="87">
        <v>9</v>
      </c>
      <c r="JF720" s="87"/>
      <c r="JG720" s="87"/>
      <c r="JH720" s="87"/>
      <c r="JI720" s="87"/>
      <c r="JJ720" s="87"/>
      <c r="JK720" s="87"/>
      <c r="JL720" s="87"/>
      <c r="JM720" s="87"/>
      <c r="JN720" s="87"/>
      <c r="JO720" s="151"/>
      <c r="JP720" s="87"/>
      <c r="JQ720" s="87"/>
      <c r="JR720" s="87"/>
      <c r="JS720" s="87"/>
      <c r="JT720" s="87"/>
      <c r="JU720" s="87"/>
      <c r="JV720" s="87"/>
      <c r="JW720" s="87"/>
      <c r="JX720" s="87"/>
      <c r="JY720" s="151"/>
      <c r="JZ720" s="87"/>
      <c r="KA720" s="87"/>
      <c r="KB720" s="87"/>
      <c r="KC720" s="87"/>
      <c r="KD720" s="87"/>
      <c r="KE720" s="87"/>
      <c r="KF720" s="87"/>
      <c r="KG720" s="87"/>
      <c r="KH720" s="87"/>
      <c r="KI720" s="87"/>
      <c r="KJ720" s="87"/>
      <c r="KK720" s="87"/>
      <c r="KL720" s="87"/>
      <c r="KM720" s="87"/>
      <c r="KN720" s="87"/>
      <c r="KO720" s="87"/>
      <c r="KP720" s="87"/>
      <c r="KQ720" s="151"/>
      <c r="KR720" s="151"/>
      <c r="KS720" s="151"/>
      <c r="KT720" s="151"/>
      <c r="KU720" s="87"/>
      <c r="KV720" s="87"/>
      <c r="KW720" s="87"/>
      <c r="KX720" s="87"/>
      <c r="KY720" s="87"/>
      <c r="KZ720" s="87"/>
      <c r="LA720" s="87"/>
      <c r="LB720" s="87"/>
      <c r="LC720" s="87"/>
      <c r="LD720" s="87"/>
      <c r="LE720" s="87"/>
      <c r="LF720" s="87"/>
      <c r="LG720" s="87"/>
      <c r="LH720" s="87"/>
      <c r="LI720" s="87"/>
      <c r="LJ720" s="87"/>
      <c r="LK720" s="87"/>
      <c r="LL720" s="87"/>
      <c r="LM720" s="87"/>
      <c r="LN720" s="87"/>
      <c r="LO720" s="87"/>
      <c r="LP720" s="87"/>
      <c r="LQ720" s="87"/>
      <c r="LR720" s="87"/>
      <c r="LS720" s="87"/>
      <c r="LT720" s="87"/>
      <c r="LU720" s="87"/>
      <c r="LV720" s="87"/>
      <c r="LW720" s="87"/>
      <c r="LX720" s="87"/>
      <c r="LY720" s="87"/>
      <c r="LZ720" s="87"/>
      <c r="MA720" s="87"/>
      <c r="MB720" s="87"/>
      <c r="MC720" s="87"/>
      <c r="MD720" s="87"/>
      <c r="ME720" s="87"/>
      <c r="MF720" s="87"/>
      <c r="MG720" s="87"/>
      <c r="MH720" s="87"/>
      <c r="MI720" s="87"/>
      <c r="MJ720" s="87"/>
      <c r="MK720" s="87"/>
      <c r="ML720" s="87"/>
      <c r="MM720" s="87"/>
      <c r="MN720" s="87"/>
      <c r="MO720" s="87"/>
      <c r="MP720" s="87"/>
      <c r="MQ720" s="87"/>
      <c r="MR720" s="87"/>
      <c r="MS720" s="87" t="s">
        <v>1987</v>
      </c>
      <c r="MT720" s="87">
        <v>625</v>
      </c>
      <c r="MU720" s="87" t="s">
        <v>1988</v>
      </c>
      <c r="MV720" s="87"/>
      <c r="MW720" s="87" t="s">
        <v>1992</v>
      </c>
      <c r="MX720" s="87" t="s">
        <v>1993</v>
      </c>
      <c r="MY720" s="87" t="s">
        <v>1994</v>
      </c>
      <c r="MZ720" s="87" t="s">
        <v>1995</v>
      </c>
      <c r="NA720" s="87" t="s">
        <v>1996</v>
      </c>
      <c r="NB720" s="87"/>
      <c r="NC720" s="87"/>
      <c r="ND720" s="87"/>
      <c r="NE720" s="87" t="s">
        <v>2053</v>
      </c>
      <c r="NF720" s="87" t="s">
        <v>2054</v>
      </c>
      <c r="NG720" s="87" t="s">
        <v>2042</v>
      </c>
      <c r="NH720" s="87" t="s">
        <v>2043</v>
      </c>
      <c r="NI720" s="87"/>
      <c r="NJ720" s="87"/>
      <c r="NK720" s="87"/>
      <c r="NL720" s="87"/>
      <c r="NM720" s="87"/>
      <c r="NN720" s="87"/>
      <c r="NO720" s="87"/>
      <c r="NP720" s="87" t="s">
        <v>2011</v>
      </c>
      <c r="NQ720" s="87" t="s">
        <v>6</v>
      </c>
      <c r="NR720" s="87">
        <v>0.88300000000000001</v>
      </c>
      <c r="NS720" s="87" t="s">
        <v>1456</v>
      </c>
      <c r="NT720" s="87">
        <v>1.7999999999999999E-2</v>
      </c>
      <c r="NU720" s="87"/>
      <c r="NV720" s="87"/>
      <c r="NW720" s="87">
        <v>31</v>
      </c>
      <c r="NX720" s="87"/>
      <c r="NY720" s="87"/>
      <c r="NZ720" s="87"/>
      <c r="OA720" s="87"/>
      <c r="OB720" s="87"/>
      <c r="OC720" s="87"/>
      <c r="OD720" s="87"/>
      <c r="OE720" s="87"/>
      <c r="OF720" s="87"/>
      <c r="OG720" s="87"/>
      <c r="OH720" s="87" t="s">
        <v>1999</v>
      </c>
      <c r="OI720" s="149"/>
      <c r="OJ720" s="87"/>
      <c r="OK720" s="87">
        <v>2009</v>
      </c>
      <c r="OL720" s="87">
        <v>2010</v>
      </c>
      <c r="OM720" s="87"/>
      <c r="ON720" s="87"/>
      <c r="OO720" s="87" t="s">
        <v>2000</v>
      </c>
      <c r="OP720" s="145">
        <v>46133</v>
      </c>
      <c r="OQ720" s="87"/>
      <c r="OR720" s="87"/>
      <c r="OS720" s="87"/>
      <c r="OT720" s="87"/>
      <c r="OU720" s="143"/>
    </row>
    <row r="721" spans="1:411">
      <c r="A721" t="s">
        <v>36</v>
      </c>
      <c r="B721" t="s">
        <v>1975</v>
      </c>
      <c r="C721" t="s">
        <v>1976</v>
      </c>
      <c r="D721" t="s">
        <v>245</v>
      </c>
      <c r="E721" t="s">
        <v>2012</v>
      </c>
      <c r="F721" t="s">
        <v>1980</v>
      </c>
      <c r="G721" t="s">
        <v>2</v>
      </c>
      <c r="H721" t="s">
        <v>30</v>
      </c>
      <c r="I721">
        <v>-8.8170000000000002</v>
      </c>
      <c r="J721">
        <v>-75.2</v>
      </c>
      <c r="L721" t="s">
        <v>1976</v>
      </c>
      <c r="M721" t="s">
        <v>245</v>
      </c>
      <c r="N721" t="s">
        <v>1979</v>
      </c>
      <c r="O721" t="s">
        <v>1980</v>
      </c>
      <c r="P721" t="s">
        <v>2</v>
      </c>
      <c r="Q721" t="s">
        <v>30</v>
      </c>
      <c r="R721">
        <v>-8.5169999999999995</v>
      </c>
      <c r="S721">
        <v>-74.766999999999996</v>
      </c>
      <c r="AV721" t="s">
        <v>1981</v>
      </c>
      <c r="AW721">
        <v>625</v>
      </c>
      <c r="AX721" t="s">
        <v>29</v>
      </c>
      <c r="AY721">
        <v>2</v>
      </c>
      <c r="AZ721" t="s">
        <v>1982</v>
      </c>
      <c r="BA721">
        <v>2009</v>
      </c>
      <c r="BB721">
        <v>2010</v>
      </c>
      <c r="BC721" t="s">
        <v>1983</v>
      </c>
      <c r="BD721" t="s">
        <v>2002</v>
      </c>
      <c r="BE721" t="s">
        <v>2013</v>
      </c>
      <c r="BF721" t="s">
        <v>57</v>
      </c>
      <c r="BG721" t="s">
        <v>1243</v>
      </c>
      <c r="BH721" t="s">
        <v>2014</v>
      </c>
      <c r="BI721" t="s">
        <v>29</v>
      </c>
      <c r="BJ721" t="s">
        <v>29</v>
      </c>
      <c r="BK721" t="s">
        <v>29</v>
      </c>
      <c r="EE721" t="s">
        <v>2015</v>
      </c>
      <c r="EF721" t="s">
        <v>2006</v>
      </c>
      <c r="EG721">
        <v>0.24</v>
      </c>
      <c r="EH721" t="s">
        <v>2056</v>
      </c>
      <c r="EI721" t="s">
        <v>2016</v>
      </c>
      <c r="EJ721" s="9" t="s">
        <v>2006</v>
      </c>
      <c r="EK721" s="9">
        <v>0.24</v>
      </c>
      <c r="EL721" s="9"/>
      <c r="EM721" s="9" t="s">
        <v>2017</v>
      </c>
      <c r="EN721" s="9" t="s">
        <v>2006</v>
      </c>
      <c r="EO721" s="9" t="s">
        <v>29</v>
      </c>
      <c r="EP721" s="9"/>
      <c r="EQ721" s="9" t="s">
        <v>2018</v>
      </c>
      <c r="ER721" s="9" t="s">
        <v>2006</v>
      </c>
      <c r="ES721" s="9" t="s">
        <v>29</v>
      </c>
      <c r="ET721" s="9"/>
      <c r="EU721" s="9" t="s">
        <v>2019</v>
      </c>
      <c r="EV721" s="9" t="s">
        <v>2006</v>
      </c>
      <c r="EW721" s="9" t="s">
        <v>29</v>
      </c>
      <c r="EX721" s="9"/>
      <c r="EY721" s="9"/>
      <c r="EZ721" s="9"/>
      <c r="FA721" s="9"/>
      <c r="FB721" s="9"/>
      <c r="FC721" s="9"/>
      <c r="FD721" s="9"/>
      <c r="FE721" s="9"/>
      <c r="FF721" s="9"/>
      <c r="FG721" s="9"/>
      <c r="FH721" s="9"/>
      <c r="FI721" s="9"/>
      <c r="FJ721" s="9"/>
      <c r="FK721" s="9"/>
      <c r="FL721" s="9"/>
      <c r="FM721" s="9"/>
      <c r="FN721" s="9"/>
      <c r="FO721" s="9"/>
      <c r="FP721" s="9"/>
      <c r="FQ721" s="9"/>
      <c r="FR721" s="9"/>
      <c r="FS721" s="9"/>
      <c r="FT721" s="9"/>
      <c r="FU721" s="9"/>
      <c r="FV721" s="9"/>
      <c r="FW721" s="9"/>
      <c r="FX721" s="9"/>
      <c r="FY721" s="9"/>
      <c r="FZ721" s="9"/>
      <c r="GA721" s="9"/>
      <c r="GB721" s="9"/>
      <c r="GC721" s="9"/>
      <c r="GD721" s="9"/>
      <c r="GE721" s="9"/>
      <c r="GF721" s="9"/>
      <c r="GG721" s="9"/>
      <c r="GH721" s="9"/>
      <c r="GI721" s="9"/>
      <c r="GJ721" s="9"/>
      <c r="GK721" s="9"/>
      <c r="GL721" s="9"/>
      <c r="GM721" s="9"/>
      <c r="GN721" s="9"/>
      <c r="GO721" s="9"/>
      <c r="GP721" s="9"/>
      <c r="GQ721" s="9"/>
      <c r="GR721" s="9"/>
      <c r="GS721" s="9"/>
      <c r="GT721" s="9"/>
      <c r="GU721" s="9"/>
      <c r="GV721" s="9"/>
      <c r="GW721" s="9"/>
      <c r="GX721" s="9"/>
      <c r="GY721" s="9"/>
      <c r="GZ721" s="9"/>
      <c r="HA721" s="9"/>
      <c r="HB721" s="9"/>
      <c r="HC721" s="9"/>
      <c r="HD721" s="9"/>
      <c r="HE721" s="9"/>
      <c r="HF721" s="9"/>
      <c r="HG721" s="9"/>
      <c r="HH721" s="9"/>
      <c r="HI721" s="9"/>
      <c r="HJ721" s="9"/>
      <c r="HK721" s="9"/>
      <c r="HL721" s="9" t="s">
        <v>2007</v>
      </c>
      <c r="HM721" s="9" t="s">
        <v>232</v>
      </c>
      <c r="HY721" s="58"/>
      <c r="IU721" t="s">
        <v>2020</v>
      </c>
      <c r="IV721" t="s">
        <v>2009</v>
      </c>
      <c r="IW721" t="s">
        <v>2021</v>
      </c>
      <c r="IZ721">
        <v>50</v>
      </c>
      <c r="JC721">
        <v>12</v>
      </c>
      <c r="JO721" s="9"/>
      <c r="JY721" s="9"/>
      <c r="KQ721" s="9"/>
      <c r="KR721" s="9"/>
      <c r="KS721" s="9"/>
      <c r="KT721" s="9"/>
      <c r="MS721" t="s">
        <v>1987</v>
      </c>
      <c r="MT721">
        <v>625</v>
      </c>
      <c r="MU721" t="s">
        <v>1988</v>
      </c>
      <c r="MW721" t="s">
        <v>1992</v>
      </c>
      <c r="MX721" t="s">
        <v>1993</v>
      </c>
      <c r="MY721" t="s">
        <v>1994</v>
      </c>
      <c r="MZ721" t="s">
        <v>1995</v>
      </c>
      <c r="NA721" t="s">
        <v>1996</v>
      </c>
      <c r="NE721" t="s">
        <v>2053</v>
      </c>
      <c r="NF721" t="s">
        <v>2054</v>
      </c>
      <c r="NG721" t="s">
        <v>2042</v>
      </c>
      <c r="NH721" t="s">
        <v>2043</v>
      </c>
      <c r="NP721" t="s">
        <v>2022</v>
      </c>
      <c r="NQ721" t="s">
        <v>6</v>
      </c>
      <c r="NR721">
        <v>0.80800000000000005</v>
      </c>
      <c r="NS721" t="s">
        <v>1456</v>
      </c>
      <c r="NT721">
        <v>6.6000000000000003E-2</v>
      </c>
      <c r="NW721">
        <v>32</v>
      </c>
      <c r="OH721" t="s">
        <v>1999</v>
      </c>
      <c r="OI721" s="19"/>
      <c r="OK721">
        <v>2009</v>
      </c>
      <c r="OL721">
        <v>2010</v>
      </c>
      <c r="OO721" t="s">
        <v>2000</v>
      </c>
      <c r="OP721" s="58">
        <v>46133</v>
      </c>
    </row>
    <row r="722" spans="1:411">
      <c r="A722" s="87" t="s">
        <v>36</v>
      </c>
      <c r="B722" s="87" t="s">
        <v>1975</v>
      </c>
      <c r="C722" s="87" t="s">
        <v>1976</v>
      </c>
      <c r="D722" s="87" t="s">
        <v>245</v>
      </c>
      <c r="E722" s="87" t="s">
        <v>2012</v>
      </c>
      <c r="F722" s="87" t="s">
        <v>1980</v>
      </c>
      <c r="G722" s="87" t="s">
        <v>2</v>
      </c>
      <c r="H722" s="87" t="s">
        <v>30</v>
      </c>
      <c r="I722" s="87">
        <v>-8.8170000000000002</v>
      </c>
      <c r="J722" s="87">
        <v>-75.2</v>
      </c>
      <c r="K722" s="87"/>
      <c r="L722" s="87" t="s">
        <v>1976</v>
      </c>
      <c r="M722" s="87" t="s">
        <v>245</v>
      </c>
      <c r="N722" s="87" t="s">
        <v>1979</v>
      </c>
      <c r="O722" s="87" t="s">
        <v>1980</v>
      </c>
      <c r="P722" s="87" t="s">
        <v>2</v>
      </c>
      <c r="Q722" s="87" t="s">
        <v>30</v>
      </c>
      <c r="R722" s="87">
        <v>-8.5169999999999995</v>
      </c>
      <c r="S722" s="87">
        <v>-74.766999999999996</v>
      </c>
      <c r="T722" s="87"/>
      <c r="U722" s="87" t="s">
        <v>1976</v>
      </c>
      <c r="V722" s="87" t="s">
        <v>245</v>
      </c>
      <c r="W722" s="87" t="s">
        <v>2001</v>
      </c>
      <c r="X722" s="87" t="s">
        <v>1980</v>
      </c>
      <c r="Y722" s="87" t="s">
        <v>2</v>
      </c>
      <c r="Z722" s="87" t="s">
        <v>30</v>
      </c>
      <c r="AA722" s="87">
        <v>-8.3670000000000009</v>
      </c>
      <c r="AB722" s="87">
        <v>-74.7</v>
      </c>
      <c r="AC722" s="87"/>
      <c r="AD722" s="87"/>
      <c r="AE722" s="87"/>
      <c r="AF722" s="87"/>
      <c r="AG722" s="87"/>
      <c r="AH722" s="87"/>
      <c r="AI722" s="87"/>
      <c r="AJ722" s="87"/>
      <c r="AK722" s="87"/>
      <c r="AL722" s="87"/>
      <c r="AM722" s="87"/>
      <c r="AN722" s="87"/>
      <c r="AO722" s="87"/>
      <c r="AP722" s="87"/>
      <c r="AQ722" s="87"/>
      <c r="AR722" s="87"/>
      <c r="AS722" s="87"/>
      <c r="AT722" s="87"/>
      <c r="AU722" s="87"/>
      <c r="AV722" s="87" t="s">
        <v>1981</v>
      </c>
      <c r="AW722" s="87">
        <v>625</v>
      </c>
      <c r="AX722" s="87" t="s">
        <v>29</v>
      </c>
      <c r="AY722" s="87">
        <v>2</v>
      </c>
      <c r="AZ722" s="87" t="s">
        <v>1982</v>
      </c>
      <c r="BA722" s="87">
        <v>2009</v>
      </c>
      <c r="BB722" s="87">
        <v>2010</v>
      </c>
      <c r="BC722" s="87" t="s">
        <v>1983</v>
      </c>
      <c r="BD722" s="87" t="s">
        <v>19</v>
      </c>
      <c r="BE722" s="87" t="s">
        <v>2023</v>
      </c>
      <c r="BF722" s="87" t="s">
        <v>24</v>
      </c>
      <c r="BG722" s="87" t="s">
        <v>1243</v>
      </c>
      <c r="BH722" s="87" t="s">
        <v>2024</v>
      </c>
      <c r="BI722" s="87" t="s">
        <v>29</v>
      </c>
      <c r="BJ722" s="87" t="s">
        <v>29</v>
      </c>
      <c r="BK722" s="87" t="s">
        <v>29</v>
      </c>
      <c r="BL722" s="87"/>
      <c r="BM722" s="87"/>
      <c r="BN722" s="87"/>
      <c r="BO722" s="87"/>
      <c r="BP722" s="87"/>
      <c r="BQ722" s="87"/>
      <c r="BR722" s="87"/>
      <c r="BS722" s="87"/>
      <c r="BT722" s="87"/>
      <c r="BU722" s="87"/>
      <c r="BV722" s="87"/>
      <c r="BW722" s="87"/>
      <c r="BX722" s="87"/>
      <c r="BY722" s="87"/>
      <c r="BZ722" s="87"/>
      <c r="CA722" s="87"/>
      <c r="CB722" s="87"/>
      <c r="CC722" s="87"/>
      <c r="CD722" s="87"/>
      <c r="CE722" s="87"/>
      <c r="CF722" s="87"/>
      <c r="CG722" s="87"/>
      <c r="CH722" s="87"/>
      <c r="CI722" s="87"/>
      <c r="CJ722" s="87"/>
      <c r="CK722" s="87"/>
      <c r="CL722" s="87"/>
      <c r="CM722" s="87"/>
      <c r="CN722" s="87"/>
      <c r="CO722" s="87"/>
      <c r="CP722" s="87"/>
      <c r="CQ722" s="87"/>
      <c r="CR722" s="87"/>
      <c r="CS722" s="87"/>
      <c r="CT722" s="87"/>
      <c r="CU722" s="87"/>
      <c r="CV722" s="87"/>
      <c r="CW722" s="87"/>
      <c r="CX722" s="87"/>
      <c r="CY722" s="87"/>
      <c r="CZ722" s="87"/>
      <c r="DA722" s="87"/>
      <c r="DB722" s="87"/>
      <c r="DC722" s="87"/>
      <c r="DD722" s="87"/>
      <c r="DE722" s="87"/>
      <c r="DF722" s="87"/>
      <c r="DG722" s="87"/>
      <c r="DH722" s="87"/>
      <c r="DI722" s="87"/>
      <c r="DJ722" s="87"/>
      <c r="DK722" s="87"/>
      <c r="DL722" s="87"/>
      <c r="DM722" s="87"/>
      <c r="DN722" s="87"/>
      <c r="DO722" s="87"/>
      <c r="DP722" s="87"/>
      <c r="DQ722" s="87"/>
      <c r="DR722" s="87"/>
      <c r="DS722" s="87"/>
      <c r="DT722" s="87"/>
      <c r="DU722" s="87"/>
      <c r="DV722" s="87"/>
      <c r="DW722" s="87"/>
      <c r="DX722" s="87"/>
      <c r="DY722" s="87"/>
      <c r="DZ722" s="87"/>
      <c r="EA722" s="87"/>
      <c r="EB722" s="87"/>
      <c r="EC722" s="87"/>
      <c r="ED722" s="87"/>
      <c r="EE722" s="87"/>
      <c r="EF722" s="87"/>
      <c r="EG722" s="87"/>
      <c r="EH722" s="87"/>
      <c r="EI722" s="87"/>
      <c r="EJ722" s="144"/>
      <c r="EK722" s="144"/>
      <c r="EL722" s="144"/>
      <c r="EM722" s="144"/>
      <c r="EN722" s="144"/>
      <c r="EO722" s="144"/>
      <c r="EP722" s="144"/>
      <c r="EQ722" s="144"/>
      <c r="ER722" s="144"/>
      <c r="ES722" s="144"/>
      <c r="ET722" s="144"/>
      <c r="EU722" s="144"/>
      <c r="EV722" s="144"/>
      <c r="EW722" s="144"/>
      <c r="EX722" s="144"/>
      <c r="EY722" s="144"/>
      <c r="EZ722" s="144"/>
      <c r="FA722" s="144"/>
      <c r="FB722" s="144"/>
      <c r="FC722" s="144"/>
      <c r="FD722" s="144"/>
      <c r="FE722" s="144"/>
      <c r="FF722" s="144"/>
      <c r="FG722" s="144"/>
      <c r="FH722" s="144"/>
      <c r="FI722" s="144"/>
      <c r="FJ722" s="144"/>
      <c r="FK722" s="144"/>
      <c r="FL722" s="144"/>
      <c r="FM722" s="144"/>
      <c r="FN722" s="144"/>
      <c r="FO722" s="144"/>
      <c r="FP722" s="144"/>
      <c r="FQ722" s="144"/>
      <c r="FR722" s="144"/>
      <c r="FS722" s="144"/>
      <c r="FT722" s="144"/>
      <c r="FU722" s="144"/>
      <c r="FV722" s="144"/>
      <c r="FW722" s="144"/>
      <c r="FX722" s="144"/>
      <c r="FY722" s="144"/>
      <c r="FZ722" s="144"/>
      <c r="GA722" s="144"/>
      <c r="GB722" s="144"/>
      <c r="GC722" s="144"/>
      <c r="GD722" s="144"/>
      <c r="GE722" s="144"/>
      <c r="GF722" s="144"/>
      <c r="GG722" s="144"/>
      <c r="GH722" s="144"/>
      <c r="GI722" s="144"/>
      <c r="GJ722" s="144"/>
      <c r="GK722" s="144"/>
      <c r="GL722" s="144"/>
      <c r="GM722" s="144"/>
      <c r="GN722" s="144"/>
      <c r="GO722" s="144"/>
      <c r="GP722" s="144"/>
      <c r="GQ722" s="144"/>
      <c r="GR722" s="144"/>
      <c r="GS722" s="144"/>
      <c r="GT722" s="144"/>
      <c r="GU722" s="144"/>
      <c r="GV722" s="144"/>
      <c r="GW722" s="144"/>
      <c r="GX722" s="144"/>
      <c r="GY722" s="144"/>
      <c r="GZ722" s="144"/>
      <c r="HA722" s="144"/>
      <c r="HB722" s="144"/>
      <c r="HC722" s="144"/>
      <c r="HD722" s="144"/>
      <c r="HE722" s="144"/>
      <c r="HF722" s="144"/>
      <c r="HG722" s="144"/>
      <c r="HH722" s="144"/>
      <c r="HI722" s="144"/>
      <c r="HJ722" s="144"/>
      <c r="HK722" s="144"/>
      <c r="HL722" s="144" t="s">
        <v>2025</v>
      </c>
      <c r="HM722" s="144" t="s">
        <v>297</v>
      </c>
      <c r="HN722" s="87" t="s">
        <v>12</v>
      </c>
      <c r="HO722" s="87"/>
      <c r="HP722" s="87"/>
      <c r="HQ722" s="87"/>
      <c r="HR722" s="87"/>
      <c r="HS722" s="87"/>
      <c r="HT722" s="87"/>
      <c r="HU722" s="87"/>
      <c r="HV722" s="87"/>
      <c r="HW722" s="87"/>
      <c r="HX722" s="87"/>
      <c r="HY722" s="145"/>
      <c r="HZ722" s="87"/>
      <c r="IA722" s="87"/>
      <c r="IB722" s="87"/>
      <c r="IC722" s="87"/>
      <c r="ID722" s="87"/>
      <c r="IE722" s="87"/>
      <c r="IF722" s="87"/>
      <c r="IG722" s="87"/>
      <c r="IH722" s="87"/>
      <c r="II722" s="87"/>
      <c r="IJ722" s="87"/>
      <c r="IK722" s="87"/>
      <c r="IL722" s="87"/>
      <c r="IM722" s="87"/>
      <c r="IN722" s="87"/>
      <c r="IO722" s="87"/>
      <c r="IP722" s="87"/>
      <c r="IQ722" s="87"/>
      <c r="IR722" s="87"/>
      <c r="IS722" s="87"/>
      <c r="IT722" s="87"/>
      <c r="IU722" s="87"/>
      <c r="IV722" s="87"/>
      <c r="IW722" s="87"/>
      <c r="IX722" s="87"/>
      <c r="IY722" s="87"/>
      <c r="IZ722" s="87"/>
      <c r="JA722" s="87"/>
      <c r="JB722" s="87"/>
      <c r="JC722" s="87"/>
      <c r="JD722" s="87"/>
      <c r="JE722" s="87"/>
      <c r="JF722" s="87"/>
      <c r="JG722" s="87"/>
      <c r="JH722" s="87"/>
      <c r="JI722" s="87"/>
      <c r="JJ722" s="87"/>
      <c r="JK722" s="87"/>
      <c r="JL722" s="87"/>
      <c r="JM722" s="87"/>
      <c r="JN722" s="87"/>
      <c r="JO722" s="151"/>
      <c r="JP722" s="87"/>
      <c r="JQ722" s="87"/>
      <c r="JR722" s="87"/>
      <c r="JS722" s="87"/>
      <c r="JT722" s="87"/>
      <c r="JU722" s="87"/>
      <c r="JV722" s="87"/>
      <c r="JW722" s="87"/>
      <c r="JX722" s="87"/>
      <c r="JY722" s="151"/>
      <c r="JZ722" s="87"/>
      <c r="KA722" s="87"/>
      <c r="KB722" s="87"/>
      <c r="KC722" s="87"/>
      <c r="KD722" s="87"/>
      <c r="KE722" s="87"/>
      <c r="KF722" s="87"/>
      <c r="KG722" s="87"/>
      <c r="KH722" s="87"/>
      <c r="KI722" s="87"/>
      <c r="KJ722" s="87"/>
      <c r="KK722" s="87"/>
      <c r="KL722" s="87"/>
      <c r="KM722" s="87"/>
      <c r="KN722" s="87"/>
      <c r="KO722" s="87"/>
      <c r="KP722" s="87"/>
      <c r="KQ722" s="151"/>
      <c r="KR722" s="151"/>
      <c r="KS722" s="151"/>
      <c r="KT722" s="151"/>
      <c r="KU722" s="87"/>
      <c r="KV722" s="87"/>
      <c r="KW722" s="87"/>
      <c r="KX722" s="87"/>
      <c r="KY722" s="87"/>
      <c r="KZ722" s="87"/>
      <c r="LA722" s="87"/>
      <c r="LB722" s="87"/>
      <c r="LC722" s="87"/>
      <c r="LD722" s="87"/>
      <c r="LE722" s="87"/>
      <c r="LF722" s="87"/>
      <c r="LG722" s="87"/>
      <c r="LH722" s="87"/>
      <c r="LI722" s="87"/>
      <c r="LJ722" s="87"/>
      <c r="LK722" s="87"/>
      <c r="LL722" s="87"/>
      <c r="LM722" s="87"/>
      <c r="LN722" s="87"/>
      <c r="LO722" s="87"/>
      <c r="LP722" s="87"/>
      <c r="LQ722" s="87"/>
      <c r="LR722" s="87"/>
      <c r="LS722" s="87"/>
      <c r="LT722" s="87"/>
      <c r="LU722" s="87"/>
      <c r="LV722" s="87"/>
      <c r="LW722" s="87"/>
      <c r="LX722" s="87"/>
      <c r="LY722" s="87"/>
      <c r="LZ722" s="87"/>
      <c r="MA722" s="87"/>
      <c r="MB722" s="87"/>
      <c r="MC722" s="87"/>
      <c r="MD722" s="87"/>
      <c r="ME722" s="87"/>
      <c r="MF722" s="87"/>
      <c r="MG722" s="87"/>
      <c r="MH722" s="87"/>
      <c r="MI722" s="87"/>
      <c r="MJ722" s="87"/>
      <c r="MK722" s="87"/>
      <c r="ML722" s="87"/>
      <c r="MM722" s="87"/>
      <c r="MN722" s="87"/>
      <c r="MO722" s="87"/>
      <c r="MP722" s="87"/>
      <c r="MQ722" s="87"/>
      <c r="MR722" s="87"/>
      <c r="MS722" s="87" t="s">
        <v>1987</v>
      </c>
      <c r="MT722" s="87">
        <v>625</v>
      </c>
      <c r="MU722" s="87" t="s">
        <v>1988</v>
      </c>
      <c r="MV722" s="87"/>
      <c r="MW722" s="87" t="s">
        <v>1992</v>
      </c>
      <c r="MX722" s="87" t="s">
        <v>1993</v>
      </c>
      <c r="MY722" s="87" t="s">
        <v>1994</v>
      </c>
      <c r="MZ722" s="87" t="s">
        <v>1995</v>
      </c>
      <c r="NA722" s="87" t="s">
        <v>1996</v>
      </c>
      <c r="NB722" s="87"/>
      <c r="NC722" s="87"/>
      <c r="ND722" s="87"/>
      <c r="NE722" s="87" t="s">
        <v>2053</v>
      </c>
      <c r="NF722" s="87" t="s">
        <v>2054</v>
      </c>
      <c r="NG722" s="87" t="s">
        <v>2042</v>
      </c>
      <c r="NH722" s="87" t="s">
        <v>2043</v>
      </c>
      <c r="NI722" s="87"/>
      <c r="NJ722" s="87"/>
      <c r="NK722" s="87"/>
      <c r="NL722" s="87"/>
      <c r="NM722" s="87"/>
      <c r="NN722" s="87"/>
      <c r="NO722" s="87"/>
      <c r="NP722" s="87" t="s">
        <v>2026</v>
      </c>
      <c r="NQ722" s="87" t="s">
        <v>6</v>
      </c>
      <c r="NR722" s="87">
        <v>0.60599999999999998</v>
      </c>
      <c r="NS722" s="87" t="s">
        <v>1456</v>
      </c>
      <c r="NT722" s="87">
        <v>8.1000000000000003E-2</v>
      </c>
      <c r="NU722" s="87"/>
      <c r="NV722" s="87"/>
      <c r="NW722" s="87">
        <v>32</v>
      </c>
      <c r="NX722" s="87"/>
      <c r="NY722" s="87"/>
      <c r="NZ722" s="87"/>
      <c r="OA722" s="87"/>
      <c r="OB722" s="87"/>
      <c r="OC722" s="87"/>
      <c r="OD722" s="87"/>
      <c r="OE722" s="87"/>
      <c r="OF722" s="87"/>
      <c r="OG722" s="87"/>
      <c r="OH722" s="87" t="s">
        <v>1999</v>
      </c>
      <c r="OI722" s="149"/>
      <c r="OJ722" s="87"/>
      <c r="OK722" s="87">
        <v>2009</v>
      </c>
      <c r="OL722" s="87">
        <v>2010</v>
      </c>
      <c r="OM722" s="87"/>
      <c r="ON722" s="87"/>
      <c r="OO722" s="87" t="s">
        <v>2000</v>
      </c>
      <c r="OP722" s="145">
        <v>46133</v>
      </c>
      <c r="OQ722" s="87"/>
      <c r="OR722" s="87"/>
      <c r="OS722" s="87"/>
      <c r="OT722" s="87"/>
      <c r="OU722" s="143"/>
    </row>
    <row r="723" spans="1:411">
      <c r="A723" t="s">
        <v>36</v>
      </c>
      <c r="B723" t="s">
        <v>1975</v>
      </c>
      <c r="C723" t="s">
        <v>1976</v>
      </c>
      <c r="D723" t="s">
        <v>245</v>
      </c>
      <c r="E723" t="s">
        <v>2012</v>
      </c>
      <c r="F723" t="s">
        <v>1980</v>
      </c>
      <c r="G723" t="s">
        <v>2</v>
      </c>
      <c r="H723" t="s">
        <v>30</v>
      </c>
      <c r="I723">
        <v>-8.8170000000000002</v>
      </c>
      <c r="J723">
        <v>-75.2</v>
      </c>
      <c r="L723" t="s">
        <v>1976</v>
      </c>
      <c r="M723" t="s">
        <v>245</v>
      </c>
      <c r="N723" t="s">
        <v>1979</v>
      </c>
      <c r="O723" t="s">
        <v>1980</v>
      </c>
      <c r="P723" t="s">
        <v>2</v>
      </c>
      <c r="Q723" t="s">
        <v>30</v>
      </c>
      <c r="R723">
        <v>-8.5169999999999995</v>
      </c>
      <c r="S723">
        <v>-74.766999999999996</v>
      </c>
      <c r="U723" t="s">
        <v>1976</v>
      </c>
      <c r="V723" t="s">
        <v>245</v>
      </c>
      <c r="W723" t="s">
        <v>2001</v>
      </c>
      <c r="X723" t="s">
        <v>1980</v>
      </c>
      <c r="Y723" t="s">
        <v>2</v>
      </c>
      <c r="Z723" t="s">
        <v>30</v>
      </c>
      <c r="AA723">
        <v>-8.3670000000000009</v>
      </c>
      <c r="AB723">
        <v>-74.7</v>
      </c>
      <c r="AV723" t="s">
        <v>1981</v>
      </c>
      <c r="AW723">
        <v>625</v>
      </c>
      <c r="AX723" t="s">
        <v>29</v>
      </c>
      <c r="AY723">
        <v>2</v>
      </c>
      <c r="AZ723" t="s">
        <v>1982</v>
      </c>
      <c r="BA723">
        <v>2009</v>
      </c>
      <c r="BB723">
        <v>2010</v>
      </c>
      <c r="BC723" t="s">
        <v>1983</v>
      </c>
      <c r="BD723" t="s">
        <v>2055</v>
      </c>
      <c r="BE723" t="s">
        <v>2027</v>
      </c>
      <c r="BF723" t="s">
        <v>299</v>
      </c>
      <c r="BG723" t="s">
        <v>1798</v>
      </c>
      <c r="BH723" t="s">
        <v>2028</v>
      </c>
      <c r="BI723" t="s">
        <v>29</v>
      </c>
      <c r="BJ723" t="s">
        <v>29</v>
      </c>
      <c r="BK723" t="s">
        <v>29</v>
      </c>
      <c r="EJ723" s="9"/>
      <c r="EK723" s="9"/>
      <c r="EL723" s="9"/>
      <c r="EM723" s="9"/>
      <c r="EN723" s="9"/>
      <c r="EO723" s="9"/>
      <c r="EP723" s="9"/>
      <c r="EQ723" s="9"/>
      <c r="ER723" s="9"/>
      <c r="ES723" s="9"/>
      <c r="ET723" s="9"/>
      <c r="EU723" s="9"/>
      <c r="EV723" s="9"/>
      <c r="EW723" s="9"/>
      <c r="EX723" s="9"/>
      <c r="EY723" s="9"/>
      <c r="EZ723" s="9"/>
      <c r="FA723" s="9"/>
      <c r="FB723" s="9"/>
      <c r="FC723" s="9"/>
      <c r="FD723" s="9"/>
      <c r="FE723" s="9"/>
      <c r="FF723" s="9"/>
      <c r="FG723" s="9"/>
      <c r="FH723" s="9"/>
      <c r="FI723" s="9"/>
      <c r="FJ723" s="9"/>
      <c r="FK723" s="9"/>
      <c r="FL723" s="9"/>
      <c r="FM723" s="9"/>
      <c r="FN723" s="9"/>
      <c r="FO723" s="9"/>
      <c r="FP723" s="9"/>
      <c r="FQ723" s="9"/>
      <c r="FR723" s="9"/>
      <c r="FS723" s="9"/>
      <c r="FT723" s="9"/>
      <c r="FU723" s="9"/>
      <c r="FV723" s="9"/>
      <c r="FW723" s="9"/>
      <c r="FX723" s="9"/>
      <c r="FY723" s="9"/>
      <c r="FZ723" s="9"/>
      <c r="GA723" s="9"/>
      <c r="GB723" s="9"/>
      <c r="GC723" s="9"/>
      <c r="GD723" s="9"/>
      <c r="GE723" s="9"/>
      <c r="GF723" s="9"/>
      <c r="GG723" s="9"/>
      <c r="GH723" s="9"/>
      <c r="GI723" s="9"/>
      <c r="GJ723" s="9"/>
      <c r="GK723" s="9"/>
      <c r="GL723" s="9"/>
      <c r="GM723" s="9"/>
      <c r="GN723" s="9"/>
      <c r="GO723" s="9"/>
      <c r="GP723" s="9"/>
      <c r="GQ723" s="9"/>
      <c r="GR723" s="9"/>
      <c r="GS723" s="9"/>
      <c r="GT723" s="9"/>
      <c r="GU723" s="9"/>
      <c r="GV723" s="9"/>
      <c r="GW723" s="9"/>
      <c r="GX723" s="9"/>
      <c r="GY723" s="9"/>
      <c r="GZ723" s="9"/>
      <c r="HA723" s="9"/>
      <c r="HB723" s="9"/>
      <c r="HC723" s="9"/>
      <c r="HD723" s="9"/>
      <c r="HE723" s="9"/>
      <c r="HF723" s="9"/>
      <c r="HG723" s="9"/>
      <c r="HH723" s="9"/>
      <c r="HI723" s="9"/>
      <c r="HJ723" s="9"/>
      <c r="HK723" s="9"/>
      <c r="HL723" s="9" t="s">
        <v>2029</v>
      </c>
      <c r="HM723" s="9" t="s">
        <v>232</v>
      </c>
      <c r="HY723" s="58"/>
      <c r="JO723" s="9"/>
      <c r="JY723" s="9"/>
      <c r="KQ723" s="9"/>
      <c r="KR723" s="9"/>
      <c r="KS723" s="9"/>
      <c r="KT723" s="9"/>
      <c r="MS723" t="s">
        <v>1987</v>
      </c>
      <c r="MT723">
        <v>625</v>
      </c>
      <c r="MU723" t="s">
        <v>1988</v>
      </c>
      <c r="MW723" t="s">
        <v>1992</v>
      </c>
      <c r="MX723" t="s">
        <v>1993</v>
      </c>
      <c r="MY723" t="s">
        <v>1994</v>
      </c>
      <c r="MZ723" t="s">
        <v>1995</v>
      </c>
      <c r="NA723" t="s">
        <v>1996</v>
      </c>
      <c r="NE723" t="s">
        <v>2053</v>
      </c>
      <c r="NF723" t="s">
        <v>2054</v>
      </c>
      <c r="NG723" t="s">
        <v>2042</v>
      </c>
      <c r="NH723" t="s">
        <v>2043</v>
      </c>
      <c r="NP723" t="s">
        <v>2030</v>
      </c>
      <c r="NQ723" t="s">
        <v>6</v>
      </c>
      <c r="NR723">
        <v>0.55400000000000005</v>
      </c>
      <c r="NS723" t="s">
        <v>1456</v>
      </c>
      <c r="NT723">
        <v>8.2000000000000003E-2</v>
      </c>
      <c r="NW723">
        <v>32</v>
      </c>
      <c r="OH723" t="s">
        <v>1999</v>
      </c>
      <c r="OI723" s="19"/>
      <c r="OK723">
        <v>2009</v>
      </c>
      <c r="OL723">
        <v>2010</v>
      </c>
      <c r="OO723" t="s">
        <v>2000</v>
      </c>
      <c r="OP723" s="58">
        <v>46133</v>
      </c>
    </row>
    <row r="724" spans="1:411">
      <c r="A724" s="87" t="s">
        <v>36</v>
      </c>
      <c r="B724" s="87" t="s">
        <v>2057</v>
      </c>
      <c r="C724" s="87" t="s">
        <v>1904</v>
      </c>
      <c r="D724" s="87" t="s">
        <v>2058</v>
      </c>
      <c r="E724" s="87" t="s">
        <v>2059</v>
      </c>
      <c r="F724" s="87" t="s">
        <v>1978</v>
      </c>
      <c r="G724" s="87" t="s">
        <v>2</v>
      </c>
      <c r="H724" s="87" t="s">
        <v>2100</v>
      </c>
      <c r="I724" s="87">
        <v>10.3622</v>
      </c>
      <c r="J724" s="87">
        <v>76.980199999999996</v>
      </c>
      <c r="K724" s="87">
        <v>3000</v>
      </c>
      <c r="L724" s="87" t="s">
        <v>1904</v>
      </c>
      <c r="M724" s="87" t="s">
        <v>2058</v>
      </c>
      <c r="N724" s="87" t="s">
        <v>2070</v>
      </c>
      <c r="O724" s="87" t="s">
        <v>1978</v>
      </c>
      <c r="P724" s="87" t="s">
        <v>2</v>
      </c>
      <c r="Q724" s="87" t="s">
        <v>2100</v>
      </c>
      <c r="R724" s="87">
        <v>10.385</v>
      </c>
      <c r="S724" s="87">
        <v>76.95</v>
      </c>
      <c r="T724" s="87">
        <v>1000</v>
      </c>
      <c r="U724" s="87" t="s">
        <v>1904</v>
      </c>
      <c r="V724" s="87" t="s">
        <v>2058</v>
      </c>
      <c r="W724" s="87" t="s">
        <v>2071</v>
      </c>
      <c r="X724" s="87" t="s">
        <v>1978</v>
      </c>
      <c r="Y724" s="87" t="s">
        <v>2</v>
      </c>
      <c r="Z724" s="87" t="s">
        <v>2100</v>
      </c>
      <c r="AA724" s="87">
        <v>10.234999999999999</v>
      </c>
      <c r="AB724" s="87">
        <v>76.89</v>
      </c>
      <c r="AC724" s="87">
        <v>1500</v>
      </c>
      <c r="AD724" s="87"/>
      <c r="AE724" s="87"/>
      <c r="AF724" s="87"/>
      <c r="AG724" s="87"/>
      <c r="AH724" s="87"/>
      <c r="AI724" s="87"/>
      <c r="AJ724" s="87"/>
      <c r="AK724" s="87"/>
      <c r="AL724" s="87"/>
      <c r="AM724" s="87"/>
      <c r="AN724" s="87"/>
      <c r="AO724" s="87"/>
      <c r="AP724" s="87"/>
      <c r="AQ724" s="87"/>
      <c r="AR724" s="87"/>
      <c r="AS724" s="87"/>
      <c r="AT724" s="87"/>
      <c r="AU724" s="87"/>
      <c r="AV724" s="87" t="s">
        <v>2149</v>
      </c>
      <c r="AW724" s="87" t="s">
        <v>29</v>
      </c>
      <c r="AX724" s="87">
        <v>29850000</v>
      </c>
      <c r="AY724" s="87">
        <v>1</v>
      </c>
      <c r="AZ724" s="87" t="s">
        <v>2060</v>
      </c>
      <c r="BA724" s="87">
        <v>2005</v>
      </c>
      <c r="BB724" s="87">
        <v>2005</v>
      </c>
      <c r="BC724" s="87" t="s">
        <v>2061</v>
      </c>
      <c r="BD724" s="87" t="s">
        <v>1855</v>
      </c>
      <c r="BE724" s="87" t="s">
        <v>2150</v>
      </c>
      <c r="BF724" s="87" t="s">
        <v>39</v>
      </c>
      <c r="BG724" s="87" t="s">
        <v>1762</v>
      </c>
      <c r="BH724" s="87"/>
      <c r="BI724" s="87"/>
      <c r="BJ724" s="87"/>
      <c r="BK724" s="87"/>
      <c r="BL724" s="87"/>
      <c r="BM724" s="87"/>
      <c r="BN724" s="87"/>
      <c r="BO724" s="87"/>
      <c r="BP724" s="87"/>
      <c r="BQ724" s="87"/>
      <c r="BR724" s="87"/>
      <c r="BS724" s="87"/>
      <c r="BT724" s="87"/>
      <c r="BU724" s="87"/>
      <c r="BV724" s="87"/>
      <c r="BW724" s="87"/>
      <c r="BX724" s="87"/>
      <c r="BY724" s="87"/>
      <c r="BZ724" s="87"/>
      <c r="CA724" s="87"/>
      <c r="CB724" s="87"/>
      <c r="CC724" s="87"/>
      <c r="CD724" s="87"/>
      <c r="CE724" s="87"/>
      <c r="CF724" s="87"/>
      <c r="CG724" s="87"/>
      <c r="CH724" s="87"/>
      <c r="CI724" s="87"/>
      <c r="CJ724" s="87"/>
      <c r="CK724" s="87"/>
      <c r="CL724" s="87"/>
      <c r="CM724" s="87"/>
      <c r="CN724" s="87"/>
      <c r="CO724" s="87"/>
      <c r="CP724" s="87"/>
      <c r="CQ724" s="87"/>
      <c r="CR724" s="87"/>
      <c r="CS724" s="87"/>
      <c r="CT724" s="87"/>
      <c r="CU724" s="87"/>
      <c r="CV724" s="87"/>
      <c r="CW724" s="87"/>
      <c r="CX724" s="87"/>
      <c r="CY724" s="87"/>
      <c r="CZ724" s="87"/>
      <c r="DA724" s="87"/>
      <c r="DB724" s="87"/>
      <c r="DC724" s="87"/>
      <c r="DD724" s="87"/>
      <c r="DE724" s="87"/>
      <c r="DF724" s="87"/>
      <c r="DG724" s="87"/>
      <c r="DH724" s="87"/>
      <c r="DI724" s="87"/>
      <c r="DJ724" s="87"/>
      <c r="DK724" s="87"/>
      <c r="DL724" s="87"/>
      <c r="DM724" s="87"/>
      <c r="DN724" s="87"/>
      <c r="DO724" s="87"/>
      <c r="DP724" s="87"/>
      <c r="DQ724" s="87"/>
      <c r="DR724" s="87"/>
      <c r="DS724" s="87"/>
      <c r="DT724" s="87"/>
      <c r="DU724" s="87"/>
      <c r="DV724" s="87"/>
      <c r="DW724" s="87"/>
      <c r="DX724" s="87"/>
      <c r="DY724" s="87"/>
      <c r="DZ724" s="87"/>
      <c r="EA724" s="87"/>
      <c r="EB724" s="87"/>
      <c r="EC724" s="87"/>
      <c r="ED724" s="87"/>
      <c r="EE724" s="87" t="s">
        <v>2062</v>
      </c>
      <c r="EF724" s="87" t="s">
        <v>2063</v>
      </c>
      <c r="EG724" s="87" t="s">
        <v>29</v>
      </c>
      <c r="EH724" s="87"/>
      <c r="EI724" s="87" t="s">
        <v>2064</v>
      </c>
      <c r="EJ724" s="144" t="s">
        <v>2063</v>
      </c>
      <c r="EK724" s="144" t="s">
        <v>29</v>
      </c>
      <c r="EL724" s="144"/>
      <c r="EM724" s="144" t="s">
        <v>2065</v>
      </c>
      <c r="EN724" s="144" t="s">
        <v>2063</v>
      </c>
      <c r="EO724" s="144" t="s">
        <v>29</v>
      </c>
      <c r="EP724" s="144"/>
      <c r="EQ724" s="144"/>
      <c r="ER724" s="144"/>
      <c r="ES724" s="144"/>
      <c r="ET724" s="144"/>
      <c r="EU724" s="144"/>
      <c r="EV724" s="144"/>
      <c r="EW724" s="144"/>
      <c r="EX724" s="144"/>
      <c r="EY724" s="144"/>
      <c r="EZ724" s="144"/>
      <c r="FA724" s="144"/>
      <c r="FB724" s="144"/>
      <c r="FC724" s="144"/>
      <c r="FD724" s="144"/>
      <c r="FE724" s="144"/>
      <c r="FF724" s="144"/>
      <c r="FG724" s="144"/>
      <c r="FH724" s="144"/>
      <c r="FI724" s="144"/>
      <c r="FJ724" s="144"/>
      <c r="FK724" s="144"/>
      <c r="FL724" s="144"/>
      <c r="FM724" s="144"/>
      <c r="FN724" s="144"/>
      <c r="FO724" s="144"/>
      <c r="FP724" s="144"/>
      <c r="FQ724" s="144"/>
      <c r="FR724" s="144"/>
      <c r="FS724" s="144"/>
      <c r="FT724" s="144"/>
      <c r="FU724" s="144"/>
      <c r="FV724" s="144"/>
      <c r="FW724" s="144"/>
      <c r="FX724" s="144"/>
      <c r="FY724" s="144"/>
      <c r="FZ724" s="144"/>
      <c r="GA724" s="144"/>
      <c r="GB724" s="144"/>
      <c r="GC724" s="144"/>
      <c r="GD724" s="144"/>
      <c r="GE724" s="144"/>
      <c r="GF724" s="144"/>
      <c r="GG724" s="144"/>
      <c r="GH724" s="144"/>
      <c r="GI724" s="144"/>
      <c r="GJ724" s="144"/>
      <c r="GK724" s="144"/>
      <c r="GL724" s="144"/>
      <c r="GM724" s="144"/>
      <c r="GN724" s="144"/>
      <c r="GO724" s="144"/>
      <c r="GP724" s="144"/>
      <c r="GQ724" s="144"/>
      <c r="GR724" s="144"/>
      <c r="GS724" s="144"/>
      <c r="GT724" s="144"/>
      <c r="GU724" s="144"/>
      <c r="GV724" s="144"/>
      <c r="GW724" s="144"/>
      <c r="GX724" s="144"/>
      <c r="GY724" s="144"/>
      <c r="GZ724" s="144"/>
      <c r="HA724" s="144"/>
      <c r="HB724" s="144"/>
      <c r="HC724" s="144"/>
      <c r="HD724" s="144"/>
      <c r="HE724" s="144"/>
      <c r="HF724" s="144"/>
      <c r="HG724" s="144"/>
      <c r="HH724" s="144"/>
      <c r="HI724" s="144"/>
      <c r="HJ724" s="144"/>
      <c r="HK724" s="144"/>
      <c r="HL724" s="144"/>
      <c r="HM724" s="144"/>
      <c r="HN724" s="87"/>
      <c r="HO724" s="87"/>
      <c r="HP724" s="87"/>
      <c r="HQ724" s="87"/>
      <c r="HR724" s="87"/>
      <c r="HS724" s="87"/>
      <c r="HT724" s="87"/>
      <c r="HU724" s="87"/>
      <c r="HV724" s="87"/>
      <c r="HW724" s="87"/>
      <c r="HX724" s="87"/>
      <c r="HY724" s="145"/>
      <c r="HZ724" s="87"/>
      <c r="IA724" s="87"/>
      <c r="IB724" s="87"/>
      <c r="IC724" s="87"/>
      <c r="ID724" s="87"/>
      <c r="IE724" s="87"/>
      <c r="IF724" s="87"/>
      <c r="IG724" s="87"/>
      <c r="IH724" s="87"/>
      <c r="II724" s="87"/>
      <c r="IJ724" s="87"/>
      <c r="IK724" s="87"/>
      <c r="IL724" s="87"/>
      <c r="IM724" s="87"/>
      <c r="IN724" s="87"/>
      <c r="IO724" s="87"/>
      <c r="IP724" s="87"/>
      <c r="IQ724" s="87"/>
      <c r="IR724" s="87"/>
      <c r="IS724" s="87"/>
      <c r="IT724" s="87"/>
      <c r="IU724" s="87"/>
      <c r="IV724" s="87"/>
      <c r="IW724" s="87"/>
      <c r="IX724" s="87"/>
      <c r="IY724" s="87"/>
      <c r="IZ724" s="87"/>
      <c r="JA724" s="87"/>
      <c r="JB724" s="87"/>
      <c r="JC724" s="87"/>
      <c r="JD724" s="87"/>
      <c r="JE724" s="87"/>
      <c r="JF724" s="87"/>
      <c r="JG724" s="87"/>
      <c r="JH724" s="87"/>
      <c r="JI724" s="87"/>
      <c r="JJ724" s="87"/>
      <c r="JK724" s="87"/>
      <c r="JL724" s="87"/>
      <c r="JM724" s="87"/>
      <c r="JN724" s="87"/>
      <c r="JO724" s="151"/>
      <c r="JP724" s="87"/>
      <c r="JQ724" s="87"/>
      <c r="JR724" s="87"/>
      <c r="JS724" s="87"/>
      <c r="JT724" s="87"/>
      <c r="JU724" s="87"/>
      <c r="JV724" s="87"/>
      <c r="JW724" s="87"/>
      <c r="JX724" s="87"/>
      <c r="JY724" s="151"/>
      <c r="JZ724" s="87"/>
      <c r="KA724" s="87"/>
      <c r="KB724" s="87"/>
      <c r="KC724" s="87"/>
      <c r="KD724" s="87"/>
      <c r="KE724" s="87"/>
      <c r="KF724" s="87"/>
      <c r="KG724" s="87"/>
      <c r="KH724" s="87"/>
      <c r="KI724" s="87"/>
      <c r="KJ724" s="87"/>
      <c r="KK724" s="87"/>
      <c r="KL724" s="87"/>
      <c r="KM724" s="87"/>
      <c r="KN724" s="87"/>
      <c r="KO724" s="87"/>
      <c r="KP724" s="87"/>
      <c r="KQ724" s="151"/>
      <c r="KR724" s="151"/>
      <c r="KS724" s="151"/>
      <c r="KT724" s="151"/>
      <c r="KU724" s="87"/>
      <c r="KV724" s="87"/>
      <c r="KW724" s="87"/>
      <c r="KX724" s="87"/>
      <c r="KY724" s="87"/>
      <c r="KZ724" s="87"/>
      <c r="LA724" s="87"/>
      <c r="LB724" s="87"/>
      <c r="LC724" s="87"/>
      <c r="LD724" s="87"/>
      <c r="LE724" s="87"/>
      <c r="LF724" s="87"/>
      <c r="LG724" s="87"/>
      <c r="LH724" s="87"/>
      <c r="LI724" s="87"/>
      <c r="LJ724" s="87"/>
      <c r="LK724" s="87"/>
      <c r="LL724" s="87"/>
      <c r="LM724" s="87"/>
      <c r="LN724" s="87"/>
      <c r="LO724" s="87"/>
      <c r="LP724" s="87"/>
      <c r="LQ724" s="87"/>
      <c r="LR724" s="87"/>
      <c r="LS724" s="87"/>
      <c r="LT724" s="87"/>
      <c r="LU724" s="87"/>
      <c r="LV724" s="87"/>
      <c r="LW724" s="87"/>
      <c r="LX724" s="87"/>
      <c r="LY724" s="87"/>
      <c r="LZ724" s="87"/>
      <c r="MA724" s="87"/>
      <c r="MB724" s="87"/>
      <c r="MC724" s="87"/>
      <c r="MD724" s="87"/>
      <c r="ME724" s="87"/>
      <c r="MF724" s="87"/>
      <c r="MG724" s="87"/>
      <c r="MH724" s="87"/>
      <c r="MI724" s="87"/>
      <c r="MJ724" s="87"/>
      <c r="MK724" s="87"/>
      <c r="ML724" s="87"/>
      <c r="MM724" s="87"/>
      <c r="MN724" s="87"/>
      <c r="MO724" s="87"/>
      <c r="MP724" s="87"/>
      <c r="MQ724" s="87"/>
      <c r="MR724" s="87"/>
      <c r="MS724" s="87" t="s">
        <v>2151</v>
      </c>
      <c r="MT724" s="87" t="s">
        <v>29</v>
      </c>
      <c r="MU724" s="87" t="s">
        <v>2066</v>
      </c>
      <c r="MV724" s="87"/>
      <c r="MW724" s="87" t="s">
        <v>2067</v>
      </c>
      <c r="MX724" s="87"/>
      <c r="MY724" s="87"/>
      <c r="MZ724" s="87"/>
      <c r="NA724" s="87"/>
      <c r="NB724" s="87"/>
      <c r="NC724" s="87"/>
      <c r="ND724" s="87"/>
      <c r="NE724" s="87" t="s">
        <v>2159</v>
      </c>
      <c r="NF724" s="87" t="s">
        <v>2160</v>
      </c>
      <c r="NG724" s="87" t="s">
        <v>203</v>
      </c>
      <c r="NH724" s="87" t="s">
        <v>2092</v>
      </c>
      <c r="NI724" s="87"/>
      <c r="NJ724" s="87"/>
      <c r="NK724" s="87"/>
      <c r="NL724" s="87"/>
      <c r="NM724" s="87"/>
      <c r="NN724" s="87"/>
      <c r="NO724" s="87"/>
      <c r="NP724" s="87" t="s">
        <v>1847</v>
      </c>
      <c r="NQ724" s="87" t="s">
        <v>6</v>
      </c>
      <c r="NR724" s="87">
        <v>9.33</v>
      </c>
      <c r="NS724" s="87" t="s">
        <v>1456</v>
      </c>
      <c r="NT724" s="87">
        <v>3.81</v>
      </c>
      <c r="NU724" s="87"/>
      <c r="NV724" s="87"/>
      <c r="NW724" s="87">
        <v>3</v>
      </c>
      <c r="NX724" s="87"/>
      <c r="NY724" s="87"/>
      <c r="NZ724" s="87"/>
      <c r="OA724" s="87"/>
      <c r="OB724" s="87"/>
      <c r="OC724" s="87"/>
      <c r="OD724" s="87"/>
      <c r="OE724" s="87"/>
      <c r="OF724" s="87"/>
      <c r="OG724" s="87"/>
      <c r="OH724" s="87" t="s">
        <v>2093</v>
      </c>
      <c r="OI724" s="87" t="s">
        <v>6</v>
      </c>
      <c r="OJ724" s="87">
        <v>2005</v>
      </c>
      <c r="OK724" s="87">
        <v>2005</v>
      </c>
      <c r="OL724" s="87">
        <v>2005</v>
      </c>
      <c r="OM724" s="87"/>
      <c r="ON724" s="87"/>
      <c r="OO724" s="87" t="s">
        <v>2000</v>
      </c>
      <c r="OP724" s="145" t="s">
        <v>2068</v>
      </c>
      <c r="OQ724" s="87"/>
      <c r="OR724" s="87"/>
      <c r="OS724" s="87"/>
      <c r="OT724" s="87"/>
      <c r="OU724" s="143" t="s">
        <v>2069</v>
      </c>
    </row>
    <row r="725" spans="1:411">
      <c r="A725" t="s">
        <v>36</v>
      </c>
      <c r="B725" t="s">
        <v>2057</v>
      </c>
      <c r="C725" t="s">
        <v>1904</v>
      </c>
      <c r="D725" t="s">
        <v>245</v>
      </c>
      <c r="E725" t="s">
        <v>2072</v>
      </c>
      <c r="F725" t="s">
        <v>1980</v>
      </c>
      <c r="G725" t="s">
        <v>2</v>
      </c>
      <c r="H725" t="s">
        <v>2100</v>
      </c>
      <c r="I725">
        <v>10.37</v>
      </c>
      <c r="J725">
        <v>76.984999999999999</v>
      </c>
      <c r="K725">
        <v>500</v>
      </c>
      <c r="L725" t="s">
        <v>1904</v>
      </c>
      <c r="M725" t="s">
        <v>245</v>
      </c>
      <c r="N725" t="s">
        <v>2075</v>
      </c>
      <c r="O725" t="s">
        <v>1980</v>
      </c>
      <c r="P725" t="s">
        <v>2</v>
      </c>
      <c r="Q725" t="s">
        <v>2100</v>
      </c>
      <c r="R725">
        <v>10.3512</v>
      </c>
      <c r="S725">
        <v>76.938400000000001</v>
      </c>
      <c r="T725">
        <v>400</v>
      </c>
      <c r="U725" t="s">
        <v>1904</v>
      </c>
      <c r="V725" t="s">
        <v>245</v>
      </c>
      <c r="W725" t="s">
        <v>2076</v>
      </c>
      <c r="X725" t="s">
        <v>1980</v>
      </c>
      <c r="Y725" t="s">
        <v>2</v>
      </c>
      <c r="Z725" t="s">
        <v>2100</v>
      </c>
      <c r="AA725">
        <v>10.279</v>
      </c>
      <c r="AB725">
        <v>76.8874</v>
      </c>
      <c r="AC725">
        <v>500</v>
      </c>
      <c r="AD725" t="s">
        <v>1904</v>
      </c>
      <c r="AE725" t="s">
        <v>245</v>
      </c>
      <c r="AF725" t="s">
        <v>2077</v>
      </c>
      <c r="AG725" t="s">
        <v>1980</v>
      </c>
      <c r="AH725" t="s">
        <v>2</v>
      </c>
      <c r="AI725" t="s">
        <v>2100</v>
      </c>
      <c r="AJ725">
        <v>10.345000000000001</v>
      </c>
      <c r="AK725">
        <v>76.924999999999997</v>
      </c>
      <c r="AL725">
        <v>300</v>
      </c>
      <c r="AV725" t="s">
        <v>2149</v>
      </c>
      <c r="AW725" t="s">
        <v>29</v>
      </c>
      <c r="AX725">
        <v>2316000</v>
      </c>
      <c r="AY725">
        <v>1</v>
      </c>
      <c r="AZ725" t="s">
        <v>2060</v>
      </c>
      <c r="BA725">
        <v>2005</v>
      </c>
      <c r="BB725">
        <v>2005</v>
      </c>
      <c r="BC725" t="s">
        <v>2061</v>
      </c>
      <c r="BD725" t="s">
        <v>2073</v>
      </c>
      <c r="BE725" t="s">
        <v>2152</v>
      </c>
      <c r="BF725" t="s">
        <v>64</v>
      </c>
      <c r="BG725" t="s">
        <v>1762</v>
      </c>
      <c r="EE725" t="s">
        <v>2062</v>
      </c>
      <c r="EF725" t="s">
        <v>2063</v>
      </c>
      <c r="EG725" t="s">
        <v>29</v>
      </c>
      <c r="EI725" t="s">
        <v>2064</v>
      </c>
      <c r="EJ725" s="9" t="s">
        <v>2063</v>
      </c>
      <c r="EK725" s="9" t="s">
        <v>29</v>
      </c>
      <c r="EL725" s="9"/>
      <c r="EM725" s="9" t="s">
        <v>2065</v>
      </c>
      <c r="EN725" s="9" t="s">
        <v>2063</v>
      </c>
      <c r="EO725" s="9" t="s">
        <v>29</v>
      </c>
      <c r="EP725" s="9"/>
      <c r="EQ725" s="9"/>
      <c r="ER725" s="9"/>
      <c r="ES725" s="9"/>
      <c r="ET725" s="9"/>
      <c r="EU725" s="9"/>
      <c r="EV725" s="9"/>
      <c r="EW725" s="9"/>
      <c r="EX725" s="9"/>
      <c r="EY725" s="9"/>
      <c r="EZ725" s="9"/>
      <c r="FA725" s="9"/>
      <c r="FB725" s="9"/>
      <c r="FC725" s="9"/>
      <c r="FD725" s="9"/>
      <c r="FE725" s="9"/>
      <c r="FF725" s="9"/>
      <c r="FG725" s="9"/>
      <c r="FH725" s="9"/>
      <c r="FI725" s="9"/>
      <c r="FJ725" s="9"/>
      <c r="FK725" s="9"/>
      <c r="FL725" s="9"/>
      <c r="FM725" s="9"/>
      <c r="FN725" s="9"/>
      <c r="FO725" s="9"/>
      <c r="FP725" s="9"/>
      <c r="FQ725" s="9"/>
      <c r="FR725" s="9"/>
      <c r="FS725" s="9"/>
      <c r="FT725" s="9"/>
      <c r="FU725" s="9"/>
      <c r="FV725" s="9"/>
      <c r="FW725" s="9"/>
      <c r="FX725" s="9"/>
      <c r="FY725" s="9"/>
      <c r="FZ725" s="9"/>
      <c r="GA725" s="9"/>
      <c r="GB725" s="9"/>
      <c r="GC725" s="9"/>
      <c r="GD725" s="9"/>
      <c r="GE725" s="9"/>
      <c r="GF725" s="9"/>
      <c r="GG725" s="9"/>
      <c r="GH725" s="9"/>
      <c r="GI725" s="9"/>
      <c r="GJ725" s="9"/>
      <c r="GK725" s="9"/>
      <c r="GL725" s="9"/>
      <c r="GM725" s="9"/>
      <c r="GN725" s="9"/>
      <c r="GO725" s="9"/>
      <c r="GP725" s="9"/>
      <c r="GQ725" s="9"/>
      <c r="GR725" s="9"/>
      <c r="GS725" s="9"/>
      <c r="GT725" s="9"/>
      <c r="GU725" s="9"/>
      <c r="GV725" s="9"/>
      <c r="GW725" s="9"/>
      <c r="GX725" s="9"/>
      <c r="GY725" s="9"/>
      <c r="GZ725" s="9"/>
      <c r="HA725" s="9"/>
      <c r="HB725" s="9"/>
      <c r="HC725" s="9"/>
      <c r="HD725" s="9"/>
      <c r="HE725" s="9"/>
      <c r="HF725" s="9"/>
      <c r="HG725" s="9"/>
      <c r="HH725" s="9"/>
      <c r="HI725" s="9"/>
      <c r="HJ725" s="9"/>
      <c r="HK725" s="9"/>
      <c r="HL725" s="9"/>
      <c r="HM725" s="9"/>
      <c r="HY725" s="58"/>
      <c r="JO725" s="9"/>
      <c r="JY725" s="9"/>
      <c r="KQ725" s="9"/>
      <c r="KR725" s="9"/>
      <c r="KS725" s="9"/>
      <c r="KT725" s="9"/>
      <c r="MS725" t="s">
        <v>2153</v>
      </c>
      <c r="MT725" t="s">
        <v>29</v>
      </c>
      <c r="MU725" t="s">
        <v>2066</v>
      </c>
      <c r="MW725" t="s">
        <v>2067</v>
      </c>
      <c r="NE725" t="s">
        <v>2159</v>
      </c>
      <c r="NF725" t="s">
        <v>2160</v>
      </c>
      <c r="NG725" t="s">
        <v>203</v>
      </c>
      <c r="NH725" t="s">
        <v>2092</v>
      </c>
      <c r="NP725" t="s">
        <v>2074</v>
      </c>
      <c r="NQ725" t="s">
        <v>6</v>
      </c>
      <c r="NR725">
        <v>7.88</v>
      </c>
      <c r="NS725" t="s">
        <v>1456</v>
      </c>
      <c r="NT725">
        <v>3.73</v>
      </c>
      <c r="NW725">
        <v>4</v>
      </c>
      <c r="OH725" t="s">
        <v>2093</v>
      </c>
      <c r="OI725" t="s">
        <v>6</v>
      </c>
      <c r="OJ725">
        <v>2005</v>
      </c>
      <c r="OK725">
        <v>2005</v>
      </c>
      <c r="OL725">
        <v>2005</v>
      </c>
      <c r="OO725" t="s">
        <v>2000</v>
      </c>
      <c r="OP725" s="58" t="s">
        <v>2068</v>
      </c>
      <c r="OU725" t="s">
        <v>2069</v>
      </c>
    </row>
    <row r="726" spans="1:411">
      <c r="A726" s="87" t="s">
        <v>36</v>
      </c>
      <c r="B726" s="87" t="s">
        <v>2057</v>
      </c>
      <c r="C726" s="87" t="s">
        <v>1904</v>
      </c>
      <c r="D726" s="87" t="s">
        <v>245</v>
      </c>
      <c r="E726" s="87" t="s">
        <v>2078</v>
      </c>
      <c r="F726" s="87" t="s">
        <v>1980</v>
      </c>
      <c r="G726" s="87" t="s">
        <v>2</v>
      </c>
      <c r="H726" s="87" t="s">
        <v>2100</v>
      </c>
      <c r="I726" s="87">
        <v>10.33</v>
      </c>
      <c r="J726" s="87">
        <v>76.965000000000003</v>
      </c>
      <c r="K726" s="87">
        <v>500</v>
      </c>
      <c r="L726" s="87" t="s">
        <v>1904</v>
      </c>
      <c r="M726" s="87" t="s">
        <v>245</v>
      </c>
      <c r="N726" s="87" t="s">
        <v>2082</v>
      </c>
      <c r="O726" s="87" t="s">
        <v>1980</v>
      </c>
      <c r="P726" s="87" t="s">
        <v>2</v>
      </c>
      <c r="Q726" s="87" t="s">
        <v>2100</v>
      </c>
      <c r="R726" s="87">
        <v>10.308299999999999</v>
      </c>
      <c r="S726" s="87">
        <v>76.899900000000002</v>
      </c>
      <c r="T726" s="87">
        <v>500</v>
      </c>
      <c r="U726" s="87" t="s">
        <v>1904</v>
      </c>
      <c r="V726" s="87" t="s">
        <v>245</v>
      </c>
      <c r="W726" s="87" t="s">
        <v>2083</v>
      </c>
      <c r="X726" s="87" t="s">
        <v>1980</v>
      </c>
      <c r="Y726" s="87" t="s">
        <v>2</v>
      </c>
      <c r="Z726" s="87" t="s">
        <v>2100</v>
      </c>
      <c r="AA726" s="87">
        <v>10.31</v>
      </c>
      <c r="AB726" s="87">
        <v>76.94</v>
      </c>
      <c r="AC726" s="87">
        <v>300</v>
      </c>
      <c r="AD726" s="87"/>
      <c r="AE726" s="87"/>
      <c r="AF726" s="87"/>
      <c r="AG726" s="87"/>
      <c r="AH726" s="87"/>
      <c r="AI726" s="87"/>
      <c r="AJ726" s="87"/>
      <c r="AK726" s="87"/>
      <c r="AL726" s="87"/>
      <c r="AM726" s="87"/>
      <c r="AN726" s="87"/>
      <c r="AO726" s="87"/>
      <c r="AP726" s="87"/>
      <c r="AQ726" s="87"/>
      <c r="AR726" s="87"/>
      <c r="AS726" s="87"/>
      <c r="AT726" s="87"/>
      <c r="AU726" s="87"/>
      <c r="AV726" s="87" t="s">
        <v>2149</v>
      </c>
      <c r="AW726" s="87" t="s">
        <v>29</v>
      </c>
      <c r="AX726" s="87">
        <v>1671000</v>
      </c>
      <c r="AY726" s="87">
        <v>1</v>
      </c>
      <c r="AZ726" s="87" t="s">
        <v>2060</v>
      </c>
      <c r="BA726" s="87">
        <v>2005</v>
      </c>
      <c r="BB726" s="87">
        <v>2005</v>
      </c>
      <c r="BC726" s="87" t="s">
        <v>2061</v>
      </c>
      <c r="BD726" s="87" t="s">
        <v>2073</v>
      </c>
      <c r="BE726" s="87" t="s">
        <v>2154</v>
      </c>
      <c r="BF726" s="87" t="s">
        <v>57</v>
      </c>
      <c r="BG726" s="87" t="s">
        <v>1762</v>
      </c>
      <c r="BH726" s="87"/>
      <c r="BI726" s="87"/>
      <c r="BJ726" s="87"/>
      <c r="BK726" s="87"/>
      <c r="BL726" s="87"/>
      <c r="BM726" s="87"/>
      <c r="BN726" s="87"/>
      <c r="BO726" s="87"/>
      <c r="BP726" s="87"/>
      <c r="BQ726" s="87"/>
      <c r="BR726" s="87"/>
      <c r="BS726" s="87"/>
      <c r="BT726" s="87"/>
      <c r="BU726" s="87"/>
      <c r="BV726" s="87"/>
      <c r="BW726" s="87"/>
      <c r="BX726" s="87"/>
      <c r="BY726" s="87"/>
      <c r="BZ726" s="87"/>
      <c r="CA726" s="87"/>
      <c r="CB726" s="87"/>
      <c r="CC726" s="87"/>
      <c r="CD726" s="87"/>
      <c r="CE726" s="87"/>
      <c r="CF726" s="87"/>
      <c r="CG726" s="87"/>
      <c r="CH726" s="87"/>
      <c r="CI726" s="87"/>
      <c r="CJ726" s="87"/>
      <c r="CK726" s="87"/>
      <c r="CL726" s="87"/>
      <c r="CM726" s="87"/>
      <c r="CN726" s="87"/>
      <c r="CO726" s="87"/>
      <c r="CP726" s="87"/>
      <c r="CQ726" s="87"/>
      <c r="CR726" s="87"/>
      <c r="CS726" s="87"/>
      <c r="CT726" s="87"/>
      <c r="CU726" s="87"/>
      <c r="CV726" s="87"/>
      <c r="CW726" s="87"/>
      <c r="CX726" s="87"/>
      <c r="CY726" s="87"/>
      <c r="CZ726" s="87"/>
      <c r="DA726" s="87"/>
      <c r="DB726" s="87"/>
      <c r="DC726" s="87"/>
      <c r="DD726" s="87"/>
      <c r="DE726" s="87"/>
      <c r="DF726" s="87"/>
      <c r="DG726" s="87"/>
      <c r="DH726" s="87"/>
      <c r="DI726" s="87"/>
      <c r="DJ726" s="87"/>
      <c r="DK726" s="87"/>
      <c r="DL726" s="87"/>
      <c r="DM726" s="87"/>
      <c r="DN726" s="87"/>
      <c r="DO726" s="87"/>
      <c r="DP726" s="87"/>
      <c r="DQ726" s="87"/>
      <c r="DR726" s="87"/>
      <c r="DS726" s="87"/>
      <c r="DT726" s="87"/>
      <c r="DU726" s="87"/>
      <c r="DV726" s="87"/>
      <c r="DW726" s="87"/>
      <c r="DX726" s="87"/>
      <c r="DY726" s="87"/>
      <c r="DZ726" s="87"/>
      <c r="EA726" s="87"/>
      <c r="EB726" s="87"/>
      <c r="EC726" s="87"/>
      <c r="ED726" s="87"/>
      <c r="EE726" s="87" t="s">
        <v>2062</v>
      </c>
      <c r="EF726" s="87" t="s">
        <v>2063</v>
      </c>
      <c r="EG726" s="87" t="s">
        <v>29</v>
      </c>
      <c r="EH726" s="87"/>
      <c r="EI726" s="87" t="s">
        <v>2064</v>
      </c>
      <c r="EJ726" s="144" t="s">
        <v>2063</v>
      </c>
      <c r="EK726" s="144" t="s">
        <v>29</v>
      </c>
      <c r="EL726" s="144"/>
      <c r="EM726" s="144" t="s">
        <v>2065</v>
      </c>
      <c r="EN726" s="144" t="s">
        <v>2063</v>
      </c>
      <c r="EO726" s="144" t="s">
        <v>29</v>
      </c>
      <c r="EP726" s="144"/>
      <c r="EQ726" s="144" t="s">
        <v>2079</v>
      </c>
      <c r="ER726" s="144" t="s">
        <v>2063</v>
      </c>
      <c r="ES726" s="144" t="s">
        <v>29</v>
      </c>
      <c r="ET726" s="144"/>
      <c r="EU726" s="144" t="s">
        <v>2080</v>
      </c>
      <c r="EV726" s="144" t="s">
        <v>2063</v>
      </c>
      <c r="EW726" s="144" t="s">
        <v>29</v>
      </c>
      <c r="EX726" s="144"/>
      <c r="EY726" s="144"/>
      <c r="EZ726" s="144"/>
      <c r="FA726" s="144"/>
      <c r="FB726" s="144"/>
      <c r="FC726" s="144"/>
      <c r="FD726" s="144"/>
      <c r="FE726" s="144"/>
      <c r="FF726" s="144"/>
      <c r="FG726" s="144"/>
      <c r="FH726" s="144"/>
      <c r="FI726" s="144"/>
      <c r="FJ726" s="144"/>
      <c r="FK726" s="144"/>
      <c r="FL726" s="144"/>
      <c r="FM726" s="144"/>
      <c r="FN726" s="144"/>
      <c r="FO726" s="144"/>
      <c r="FP726" s="144"/>
      <c r="FQ726" s="144"/>
      <c r="FR726" s="144"/>
      <c r="FS726" s="144"/>
      <c r="FT726" s="144"/>
      <c r="FU726" s="144"/>
      <c r="FV726" s="144"/>
      <c r="FW726" s="144"/>
      <c r="FX726" s="144"/>
      <c r="FY726" s="144"/>
      <c r="FZ726" s="144"/>
      <c r="GA726" s="144"/>
      <c r="GB726" s="144"/>
      <c r="GC726" s="144"/>
      <c r="GD726" s="144"/>
      <c r="GE726" s="144"/>
      <c r="GF726" s="144"/>
      <c r="GG726" s="144"/>
      <c r="GH726" s="144"/>
      <c r="GI726" s="144"/>
      <c r="GJ726" s="144"/>
      <c r="GK726" s="144"/>
      <c r="GL726" s="144"/>
      <c r="GM726" s="144"/>
      <c r="GN726" s="144"/>
      <c r="GO726" s="144"/>
      <c r="GP726" s="144"/>
      <c r="GQ726" s="144"/>
      <c r="GR726" s="144"/>
      <c r="GS726" s="144"/>
      <c r="GT726" s="144"/>
      <c r="GU726" s="144"/>
      <c r="GV726" s="144"/>
      <c r="GW726" s="144"/>
      <c r="GX726" s="144"/>
      <c r="GY726" s="144"/>
      <c r="GZ726" s="144"/>
      <c r="HA726" s="144"/>
      <c r="HB726" s="144"/>
      <c r="HC726" s="144"/>
      <c r="HD726" s="144"/>
      <c r="HE726" s="144"/>
      <c r="HF726" s="144"/>
      <c r="HG726" s="144"/>
      <c r="HH726" s="144"/>
      <c r="HI726" s="144"/>
      <c r="HJ726" s="144"/>
      <c r="HK726" s="144"/>
      <c r="HL726" s="144"/>
      <c r="HM726" s="144"/>
      <c r="HN726" s="87"/>
      <c r="HO726" s="87"/>
      <c r="HP726" s="87"/>
      <c r="HQ726" s="87"/>
      <c r="HR726" s="87"/>
      <c r="HS726" s="87"/>
      <c r="HT726" s="87"/>
      <c r="HU726" s="87"/>
      <c r="HV726" s="87"/>
      <c r="HW726" s="87"/>
      <c r="HX726" s="87"/>
      <c r="HY726" s="145"/>
      <c r="HZ726" s="87"/>
      <c r="IA726" s="87"/>
      <c r="IB726" s="87"/>
      <c r="IC726" s="87"/>
      <c r="ID726" s="87"/>
      <c r="IE726" s="87"/>
      <c r="IF726" s="87"/>
      <c r="IG726" s="87"/>
      <c r="IH726" s="87"/>
      <c r="II726" s="87"/>
      <c r="IJ726" s="87"/>
      <c r="IK726" s="87"/>
      <c r="IL726" s="87"/>
      <c r="IM726" s="87"/>
      <c r="IN726" s="87"/>
      <c r="IO726" s="87"/>
      <c r="IP726" s="87"/>
      <c r="IQ726" s="87"/>
      <c r="IR726" s="87"/>
      <c r="IS726" s="87"/>
      <c r="IT726" s="87"/>
      <c r="IU726" s="87"/>
      <c r="IV726" s="87"/>
      <c r="IW726" s="87"/>
      <c r="IX726" s="87"/>
      <c r="IY726" s="87"/>
      <c r="IZ726" s="87"/>
      <c r="JA726" s="87"/>
      <c r="JB726" s="87"/>
      <c r="JC726" s="87"/>
      <c r="JD726" s="87"/>
      <c r="JE726" s="87"/>
      <c r="JF726" s="87"/>
      <c r="JG726" s="87"/>
      <c r="JH726" s="87"/>
      <c r="JI726" s="87"/>
      <c r="JJ726" s="87"/>
      <c r="JK726" s="87"/>
      <c r="JL726" s="87"/>
      <c r="JM726" s="87"/>
      <c r="JN726" s="87"/>
      <c r="JO726" s="151"/>
      <c r="JP726" s="87"/>
      <c r="JQ726" s="87"/>
      <c r="JR726" s="87"/>
      <c r="JS726" s="87"/>
      <c r="JT726" s="87"/>
      <c r="JU726" s="87"/>
      <c r="JV726" s="87"/>
      <c r="JW726" s="87"/>
      <c r="JX726" s="87"/>
      <c r="JY726" s="151"/>
      <c r="JZ726" s="87"/>
      <c r="KA726" s="87"/>
      <c r="KB726" s="87"/>
      <c r="KC726" s="87"/>
      <c r="KD726" s="87"/>
      <c r="KE726" s="87"/>
      <c r="KF726" s="87"/>
      <c r="KG726" s="87"/>
      <c r="KH726" s="87"/>
      <c r="KI726" s="87"/>
      <c r="KJ726" s="87"/>
      <c r="KK726" s="87"/>
      <c r="KL726" s="87"/>
      <c r="KM726" s="87"/>
      <c r="KN726" s="87"/>
      <c r="KO726" s="87"/>
      <c r="KP726" s="87"/>
      <c r="KQ726" s="151"/>
      <c r="KR726" s="151"/>
      <c r="KS726" s="151"/>
      <c r="KT726" s="151"/>
      <c r="KU726" s="87"/>
      <c r="KV726" s="87"/>
      <c r="KW726" s="87"/>
      <c r="KX726" s="87"/>
      <c r="KY726" s="87"/>
      <c r="KZ726" s="87"/>
      <c r="LA726" s="87"/>
      <c r="LB726" s="87"/>
      <c r="LC726" s="87"/>
      <c r="LD726" s="87"/>
      <c r="LE726" s="87"/>
      <c r="LF726" s="87"/>
      <c r="LG726" s="87"/>
      <c r="LH726" s="87"/>
      <c r="LI726" s="87"/>
      <c r="LJ726" s="87"/>
      <c r="LK726" s="87"/>
      <c r="LL726" s="87"/>
      <c r="LM726" s="87"/>
      <c r="LN726" s="87"/>
      <c r="LO726" s="87"/>
      <c r="LP726" s="87"/>
      <c r="LQ726" s="87"/>
      <c r="LR726" s="87"/>
      <c r="LS726" s="87"/>
      <c r="LT726" s="87"/>
      <c r="LU726" s="87"/>
      <c r="LV726" s="87"/>
      <c r="LW726" s="87"/>
      <c r="LX726" s="87"/>
      <c r="LY726" s="87"/>
      <c r="LZ726" s="87"/>
      <c r="MA726" s="87"/>
      <c r="MB726" s="87"/>
      <c r="MC726" s="87"/>
      <c r="MD726" s="87"/>
      <c r="ME726" s="87"/>
      <c r="MF726" s="87"/>
      <c r="MG726" s="87"/>
      <c r="MH726" s="87"/>
      <c r="MI726" s="87"/>
      <c r="MJ726" s="87"/>
      <c r="MK726" s="87"/>
      <c r="ML726" s="87"/>
      <c r="MM726" s="87"/>
      <c r="MN726" s="87"/>
      <c r="MO726" s="87"/>
      <c r="MP726" s="87"/>
      <c r="MQ726" s="87"/>
      <c r="MR726" s="87"/>
      <c r="MS726" s="87" t="s">
        <v>2155</v>
      </c>
      <c r="MT726" s="87" t="s">
        <v>29</v>
      </c>
      <c r="MU726" s="87" t="s">
        <v>2066</v>
      </c>
      <c r="MV726" s="87"/>
      <c r="MW726" s="87" t="s">
        <v>2067</v>
      </c>
      <c r="MX726" s="87"/>
      <c r="MY726" s="87"/>
      <c r="MZ726" s="87"/>
      <c r="NA726" s="87"/>
      <c r="NB726" s="87"/>
      <c r="NC726" s="87"/>
      <c r="ND726" s="87"/>
      <c r="NE726" s="87" t="s">
        <v>2159</v>
      </c>
      <c r="NF726" s="87" t="s">
        <v>2160</v>
      </c>
      <c r="NG726" s="87" t="s">
        <v>203</v>
      </c>
      <c r="NH726" s="87" t="s">
        <v>2092</v>
      </c>
      <c r="NI726" s="87"/>
      <c r="NJ726" s="87"/>
      <c r="NK726" s="87"/>
      <c r="NL726" s="87"/>
      <c r="NM726" s="87"/>
      <c r="NN726" s="87"/>
      <c r="NO726" s="87"/>
      <c r="NP726" s="87" t="s">
        <v>2081</v>
      </c>
      <c r="NQ726" s="87" t="s">
        <v>6</v>
      </c>
      <c r="NR726" s="87">
        <v>6.67</v>
      </c>
      <c r="NS726" s="87" t="s">
        <v>1456</v>
      </c>
      <c r="NT726" s="87">
        <v>2.4</v>
      </c>
      <c r="NU726" s="87"/>
      <c r="NV726" s="87"/>
      <c r="NW726" s="87">
        <v>3</v>
      </c>
      <c r="NX726" s="87"/>
      <c r="NY726" s="87"/>
      <c r="NZ726" s="87"/>
      <c r="OA726" s="87"/>
      <c r="OB726" s="87"/>
      <c r="OC726" s="87"/>
      <c r="OD726" s="87"/>
      <c r="OE726" s="87"/>
      <c r="OF726" s="87"/>
      <c r="OG726" s="87"/>
      <c r="OH726" s="87" t="s">
        <v>2093</v>
      </c>
      <c r="OI726" s="87" t="s">
        <v>6</v>
      </c>
      <c r="OJ726" s="87">
        <v>2005</v>
      </c>
      <c r="OK726" s="87">
        <v>2005</v>
      </c>
      <c r="OL726" s="87">
        <v>2005</v>
      </c>
      <c r="OM726" s="87"/>
      <c r="ON726" s="87"/>
      <c r="OO726" s="87" t="s">
        <v>2000</v>
      </c>
      <c r="OP726" s="145" t="s">
        <v>2068</v>
      </c>
      <c r="OQ726" s="87"/>
      <c r="OR726" s="87"/>
      <c r="OS726" s="87"/>
      <c r="OT726" s="87"/>
      <c r="OU726" s="143" t="s">
        <v>2069</v>
      </c>
    </row>
    <row r="727" spans="1:411">
      <c r="A727" t="s">
        <v>36</v>
      </c>
      <c r="B727" t="s">
        <v>2057</v>
      </c>
      <c r="C727" t="s">
        <v>1904</v>
      </c>
      <c r="D727" t="s">
        <v>245</v>
      </c>
      <c r="E727" t="s">
        <v>2084</v>
      </c>
      <c r="F727" t="s">
        <v>1823</v>
      </c>
      <c r="G727" t="s">
        <v>2</v>
      </c>
      <c r="H727" t="s">
        <v>2100</v>
      </c>
      <c r="I727">
        <v>10.29</v>
      </c>
      <c r="J727">
        <v>76.875</v>
      </c>
      <c r="K727">
        <v>600</v>
      </c>
      <c r="L727" t="s">
        <v>1904</v>
      </c>
      <c r="M727" t="s">
        <v>245</v>
      </c>
      <c r="N727" t="s">
        <v>2090</v>
      </c>
      <c r="O727" t="s">
        <v>1823</v>
      </c>
      <c r="P727" t="s">
        <v>2</v>
      </c>
      <c r="Q727" t="s">
        <v>2100</v>
      </c>
      <c r="R727">
        <v>10.348000000000001</v>
      </c>
      <c r="S727">
        <v>76.935000000000002</v>
      </c>
      <c r="T727">
        <v>600</v>
      </c>
      <c r="AV727" t="s">
        <v>2149</v>
      </c>
      <c r="AW727" t="s">
        <v>29</v>
      </c>
      <c r="AX727">
        <v>1838000</v>
      </c>
      <c r="AY727">
        <v>1</v>
      </c>
      <c r="AZ727" t="s">
        <v>2060</v>
      </c>
      <c r="BA727">
        <v>2005</v>
      </c>
      <c r="BB727">
        <v>2005</v>
      </c>
      <c r="BC727" t="s">
        <v>2061</v>
      </c>
      <c r="BD727" t="s">
        <v>2002</v>
      </c>
      <c r="BE727" t="s">
        <v>2156</v>
      </c>
      <c r="BF727" t="s">
        <v>48</v>
      </c>
      <c r="BG727" t="s">
        <v>1243</v>
      </c>
      <c r="BH727" t="s">
        <v>1840</v>
      </c>
      <c r="BI727" t="s">
        <v>29</v>
      </c>
      <c r="BJ727" t="s">
        <v>29</v>
      </c>
      <c r="BK727" t="s">
        <v>29</v>
      </c>
      <c r="EE727" t="s">
        <v>2085</v>
      </c>
      <c r="EF727" t="s">
        <v>29</v>
      </c>
      <c r="EG727" t="s">
        <v>29</v>
      </c>
      <c r="EI727" t="s">
        <v>2065</v>
      </c>
      <c r="EJ727" s="9" t="s">
        <v>29</v>
      </c>
      <c r="EK727" s="9" t="s">
        <v>29</v>
      </c>
      <c r="EL727" s="9"/>
      <c r="EM727" s="9" t="s">
        <v>2062</v>
      </c>
      <c r="EN727" s="9" t="s">
        <v>29</v>
      </c>
      <c r="EO727" s="9" t="s">
        <v>29</v>
      </c>
      <c r="EP727" s="9"/>
      <c r="EQ727" s="9" t="s">
        <v>2064</v>
      </c>
      <c r="ER727" s="9" t="s">
        <v>29</v>
      </c>
      <c r="ES727" s="9" t="s">
        <v>29</v>
      </c>
      <c r="ET727" s="9"/>
      <c r="EU727" s="9" t="s">
        <v>2091</v>
      </c>
      <c r="EV727" s="9" t="s">
        <v>29</v>
      </c>
      <c r="EW727" s="9" t="s">
        <v>29</v>
      </c>
      <c r="EX727" s="9"/>
      <c r="EY727" s="9"/>
      <c r="EZ727" s="9"/>
      <c r="FA727" s="9"/>
      <c r="FB727" s="9"/>
      <c r="FC727" s="9"/>
      <c r="FD727" s="9"/>
      <c r="FE727" s="9"/>
      <c r="FF727" s="9"/>
      <c r="FG727" s="9"/>
      <c r="FH727" s="9"/>
      <c r="FI727" s="9"/>
      <c r="FJ727" s="9"/>
      <c r="FK727" s="9"/>
      <c r="FL727" s="9"/>
      <c r="FM727" s="9"/>
      <c r="FN727" s="9"/>
      <c r="FO727" s="9"/>
      <c r="FP727" s="9"/>
      <c r="FQ727" s="9"/>
      <c r="FR727" s="9"/>
      <c r="FS727" s="9"/>
      <c r="FT727" s="9"/>
      <c r="FU727" s="9"/>
      <c r="FV727" s="9"/>
      <c r="FW727" s="9"/>
      <c r="FX727" s="9"/>
      <c r="FY727" s="9"/>
      <c r="FZ727" s="9"/>
      <c r="GA727" s="9"/>
      <c r="GB727" s="9"/>
      <c r="GC727" s="9"/>
      <c r="GD727" s="9"/>
      <c r="GE727" s="9"/>
      <c r="GF727" s="9"/>
      <c r="GG727" s="9"/>
      <c r="GH727" s="9"/>
      <c r="GI727" s="9"/>
      <c r="GJ727" s="9"/>
      <c r="GK727" s="9"/>
      <c r="GL727" s="9"/>
      <c r="GM727" s="9"/>
      <c r="GN727" s="9"/>
      <c r="GO727" s="9"/>
      <c r="GP727" s="9"/>
      <c r="GQ727" s="9"/>
      <c r="GR727" s="9"/>
      <c r="GS727" s="9"/>
      <c r="GT727" s="9"/>
      <c r="GU727" s="9"/>
      <c r="GV727" s="9"/>
      <c r="GW727" s="9"/>
      <c r="GX727" s="9"/>
      <c r="GY727" s="9"/>
      <c r="GZ727" s="9"/>
      <c r="HA727" s="9"/>
      <c r="HB727" s="9"/>
      <c r="HC727" s="9"/>
      <c r="HD727" s="9"/>
      <c r="HE727" s="9"/>
      <c r="HF727" s="9"/>
      <c r="HG727" s="9"/>
      <c r="HH727" s="9"/>
      <c r="HI727" s="9"/>
      <c r="HJ727" s="9"/>
      <c r="HK727" s="9"/>
      <c r="HL727" s="9"/>
      <c r="HM727" s="9"/>
      <c r="HY727" s="58"/>
      <c r="IU727" t="s">
        <v>2086</v>
      </c>
      <c r="IV727" t="s">
        <v>2009</v>
      </c>
      <c r="JI727" t="s">
        <v>2087</v>
      </c>
      <c r="JJ727" t="s">
        <v>2088</v>
      </c>
      <c r="JO727" s="9"/>
      <c r="JY727" s="9"/>
      <c r="KD727" t="s">
        <v>2157</v>
      </c>
      <c r="KE727" t="s">
        <v>1561</v>
      </c>
      <c r="KQ727" s="9"/>
      <c r="KR727" s="9"/>
      <c r="KS727" s="9"/>
      <c r="KT727" s="9"/>
      <c r="MS727" t="s">
        <v>2158</v>
      </c>
      <c r="MT727" t="s">
        <v>29</v>
      </c>
      <c r="MU727" t="s">
        <v>2066</v>
      </c>
      <c r="MW727" t="s">
        <v>2067</v>
      </c>
      <c r="NE727" t="s">
        <v>2159</v>
      </c>
      <c r="NF727" t="s">
        <v>2160</v>
      </c>
      <c r="NG727" t="s">
        <v>203</v>
      </c>
      <c r="NH727" t="s">
        <v>2092</v>
      </c>
      <c r="NP727" t="s">
        <v>2089</v>
      </c>
      <c r="NQ727" t="s">
        <v>6</v>
      </c>
      <c r="NR727">
        <v>11.5</v>
      </c>
      <c r="NS727" t="s">
        <v>1456</v>
      </c>
      <c r="NT727">
        <v>3.82</v>
      </c>
      <c r="NW727">
        <v>2</v>
      </c>
      <c r="OH727" t="s">
        <v>2093</v>
      </c>
      <c r="OI727" t="s">
        <v>6</v>
      </c>
      <c r="OJ727">
        <v>2005</v>
      </c>
      <c r="OK727">
        <v>2005</v>
      </c>
      <c r="OL727">
        <v>2005</v>
      </c>
      <c r="OO727" t="s">
        <v>2000</v>
      </c>
      <c r="OP727" s="58" t="s">
        <v>2068</v>
      </c>
      <c r="OU727" t="s">
        <v>2069</v>
      </c>
    </row>
    <row r="728" spans="1:411">
      <c r="A728" s="87" t="s">
        <v>36</v>
      </c>
      <c r="B728" s="87" t="s">
        <v>2057</v>
      </c>
      <c r="C728" s="87" t="s">
        <v>1904</v>
      </c>
      <c r="D728" s="87" t="s">
        <v>2058</v>
      </c>
      <c r="E728" s="87" t="s">
        <v>2059</v>
      </c>
      <c r="F728" s="87" t="s">
        <v>1978</v>
      </c>
      <c r="G728" s="87" t="s">
        <v>2</v>
      </c>
      <c r="H728" s="87" t="s">
        <v>2100</v>
      </c>
      <c r="I728" s="87">
        <v>10.3622</v>
      </c>
      <c r="J728" s="87">
        <v>76.980199999999996</v>
      </c>
      <c r="K728" s="87">
        <v>3000</v>
      </c>
      <c r="L728" s="87" t="s">
        <v>1904</v>
      </c>
      <c r="M728" s="87" t="s">
        <v>2058</v>
      </c>
      <c r="N728" s="87" t="s">
        <v>2070</v>
      </c>
      <c r="O728" s="87" t="s">
        <v>1978</v>
      </c>
      <c r="P728" s="87" t="s">
        <v>2</v>
      </c>
      <c r="Q728" s="87" t="s">
        <v>2100</v>
      </c>
      <c r="R728" s="87">
        <v>10.385</v>
      </c>
      <c r="S728" s="87">
        <v>76.95</v>
      </c>
      <c r="T728" s="87">
        <v>1000</v>
      </c>
      <c r="U728" s="87" t="s">
        <v>1904</v>
      </c>
      <c r="V728" s="87" t="s">
        <v>2058</v>
      </c>
      <c r="W728" s="87" t="s">
        <v>2071</v>
      </c>
      <c r="X728" s="87" t="s">
        <v>1978</v>
      </c>
      <c r="Y728" s="87" t="s">
        <v>2</v>
      </c>
      <c r="Z728" s="87" t="s">
        <v>2100</v>
      </c>
      <c r="AA728" s="87">
        <v>10.234999999999999</v>
      </c>
      <c r="AB728" s="87">
        <v>76.89</v>
      </c>
      <c r="AC728" s="87">
        <v>1500</v>
      </c>
      <c r="AD728" s="87"/>
      <c r="AE728" s="87"/>
      <c r="AF728" s="87"/>
      <c r="AG728" s="87"/>
      <c r="AH728" s="87"/>
      <c r="AI728" s="87"/>
      <c r="AJ728" s="87"/>
      <c r="AK728" s="87"/>
      <c r="AL728" s="87"/>
      <c r="AM728" s="87"/>
      <c r="AN728" s="87"/>
      <c r="AO728" s="87"/>
      <c r="AP728" s="87"/>
      <c r="AQ728" s="87"/>
      <c r="AR728" s="87"/>
      <c r="AS728" s="87"/>
      <c r="AT728" s="87"/>
      <c r="AU728" s="87"/>
      <c r="AV728" s="87" t="s">
        <v>2149</v>
      </c>
      <c r="AW728" s="87" t="s">
        <v>29</v>
      </c>
      <c r="AX728" s="87">
        <v>29850000</v>
      </c>
      <c r="AY728" s="87">
        <v>1</v>
      </c>
      <c r="AZ728" s="87" t="s">
        <v>2060</v>
      </c>
      <c r="BA728" s="87">
        <v>2005</v>
      </c>
      <c r="BB728" s="87">
        <v>2005</v>
      </c>
      <c r="BC728" s="87" t="s">
        <v>2061</v>
      </c>
      <c r="BD728" s="87" t="s">
        <v>1855</v>
      </c>
      <c r="BE728" s="87" t="s">
        <v>2150</v>
      </c>
      <c r="BF728" s="87" t="s">
        <v>39</v>
      </c>
      <c r="BG728" s="87" t="s">
        <v>1762</v>
      </c>
      <c r="BH728" s="87"/>
      <c r="BI728" s="87"/>
      <c r="BJ728" s="87"/>
      <c r="BK728" s="87"/>
      <c r="BL728" s="87"/>
      <c r="BM728" s="87"/>
      <c r="BN728" s="87"/>
      <c r="BO728" s="87"/>
      <c r="BP728" s="87"/>
      <c r="BQ728" s="87"/>
      <c r="BR728" s="87"/>
      <c r="BS728" s="87"/>
      <c r="BT728" s="87"/>
      <c r="BU728" s="87"/>
      <c r="BV728" s="87"/>
      <c r="BW728" s="87"/>
      <c r="BX728" s="87"/>
      <c r="BY728" s="87"/>
      <c r="BZ728" s="87"/>
      <c r="CA728" s="87"/>
      <c r="CB728" s="87"/>
      <c r="CC728" s="87"/>
      <c r="CD728" s="87"/>
      <c r="CE728" s="87"/>
      <c r="CF728" s="87"/>
      <c r="CG728" s="87"/>
      <c r="CH728" s="87"/>
      <c r="CI728" s="87"/>
      <c r="CJ728" s="87"/>
      <c r="CK728" s="87"/>
      <c r="CL728" s="87"/>
      <c r="CM728" s="87"/>
      <c r="CN728" s="87"/>
      <c r="CO728" s="87"/>
      <c r="CP728" s="87"/>
      <c r="CQ728" s="87"/>
      <c r="CR728" s="87"/>
      <c r="CS728" s="87"/>
      <c r="CT728" s="87"/>
      <c r="CU728" s="87"/>
      <c r="CV728" s="87"/>
      <c r="CW728" s="87"/>
      <c r="CX728" s="87"/>
      <c r="CY728" s="87"/>
      <c r="CZ728" s="87"/>
      <c r="DA728" s="87"/>
      <c r="DB728" s="87"/>
      <c r="DC728" s="87"/>
      <c r="DD728" s="87"/>
      <c r="DE728" s="87"/>
      <c r="DF728" s="87"/>
      <c r="DG728" s="87"/>
      <c r="DH728" s="87"/>
      <c r="DI728" s="87"/>
      <c r="DJ728" s="87"/>
      <c r="DK728" s="87"/>
      <c r="DL728" s="87"/>
      <c r="DM728" s="87"/>
      <c r="DN728" s="87"/>
      <c r="DO728" s="87"/>
      <c r="DP728" s="87"/>
      <c r="DQ728" s="87"/>
      <c r="DR728" s="87"/>
      <c r="DS728" s="87"/>
      <c r="DT728" s="87"/>
      <c r="DU728" s="87"/>
      <c r="DV728" s="87"/>
      <c r="DW728" s="87"/>
      <c r="DX728" s="87"/>
      <c r="DY728" s="87"/>
      <c r="DZ728" s="87"/>
      <c r="EA728" s="87"/>
      <c r="EB728" s="87"/>
      <c r="EC728" s="87"/>
      <c r="ED728" s="87"/>
      <c r="EE728" s="87" t="s">
        <v>2062</v>
      </c>
      <c r="EF728" s="87" t="s">
        <v>2063</v>
      </c>
      <c r="EG728" s="87" t="s">
        <v>29</v>
      </c>
      <c r="EH728" s="87"/>
      <c r="EI728" s="87" t="s">
        <v>2064</v>
      </c>
      <c r="EJ728" s="144" t="s">
        <v>2063</v>
      </c>
      <c r="EK728" s="144" t="s">
        <v>29</v>
      </c>
      <c r="EL728" s="144"/>
      <c r="EM728" s="144" t="s">
        <v>2065</v>
      </c>
      <c r="EN728" s="144" t="s">
        <v>2063</v>
      </c>
      <c r="EO728" s="144" t="s">
        <v>29</v>
      </c>
      <c r="EP728" s="144"/>
      <c r="EQ728" s="144"/>
      <c r="ER728" s="144"/>
      <c r="ES728" s="144"/>
      <c r="ET728" s="144"/>
      <c r="EU728" s="144"/>
      <c r="EV728" s="144"/>
      <c r="EW728" s="144"/>
      <c r="EX728" s="144"/>
      <c r="EY728" s="144"/>
      <c r="EZ728" s="144"/>
      <c r="FA728" s="144"/>
      <c r="FB728" s="144"/>
      <c r="FC728" s="144"/>
      <c r="FD728" s="144"/>
      <c r="FE728" s="144"/>
      <c r="FF728" s="144"/>
      <c r="FG728" s="144"/>
      <c r="FH728" s="144"/>
      <c r="FI728" s="144"/>
      <c r="FJ728" s="144"/>
      <c r="FK728" s="144"/>
      <c r="FL728" s="144"/>
      <c r="FM728" s="144"/>
      <c r="FN728" s="144"/>
      <c r="FO728" s="144"/>
      <c r="FP728" s="144"/>
      <c r="FQ728" s="144"/>
      <c r="FR728" s="144"/>
      <c r="FS728" s="144"/>
      <c r="FT728" s="144"/>
      <c r="FU728" s="144"/>
      <c r="FV728" s="144"/>
      <c r="FW728" s="144"/>
      <c r="FX728" s="144"/>
      <c r="FY728" s="144"/>
      <c r="FZ728" s="144"/>
      <c r="GA728" s="144"/>
      <c r="GB728" s="144"/>
      <c r="GC728" s="144"/>
      <c r="GD728" s="144"/>
      <c r="GE728" s="144"/>
      <c r="GF728" s="144"/>
      <c r="GG728" s="144"/>
      <c r="GH728" s="144"/>
      <c r="GI728" s="144"/>
      <c r="GJ728" s="144"/>
      <c r="GK728" s="144"/>
      <c r="GL728" s="144"/>
      <c r="GM728" s="144"/>
      <c r="GN728" s="144"/>
      <c r="GO728" s="144"/>
      <c r="GP728" s="144"/>
      <c r="GQ728" s="144"/>
      <c r="GR728" s="144"/>
      <c r="GS728" s="144"/>
      <c r="GT728" s="144"/>
      <c r="GU728" s="144"/>
      <c r="GV728" s="144"/>
      <c r="GW728" s="144"/>
      <c r="GX728" s="144"/>
      <c r="GY728" s="144"/>
      <c r="GZ728" s="144"/>
      <c r="HA728" s="144"/>
      <c r="HB728" s="144"/>
      <c r="HC728" s="144"/>
      <c r="HD728" s="144"/>
      <c r="HE728" s="144"/>
      <c r="HF728" s="144"/>
      <c r="HG728" s="144"/>
      <c r="HH728" s="144"/>
      <c r="HI728" s="144"/>
      <c r="HJ728" s="144"/>
      <c r="HK728" s="144"/>
      <c r="HL728" s="144"/>
      <c r="HM728" s="144"/>
      <c r="HN728" s="87"/>
      <c r="HO728" s="87"/>
      <c r="HP728" s="87"/>
      <c r="HQ728" s="87"/>
      <c r="HR728" s="87"/>
      <c r="HS728" s="87"/>
      <c r="HT728" s="87"/>
      <c r="HU728" s="87"/>
      <c r="HV728" s="87"/>
      <c r="HW728" s="87"/>
      <c r="HX728" s="87"/>
      <c r="HY728" s="145"/>
      <c r="HZ728" s="87"/>
      <c r="IA728" s="87"/>
      <c r="IB728" s="87"/>
      <c r="IC728" s="87"/>
      <c r="ID728" s="87"/>
      <c r="IE728" s="87"/>
      <c r="IF728" s="87"/>
      <c r="IG728" s="87"/>
      <c r="IH728" s="87"/>
      <c r="II728" s="87"/>
      <c r="IJ728" s="87"/>
      <c r="IK728" s="87"/>
      <c r="IL728" s="87"/>
      <c r="IM728" s="87"/>
      <c r="IN728" s="87"/>
      <c r="IO728" s="87"/>
      <c r="IP728" s="87"/>
      <c r="IQ728" s="87"/>
      <c r="IR728" s="87"/>
      <c r="IS728" s="87"/>
      <c r="IT728" s="87"/>
      <c r="IU728" s="87"/>
      <c r="IV728" s="87"/>
      <c r="IW728" s="87"/>
      <c r="IX728" s="87"/>
      <c r="IY728" s="87"/>
      <c r="IZ728" s="87"/>
      <c r="JA728" s="87"/>
      <c r="JB728" s="87"/>
      <c r="JC728" s="87"/>
      <c r="JD728" s="87"/>
      <c r="JE728" s="87"/>
      <c r="JF728" s="87"/>
      <c r="JG728" s="87"/>
      <c r="JH728" s="87"/>
      <c r="JI728" s="87"/>
      <c r="JJ728" s="87"/>
      <c r="JK728" s="87"/>
      <c r="JL728" s="87"/>
      <c r="JM728" s="87"/>
      <c r="JN728" s="87"/>
      <c r="JO728" s="151"/>
      <c r="JP728" s="87"/>
      <c r="JQ728" s="87"/>
      <c r="JR728" s="87"/>
      <c r="JS728" s="87"/>
      <c r="JT728" s="87"/>
      <c r="JU728" s="87"/>
      <c r="JV728" s="87"/>
      <c r="JW728" s="87"/>
      <c r="JX728" s="87"/>
      <c r="JY728" s="151"/>
      <c r="JZ728" s="87"/>
      <c r="KA728" s="87"/>
      <c r="KB728" s="87"/>
      <c r="KC728" s="87"/>
      <c r="KD728" s="87"/>
      <c r="KE728" s="87"/>
      <c r="KF728" s="87"/>
      <c r="KG728" s="87"/>
      <c r="KH728" s="87"/>
      <c r="KI728" s="87"/>
      <c r="KJ728" s="87"/>
      <c r="KK728" s="87"/>
      <c r="KL728" s="87"/>
      <c r="KM728" s="87"/>
      <c r="KN728" s="87"/>
      <c r="KO728" s="87"/>
      <c r="KP728" s="87"/>
      <c r="KQ728" s="151"/>
      <c r="KR728" s="151"/>
      <c r="KS728" s="151"/>
      <c r="KT728" s="151"/>
      <c r="KU728" s="87"/>
      <c r="KV728" s="87"/>
      <c r="KW728" s="87"/>
      <c r="KX728" s="87"/>
      <c r="KY728" s="87"/>
      <c r="KZ728" s="87"/>
      <c r="LA728" s="87"/>
      <c r="LB728" s="87"/>
      <c r="LC728" s="87"/>
      <c r="LD728" s="87"/>
      <c r="LE728" s="87"/>
      <c r="LF728" s="87"/>
      <c r="LG728" s="87"/>
      <c r="LH728" s="87"/>
      <c r="LI728" s="87"/>
      <c r="LJ728" s="87"/>
      <c r="LK728" s="87"/>
      <c r="LL728" s="87"/>
      <c r="LM728" s="87"/>
      <c r="LN728" s="87"/>
      <c r="LO728" s="87"/>
      <c r="LP728" s="87"/>
      <c r="LQ728" s="87"/>
      <c r="LR728" s="87"/>
      <c r="LS728" s="87"/>
      <c r="LT728" s="87"/>
      <c r="LU728" s="87"/>
      <c r="LV728" s="87"/>
      <c r="LW728" s="87"/>
      <c r="LX728" s="87"/>
      <c r="LY728" s="87"/>
      <c r="LZ728" s="87"/>
      <c r="MA728" s="87"/>
      <c r="MB728" s="87"/>
      <c r="MC728" s="87"/>
      <c r="MD728" s="87"/>
      <c r="ME728" s="87"/>
      <c r="MF728" s="87"/>
      <c r="MG728" s="87"/>
      <c r="MH728" s="87"/>
      <c r="MI728" s="87"/>
      <c r="MJ728" s="87"/>
      <c r="MK728" s="87"/>
      <c r="ML728" s="87"/>
      <c r="MM728" s="87"/>
      <c r="MN728" s="87"/>
      <c r="MO728" s="87"/>
      <c r="MP728" s="87"/>
      <c r="MQ728" s="87"/>
      <c r="MR728" s="87"/>
      <c r="MS728" s="87" t="s">
        <v>2151</v>
      </c>
      <c r="MT728" s="87" t="s">
        <v>29</v>
      </c>
      <c r="MU728" s="87" t="s">
        <v>2066</v>
      </c>
      <c r="MV728" s="87"/>
      <c r="MW728" s="87" t="s">
        <v>2067</v>
      </c>
      <c r="MX728" s="87"/>
      <c r="MY728" s="87"/>
      <c r="MZ728" s="87"/>
      <c r="NA728" s="87"/>
      <c r="NB728" s="87"/>
      <c r="NC728" s="87"/>
      <c r="ND728" s="87"/>
      <c r="NE728" s="87" t="s">
        <v>2161</v>
      </c>
      <c r="NF728" s="87" t="s">
        <v>2162</v>
      </c>
      <c r="NG728" s="87" t="s">
        <v>1770</v>
      </c>
      <c r="NH728" s="87" t="s">
        <v>2094</v>
      </c>
      <c r="NI728" s="87"/>
      <c r="NJ728" s="87"/>
      <c r="NK728" s="87"/>
      <c r="NL728" s="87"/>
      <c r="NM728" s="87"/>
      <c r="NN728" s="87"/>
      <c r="NO728" s="87"/>
      <c r="NP728" s="87" t="s">
        <v>1847</v>
      </c>
      <c r="NQ728" s="87" t="s">
        <v>6</v>
      </c>
      <c r="NR728" s="87">
        <v>2.63</v>
      </c>
      <c r="NS728" s="87" t="s">
        <v>1456</v>
      </c>
      <c r="NT728" s="87">
        <v>0.53</v>
      </c>
      <c r="NU728" s="87"/>
      <c r="NV728" s="87"/>
      <c r="NW728" s="87">
        <v>3</v>
      </c>
      <c r="NX728" s="87"/>
      <c r="NY728" s="87"/>
      <c r="NZ728" s="87"/>
      <c r="OA728" s="87"/>
      <c r="OB728" s="87"/>
      <c r="OC728" s="87"/>
      <c r="OD728" s="87"/>
      <c r="OE728" s="87"/>
      <c r="OF728" s="87"/>
      <c r="OG728" s="87"/>
      <c r="OH728" s="87" t="s">
        <v>2095</v>
      </c>
      <c r="OI728" s="87" t="s">
        <v>6</v>
      </c>
      <c r="OJ728" s="87">
        <v>2005</v>
      </c>
      <c r="OK728" s="87">
        <v>2005</v>
      </c>
      <c r="OL728" s="87">
        <v>2005</v>
      </c>
      <c r="OM728" s="87"/>
      <c r="ON728" s="87"/>
      <c r="OO728" s="87" t="s">
        <v>2000</v>
      </c>
      <c r="OP728" s="145" t="s">
        <v>2068</v>
      </c>
      <c r="OQ728" s="87"/>
      <c r="OR728" s="87"/>
      <c r="OS728" s="87"/>
      <c r="OT728" s="87"/>
      <c r="OU728" s="143" t="s">
        <v>2069</v>
      </c>
    </row>
    <row r="729" spans="1:411">
      <c r="A729" t="s">
        <v>36</v>
      </c>
      <c r="B729" t="s">
        <v>2057</v>
      </c>
      <c r="C729" t="s">
        <v>1904</v>
      </c>
      <c r="D729" t="s">
        <v>245</v>
      </c>
      <c r="E729" t="s">
        <v>2072</v>
      </c>
      <c r="F729" t="s">
        <v>1980</v>
      </c>
      <c r="G729" t="s">
        <v>2</v>
      </c>
      <c r="H729" t="s">
        <v>2100</v>
      </c>
      <c r="I729">
        <v>10.37</v>
      </c>
      <c r="J729">
        <v>76.984999999999999</v>
      </c>
      <c r="K729">
        <v>500</v>
      </c>
      <c r="L729" t="s">
        <v>1904</v>
      </c>
      <c r="M729" t="s">
        <v>245</v>
      </c>
      <c r="N729" t="s">
        <v>2075</v>
      </c>
      <c r="O729" t="s">
        <v>1980</v>
      </c>
      <c r="P729" t="s">
        <v>2</v>
      </c>
      <c r="Q729" t="s">
        <v>2100</v>
      </c>
      <c r="R729">
        <v>10.3512</v>
      </c>
      <c r="S729">
        <v>76.938400000000001</v>
      </c>
      <c r="T729">
        <v>400</v>
      </c>
      <c r="U729" t="s">
        <v>1904</v>
      </c>
      <c r="V729" t="s">
        <v>245</v>
      </c>
      <c r="W729" t="s">
        <v>2076</v>
      </c>
      <c r="X729" t="s">
        <v>1980</v>
      </c>
      <c r="Y729" t="s">
        <v>2</v>
      </c>
      <c r="Z729" t="s">
        <v>2100</v>
      </c>
      <c r="AA729">
        <v>10.279</v>
      </c>
      <c r="AB729">
        <v>76.8874</v>
      </c>
      <c r="AC729">
        <v>500</v>
      </c>
      <c r="AD729" t="s">
        <v>1904</v>
      </c>
      <c r="AE729" t="s">
        <v>245</v>
      </c>
      <c r="AF729" t="s">
        <v>2077</v>
      </c>
      <c r="AG729" t="s">
        <v>1980</v>
      </c>
      <c r="AH729" t="s">
        <v>2</v>
      </c>
      <c r="AI729" t="s">
        <v>2100</v>
      </c>
      <c r="AJ729">
        <v>10.345000000000001</v>
      </c>
      <c r="AK729">
        <v>76.924999999999997</v>
      </c>
      <c r="AL729">
        <v>300</v>
      </c>
      <c r="AV729" t="s">
        <v>2149</v>
      </c>
      <c r="AW729" t="s">
        <v>29</v>
      </c>
      <c r="AX729">
        <v>2316000</v>
      </c>
      <c r="AY729">
        <v>1</v>
      </c>
      <c r="AZ729" t="s">
        <v>2060</v>
      </c>
      <c r="BA729">
        <v>2005</v>
      </c>
      <c r="BB729">
        <v>2005</v>
      </c>
      <c r="BC729" t="s">
        <v>2061</v>
      </c>
      <c r="BD729" t="s">
        <v>2073</v>
      </c>
      <c r="BE729" t="s">
        <v>2152</v>
      </c>
      <c r="BF729" t="s">
        <v>64</v>
      </c>
      <c r="BG729" t="s">
        <v>1762</v>
      </c>
      <c r="EE729" t="s">
        <v>2062</v>
      </c>
      <c r="EF729" t="s">
        <v>2063</v>
      </c>
      <c r="EG729" t="s">
        <v>29</v>
      </c>
      <c r="EI729" t="s">
        <v>2064</v>
      </c>
      <c r="EJ729" s="9" t="s">
        <v>2063</v>
      </c>
      <c r="EK729" s="9" t="s">
        <v>29</v>
      </c>
      <c r="EL729" s="9"/>
      <c r="EM729" s="9" t="s">
        <v>2065</v>
      </c>
      <c r="EN729" s="9" t="s">
        <v>2063</v>
      </c>
      <c r="EO729" s="9" t="s">
        <v>29</v>
      </c>
      <c r="EP729" s="9"/>
      <c r="EQ729" s="9"/>
      <c r="ER729" s="9"/>
      <c r="ES729" s="9"/>
      <c r="ET729" s="9"/>
      <c r="EU729" s="9"/>
      <c r="EV729" s="9"/>
      <c r="EW729" s="9"/>
      <c r="EX729" s="9"/>
      <c r="EY729" s="9"/>
      <c r="EZ729" s="9"/>
      <c r="FA729" s="9"/>
      <c r="FB729" s="9"/>
      <c r="FC729" s="9"/>
      <c r="FD729" s="9"/>
      <c r="FE729" s="9"/>
      <c r="FF729" s="9"/>
      <c r="FG729" s="9"/>
      <c r="FH729" s="9"/>
      <c r="FI729" s="9"/>
      <c r="FJ729" s="9"/>
      <c r="FK729" s="9"/>
      <c r="FL729" s="9"/>
      <c r="FM729" s="9"/>
      <c r="FN729" s="9"/>
      <c r="FO729" s="9"/>
      <c r="FP729" s="9"/>
      <c r="FQ729" s="9"/>
      <c r="FR729" s="9"/>
      <c r="FS729" s="9"/>
      <c r="FT729" s="9"/>
      <c r="FU729" s="9"/>
      <c r="FV729" s="9"/>
      <c r="FW729" s="9"/>
      <c r="FX729" s="9"/>
      <c r="FY729" s="9"/>
      <c r="FZ729" s="9"/>
      <c r="GA729" s="9"/>
      <c r="GB729" s="9"/>
      <c r="GC729" s="9"/>
      <c r="GD729" s="9"/>
      <c r="GE729" s="9"/>
      <c r="GF729" s="9"/>
      <c r="GG729" s="9"/>
      <c r="GH729" s="9"/>
      <c r="GI729" s="9"/>
      <c r="GJ729" s="9"/>
      <c r="GK729" s="9"/>
      <c r="GL729" s="9"/>
      <c r="GM729" s="9"/>
      <c r="GN729" s="9"/>
      <c r="GO729" s="9"/>
      <c r="GP729" s="9"/>
      <c r="GQ729" s="9"/>
      <c r="GR729" s="9"/>
      <c r="GS729" s="9"/>
      <c r="GT729" s="9"/>
      <c r="GU729" s="9"/>
      <c r="GV729" s="9"/>
      <c r="GW729" s="9"/>
      <c r="GX729" s="9"/>
      <c r="GY729" s="9"/>
      <c r="GZ729" s="9"/>
      <c r="HA729" s="9"/>
      <c r="HB729" s="9"/>
      <c r="HC729" s="9"/>
      <c r="HD729" s="9"/>
      <c r="HE729" s="9"/>
      <c r="HF729" s="9"/>
      <c r="HG729" s="9"/>
      <c r="HH729" s="9"/>
      <c r="HI729" s="9"/>
      <c r="HJ729" s="9"/>
      <c r="HK729" s="9"/>
      <c r="HL729" s="9"/>
      <c r="HM729" s="9"/>
      <c r="HY729" s="58"/>
      <c r="JO729" s="9"/>
      <c r="JY729" s="9"/>
      <c r="KQ729" s="9"/>
      <c r="KR729" s="9"/>
      <c r="KS729" s="9"/>
      <c r="KT729" s="9"/>
      <c r="MS729" t="s">
        <v>2153</v>
      </c>
      <c r="MT729" t="s">
        <v>29</v>
      </c>
      <c r="MU729" t="s">
        <v>2066</v>
      </c>
      <c r="MW729" t="s">
        <v>2067</v>
      </c>
      <c r="NE729" t="s">
        <v>2161</v>
      </c>
      <c r="NF729" t="s">
        <v>2162</v>
      </c>
      <c r="NG729" t="s">
        <v>1770</v>
      </c>
      <c r="NH729" t="s">
        <v>2094</v>
      </c>
      <c r="NP729" t="s">
        <v>2074</v>
      </c>
      <c r="NQ729" t="s">
        <v>6</v>
      </c>
      <c r="NR729">
        <v>2.7</v>
      </c>
      <c r="NS729" t="s">
        <v>1456</v>
      </c>
      <c r="NT729">
        <v>0.66</v>
      </c>
      <c r="NW729">
        <v>4</v>
      </c>
      <c r="OH729" t="s">
        <v>2095</v>
      </c>
      <c r="OI729" t="s">
        <v>6</v>
      </c>
      <c r="OJ729">
        <v>2005</v>
      </c>
      <c r="OK729">
        <v>2005</v>
      </c>
      <c r="OL729">
        <v>2005</v>
      </c>
      <c r="OO729" t="s">
        <v>2000</v>
      </c>
      <c r="OP729" s="58" t="s">
        <v>2068</v>
      </c>
      <c r="OU729" t="s">
        <v>2069</v>
      </c>
    </row>
    <row r="730" spans="1:411">
      <c r="A730" s="87" t="s">
        <v>36</v>
      </c>
      <c r="B730" s="87" t="s">
        <v>2057</v>
      </c>
      <c r="C730" s="87" t="s">
        <v>1904</v>
      </c>
      <c r="D730" s="87" t="s">
        <v>245</v>
      </c>
      <c r="E730" s="87" t="s">
        <v>2078</v>
      </c>
      <c r="F730" s="87" t="s">
        <v>1980</v>
      </c>
      <c r="G730" s="87" t="s">
        <v>2</v>
      </c>
      <c r="H730" s="87" t="s">
        <v>2100</v>
      </c>
      <c r="I730" s="87">
        <v>10.33</v>
      </c>
      <c r="J730" s="87">
        <v>76.965000000000003</v>
      </c>
      <c r="K730" s="87">
        <v>500</v>
      </c>
      <c r="L730" s="87" t="s">
        <v>1904</v>
      </c>
      <c r="M730" s="87" t="s">
        <v>245</v>
      </c>
      <c r="N730" s="87" t="s">
        <v>2082</v>
      </c>
      <c r="O730" s="87" t="s">
        <v>1980</v>
      </c>
      <c r="P730" s="87" t="s">
        <v>2</v>
      </c>
      <c r="Q730" s="87" t="s">
        <v>2100</v>
      </c>
      <c r="R730" s="87">
        <v>10.308299999999999</v>
      </c>
      <c r="S730" s="87">
        <v>76.899900000000002</v>
      </c>
      <c r="T730" s="87">
        <v>500</v>
      </c>
      <c r="U730" s="87" t="s">
        <v>1904</v>
      </c>
      <c r="V730" s="87" t="s">
        <v>245</v>
      </c>
      <c r="W730" s="87" t="s">
        <v>2083</v>
      </c>
      <c r="X730" s="87" t="s">
        <v>1980</v>
      </c>
      <c r="Y730" s="87" t="s">
        <v>2</v>
      </c>
      <c r="Z730" s="87" t="s">
        <v>2100</v>
      </c>
      <c r="AA730" s="87">
        <v>10.31</v>
      </c>
      <c r="AB730" s="87">
        <v>76.94</v>
      </c>
      <c r="AC730" s="87">
        <v>300</v>
      </c>
      <c r="AD730" s="87"/>
      <c r="AE730" s="87"/>
      <c r="AF730" s="87"/>
      <c r="AG730" s="87"/>
      <c r="AH730" s="87"/>
      <c r="AI730" s="87"/>
      <c r="AJ730" s="87"/>
      <c r="AK730" s="87"/>
      <c r="AL730" s="87"/>
      <c r="AM730" s="87"/>
      <c r="AN730" s="87"/>
      <c r="AO730" s="87"/>
      <c r="AP730" s="87"/>
      <c r="AQ730" s="87"/>
      <c r="AR730" s="87"/>
      <c r="AS730" s="87"/>
      <c r="AT730" s="87"/>
      <c r="AU730" s="87"/>
      <c r="AV730" s="87" t="s">
        <v>2149</v>
      </c>
      <c r="AW730" s="87" t="s">
        <v>29</v>
      </c>
      <c r="AX730" s="87">
        <v>1671000</v>
      </c>
      <c r="AY730" s="87">
        <v>1</v>
      </c>
      <c r="AZ730" s="87" t="s">
        <v>2060</v>
      </c>
      <c r="BA730" s="87">
        <v>2005</v>
      </c>
      <c r="BB730" s="87">
        <v>2005</v>
      </c>
      <c r="BC730" s="87" t="s">
        <v>2061</v>
      </c>
      <c r="BD730" s="87" t="s">
        <v>2073</v>
      </c>
      <c r="BE730" s="87" t="s">
        <v>2154</v>
      </c>
      <c r="BF730" s="87" t="s">
        <v>57</v>
      </c>
      <c r="BG730" s="87" t="s">
        <v>1762</v>
      </c>
      <c r="BH730" s="87"/>
      <c r="BI730" s="87"/>
      <c r="BJ730" s="87"/>
      <c r="BK730" s="87"/>
      <c r="BL730" s="87"/>
      <c r="BM730" s="87"/>
      <c r="BN730" s="87"/>
      <c r="BO730" s="87"/>
      <c r="BP730" s="87"/>
      <c r="BQ730" s="87"/>
      <c r="BR730" s="87"/>
      <c r="BS730" s="87"/>
      <c r="BT730" s="87"/>
      <c r="BU730" s="87"/>
      <c r="BV730" s="87"/>
      <c r="BW730" s="87"/>
      <c r="BX730" s="87"/>
      <c r="BY730" s="87"/>
      <c r="BZ730" s="87"/>
      <c r="CA730" s="87"/>
      <c r="CB730" s="87"/>
      <c r="CC730" s="87"/>
      <c r="CD730" s="87"/>
      <c r="CE730" s="87"/>
      <c r="CF730" s="87"/>
      <c r="CG730" s="87"/>
      <c r="CH730" s="87"/>
      <c r="CI730" s="87"/>
      <c r="CJ730" s="87"/>
      <c r="CK730" s="87"/>
      <c r="CL730" s="87"/>
      <c r="CM730" s="87"/>
      <c r="CN730" s="87"/>
      <c r="CO730" s="87"/>
      <c r="CP730" s="87"/>
      <c r="CQ730" s="87"/>
      <c r="CR730" s="87"/>
      <c r="CS730" s="87"/>
      <c r="CT730" s="87"/>
      <c r="CU730" s="87"/>
      <c r="CV730" s="87"/>
      <c r="CW730" s="87"/>
      <c r="CX730" s="87"/>
      <c r="CY730" s="87"/>
      <c r="CZ730" s="87"/>
      <c r="DA730" s="87"/>
      <c r="DB730" s="87"/>
      <c r="DC730" s="87"/>
      <c r="DD730" s="87"/>
      <c r="DE730" s="87"/>
      <c r="DF730" s="87"/>
      <c r="DG730" s="87"/>
      <c r="DH730" s="87"/>
      <c r="DI730" s="87"/>
      <c r="DJ730" s="87"/>
      <c r="DK730" s="87"/>
      <c r="DL730" s="87"/>
      <c r="DM730" s="87"/>
      <c r="DN730" s="87"/>
      <c r="DO730" s="87"/>
      <c r="DP730" s="87"/>
      <c r="DQ730" s="87"/>
      <c r="DR730" s="87"/>
      <c r="DS730" s="87"/>
      <c r="DT730" s="87"/>
      <c r="DU730" s="87"/>
      <c r="DV730" s="87"/>
      <c r="DW730" s="87"/>
      <c r="DX730" s="87"/>
      <c r="DY730" s="87"/>
      <c r="DZ730" s="87"/>
      <c r="EA730" s="87"/>
      <c r="EB730" s="87"/>
      <c r="EC730" s="87"/>
      <c r="ED730" s="87"/>
      <c r="EE730" s="87" t="s">
        <v>2062</v>
      </c>
      <c r="EF730" s="87" t="s">
        <v>2063</v>
      </c>
      <c r="EG730" s="87" t="s">
        <v>29</v>
      </c>
      <c r="EH730" s="87"/>
      <c r="EI730" s="87" t="s">
        <v>2064</v>
      </c>
      <c r="EJ730" s="144" t="s">
        <v>2063</v>
      </c>
      <c r="EK730" s="144" t="s">
        <v>29</v>
      </c>
      <c r="EL730" s="144"/>
      <c r="EM730" s="144" t="s">
        <v>2065</v>
      </c>
      <c r="EN730" s="144" t="s">
        <v>2063</v>
      </c>
      <c r="EO730" s="144" t="s">
        <v>29</v>
      </c>
      <c r="EP730" s="144"/>
      <c r="EQ730" s="144" t="s">
        <v>2079</v>
      </c>
      <c r="ER730" s="144" t="s">
        <v>2063</v>
      </c>
      <c r="ES730" s="144" t="s">
        <v>29</v>
      </c>
      <c r="ET730" s="144"/>
      <c r="EU730" s="144" t="s">
        <v>2080</v>
      </c>
      <c r="EV730" s="144" t="s">
        <v>2063</v>
      </c>
      <c r="EW730" s="144" t="s">
        <v>29</v>
      </c>
      <c r="EX730" s="144"/>
      <c r="EY730" s="144"/>
      <c r="EZ730" s="144"/>
      <c r="FA730" s="144"/>
      <c r="FB730" s="144"/>
      <c r="FC730" s="144"/>
      <c r="FD730" s="144"/>
      <c r="FE730" s="144"/>
      <c r="FF730" s="144"/>
      <c r="FG730" s="144"/>
      <c r="FH730" s="144"/>
      <c r="FI730" s="144"/>
      <c r="FJ730" s="144"/>
      <c r="FK730" s="144"/>
      <c r="FL730" s="144"/>
      <c r="FM730" s="144"/>
      <c r="FN730" s="144"/>
      <c r="FO730" s="144"/>
      <c r="FP730" s="144"/>
      <c r="FQ730" s="144"/>
      <c r="FR730" s="144"/>
      <c r="FS730" s="144"/>
      <c r="FT730" s="144"/>
      <c r="FU730" s="144"/>
      <c r="FV730" s="144"/>
      <c r="FW730" s="144"/>
      <c r="FX730" s="144"/>
      <c r="FY730" s="144"/>
      <c r="FZ730" s="144"/>
      <c r="GA730" s="144"/>
      <c r="GB730" s="144"/>
      <c r="GC730" s="144"/>
      <c r="GD730" s="144"/>
      <c r="GE730" s="144"/>
      <c r="GF730" s="144"/>
      <c r="GG730" s="144"/>
      <c r="GH730" s="144"/>
      <c r="GI730" s="144"/>
      <c r="GJ730" s="144"/>
      <c r="GK730" s="144"/>
      <c r="GL730" s="144"/>
      <c r="GM730" s="144"/>
      <c r="GN730" s="144"/>
      <c r="GO730" s="144"/>
      <c r="GP730" s="144"/>
      <c r="GQ730" s="144"/>
      <c r="GR730" s="144"/>
      <c r="GS730" s="144"/>
      <c r="GT730" s="144"/>
      <c r="GU730" s="144"/>
      <c r="GV730" s="144"/>
      <c r="GW730" s="144"/>
      <c r="GX730" s="144"/>
      <c r="GY730" s="144"/>
      <c r="GZ730" s="144"/>
      <c r="HA730" s="144"/>
      <c r="HB730" s="144"/>
      <c r="HC730" s="144"/>
      <c r="HD730" s="144"/>
      <c r="HE730" s="144"/>
      <c r="HF730" s="144"/>
      <c r="HG730" s="144"/>
      <c r="HH730" s="144"/>
      <c r="HI730" s="144"/>
      <c r="HJ730" s="144"/>
      <c r="HK730" s="144"/>
      <c r="HL730" s="144"/>
      <c r="HM730" s="144"/>
      <c r="HN730" s="87"/>
      <c r="HO730" s="87"/>
      <c r="HP730" s="87"/>
      <c r="HQ730" s="87"/>
      <c r="HR730" s="87"/>
      <c r="HS730" s="87"/>
      <c r="HT730" s="87"/>
      <c r="HU730" s="87"/>
      <c r="HV730" s="87"/>
      <c r="HW730" s="87"/>
      <c r="HX730" s="87"/>
      <c r="HY730" s="145"/>
      <c r="HZ730" s="87"/>
      <c r="IA730" s="87"/>
      <c r="IB730" s="87"/>
      <c r="IC730" s="87"/>
      <c r="ID730" s="87"/>
      <c r="IE730" s="87"/>
      <c r="IF730" s="87"/>
      <c r="IG730" s="87"/>
      <c r="IH730" s="87"/>
      <c r="II730" s="87"/>
      <c r="IJ730" s="87"/>
      <c r="IK730" s="87"/>
      <c r="IL730" s="87"/>
      <c r="IM730" s="87"/>
      <c r="IN730" s="87"/>
      <c r="IO730" s="87"/>
      <c r="IP730" s="87"/>
      <c r="IQ730" s="87"/>
      <c r="IR730" s="87"/>
      <c r="IS730" s="87"/>
      <c r="IT730" s="87"/>
      <c r="IU730" s="87"/>
      <c r="IV730" s="87"/>
      <c r="IW730" s="87"/>
      <c r="IX730" s="87"/>
      <c r="IY730" s="87"/>
      <c r="IZ730" s="87"/>
      <c r="JA730" s="87"/>
      <c r="JB730" s="87"/>
      <c r="JC730" s="87"/>
      <c r="JD730" s="87"/>
      <c r="JE730" s="87"/>
      <c r="JF730" s="87"/>
      <c r="JG730" s="87"/>
      <c r="JH730" s="87"/>
      <c r="JI730" s="87"/>
      <c r="JJ730" s="87"/>
      <c r="JK730" s="87"/>
      <c r="JL730" s="87"/>
      <c r="JM730" s="87"/>
      <c r="JN730" s="87"/>
      <c r="JO730" s="151"/>
      <c r="JP730" s="87"/>
      <c r="JQ730" s="87"/>
      <c r="JR730" s="87"/>
      <c r="JS730" s="87"/>
      <c r="JT730" s="87"/>
      <c r="JU730" s="87"/>
      <c r="JV730" s="87"/>
      <c r="JW730" s="87"/>
      <c r="JX730" s="87"/>
      <c r="JY730" s="151"/>
      <c r="JZ730" s="87"/>
      <c r="KA730" s="87"/>
      <c r="KB730" s="87"/>
      <c r="KC730" s="87"/>
      <c r="KD730" s="87"/>
      <c r="KE730" s="87"/>
      <c r="KF730" s="87"/>
      <c r="KG730" s="87"/>
      <c r="KH730" s="87"/>
      <c r="KI730" s="87"/>
      <c r="KJ730" s="87"/>
      <c r="KK730" s="87"/>
      <c r="KL730" s="87"/>
      <c r="KM730" s="87"/>
      <c r="KN730" s="87"/>
      <c r="KO730" s="87"/>
      <c r="KP730" s="87"/>
      <c r="KQ730" s="151"/>
      <c r="KR730" s="151"/>
      <c r="KS730" s="151"/>
      <c r="KT730" s="151"/>
      <c r="KU730" s="87"/>
      <c r="KV730" s="87"/>
      <c r="KW730" s="87"/>
      <c r="KX730" s="87"/>
      <c r="KY730" s="87"/>
      <c r="KZ730" s="87"/>
      <c r="LA730" s="87"/>
      <c r="LB730" s="87"/>
      <c r="LC730" s="87"/>
      <c r="LD730" s="87"/>
      <c r="LE730" s="87"/>
      <c r="LF730" s="87"/>
      <c r="LG730" s="87"/>
      <c r="LH730" s="87"/>
      <c r="LI730" s="87"/>
      <c r="LJ730" s="87"/>
      <c r="LK730" s="87"/>
      <c r="LL730" s="87"/>
      <c r="LM730" s="87"/>
      <c r="LN730" s="87"/>
      <c r="LO730" s="87"/>
      <c r="LP730" s="87"/>
      <c r="LQ730" s="87"/>
      <c r="LR730" s="87"/>
      <c r="LS730" s="87"/>
      <c r="LT730" s="87"/>
      <c r="LU730" s="87"/>
      <c r="LV730" s="87"/>
      <c r="LW730" s="87"/>
      <c r="LX730" s="87"/>
      <c r="LY730" s="87"/>
      <c r="LZ730" s="87"/>
      <c r="MA730" s="87"/>
      <c r="MB730" s="87"/>
      <c r="MC730" s="87"/>
      <c r="MD730" s="87"/>
      <c r="ME730" s="87"/>
      <c r="MF730" s="87"/>
      <c r="MG730" s="87"/>
      <c r="MH730" s="87"/>
      <c r="MI730" s="87"/>
      <c r="MJ730" s="87"/>
      <c r="MK730" s="87"/>
      <c r="ML730" s="87"/>
      <c r="MM730" s="87"/>
      <c r="MN730" s="87"/>
      <c r="MO730" s="87"/>
      <c r="MP730" s="87"/>
      <c r="MQ730" s="87"/>
      <c r="MR730" s="87"/>
      <c r="MS730" s="87" t="s">
        <v>2155</v>
      </c>
      <c r="MT730" s="87" t="s">
        <v>29</v>
      </c>
      <c r="MU730" s="87" t="s">
        <v>2066</v>
      </c>
      <c r="MV730" s="87"/>
      <c r="MW730" s="87" t="s">
        <v>2067</v>
      </c>
      <c r="MX730" s="87"/>
      <c r="MY730" s="87"/>
      <c r="MZ730" s="87"/>
      <c r="NA730" s="87"/>
      <c r="NB730" s="87"/>
      <c r="NC730" s="87"/>
      <c r="ND730" s="87"/>
      <c r="NE730" s="87" t="s">
        <v>2161</v>
      </c>
      <c r="NF730" s="87" t="s">
        <v>2162</v>
      </c>
      <c r="NG730" s="87" t="s">
        <v>1770</v>
      </c>
      <c r="NH730" s="87" t="s">
        <v>2094</v>
      </c>
      <c r="NI730" s="87"/>
      <c r="NJ730" s="87"/>
      <c r="NK730" s="87"/>
      <c r="NL730" s="87"/>
      <c r="NM730" s="87"/>
      <c r="NN730" s="87"/>
      <c r="NO730" s="87"/>
      <c r="NP730" s="87" t="s">
        <v>2081</v>
      </c>
      <c r="NQ730" s="87" t="s">
        <v>6</v>
      </c>
      <c r="NR730" s="87">
        <v>2.4700000000000002</v>
      </c>
      <c r="NS730" s="87" t="s">
        <v>1456</v>
      </c>
      <c r="NT730" s="87">
        <v>0.49</v>
      </c>
      <c r="NU730" s="87"/>
      <c r="NV730" s="87"/>
      <c r="NW730" s="87">
        <v>3</v>
      </c>
      <c r="NX730" s="87"/>
      <c r="NY730" s="87"/>
      <c r="NZ730" s="87"/>
      <c r="OA730" s="87"/>
      <c r="OB730" s="87"/>
      <c r="OC730" s="87"/>
      <c r="OD730" s="87"/>
      <c r="OE730" s="87"/>
      <c r="OF730" s="87"/>
      <c r="OG730" s="87"/>
      <c r="OH730" s="87" t="s">
        <v>2095</v>
      </c>
      <c r="OI730" s="87" t="s">
        <v>6</v>
      </c>
      <c r="OJ730" s="87">
        <v>2005</v>
      </c>
      <c r="OK730" s="87">
        <v>2005</v>
      </c>
      <c r="OL730" s="87">
        <v>2005</v>
      </c>
      <c r="OM730" s="87"/>
      <c r="ON730" s="87"/>
      <c r="OO730" s="87" t="s">
        <v>2000</v>
      </c>
      <c r="OP730" s="145" t="s">
        <v>2068</v>
      </c>
      <c r="OQ730" s="87"/>
      <c r="OR730" s="87"/>
      <c r="OS730" s="87"/>
      <c r="OT730" s="87"/>
      <c r="OU730" s="143" t="s">
        <v>2069</v>
      </c>
    </row>
    <row r="731" spans="1:411">
      <c r="A731" t="s">
        <v>36</v>
      </c>
      <c r="B731" t="s">
        <v>2057</v>
      </c>
      <c r="C731" t="s">
        <v>1904</v>
      </c>
      <c r="D731" t="s">
        <v>245</v>
      </c>
      <c r="E731" t="s">
        <v>2084</v>
      </c>
      <c r="F731" t="s">
        <v>1823</v>
      </c>
      <c r="G731" t="s">
        <v>2</v>
      </c>
      <c r="H731" t="s">
        <v>2100</v>
      </c>
      <c r="I731">
        <v>10.29</v>
      </c>
      <c r="J731">
        <v>76.875</v>
      </c>
      <c r="K731">
        <v>600</v>
      </c>
      <c r="L731" t="s">
        <v>1904</v>
      </c>
      <c r="M731" t="s">
        <v>245</v>
      </c>
      <c r="N731" t="s">
        <v>2090</v>
      </c>
      <c r="O731" t="s">
        <v>1823</v>
      </c>
      <c r="P731" t="s">
        <v>2</v>
      </c>
      <c r="Q731" t="s">
        <v>2100</v>
      </c>
      <c r="R731">
        <v>10.348000000000001</v>
      </c>
      <c r="S731">
        <v>76.935000000000002</v>
      </c>
      <c r="T731">
        <v>600</v>
      </c>
      <c r="AV731" t="s">
        <v>2149</v>
      </c>
      <c r="AW731" t="s">
        <v>29</v>
      </c>
      <c r="AX731">
        <v>1838000</v>
      </c>
      <c r="AY731">
        <v>1</v>
      </c>
      <c r="AZ731" t="s">
        <v>2060</v>
      </c>
      <c r="BA731">
        <v>2005</v>
      </c>
      <c r="BB731">
        <v>2005</v>
      </c>
      <c r="BC731" t="s">
        <v>2061</v>
      </c>
      <c r="BD731" t="s">
        <v>2002</v>
      </c>
      <c r="BE731" t="s">
        <v>2156</v>
      </c>
      <c r="BF731" t="s">
        <v>48</v>
      </c>
      <c r="BG731" t="s">
        <v>1243</v>
      </c>
      <c r="BH731" t="s">
        <v>1840</v>
      </c>
      <c r="BI731" t="s">
        <v>29</v>
      </c>
      <c r="BJ731" t="s">
        <v>29</v>
      </c>
      <c r="BK731" t="s">
        <v>29</v>
      </c>
      <c r="EE731" t="s">
        <v>2085</v>
      </c>
      <c r="EF731" t="s">
        <v>29</v>
      </c>
      <c r="EG731" t="s">
        <v>29</v>
      </c>
      <c r="EI731" t="s">
        <v>2065</v>
      </c>
      <c r="EJ731" s="9" t="s">
        <v>29</v>
      </c>
      <c r="EK731" s="9" t="s">
        <v>29</v>
      </c>
      <c r="EL731" s="9"/>
      <c r="EM731" s="9" t="s">
        <v>2062</v>
      </c>
      <c r="EN731" s="9" t="s">
        <v>29</v>
      </c>
      <c r="EO731" s="9" t="s">
        <v>29</v>
      </c>
      <c r="EP731" s="9"/>
      <c r="EQ731" s="9" t="s">
        <v>2064</v>
      </c>
      <c r="ER731" s="9" t="s">
        <v>29</v>
      </c>
      <c r="ES731" s="9" t="s">
        <v>29</v>
      </c>
      <c r="ET731" s="9"/>
      <c r="EU731" s="9" t="s">
        <v>2091</v>
      </c>
      <c r="EV731" s="9" t="s">
        <v>29</v>
      </c>
      <c r="EW731" s="9" t="s">
        <v>29</v>
      </c>
      <c r="EX731" s="9"/>
      <c r="EY731" s="9"/>
      <c r="EZ731" s="9"/>
      <c r="FA731" s="9"/>
      <c r="FB731" s="9"/>
      <c r="FC731" s="9"/>
      <c r="FD731" s="9"/>
      <c r="FE731" s="9"/>
      <c r="FF731" s="9"/>
      <c r="FG731" s="9"/>
      <c r="FH731" s="9"/>
      <c r="FI731" s="9"/>
      <c r="FJ731" s="9"/>
      <c r="FK731" s="9"/>
      <c r="FL731" s="9"/>
      <c r="FM731" s="9"/>
      <c r="FN731" s="9"/>
      <c r="FO731" s="9"/>
      <c r="FP731" s="9"/>
      <c r="FQ731" s="9"/>
      <c r="FR731" s="9"/>
      <c r="FS731" s="9"/>
      <c r="FT731" s="9"/>
      <c r="FU731" s="9"/>
      <c r="FV731" s="9"/>
      <c r="FW731" s="9"/>
      <c r="FX731" s="9"/>
      <c r="FY731" s="9"/>
      <c r="FZ731" s="9"/>
      <c r="GA731" s="9"/>
      <c r="GB731" s="9"/>
      <c r="GC731" s="9"/>
      <c r="GD731" s="9"/>
      <c r="GE731" s="9"/>
      <c r="GF731" s="9"/>
      <c r="GG731" s="9"/>
      <c r="GH731" s="9"/>
      <c r="GI731" s="9"/>
      <c r="GJ731" s="9"/>
      <c r="GK731" s="9"/>
      <c r="GL731" s="9"/>
      <c r="GM731" s="9"/>
      <c r="GN731" s="9"/>
      <c r="GO731" s="9"/>
      <c r="GP731" s="9"/>
      <c r="GQ731" s="9"/>
      <c r="GR731" s="9"/>
      <c r="GS731" s="9"/>
      <c r="GT731" s="9"/>
      <c r="GU731" s="9"/>
      <c r="GV731" s="9"/>
      <c r="GW731" s="9"/>
      <c r="GX731" s="9"/>
      <c r="GY731" s="9"/>
      <c r="GZ731" s="9"/>
      <c r="HA731" s="9"/>
      <c r="HB731" s="9"/>
      <c r="HC731" s="9"/>
      <c r="HD731" s="9"/>
      <c r="HE731" s="9"/>
      <c r="HF731" s="9"/>
      <c r="HG731" s="9"/>
      <c r="HH731" s="9"/>
      <c r="HI731" s="9"/>
      <c r="HJ731" s="9"/>
      <c r="HK731" s="9"/>
      <c r="HL731" s="9"/>
      <c r="HM731" s="9"/>
      <c r="HY731" s="58"/>
      <c r="IU731" t="s">
        <v>2086</v>
      </c>
      <c r="IV731" t="s">
        <v>2009</v>
      </c>
      <c r="JI731" t="s">
        <v>2087</v>
      </c>
      <c r="JJ731" t="s">
        <v>2088</v>
      </c>
      <c r="JO731" s="9"/>
      <c r="JY731" s="9"/>
      <c r="KD731" t="s">
        <v>2157</v>
      </c>
      <c r="KE731" t="s">
        <v>1561</v>
      </c>
      <c r="KQ731" s="9"/>
      <c r="KR731" s="9"/>
      <c r="KS731" s="9"/>
      <c r="KT731" s="9"/>
      <c r="MS731" t="s">
        <v>2158</v>
      </c>
      <c r="MT731" t="s">
        <v>29</v>
      </c>
      <c r="MU731" t="s">
        <v>2066</v>
      </c>
      <c r="MW731" t="s">
        <v>2067</v>
      </c>
      <c r="NE731" t="s">
        <v>2161</v>
      </c>
      <c r="NF731" t="s">
        <v>2162</v>
      </c>
      <c r="NG731" t="s">
        <v>1770</v>
      </c>
      <c r="NH731" t="s">
        <v>2094</v>
      </c>
      <c r="NP731" t="s">
        <v>2089</v>
      </c>
      <c r="NQ731" t="s">
        <v>6</v>
      </c>
      <c r="NR731">
        <v>3.15</v>
      </c>
      <c r="NS731" t="s">
        <v>1456</v>
      </c>
      <c r="NT731">
        <v>0.85</v>
      </c>
      <c r="NW731">
        <v>2</v>
      </c>
      <c r="OH731" t="s">
        <v>2095</v>
      </c>
      <c r="OI731" t="s">
        <v>6</v>
      </c>
      <c r="OJ731">
        <v>2005</v>
      </c>
      <c r="OK731">
        <v>2005</v>
      </c>
      <c r="OL731">
        <v>2005</v>
      </c>
      <c r="OO731" t="s">
        <v>2000</v>
      </c>
      <c r="OP731" s="58" t="s">
        <v>2068</v>
      </c>
      <c r="OU731" t="s">
        <v>2069</v>
      </c>
    </row>
    <row r="732" spans="1:411">
      <c r="A732" s="87" t="s">
        <v>36</v>
      </c>
      <c r="B732" s="87" t="s">
        <v>2057</v>
      </c>
      <c r="C732" s="87" t="s">
        <v>1904</v>
      </c>
      <c r="D732" s="87" t="s">
        <v>2058</v>
      </c>
      <c r="E732" s="87" t="s">
        <v>2059</v>
      </c>
      <c r="F732" s="87" t="s">
        <v>1978</v>
      </c>
      <c r="G732" s="87" t="s">
        <v>2</v>
      </c>
      <c r="H732" s="87" t="s">
        <v>2100</v>
      </c>
      <c r="I732" s="87">
        <v>10.3622</v>
      </c>
      <c r="J732" s="87">
        <v>76.980199999999996</v>
      </c>
      <c r="K732" s="87">
        <v>3000</v>
      </c>
      <c r="L732" s="87" t="s">
        <v>1904</v>
      </c>
      <c r="M732" s="87" t="s">
        <v>2058</v>
      </c>
      <c r="N732" s="87" t="s">
        <v>2070</v>
      </c>
      <c r="O732" s="87" t="s">
        <v>1978</v>
      </c>
      <c r="P732" s="87" t="s">
        <v>2</v>
      </c>
      <c r="Q732" s="87" t="s">
        <v>2100</v>
      </c>
      <c r="R732" s="87">
        <v>10.385</v>
      </c>
      <c r="S732" s="87">
        <v>76.95</v>
      </c>
      <c r="T732" s="87">
        <v>1000</v>
      </c>
      <c r="U732" s="87" t="s">
        <v>1904</v>
      </c>
      <c r="V732" s="87" t="s">
        <v>2058</v>
      </c>
      <c r="W732" s="87" t="s">
        <v>2071</v>
      </c>
      <c r="X732" s="87" t="s">
        <v>1978</v>
      </c>
      <c r="Y732" s="87" t="s">
        <v>2</v>
      </c>
      <c r="Z732" s="87" t="s">
        <v>2100</v>
      </c>
      <c r="AA732" s="87">
        <v>10.234999999999999</v>
      </c>
      <c r="AB732" s="87">
        <v>76.89</v>
      </c>
      <c r="AC732" s="87">
        <v>1500</v>
      </c>
      <c r="AD732" s="87"/>
      <c r="AE732" s="87"/>
      <c r="AF732" s="87"/>
      <c r="AG732" s="87"/>
      <c r="AH732" s="87"/>
      <c r="AI732" s="87"/>
      <c r="AJ732" s="87"/>
      <c r="AK732" s="87"/>
      <c r="AL732" s="87"/>
      <c r="AM732" s="87"/>
      <c r="AN732" s="87"/>
      <c r="AO732" s="87"/>
      <c r="AP732" s="87"/>
      <c r="AQ732" s="87"/>
      <c r="AR732" s="87"/>
      <c r="AS732" s="87"/>
      <c r="AT732" s="87"/>
      <c r="AU732" s="87"/>
      <c r="AV732" s="87" t="s">
        <v>2149</v>
      </c>
      <c r="AW732" s="87" t="s">
        <v>29</v>
      </c>
      <c r="AX732" s="87">
        <v>29850000</v>
      </c>
      <c r="AY732" s="87">
        <v>1</v>
      </c>
      <c r="AZ732" s="87" t="s">
        <v>2060</v>
      </c>
      <c r="BA732" s="87">
        <v>2005</v>
      </c>
      <c r="BB732" s="87">
        <v>2005</v>
      </c>
      <c r="BC732" s="87" t="s">
        <v>2061</v>
      </c>
      <c r="BD732" s="87" t="s">
        <v>1855</v>
      </c>
      <c r="BE732" s="87" t="s">
        <v>2150</v>
      </c>
      <c r="BF732" s="87" t="s">
        <v>39</v>
      </c>
      <c r="BG732" s="87" t="s">
        <v>1762</v>
      </c>
      <c r="BH732" s="87"/>
      <c r="BI732" s="87"/>
      <c r="BJ732" s="87"/>
      <c r="BK732" s="87"/>
      <c r="BL732" s="87"/>
      <c r="BM732" s="87"/>
      <c r="BN732" s="87"/>
      <c r="BO732" s="87"/>
      <c r="BP732" s="87"/>
      <c r="BQ732" s="87"/>
      <c r="BR732" s="87"/>
      <c r="BS732" s="87"/>
      <c r="BT732" s="87"/>
      <c r="BU732" s="87"/>
      <c r="BV732" s="87"/>
      <c r="BW732" s="87"/>
      <c r="BX732" s="87"/>
      <c r="BY732" s="87"/>
      <c r="BZ732" s="87"/>
      <c r="CA732" s="87"/>
      <c r="CB732" s="87"/>
      <c r="CC732" s="87"/>
      <c r="CD732" s="87"/>
      <c r="CE732" s="87"/>
      <c r="CF732" s="87"/>
      <c r="CG732" s="87"/>
      <c r="CH732" s="87"/>
      <c r="CI732" s="87"/>
      <c r="CJ732" s="87"/>
      <c r="CK732" s="87"/>
      <c r="CL732" s="87"/>
      <c r="CM732" s="87"/>
      <c r="CN732" s="87"/>
      <c r="CO732" s="87"/>
      <c r="CP732" s="87"/>
      <c r="CQ732" s="87"/>
      <c r="CR732" s="87"/>
      <c r="CS732" s="87"/>
      <c r="CT732" s="87"/>
      <c r="CU732" s="87"/>
      <c r="CV732" s="87"/>
      <c r="CW732" s="87"/>
      <c r="CX732" s="87"/>
      <c r="CY732" s="87"/>
      <c r="CZ732" s="87"/>
      <c r="DA732" s="87"/>
      <c r="DB732" s="87"/>
      <c r="DC732" s="87"/>
      <c r="DD732" s="87"/>
      <c r="DE732" s="87"/>
      <c r="DF732" s="87"/>
      <c r="DG732" s="87"/>
      <c r="DH732" s="87"/>
      <c r="DI732" s="87"/>
      <c r="DJ732" s="87"/>
      <c r="DK732" s="87"/>
      <c r="DL732" s="87"/>
      <c r="DM732" s="87"/>
      <c r="DN732" s="87"/>
      <c r="DO732" s="87"/>
      <c r="DP732" s="87"/>
      <c r="DQ732" s="87"/>
      <c r="DR732" s="87"/>
      <c r="DS732" s="87"/>
      <c r="DT732" s="87"/>
      <c r="DU732" s="87"/>
      <c r="DV732" s="87"/>
      <c r="DW732" s="87"/>
      <c r="DX732" s="87"/>
      <c r="DY732" s="87"/>
      <c r="DZ732" s="87"/>
      <c r="EA732" s="87"/>
      <c r="EB732" s="87"/>
      <c r="EC732" s="87"/>
      <c r="ED732" s="87"/>
      <c r="EE732" s="87" t="s">
        <v>2062</v>
      </c>
      <c r="EF732" s="87" t="s">
        <v>2063</v>
      </c>
      <c r="EG732" s="87" t="s">
        <v>29</v>
      </c>
      <c r="EH732" s="87"/>
      <c r="EI732" s="87" t="s">
        <v>2064</v>
      </c>
      <c r="EJ732" s="144" t="s">
        <v>2063</v>
      </c>
      <c r="EK732" s="144" t="s">
        <v>29</v>
      </c>
      <c r="EL732" s="144"/>
      <c r="EM732" s="144" t="s">
        <v>2065</v>
      </c>
      <c r="EN732" s="144" t="s">
        <v>2063</v>
      </c>
      <c r="EO732" s="144" t="s">
        <v>29</v>
      </c>
      <c r="EP732" s="144"/>
      <c r="EQ732" s="144"/>
      <c r="ER732" s="144"/>
      <c r="ES732" s="144"/>
      <c r="ET732" s="144"/>
      <c r="EU732" s="144"/>
      <c r="EV732" s="144"/>
      <c r="EW732" s="144"/>
      <c r="EX732" s="144"/>
      <c r="EY732" s="144"/>
      <c r="EZ732" s="144"/>
      <c r="FA732" s="144"/>
      <c r="FB732" s="144"/>
      <c r="FC732" s="144"/>
      <c r="FD732" s="144"/>
      <c r="FE732" s="144"/>
      <c r="FF732" s="144"/>
      <c r="FG732" s="144"/>
      <c r="FH732" s="144"/>
      <c r="FI732" s="144"/>
      <c r="FJ732" s="144"/>
      <c r="FK732" s="144"/>
      <c r="FL732" s="144"/>
      <c r="FM732" s="144"/>
      <c r="FN732" s="144"/>
      <c r="FO732" s="144"/>
      <c r="FP732" s="144"/>
      <c r="FQ732" s="144"/>
      <c r="FR732" s="144"/>
      <c r="FS732" s="144"/>
      <c r="FT732" s="144"/>
      <c r="FU732" s="144"/>
      <c r="FV732" s="144"/>
      <c r="FW732" s="144"/>
      <c r="FX732" s="144"/>
      <c r="FY732" s="144"/>
      <c r="FZ732" s="144"/>
      <c r="GA732" s="144"/>
      <c r="GB732" s="144"/>
      <c r="GC732" s="144"/>
      <c r="GD732" s="144"/>
      <c r="GE732" s="144"/>
      <c r="GF732" s="144"/>
      <c r="GG732" s="144"/>
      <c r="GH732" s="144"/>
      <c r="GI732" s="144"/>
      <c r="GJ732" s="144"/>
      <c r="GK732" s="144"/>
      <c r="GL732" s="144"/>
      <c r="GM732" s="144"/>
      <c r="GN732" s="144"/>
      <c r="GO732" s="144"/>
      <c r="GP732" s="144"/>
      <c r="GQ732" s="144"/>
      <c r="GR732" s="144"/>
      <c r="GS732" s="144"/>
      <c r="GT732" s="144"/>
      <c r="GU732" s="144"/>
      <c r="GV732" s="144"/>
      <c r="GW732" s="144"/>
      <c r="GX732" s="144"/>
      <c r="GY732" s="144"/>
      <c r="GZ732" s="144"/>
      <c r="HA732" s="144"/>
      <c r="HB732" s="144"/>
      <c r="HC732" s="144"/>
      <c r="HD732" s="144"/>
      <c r="HE732" s="144"/>
      <c r="HF732" s="144"/>
      <c r="HG732" s="144"/>
      <c r="HH732" s="144"/>
      <c r="HI732" s="144"/>
      <c r="HJ732" s="144"/>
      <c r="HK732" s="144"/>
      <c r="HL732" s="144"/>
      <c r="HM732" s="144"/>
      <c r="HN732" s="87"/>
      <c r="HO732" s="87"/>
      <c r="HP732" s="87"/>
      <c r="HQ732" s="87"/>
      <c r="HR732" s="87"/>
      <c r="HS732" s="87"/>
      <c r="HT732" s="87"/>
      <c r="HU732" s="87"/>
      <c r="HV732" s="87"/>
      <c r="HW732" s="87"/>
      <c r="HX732" s="87"/>
      <c r="HY732" s="145"/>
      <c r="HZ732" s="87"/>
      <c r="IA732" s="87"/>
      <c r="IB732" s="87"/>
      <c r="IC732" s="87"/>
      <c r="ID732" s="87"/>
      <c r="IE732" s="87"/>
      <c r="IF732" s="87"/>
      <c r="IG732" s="87"/>
      <c r="IH732" s="87"/>
      <c r="II732" s="87"/>
      <c r="IJ732" s="87"/>
      <c r="IK732" s="87"/>
      <c r="IL732" s="87"/>
      <c r="IM732" s="87"/>
      <c r="IN732" s="87"/>
      <c r="IO732" s="87"/>
      <c r="IP732" s="87"/>
      <c r="IQ732" s="87"/>
      <c r="IR732" s="87"/>
      <c r="IS732" s="87"/>
      <c r="IT732" s="87"/>
      <c r="IU732" s="87"/>
      <c r="IV732" s="87"/>
      <c r="IW732" s="87"/>
      <c r="IX732" s="87"/>
      <c r="IY732" s="87"/>
      <c r="IZ732" s="87"/>
      <c r="JA732" s="87"/>
      <c r="JB732" s="87"/>
      <c r="JC732" s="87"/>
      <c r="JD732" s="87"/>
      <c r="JE732" s="87"/>
      <c r="JF732" s="87"/>
      <c r="JG732" s="87"/>
      <c r="JH732" s="87"/>
      <c r="JI732" s="87"/>
      <c r="JJ732" s="87"/>
      <c r="JK732" s="87"/>
      <c r="JL732" s="87"/>
      <c r="JM732" s="87"/>
      <c r="JN732" s="87"/>
      <c r="JO732" s="151"/>
      <c r="JP732" s="87"/>
      <c r="JQ732" s="87"/>
      <c r="JR732" s="87"/>
      <c r="JS732" s="87"/>
      <c r="JT732" s="87"/>
      <c r="JU732" s="87"/>
      <c r="JV732" s="87"/>
      <c r="JW732" s="87"/>
      <c r="JX732" s="87"/>
      <c r="JY732" s="151"/>
      <c r="JZ732" s="87"/>
      <c r="KA732" s="87"/>
      <c r="KB732" s="87"/>
      <c r="KC732" s="87"/>
      <c r="KD732" s="87"/>
      <c r="KE732" s="87"/>
      <c r="KF732" s="87"/>
      <c r="KG732" s="87"/>
      <c r="KH732" s="87"/>
      <c r="KI732" s="87"/>
      <c r="KJ732" s="87"/>
      <c r="KK732" s="87"/>
      <c r="KL732" s="87"/>
      <c r="KM732" s="87"/>
      <c r="KN732" s="87"/>
      <c r="KO732" s="87"/>
      <c r="KP732" s="87"/>
      <c r="KQ732" s="151"/>
      <c r="KR732" s="151"/>
      <c r="KS732" s="151"/>
      <c r="KT732" s="151"/>
      <c r="KU732" s="87"/>
      <c r="KV732" s="87"/>
      <c r="KW732" s="87"/>
      <c r="KX732" s="87"/>
      <c r="KY732" s="87"/>
      <c r="KZ732" s="87"/>
      <c r="LA732" s="87"/>
      <c r="LB732" s="87"/>
      <c r="LC732" s="87"/>
      <c r="LD732" s="87"/>
      <c r="LE732" s="87"/>
      <c r="LF732" s="87"/>
      <c r="LG732" s="87"/>
      <c r="LH732" s="87"/>
      <c r="LI732" s="87"/>
      <c r="LJ732" s="87"/>
      <c r="LK732" s="87"/>
      <c r="LL732" s="87"/>
      <c r="LM732" s="87"/>
      <c r="LN732" s="87"/>
      <c r="LO732" s="87"/>
      <c r="LP732" s="87"/>
      <c r="LQ732" s="87"/>
      <c r="LR732" s="87"/>
      <c r="LS732" s="87"/>
      <c r="LT732" s="87"/>
      <c r="LU732" s="87"/>
      <c r="LV732" s="87"/>
      <c r="LW732" s="87"/>
      <c r="LX732" s="87"/>
      <c r="LY732" s="87"/>
      <c r="LZ732" s="87"/>
      <c r="MA732" s="87"/>
      <c r="MB732" s="87"/>
      <c r="MC732" s="87"/>
      <c r="MD732" s="87"/>
      <c r="ME732" s="87"/>
      <c r="MF732" s="87"/>
      <c r="MG732" s="87"/>
      <c r="MH732" s="87"/>
      <c r="MI732" s="87"/>
      <c r="MJ732" s="87"/>
      <c r="MK732" s="87"/>
      <c r="ML732" s="87"/>
      <c r="MM732" s="87"/>
      <c r="MN732" s="87"/>
      <c r="MO732" s="87"/>
      <c r="MP732" s="87"/>
      <c r="MQ732" s="87"/>
      <c r="MR732" s="87"/>
      <c r="MS732" s="87" t="s">
        <v>2151</v>
      </c>
      <c r="MT732" s="87" t="s">
        <v>29</v>
      </c>
      <c r="MU732" s="87" t="s">
        <v>2066</v>
      </c>
      <c r="MV732" s="87"/>
      <c r="MW732" s="87" t="s">
        <v>2067</v>
      </c>
      <c r="MX732" s="87"/>
      <c r="MY732" s="87"/>
      <c r="MZ732" s="87"/>
      <c r="NA732" s="87"/>
      <c r="NB732" s="87"/>
      <c r="NC732" s="87"/>
      <c r="ND732" s="87"/>
      <c r="NE732" s="87" t="s">
        <v>2163</v>
      </c>
      <c r="NF732" s="87" t="s">
        <v>2164</v>
      </c>
      <c r="NG732" s="87" t="s">
        <v>2096</v>
      </c>
      <c r="NH732" s="87" t="s">
        <v>2097</v>
      </c>
      <c r="NI732" s="87"/>
      <c r="NJ732" s="87"/>
      <c r="NK732" s="87"/>
      <c r="NL732" s="87"/>
      <c r="NM732" s="87"/>
      <c r="NN732" s="87"/>
      <c r="NO732" s="87"/>
      <c r="NP732" s="87" t="s">
        <v>1847</v>
      </c>
      <c r="NQ732" s="87" t="s">
        <v>6</v>
      </c>
      <c r="NR732" s="87">
        <v>49</v>
      </c>
      <c r="NS732" s="87" t="s">
        <v>1456</v>
      </c>
      <c r="NT732" s="87">
        <v>11.22</v>
      </c>
      <c r="NU732" s="87"/>
      <c r="NV732" s="87"/>
      <c r="NW732" s="87">
        <v>3</v>
      </c>
      <c r="NX732" s="87"/>
      <c r="NY732" s="87"/>
      <c r="NZ732" s="87"/>
      <c r="OA732" s="87"/>
      <c r="OB732" s="87"/>
      <c r="OC732" s="87"/>
      <c r="OD732" s="87"/>
      <c r="OE732" s="87"/>
      <c r="OF732" s="87"/>
      <c r="OG732" s="87"/>
      <c r="OH732" s="87" t="s">
        <v>2098</v>
      </c>
      <c r="OI732" s="87" t="s">
        <v>6</v>
      </c>
      <c r="OJ732" s="87">
        <v>2005</v>
      </c>
      <c r="OK732" s="87">
        <v>2005</v>
      </c>
      <c r="OL732" s="87">
        <v>2005</v>
      </c>
      <c r="OM732" s="87"/>
      <c r="ON732" s="87"/>
      <c r="OO732" s="87" t="s">
        <v>2000</v>
      </c>
      <c r="OP732" s="145" t="s">
        <v>2068</v>
      </c>
      <c r="OQ732" s="87"/>
      <c r="OR732" s="87"/>
      <c r="OS732" s="87"/>
      <c r="OT732" s="87"/>
      <c r="OU732" s="143" t="s">
        <v>2069</v>
      </c>
    </row>
    <row r="733" spans="1:411">
      <c r="A733" t="s">
        <v>36</v>
      </c>
      <c r="B733" t="s">
        <v>2057</v>
      </c>
      <c r="C733" t="s">
        <v>1904</v>
      </c>
      <c r="D733" t="s">
        <v>245</v>
      </c>
      <c r="E733" t="s">
        <v>2072</v>
      </c>
      <c r="F733" t="s">
        <v>1980</v>
      </c>
      <c r="G733" t="s">
        <v>2</v>
      </c>
      <c r="H733" t="s">
        <v>2100</v>
      </c>
      <c r="I733">
        <v>10.37</v>
      </c>
      <c r="J733">
        <v>76.984999999999999</v>
      </c>
      <c r="K733">
        <v>500</v>
      </c>
      <c r="L733" t="s">
        <v>1904</v>
      </c>
      <c r="M733" t="s">
        <v>245</v>
      </c>
      <c r="N733" t="s">
        <v>2075</v>
      </c>
      <c r="O733" t="s">
        <v>1980</v>
      </c>
      <c r="P733" t="s">
        <v>2</v>
      </c>
      <c r="Q733" t="s">
        <v>2100</v>
      </c>
      <c r="R733">
        <v>10.3512</v>
      </c>
      <c r="S733">
        <v>76.938400000000001</v>
      </c>
      <c r="T733">
        <v>400</v>
      </c>
      <c r="U733" t="s">
        <v>1904</v>
      </c>
      <c r="V733" t="s">
        <v>245</v>
      </c>
      <c r="W733" t="s">
        <v>2076</v>
      </c>
      <c r="X733" t="s">
        <v>1980</v>
      </c>
      <c r="Y733" t="s">
        <v>2</v>
      </c>
      <c r="Z733" t="s">
        <v>2100</v>
      </c>
      <c r="AA733">
        <v>10.279</v>
      </c>
      <c r="AB733">
        <v>76.8874</v>
      </c>
      <c r="AC733">
        <v>500</v>
      </c>
      <c r="AD733" t="s">
        <v>1904</v>
      </c>
      <c r="AE733" t="s">
        <v>245</v>
      </c>
      <c r="AF733" t="s">
        <v>2077</v>
      </c>
      <c r="AG733" t="s">
        <v>1980</v>
      </c>
      <c r="AH733" t="s">
        <v>2</v>
      </c>
      <c r="AI733" t="s">
        <v>2100</v>
      </c>
      <c r="AJ733">
        <v>10.345000000000001</v>
      </c>
      <c r="AK733">
        <v>76.924999999999997</v>
      </c>
      <c r="AL733">
        <v>300</v>
      </c>
      <c r="AV733" t="s">
        <v>2149</v>
      </c>
      <c r="AW733" t="s">
        <v>29</v>
      </c>
      <c r="AX733">
        <v>2316000</v>
      </c>
      <c r="AY733">
        <v>1</v>
      </c>
      <c r="AZ733" t="s">
        <v>2060</v>
      </c>
      <c r="BA733">
        <v>2005</v>
      </c>
      <c r="BB733">
        <v>2005</v>
      </c>
      <c r="BC733" t="s">
        <v>2061</v>
      </c>
      <c r="BD733" t="s">
        <v>2073</v>
      </c>
      <c r="BE733" t="s">
        <v>2152</v>
      </c>
      <c r="BF733" t="s">
        <v>64</v>
      </c>
      <c r="BG733" t="s">
        <v>1762</v>
      </c>
      <c r="EE733" t="s">
        <v>2062</v>
      </c>
      <c r="EF733" t="s">
        <v>2063</v>
      </c>
      <c r="EG733" t="s">
        <v>29</v>
      </c>
      <c r="EI733" t="s">
        <v>2064</v>
      </c>
      <c r="EJ733" s="9" t="s">
        <v>2063</v>
      </c>
      <c r="EK733" s="9" t="s">
        <v>29</v>
      </c>
      <c r="EL733" s="9"/>
      <c r="EM733" s="9" t="s">
        <v>2065</v>
      </c>
      <c r="EN733" s="9" t="s">
        <v>2063</v>
      </c>
      <c r="EO733" s="9" t="s">
        <v>29</v>
      </c>
      <c r="EP733" s="9"/>
      <c r="EQ733" s="9"/>
      <c r="ER733" s="9"/>
      <c r="ES733" s="9"/>
      <c r="ET733" s="9"/>
      <c r="EU733" s="9"/>
      <c r="EV733" s="9"/>
      <c r="EW733" s="9"/>
      <c r="EX733" s="9"/>
      <c r="EY733" s="9"/>
      <c r="EZ733" s="9"/>
      <c r="FA733" s="9"/>
      <c r="FB733" s="9"/>
      <c r="FC733" s="9"/>
      <c r="FD733" s="9"/>
      <c r="FE733" s="9"/>
      <c r="FF733" s="9"/>
      <c r="FG733" s="9"/>
      <c r="FH733" s="9"/>
      <c r="FI733" s="9"/>
      <c r="FJ733" s="9"/>
      <c r="FK733" s="9"/>
      <c r="FL733" s="9"/>
      <c r="FM733" s="9"/>
      <c r="FN733" s="9"/>
      <c r="FO733" s="9"/>
      <c r="FP733" s="9"/>
      <c r="FQ733" s="9"/>
      <c r="FR733" s="9"/>
      <c r="FS733" s="9"/>
      <c r="FT733" s="9"/>
      <c r="FU733" s="9"/>
      <c r="FV733" s="9"/>
      <c r="FW733" s="9"/>
      <c r="FX733" s="9"/>
      <c r="FY733" s="9"/>
      <c r="FZ733" s="9"/>
      <c r="GA733" s="9"/>
      <c r="GB733" s="9"/>
      <c r="GC733" s="9"/>
      <c r="GD733" s="9"/>
      <c r="GE733" s="9"/>
      <c r="GF733" s="9"/>
      <c r="GG733" s="9"/>
      <c r="GH733" s="9"/>
      <c r="GI733" s="9"/>
      <c r="GJ733" s="9"/>
      <c r="GK733" s="9"/>
      <c r="GL733" s="9"/>
      <c r="GM733" s="9"/>
      <c r="GN733" s="9"/>
      <c r="GO733" s="9"/>
      <c r="GP733" s="9"/>
      <c r="GQ733" s="9"/>
      <c r="GR733" s="9"/>
      <c r="GS733" s="9"/>
      <c r="GT733" s="9"/>
      <c r="GU733" s="9"/>
      <c r="GV733" s="9"/>
      <c r="GW733" s="9"/>
      <c r="GX733" s="9"/>
      <c r="GY733" s="9"/>
      <c r="GZ733" s="9"/>
      <c r="HA733" s="9"/>
      <c r="HB733" s="9"/>
      <c r="HC733" s="9"/>
      <c r="HD733" s="9"/>
      <c r="HE733" s="9"/>
      <c r="HF733" s="9"/>
      <c r="HG733" s="9"/>
      <c r="HH733" s="9"/>
      <c r="HI733" s="9"/>
      <c r="HJ733" s="9"/>
      <c r="HK733" s="9"/>
      <c r="HL733" s="9"/>
      <c r="HM733" s="9"/>
      <c r="HY733" s="58"/>
      <c r="JO733" s="9"/>
      <c r="JY733" s="9"/>
      <c r="KQ733" s="9"/>
      <c r="KR733" s="9"/>
      <c r="KS733" s="9"/>
      <c r="KT733" s="9"/>
      <c r="MS733" t="s">
        <v>2153</v>
      </c>
      <c r="MT733" t="s">
        <v>29</v>
      </c>
      <c r="MU733" t="s">
        <v>2066</v>
      </c>
      <c r="MW733" t="s">
        <v>2067</v>
      </c>
      <c r="NE733" t="s">
        <v>2163</v>
      </c>
      <c r="NF733" t="s">
        <v>2164</v>
      </c>
      <c r="NG733" t="s">
        <v>2096</v>
      </c>
      <c r="NH733" t="s">
        <v>2097</v>
      </c>
      <c r="NP733" t="s">
        <v>2074</v>
      </c>
      <c r="NQ733" t="s">
        <v>6</v>
      </c>
      <c r="NR733">
        <v>56.25</v>
      </c>
      <c r="NS733" t="s">
        <v>1456</v>
      </c>
      <c r="NT733">
        <v>11.65</v>
      </c>
      <c r="NW733">
        <v>4</v>
      </c>
      <c r="OH733" t="s">
        <v>2098</v>
      </c>
      <c r="OI733" t="s">
        <v>6</v>
      </c>
      <c r="OJ733">
        <v>2005</v>
      </c>
      <c r="OK733">
        <v>2005</v>
      </c>
      <c r="OL733">
        <v>2005</v>
      </c>
      <c r="OO733" t="s">
        <v>2000</v>
      </c>
      <c r="OP733" s="58" t="s">
        <v>2068</v>
      </c>
      <c r="OU733" t="s">
        <v>2069</v>
      </c>
    </row>
    <row r="734" spans="1:411">
      <c r="A734" s="87" t="s">
        <v>36</v>
      </c>
      <c r="B734" s="87" t="s">
        <v>2057</v>
      </c>
      <c r="C734" s="87" t="s">
        <v>1904</v>
      </c>
      <c r="D734" s="87" t="s">
        <v>245</v>
      </c>
      <c r="E734" s="87" t="s">
        <v>2078</v>
      </c>
      <c r="F734" s="87" t="s">
        <v>1980</v>
      </c>
      <c r="G734" s="87" t="s">
        <v>2</v>
      </c>
      <c r="H734" s="87" t="s">
        <v>2100</v>
      </c>
      <c r="I734" s="87">
        <v>10.33</v>
      </c>
      <c r="J734" s="87">
        <v>76.965000000000003</v>
      </c>
      <c r="K734" s="87">
        <v>500</v>
      </c>
      <c r="L734" s="87" t="s">
        <v>1904</v>
      </c>
      <c r="M734" s="87" t="s">
        <v>245</v>
      </c>
      <c r="N734" s="87" t="s">
        <v>2082</v>
      </c>
      <c r="O734" s="87" t="s">
        <v>1980</v>
      </c>
      <c r="P734" s="87" t="s">
        <v>2</v>
      </c>
      <c r="Q734" s="87" t="s">
        <v>2100</v>
      </c>
      <c r="R734" s="87">
        <v>10.308299999999999</v>
      </c>
      <c r="S734" s="87">
        <v>76.899900000000002</v>
      </c>
      <c r="T734" s="87">
        <v>500</v>
      </c>
      <c r="U734" s="87" t="s">
        <v>1904</v>
      </c>
      <c r="V734" s="87" t="s">
        <v>245</v>
      </c>
      <c r="W734" s="87" t="s">
        <v>2083</v>
      </c>
      <c r="X734" s="87" t="s">
        <v>1980</v>
      </c>
      <c r="Y734" s="87" t="s">
        <v>2</v>
      </c>
      <c r="Z734" s="87" t="s">
        <v>2100</v>
      </c>
      <c r="AA734" s="87">
        <v>10.31</v>
      </c>
      <c r="AB734" s="87">
        <v>76.94</v>
      </c>
      <c r="AC734" s="87">
        <v>300</v>
      </c>
      <c r="AD734" s="87"/>
      <c r="AE734" s="87"/>
      <c r="AF734" s="87"/>
      <c r="AG734" s="87"/>
      <c r="AH734" s="87"/>
      <c r="AI734" s="87"/>
      <c r="AJ734" s="87"/>
      <c r="AK734" s="87"/>
      <c r="AL734" s="87"/>
      <c r="AM734" s="87"/>
      <c r="AN734" s="87"/>
      <c r="AO734" s="87"/>
      <c r="AP734" s="87"/>
      <c r="AQ734" s="87"/>
      <c r="AR734" s="87"/>
      <c r="AS734" s="87"/>
      <c r="AT734" s="87"/>
      <c r="AU734" s="87"/>
      <c r="AV734" s="87" t="s">
        <v>2149</v>
      </c>
      <c r="AW734" s="87" t="s">
        <v>29</v>
      </c>
      <c r="AX734" s="87">
        <v>1671000</v>
      </c>
      <c r="AY734" s="87">
        <v>1</v>
      </c>
      <c r="AZ734" s="87" t="s">
        <v>2060</v>
      </c>
      <c r="BA734" s="87">
        <v>2005</v>
      </c>
      <c r="BB734" s="87">
        <v>2005</v>
      </c>
      <c r="BC734" s="87" t="s">
        <v>2061</v>
      </c>
      <c r="BD734" s="87" t="s">
        <v>2073</v>
      </c>
      <c r="BE734" s="87" t="s">
        <v>2154</v>
      </c>
      <c r="BF734" s="87" t="s">
        <v>57</v>
      </c>
      <c r="BG734" s="87" t="s">
        <v>1762</v>
      </c>
      <c r="BH734" s="87"/>
      <c r="BI734" s="87"/>
      <c r="BJ734" s="87"/>
      <c r="BK734" s="87"/>
      <c r="BL734" s="87"/>
      <c r="BM734" s="87"/>
      <c r="BN734" s="87"/>
      <c r="BO734" s="87"/>
      <c r="BP734" s="87"/>
      <c r="BQ734" s="87"/>
      <c r="BR734" s="87"/>
      <c r="BS734" s="87"/>
      <c r="BT734" s="87"/>
      <c r="BU734" s="87"/>
      <c r="BV734" s="87"/>
      <c r="BW734" s="87"/>
      <c r="BX734" s="87"/>
      <c r="BY734" s="87"/>
      <c r="BZ734" s="87"/>
      <c r="CA734" s="87"/>
      <c r="CB734" s="87"/>
      <c r="CC734" s="87"/>
      <c r="CD734" s="87"/>
      <c r="CE734" s="87"/>
      <c r="CF734" s="87"/>
      <c r="CG734" s="87"/>
      <c r="CH734" s="87"/>
      <c r="CI734" s="87"/>
      <c r="CJ734" s="87"/>
      <c r="CK734" s="87"/>
      <c r="CL734" s="87"/>
      <c r="CM734" s="87"/>
      <c r="CN734" s="87"/>
      <c r="CO734" s="87"/>
      <c r="CP734" s="87"/>
      <c r="CQ734" s="87"/>
      <c r="CR734" s="87"/>
      <c r="CS734" s="87"/>
      <c r="CT734" s="87"/>
      <c r="CU734" s="87"/>
      <c r="CV734" s="87"/>
      <c r="CW734" s="87"/>
      <c r="CX734" s="87"/>
      <c r="CY734" s="87"/>
      <c r="CZ734" s="87"/>
      <c r="DA734" s="87"/>
      <c r="DB734" s="87"/>
      <c r="DC734" s="87"/>
      <c r="DD734" s="87"/>
      <c r="DE734" s="87"/>
      <c r="DF734" s="87"/>
      <c r="DG734" s="87"/>
      <c r="DH734" s="87"/>
      <c r="DI734" s="87"/>
      <c r="DJ734" s="87"/>
      <c r="DK734" s="87"/>
      <c r="DL734" s="87"/>
      <c r="DM734" s="87"/>
      <c r="DN734" s="87"/>
      <c r="DO734" s="87"/>
      <c r="DP734" s="87"/>
      <c r="DQ734" s="87"/>
      <c r="DR734" s="87"/>
      <c r="DS734" s="87"/>
      <c r="DT734" s="87"/>
      <c r="DU734" s="87"/>
      <c r="DV734" s="87"/>
      <c r="DW734" s="87"/>
      <c r="DX734" s="87"/>
      <c r="DY734" s="87"/>
      <c r="DZ734" s="87"/>
      <c r="EA734" s="87"/>
      <c r="EB734" s="87"/>
      <c r="EC734" s="87"/>
      <c r="ED734" s="87"/>
      <c r="EE734" s="87" t="s">
        <v>2062</v>
      </c>
      <c r="EF734" s="87" t="s">
        <v>2063</v>
      </c>
      <c r="EG734" s="87" t="s">
        <v>29</v>
      </c>
      <c r="EH734" s="87"/>
      <c r="EI734" s="87" t="s">
        <v>2064</v>
      </c>
      <c r="EJ734" s="144" t="s">
        <v>2063</v>
      </c>
      <c r="EK734" s="144" t="s">
        <v>29</v>
      </c>
      <c r="EL734" s="144"/>
      <c r="EM734" s="144" t="s">
        <v>2065</v>
      </c>
      <c r="EN734" s="144" t="s">
        <v>2063</v>
      </c>
      <c r="EO734" s="144" t="s">
        <v>29</v>
      </c>
      <c r="EP734" s="144"/>
      <c r="EQ734" s="144" t="s">
        <v>2079</v>
      </c>
      <c r="ER734" s="144" t="s">
        <v>2063</v>
      </c>
      <c r="ES734" s="144" t="s">
        <v>29</v>
      </c>
      <c r="ET734" s="144"/>
      <c r="EU734" s="144" t="s">
        <v>2080</v>
      </c>
      <c r="EV734" s="144" t="s">
        <v>2063</v>
      </c>
      <c r="EW734" s="144" t="s">
        <v>29</v>
      </c>
      <c r="EX734" s="144"/>
      <c r="EY734" s="144"/>
      <c r="EZ734" s="144"/>
      <c r="FA734" s="144"/>
      <c r="FB734" s="144"/>
      <c r="FC734" s="144"/>
      <c r="FD734" s="144"/>
      <c r="FE734" s="144"/>
      <c r="FF734" s="144"/>
      <c r="FG734" s="144"/>
      <c r="FH734" s="144"/>
      <c r="FI734" s="144"/>
      <c r="FJ734" s="144"/>
      <c r="FK734" s="144"/>
      <c r="FL734" s="144"/>
      <c r="FM734" s="144"/>
      <c r="FN734" s="144"/>
      <c r="FO734" s="144"/>
      <c r="FP734" s="144"/>
      <c r="FQ734" s="144"/>
      <c r="FR734" s="144"/>
      <c r="FS734" s="144"/>
      <c r="FT734" s="144"/>
      <c r="FU734" s="144"/>
      <c r="FV734" s="144"/>
      <c r="FW734" s="144"/>
      <c r="FX734" s="144"/>
      <c r="FY734" s="144"/>
      <c r="FZ734" s="144"/>
      <c r="GA734" s="144"/>
      <c r="GB734" s="144"/>
      <c r="GC734" s="144"/>
      <c r="GD734" s="144"/>
      <c r="GE734" s="144"/>
      <c r="GF734" s="144"/>
      <c r="GG734" s="144"/>
      <c r="GH734" s="144"/>
      <c r="GI734" s="144"/>
      <c r="GJ734" s="144"/>
      <c r="GK734" s="144"/>
      <c r="GL734" s="144"/>
      <c r="GM734" s="144"/>
      <c r="GN734" s="144"/>
      <c r="GO734" s="144"/>
      <c r="GP734" s="144"/>
      <c r="GQ734" s="144"/>
      <c r="GR734" s="144"/>
      <c r="GS734" s="144"/>
      <c r="GT734" s="144"/>
      <c r="GU734" s="144"/>
      <c r="GV734" s="144"/>
      <c r="GW734" s="144"/>
      <c r="GX734" s="144"/>
      <c r="GY734" s="144"/>
      <c r="GZ734" s="144"/>
      <c r="HA734" s="144"/>
      <c r="HB734" s="144"/>
      <c r="HC734" s="144"/>
      <c r="HD734" s="144"/>
      <c r="HE734" s="144"/>
      <c r="HF734" s="144"/>
      <c r="HG734" s="144"/>
      <c r="HH734" s="144"/>
      <c r="HI734" s="144"/>
      <c r="HJ734" s="144"/>
      <c r="HK734" s="144"/>
      <c r="HL734" s="144"/>
      <c r="HM734" s="144"/>
      <c r="HN734" s="87"/>
      <c r="HO734" s="87"/>
      <c r="HP734" s="87"/>
      <c r="HQ734" s="87"/>
      <c r="HR734" s="87"/>
      <c r="HS734" s="87"/>
      <c r="HT734" s="87"/>
      <c r="HU734" s="87"/>
      <c r="HV734" s="87"/>
      <c r="HW734" s="87"/>
      <c r="HX734" s="87"/>
      <c r="HY734" s="145"/>
      <c r="HZ734" s="87"/>
      <c r="IA734" s="87"/>
      <c r="IB734" s="87"/>
      <c r="IC734" s="87"/>
      <c r="ID734" s="87"/>
      <c r="IE734" s="87"/>
      <c r="IF734" s="87"/>
      <c r="IG734" s="87"/>
      <c r="IH734" s="87"/>
      <c r="II734" s="87"/>
      <c r="IJ734" s="87"/>
      <c r="IK734" s="87"/>
      <c r="IL734" s="87"/>
      <c r="IM734" s="87"/>
      <c r="IN734" s="87"/>
      <c r="IO734" s="87"/>
      <c r="IP734" s="87"/>
      <c r="IQ734" s="87"/>
      <c r="IR734" s="87"/>
      <c r="IS734" s="87"/>
      <c r="IT734" s="87"/>
      <c r="IU734" s="87"/>
      <c r="IV734" s="87"/>
      <c r="IW734" s="87"/>
      <c r="IX734" s="87"/>
      <c r="IY734" s="87"/>
      <c r="IZ734" s="87"/>
      <c r="JA734" s="87"/>
      <c r="JB734" s="87"/>
      <c r="JC734" s="87"/>
      <c r="JD734" s="87"/>
      <c r="JE734" s="87"/>
      <c r="JF734" s="87"/>
      <c r="JG734" s="87"/>
      <c r="JH734" s="87"/>
      <c r="JI734" s="87"/>
      <c r="JJ734" s="87"/>
      <c r="JK734" s="87"/>
      <c r="JL734" s="87"/>
      <c r="JM734" s="87"/>
      <c r="JN734" s="87"/>
      <c r="JO734" s="151"/>
      <c r="JP734" s="87"/>
      <c r="JQ734" s="87"/>
      <c r="JR734" s="87"/>
      <c r="JS734" s="87"/>
      <c r="JT734" s="87"/>
      <c r="JU734" s="87"/>
      <c r="JV734" s="87"/>
      <c r="JW734" s="87"/>
      <c r="JX734" s="87"/>
      <c r="JY734" s="151"/>
      <c r="JZ734" s="87"/>
      <c r="KA734" s="87"/>
      <c r="KB734" s="87"/>
      <c r="KC734" s="87"/>
      <c r="KD734" s="87"/>
      <c r="KE734" s="87"/>
      <c r="KF734" s="87"/>
      <c r="KG734" s="87"/>
      <c r="KH734" s="87"/>
      <c r="KI734" s="87"/>
      <c r="KJ734" s="87"/>
      <c r="KK734" s="87"/>
      <c r="KL734" s="87"/>
      <c r="KM734" s="87"/>
      <c r="KN734" s="87"/>
      <c r="KO734" s="87"/>
      <c r="KP734" s="87"/>
      <c r="KQ734" s="151"/>
      <c r="KR734" s="151"/>
      <c r="KS734" s="151"/>
      <c r="KT734" s="151"/>
      <c r="KU734" s="87"/>
      <c r="KV734" s="87"/>
      <c r="KW734" s="87"/>
      <c r="KX734" s="87"/>
      <c r="KY734" s="87"/>
      <c r="KZ734" s="87"/>
      <c r="LA734" s="87"/>
      <c r="LB734" s="87"/>
      <c r="LC734" s="87"/>
      <c r="LD734" s="87"/>
      <c r="LE734" s="87"/>
      <c r="LF734" s="87"/>
      <c r="LG734" s="87"/>
      <c r="LH734" s="87"/>
      <c r="LI734" s="87"/>
      <c r="LJ734" s="87"/>
      <c r="LK734" s="87"/>
      <c r="LL734" s="87"/>
      <c r="LM734" s="87"/>
      <c r="LN734" s="87"/>
      <c r="LO734" s="87"/>
      <c r="LP734" s="87"/>
      <c r="LQ734" s="87"/>
      <c r="LR734" s="87"/>
      <c r="LS734" s="87"/>
      <c r="LT734" s="87"/>
      <c r="LU734" s="87"/>
      <c r="LV734" s="87"/>
      <c r="LW734" s="87"/>
      <c r="LX734" s="87"/>
      <c r="LY734" s="87"/>
      <c r="LZ734" s="87"/>
      <c r="MA734" s="87"/>
      <c r="MB734" s="87"/>
      <c r="MC734" s="87"/>
      <c r="MD734" s="87"/>
      <c r="ME734" s="87"/>
      <c r="MF734" s="87"/>
      <c r="MG734" s="87"/>
      <c r="MH734" s="87"/>
      <c r="MI734" s="87"/>
      <c r="MJ734" s="87"/>
      <c r="MK734" s="87"/>
      <c r="ML734" s="87"/>
      <c r="MM734" s="87"/>
      <c r="MN734" s="87"/>
      <c r="MO734" s="87"/>
      <c r="MP734" s="87"/>
      <c r="MQ734" s="87"/>
      <c r="MR734" s="87"/>
      <c r="MS734" s="87" t="s">
        <v>2155</v>
      </c>
      <c r="MT734" s="87" t="s">
        <v>29</v>
      </c>
      <c r="MU734" s="87" t="s">
        <v>2066</v>
      </c>
      <c r="MV734" s="87"/>
      <c r="MW734" s="87" t="s">
        <v>2067</v>
      </c>
      <c r="MX734" s="87"/>
      <c r="MY734" s="87"/>
      <c r="MZ734" s="87"/>
      <c r="NA734" s="87"/>
      <c r="NB734" s="87"/>
      <c r="NC734" s="87"/>
      <c r="ND734" s="87"/>
      <c r="NE734" s="87" t="s">
        <v>2163</v>
      </c>
      <c r="NF734" s="87" t="s">
        <v>2164</v>
      </c>
      <c r="NG734" s="87" t="s">
        <v>2096</v>
      </c>
      <c r="NH734" s="87" t="s">
        <v>2097</v>
      </c>
      <c r="NI734" s="87"/>
      <c r="NJ734" s="87"/>
      <c r="NK734" s="87"/>
      <c r="NL734" s="87"/>
      <c r="NM734" s="87"/>
      <c r="NN734" s="87"/>
      <c r="NO734" s="87"/>
      <c r="NP734" s="87" t="s">
        <v>2081</v>
      </c>
      <c r="NQ734" s="87" t="s">
        <v>6</v>
      </c>
      <c r="NR734" s="87">
        <v>50</v>
      </c>
      <c r="NS734" s="87" t="s">
        <v>1456</v>
      </c>
      <c r="NT734" s="87">
        <v>7.57</v>
      </c>
      <c r="NU734" s="87"/>
      <c r="NV734" s="87"/>
      <c r="NW734" s="87">
        <v>3</v>
      </c>
      <c r="NX734" s="87"/>
      <c r="NY734" s="87"/>
      <c r="NZ734" s="87"/>
      <c r="OA734" s="87"/>
      <c r="OB734" s="87"/>
      <c r="OC734" s="87"/>
      <c r="OD734" s="87"/>
      <c r="OE734" s="87"/>
      <c r="OF734" s="87"/>
      <c r="OG734" s="87"/>
      <c r="OH734" s="87" t="s">
        <v>2098</v>
      </c>
      <c r="OI734" s="87" t="s">
        <v>6</v>
      </c>
      <c r="OJ734" s="87">
        <v>2005</v>
      </c>
      <c r="OK734" s="87">
        <v>2005</v>
      </c>
      <c r="OL734" s="87">
        <v>2005</v>
      </c>
      <c r="OM734" s="87"/>
      <c r="ON734" s="87"/>
      <c r="OO734" s="87" t="s">
        <v>2000</v>
      </c>
      <c r="OP734" s="145" t="s">
        <v>2068</v>
      </c>
      <c r="OQ734" s="87"/>
      <c r="OR734" s="87"/>
      <c r="OS734" s="87"/>
      <c r="OT734" s="87"/>
      <c r="OU734" s="143" t="s">
        <v>2069</v>
      </c>
    </row>
    <row r="735" spans="1:411">
      <c r="A735" t="s">
        <v>36</v>
      </c>
      <c r="B735" t="s">
        <v>2057</v>
      </c>
      <c r="C735" t="s">
        <v>1904</v>
      </c>
      <c r="D735" t="s">
        <v>245</v>
      </c>
      <c r="E735" t="s">
        <v>2084</v>
      </c>
      <c r="F735" t="s">
        <v>1823</v>
      </c>
      <c r="G735" t="s">
        <v>2</v>
      </c>
      <c r="H735" t="s">
        <v>2100</v>
      </c>
      <c r="I735">
        <v>10.29</v>
      </c>
      <c r="J735">
        <v>76.875</v>
      </c>
      <c r="K735">
        <v>600</v>
      </c>
      <c r="L735" t="s">
        <v>1904</v>
      </c>
      <c r="M735" t="s">
        <v>245</v>
      </c>
      <c r="N735" t="s">
        <v>2090</v>
      </c>
      <c r="O735" t="s">
        <v>1823</v>
      </c>
      <c r="P735" t="s">
        <v>2</v>
      </c>
      <c r="Q735" t="s">
        <v>2100</v>
      </c>
      <c r="R735">
        <v>10.348000000000001</v>
      </c>
      <c r="S735">
        <v>76.935000000000002</v>
      </c>
      <c r="T735">
        <v>600</v>
      </c>
      <c r="AV735" t="s">
        <v>2149</v>
      </c>
      <c r="AW735" t="s">
        <v>29</v>
      </c>
      <c r="AX735">
        <v>1838000</v>
      </c>
      <c r="AY735">
        <v>1</v>
      </c>
      <c r="AZ735" t="s">
        <v>2060</v>
      </c>
      <c r="BA735">
        <v>2005</v>
      </c>
      <c r="BB735">
        <v>2005</v>
      </c>
      <c r="BC735" t="s">
        <v>2061</v>
      </c>
      <c r="BD735" t="s">
        <v>2002</v>
      </c>
      <c r="BE735" t="s">
        <v>2156</v>
      </c>
      <c r="BF735" t="s">
        <v>48</v>
      </c>
      <c r="BG735" t="s">
        <v>1243</v>
      </c>
      <c r="BH735" t="s">
        <v>1840</v>
      </c>
      <c r="BI735" t="s">
        <v>29</v>
      </c>
      <c r="BJ735" t="s">
        <v>29</v>
      </c>
      <c r="BK735" t="s">
        <v>29</v>
      </c>
      <c r="EE735" t="s">
        <v>2085</v>
      </c>
      <c r="EF735" t="s">
        <v>29</v>
      </c>
      <c r="EG735" t="s">
        <v>29</v>
      </c>
      <c r="EI735" t="s">
        <v>2065</v>
      </c>
      <c r="EJ735" s="9" t="s">
        <v>29</v>
      </c>
      <c r="EK735" s="9" t="s">
        <v>29</v>
      </c>
      <c r="EL735" s="9"/>
      <c r="EM735" s="9" t="s">
        <v>2062</v>
      </c>
      <c r="EN735" s="9" t="s">
        <v>29</v>
      </c>
      <c r="EO735" s="9" t="s">
        <v>29</v>
      </c>
      <c r="EP735" s="9"/>
      <c r="EQ735" s="9" t="s">
        <v>2064</v>
      </c>
      <c r="ER735" s="9" t="s">
        <v>29</v>
      </c>
      <c r="ES735" s="9" t="s">
        <v>29</v>
      </c>
      <c r="ET735" s="9"/>
      <c r="EU735" s="9" t="s">
        <v>2091</v>
      </c>
      <c r="EV735" s="9" t="s">
        <v>29</v>
      </c>
      <c r="EW735" s="9" t="s">
        <v>29</v>
      </c>
      <c r="EX735" s="9"/>
      <c r="EY735" s="9"/>
      <c r="EZ735" s="9"/>
      <c r="FA735" s="9"/>
      <c r="FB735" s="9"/>
      <c r="FC735" s="9"/>
      <c r="FD735" s="9"/>
      <c r="FE735" s="9"/>
      <c r="FF735" s="9"/>
      <c r="FG735" s="9"/>
      <c r="FH735" s="9"/>
      <c r="FI735" s="9"/>
      <c r="FJ735" s="9"/>
      <c r="FK735" s="9"/>
      <c r="FL735" s="9"/>
      <c r="FM735" s="9"/>
      <c r="FN735" s="9"/>
      <c r="FO735" s="9"/>
      <c r="FP735" s="9"/>
      <c r="FQ735" s="9"/>
      <c r="FR735" s="9"/>
      <c r="FS735" s="9"/>
      <c r="FT735" s="9"/>
      <c r="FU735" s="9"/>
      <c r="FV735" s="9"/>
      <c r="FW735" s="9"/>
      <c r="FX735" s="9"/>
      <c r="FY735" s="9"/>
      <c r="FZ735" s="9"/>
      <c r="GA735" s="9"/>
      <c r="GB735" s="9"/>
      <c r="GC735" s="9"/>
      <c r="GD735" s="9"/>
      <c r="GE735" s="9"/>
      <c r="GF735" s="9"/>
      <c r="GG735" s="9"/>
      <c r="GH735" s="9"/>
      <c r="GI735" s="9"/>
      <c r="GJ735" s="9"/>
      <c r="GK735" s="9"/>
      <c r="GL735" s="9"/>
      <c r="GM735" s="9"/>
      <c r="GN735" s="9"/>
      <c r="GO735" s="9"/>
      <c r="GP735" s="9"/>
      <c r="GQ735" s="9"/>
      <c r="GR735" s="9"/>
      <c r="GS735" s="9"/>
      <c r="GT735" s="9"/>
      <c r="GU735" s="9"/>
      <c r="GV735" s="9"/>
      <c r="GW735" s="9"/>
      <c r="GX735" s="9"/>
      <c r="GY735" s="9"/>
      <c r="GZ735" s="9"/>
      <c r="HA735" s="9"/>
      <c r="HB735" s="9"/>
      <c r="HC735" s="9"/>
      <c r="HD735" s="9"/>
      <c r="HE735" s="9"/>
      <c r="HF735" s="9"/>
      <c r="HG735" s="9"/>
      <c r="HH735" s="9"/>
      <c r="HI735" s="9"/>
      <c r="HJ735" s="9"/>
      <c r="HK735" s="9"/>
      <c r="HL735" s="9"/>
      <c r="HM735" s="9"/>
      <c r="HY735" s="58"/>
      <c r="IU735" t="s">
        <v>2086</v>
      </c>
      <c r="IV735" t="s">
        <v>2009</v>
      </c>
      <c r="JI735" t="s">
        <v>2087</v>
      </c>
      <c r="JJ735" t="s">
        <v>2088</v>
      </c>
      <c r="JO735" s="9"/>
      <c r="JY735" s="9"/>
      <c r="KD735" t="s">
        <v>2157</v>
      </c>
      <c r="KE735" t="s">
        <v>1561</v>
      </c>
      <c r="KQ735" s="9"/>
      <c r="KR735" s="9"/>
      <c r="KS735" s="9"/>
      <c r="KT735" s="9"/>
      <c r="MS735" t="s">
        <v>2158</v>
      </c>
      <c r="MT735" t="s">
        <v>29</v>
      </c>
      <c r="MU735" t="s">
        <v>2066</v>
      </c>
      <c r="MW735" t="s">
        <v>2067</v>
      </c>
      <c r="NE735" t="s">
        <v>2163</v>
      </c>
      <c r="NF735" t="s">
        <v>2164</v>
      </c>
      <c r="NG735" t="s">
        <v>2096</v>
      </c>
      <c r="NH735" t="s">
        <v>2097</v>
      </c>
      <c r="NP735" t="s">
        <v>2089</v>
      </c>
      <c r="NQ735" t="s">
        <v>6</v>
      </c>
      <c r="NR735">
        <v>52.5</v>
      </c>
      <c r="NS735" t="s">
        <v>1456</v>
      </c>
      <c r="NT735">
        <v>12.23</v>
      </c>
      <c r="NW735">
        <v>2</v>
      </c>
      <c r="OH735" t="s">
        <v>2098</v>
      </c>
      <c r="OI735" t="s">
        <v>6</v>
      </c>
      <c r="OJ735">
        <v>2005</v>
      </c>
      <c r="OK735">
        <v>2005</v>
      </c>
      <c r="OL735">
        <v>2005</v>
      </c>
      <c r="OO735" t="s">
        <v>2000</v>
      </c>
      <c r="OP735" s="58" t="s">
        <v>2068</v>
      </c>
      <c r="OU735" t="s">
        <v>2069</v>
      </c>
    </row>
    <row r="736" spans="1:411">
      <c r="A736" s="87" t="s">
        <v>36</v>
      </c>
      <c r="B736" s="87" t="s">
        <v>2057</v>
      </c>
      <c r="C736" s="87" t="s">
        <v>1904</v>
      </c>
      <c r="D736" s="87" t="s">
        <v>2058</v>
      </c>
      <c r="E736" s="87" t="s">
        <v>2059</v>
      </c>
      <c r="F736" s="87" t="s">
        <v>1978</v>
      </c>
      <c r="G736" s="87" t="s">
        <v>2</v>
      </c>
      <c r="H736" s="87" t="s">
        <v>2100</v>
      </c>
      <c r="I736" s="87">
        <v>10.3622</v>
      </c>
      <c r="J736" s="87">
        <v>76.980199999999996</v>
      </c>
      <c r="K736" s="87">
        <v>3000</v>
      </c>
      <c r="L736" s="87" t="s">
        <v>1904</v>
      </c>
      <c r="M736" s="87" t="s">
        <v>2058</v>
      </c>
      <c r="N736" s="87" t="s">
        <v>2070</v>
      </c>
      <c r="O736" s="87" t="s">
        <v>1978</v>
      </c>
      <c r="P736" s="87" t="s">
        <v>2</v>
      </c>
      <c r="Q736" s="87" t="s">
        <v>2100</v>
      </c>
      <c r="R736" s="87">
        <v>10.385</v>
      </c>
      <c r="S736" s="87">
        <v>76.95</v>
      </c>
      <c r="T736" s="87">
        <v>1000</v>
      </c>
      <c r="U736" s="87" t="s">
        <v>1904</v>
      </c>
      <c r="V736" s="87" t="s">
        <v>2058</v>
      </c>
      <c r="W736" s="87" t="s">
        <v>2071</v>
      </c>
      <c r="X736" s="87" t="s">
        <v>1978</v>
      </c>
      <c r="Y736" s="87" t="s">
        <v>2</v>
      </c>
      <c r="Z736" s="87" t="s">
        <v>2100</v>
      </c>
      <c r="AA736" s="87">
        <v>10.234999999999999</v>
      </c>
      <c r="AB736" s="87">
        <v>76.89</v>
      </c>
      <c r="AC736" s="87">
        <v>1500</v>
      </c>
      <c r="AD736" s="87"/>
      <c r="AE736" s="87"/>
      <c r="AF736" s="87"/>
      <c r="AG736" s="87"/>
      <c r="AH736" s="87"/>
      <c r="AI736" s="87"/>
      <c r="AJ736" s="87"/>
      <c r="AK736" s="87"/>
      <c r="AL736" s="87"/>
      <c r="AM736" s="87"/>
      <c r="AN736" s="87"/>
      <c r="AO736" s="87"/>
      <c r="AP736" s="87"/>
      <c r="AQ736" s="87"/>
      <c r="AR736" s="87"/>
      <c r="AS736" s="87"/>
      <c r="AT736" s="87"/>
      <c r="AU736" s="87"/>
      <c r="AV736" s="87" t="s">
        <v>2149</v>
      </c>
      <c r="AW736" s="87" t="s">
        <v>29</v>
      </c>
      <c r="AX736" s="87">
        <v>29850000</v>
      </c>
      <c r="AY736" s="87">
        <v>1</v>
      </c>
      <c r="AZ736" s="87" t="s">
        <v>2060</v>
      </c>
      <c r="BA736" s="87">
        <v>2005</v>
      </c>
      <c r="BB736" s="87">
        <v>2005</v>
      </c>
      <c r="BC736" s="87" t="s">
        <v>2061</v>
      </c>
      <c r="BD736" s="87" t="s">
        <v>1855</v>
      </c>
      <c r="BE736" s="87" t="s">
        <v>2150</v>
      </c>
      <c r="BF736" s="87" t="s">
        <v>39</v>
      </c>
      <c r="BG736" s="87" t="s">
        <v>1762</v>
      </c>
      <c r="BH736" s="87"/>
      <c r="BI736" s="87"/>
      <c r="BJ736" s="87"/>
      <c r="BK736" s="87"/>
      <c r="BL736" s="87"/>
      <c r="BM736" s="87"/>
      <c r="BN736" s="87"/>
      <c r="BO736" s="87"/>
      <c r="BP736" s="87"/>
      <c r="BQ736" s="87"/>
      <c r="BR736" s="87"/>
      <c r="BS736" s="87"/>
      <c r="BT736" s="87"/>
      <c r="BU736" s="87"/>
      <c r="BV736" s="87"/>
      <c r="BW736" s="87"/>
      <c r="BX736" s="87"/>
      <c r="BY736" s="87"/>
      <c r="BZ736" s="87"/>
      <c r="CA736" s="87"/>
      <c r="CB736" s="87"/>
      <c r="CC736" s="87"/>
      <c r="CD736" s="87"/>
      <c r="CE736" s="87"/>
      <c r="CF736" s="87"/>
      <c r="CG736" s="87"/>
      <c r="CH736" s="87"/>
      <c r="CI736" s="87"/>
      <c r="CJ736" s="87"/>
      <c r="CK736" s="87"/>
      <c r="CL736" s="87"/>
      <c r="CM736" s="87"/>
      <c r="CN736" s="87"/>
      <c r="CO736" s="87"/>
      <c r="CP736" s="87"/>
      <c r="CQ736" s="87"/>
      <c r="CR736" s="87"/>
      <c r="CS736" s="87"/>
      <c r="CT736" s="87"/>
      <c r="CU736" s="87"/>
      <c r="CV736" s="87"/>
      <c r="CW736" s="87"/>
      <c r="CX736" s="87"/>
      <c r="CY736" s="87"/>
      <c r="CZ736" s="87"/>
      <c r="DA736" s="87"/>
      <c r="DB736" s="87"/>
      <c r="DC736" s="87"/>
      <c r="DD736" s="87"/>
      <c r="DE736" s="87"/>
      <c r="DF736" s="87"/>
      <c r="DG736" s="87"/>
      <c r="DH736" s="87"/>
      <c r="DI736" s="87"/>
      <c r="DJ736" s="87"/>
      <c r="DK736" s="87"/>
      <c r="DL736" s="87"/>
      <c r="DM736" s="87"/>
      <c r="DN736" s="87"/>
      <c r="DO736" s="87"/>
      <c r="DP736" s="87"/>
      <c r="DQ736" s="87"/>
      <c r="DR736" s="87"/>
      <c r="DS736" s="87"/>
      <c r="DT736" s="87"/>
      <c r="DU736" s="87"/>
      <c r="DV736" s="87"/>
      <c r="DW736" s="87"/>
      <c r="DX736" s="87"/>
      <c r="DY736" s="87"/>
      <c r="DZ736" s="87"/>
      <c r="EA736" s="87"/>
      <c r="EB736" s="87"/>
      <c r="EC736" s="87"/>
      <c r="ED736" s="87"/>
      <c r="EE736" s="87" t="s">
        <v>2062</v>
      </c>
      <c r="EF736" s="87" t="s">
        <v>2063</v>
      </c>
      <c r="EG736" s="87" t="s">
        <v>29</v>
      </c>
      <c r="EH736" s="87"/>
      <c r="EI736" s="87" t="s">
        <v>2064</v>
      </c>
      <c r="EJ736" s="144" t="s">
        <v>2063</v>
      </c>
      <c r="EK736" s="144" t="s">
        <v>29</v>
      </c>
      <c r="EL736" s="144"/>
      <c r="EM736" s="144" t="s">
        <v>2065</v>
      </c>
      <c r="EN736" s="144" t="s">
        <v>2063</v>
      </c>
      <c r="EO736" s="144" t="s">
        <v>29</v>
      </c>
      <c r="EP736" s="144"/>
      <c r="EQ736" s="144"/>
      <c r="ER736" s="144"/>
      <c r="ES736" s="144"/>
      <c r="ET736" s="144"/>
      <c r="EU736" s="144"/>
      <c r="EV736" s="144"/>
      <c r="EW736" s="144"/>
      <c r="EX736" s="144"/>
      <c r="EY736" s="144"/>
      <c r="EZ736" s="144"/>
      <c r="FA736" s="144"/>
      <c r="FB736" s="144"/>
      <c r="FC736" s="144"/>
      <c r="FD736" s="144"/>
      <c r="FE736" s="144"/>
      <c r="FF736" s="144"/>
      <c r="FG736" s="144"/>
      <c r="FH736" s="144"/>
      <c r="FI736" s="144"/>
      <c r="FJ736" s="144"/>
      <c r="FK736" s="144"/>
      <c r="FL736" s="144"/>
      <c r="FM736" s="144"/>
      <c r="FN736" s="144"/>
      <c r="FO736" s="144"/>
      <c r="FP736" s="144"/>
      <c r="FQ736" s="144"/>
      <c r="FR736" s="144"/>
      <c r="FS736" s="144"/>
      <c r="FT736" s="144"/>
      <c r="FU736" s="144"/>
      <c r="FV736" s="144"/>
      <c r="FW736" s="144"/>
      <c r="FX736" s="144"/>
      <c r="FY736" s="144"/>
      <c r="FZ736" s="144"/>
      <c r="GA736" s="144"/>
      <c r="GB736" s="144"/>
      <c r="GC736" s="144"/>
      <c r="GD736" s="144"/>
      <c r="GE736" s="144"/>
      <c r="GF736" s="144"/>
      <c r="GG736" s="144"/>
      <c r="GH736" s="144"/>
      <c r="GI736" s="144"/>
      <c r="GJ736" s="144"/>
      <c r="GK736" s="144"/>
      <c r="GL736" s="144"/>
      <c r="GM736" s="144"/>
      <c r="GN736" s="144"/>
      <c r="GO736" s="144"/>
      <c r="GP736" s="144"/>
      <c r="GQ736" s="144"/>
      <c r="GR736" s="144"/>
      <c r="GS736" s="144"/>
      <c r="GT736" s="144"/>
      <c r="GU736" s="144"/>
      <c r="GV736" s="144"/>
      <c r="GW736" s="144"/>
      <c r="GX736" s="144"/>
      <c r="GY736" s="144"/>
      <c r="GZ736" s="144"/>
      <c r="HA736" s="144"/>
      <c r="HB736" s="144"/>
      <c r="HC736" s="144"/>
      <c r="HD736" s="144"/>
      <c r="HE736" s="144"/>
      <c r="HF736" s="144"/>
      <c r="HG736" s="144"/>
      <c r="HH736" s="144"/>
      <c r="HI736" s="144"/>
      <c r="HJ736" s="144"/>
      <c r="HK736" s="144"/>
      <c r="HL736" s="144"/>
      <c r="HM736" s="144"/>
      <c r="HN736" s="87"/>
      <c r="HO736" s="87"/>
      <c r="HP736" s="87"/>
      <c r="HQ736" s="87"/>
      <c r="HR736" s="87"/>
      <c r="HS736" s="87"/>
      <c r="HT736" s="87"/>
      <c r="HU736" s="87"/>
      <c r="HV736" s="87"/>
      <c r="HW736" s="87"/>
      <c r="HX736" s="87"/>
      <c r="HY736" s="145"/>
      <c r="HZ736" s="87"/>
      <c r="IA736" s="87"/>
      <c r="IB736" s="87"/>
      <c r="IC736" s="87"/>
      <c r="ID736" s="87"/>
      <c r="IE736" s="87"/>
      <c r="IF736" s="87"/>
      <c r="IG736" s="87"/>
      <c r="IH736" s="87"/>
      <c r="II736" s="87"/>
      <c r="IJ736" s="87"/>
      <c r="IK736" s="87"/>
      <c r="IL736" s="87"/>
      <c r="IM736" s="87"/>
      <c r="IN736" s="87"/>
      <c r="IO736" s="87"/>
      <c r="IP736" s="87"/>
      <c r="IQ736" s="87"/>
      <c r="IR736" s="87"/>
      <c r="IS736" s="87"/>
      <c r="IT736" s="87"/>
      <c r="IU736" s="87"/>
      <c r="IV736" s="87"/>
      <c r="IW736" s="87"/>
      <c r="IX736" s="87"/>
      <c r="IY736" s="87"/>
      <c r="IZ736" s="87"/>
      <c r="JA736" s="87"/>
      <c r="JB736" s="87"/>
      <c r="JC736" s="87"/>
      <c r="JD736" s="87"/>
      <c r="JE736" s="87"/>
      <c r="JF736" s="87"/>
      <c r="JG736" s="87"/>
      <c r="JH736" s="87"/>
      <c r="JI736" s="87"/>
      <c r="JJ736" s="87"/>
      <c r="JK736" s="87"/>
      <c r="JL736" s="87"/>
      <c r="JM736" s="87"/>
      <c r="JN736" s="87"/>
      <c r="JO736" s="151"/>
      <c r="JP736" s="87"/>
      <c r="JQ736" s="87"/>
      <c r="JR736" s="87"/>
      <c r="JS736" s="87"/>
      <c r="JT736" s="87"/>
      <c r="JU736" s="87"/>
      <c r="JV736" s="87"/>
      <c r="JW736" s="87"/>
      <c r="JX736" s="87"/>
      <c r="JY736" s="151"/>
      <c r="JZ736" s="87"/>
      <c r="KA736" s="87"/>
      <c r="KB736" s="87"/>
      <c r="KC736" s="87"/>
      <c r="KD736" s="87"/>
      <c r="KE736" s="87"/>
      <c r="KF736" s="87"/>
      <c r="KG736" s="87"/>
      <c r="KH736" s="87"/>
      <c r="KI736" s="87"/>
      <c r="KJ736" s="87"/>
      <c r="KK736" s="87"/>
      <c r="KL736" s="87"/>
      <c r="KM736" s="87"/>
      <c r="KN736" s="87"/>
      <c r="KO736" s="87"/>
      <c r="KP736" s="87"/>
      <c r="KQ736" s="151"/>
      <c r="KR736" s="151"/>
      <c r="KS736" s="151"/>
      <c r="KT736" s="151"/>
      <c r="KU736" s="87"/>
      <c r="KV736" s="87"/>
      <c r="KW736" s="87"/>
      <c r="KX736" s="87"/>
      <c r="KY736" s="87"/>
      <c r="KZ736" s="87"/>
      <c r="LA736" s="87"/>
      <c r="LB736" s="87"/>
      <c r="LC736" s="87"/>
      <c r="LD736" s="87"/>
      <c r="LE736" s="87"/>
      <c r="LF736" s="87"/>
      <c r="LG736" s="87"/>
      <c r="LH736" s="87"/>
      <c r="LI736" s="87"/>
      <c r="LJ736" s="87"/>
      <c r="LK736" s="87"/>
      <c r="LL736" s="87"/>
      <c r="LM736" s="87"/>
      <c r="LN736" s="87"/>
      <c r="LO736" s="87"/>
      <c r="LP736" s="87"/>
      <c r="LQ736" s="87"/>
      <c r="LR736" s="87"/>
      <c r="LS736" s="87"/>
      <c r="LT736" s="87"/>
      <c r="LU736" s="87"/>
      <c r="LV736" s="87"/>
      <c r="LW736" s="87"/>
      <c r="LX736" s="87"/>
      <c r="LY736" s="87"/>
      <c r="LZ736" s="87"/>
      <c r="MA736" s="87"/>
      <c r="MB736" s="87"/>
      <c r="MC736" s="87"/>
      <c r="MD736" s="87"/>
      <c r="ME736" s="87"/>
      <c r="MF736" s="87"/>
      <c r="MG736" s="87"/>
      <c r="MH736" s="87"/>
      <c r="MI736" s="87"/>
      <c r="MJ736" s="87"/>
      <c r="MK736" s="87"/>
      <c r="ML736" s="87"/>
      <c r="MM736" s="87"/>
      <c r="MN736" s="87"/>
      <c r="MO736" s="87"/>
      <c r="MP736" s="87"/>
      <c r="MQ736" s="87"/>
      <c r="MR736" s="87"/>
      <c r="MS736" s="87" t="s">
        <v>2151</v>
      </c>
      <c r="MT736" s="87" t="s">
        <v>29</v>
      </c>
      <c r="MU736" s="87" t="s">
        <v>2066</v>
      </c>
      <c r="MV736" s="87"/>
      <c r="MW736" s="87" t="s">
        <v>2067</v>
      </c>
      <c r="MX736" s="87"/>
      <c r="MY736" s="87"/>
      <c r="MZ736" s="87"/>
      <c r="NA736" s="87"/>
      <c r="NB736" s="87"/>
      <c r="NC736" s="87"/>
      <c r="ND736" s="87"/>
      <c r="NE736" s="87" t="s">
        <v>2165</v>
      </c>
      <c r="NF736" s="87" t="s">
        <v>2166</v>
      </c>
      <c r="NG736" s="87" t="s">
        <v>2035</v>
      </c>
      <c r="NH736" s="87" t="s">
        <v>2099</v>
      </c>
      <c r="NI736" s="87"/>
      <c r="NJ736" s="87"/>
      <c r="NK736" s="87"/>
      <c r="NL736" s="87"/>
      <c r="NM736" s="87"/>
      <c r="NN736" s="87"/>
      <c r="NO736" s="87"/>
      <c r="NP736" s="87" t="s">
        <v>1847</v>
      </c>
      <c r="NQ736" s="87" t="s">
        <v>6</v>
      </c>
      <c r="NR736" s="87">
        <v>81.67</v>
      </c>
      <c r="NS736" s="87" t="s">
        <v>1456</v>
      </c>
      <c r="NT736" s="87">
        <v>26.5</v>
      </c>
      <c r="NU736" s="87"/>
      <c r="NV736" s="87"/>
      <c r="NW736" s="87">
        <v>3</v>
      </c>
      <c r="NX736" s="87"/>
      <c r="NY736" s="87"/>
      <c r="NZ736" s="87"/>
      <c r="OA736" s="87"/>
      <c r="OB736" s="87"/>
      <c r="OC736" s="87"/>
      <c r="OD736" s="87"/>
      <c r="OE736" s="87"/>
      <c r="OF736" s="87"/>
      <c r="OG736" s="87"/>
      <c r="OH736" s="87" t="s">
        <v>2098</v>
      </c>
      <c r="OI736" s="87" t="s">
        <v>6</v>
      </c>
      <c r="OJ736" s="87">
        <v>2005</v>
      </c>
      <c r="OK736" s="87">
        <v>2005</v>
      </c>
      <c r="OL736" s="87">
        <v>2005</v>
      </c>
      <c r="OM736" s="87"/>
      <c r="ON736" s="87"/>
      <c r="OO736" s="87" t="s">
        <v>2000</v>
      </c>
      <c r="OP736" s="145" t="s">
        <v>2068</v>
      </c>
      <c r="OQ736" s="87"/>
      <c r="OR736" s="87"/>
      <c r="OS736" s="87"/>
      <c r="OT736" s="87"/>
      <c r="OU736" s="143" t="s">
        <v>2069</v>
      </c>
    </row>
    <row r="737" spans="1:411">
      <c r="A737" t="s">
        <v>36</v>
      </c>
      <c r="B737" t="s">
        <v>2057</v>
      </c>
      <c r="C737" t="s">
        <v>1904</v>
      </c>
      <c r="D737" t="s">
        <v>245</v>
      </c>
      <c r="E737" t="s">
        <v>2072</v>
      </c>
      <c r="F737" t="s">
        <v>1980</v>
      </c>
      <c r="G737" t="s">
        <v>2</v>
      </c>
      <c r="H737" t="s">
        <v>2100</v>
      </c>
      <c r="I737">
        <v>10.37</v>
      </c>
      <c r="J737">
        <v>76.984999999999999</v>
      </c>
      <c r="K737">
        <v>500</v>
      </c>
      <c r="L737" t="s">
        <v>1904</v>
      </c>
      <c r="M737" t="s">
        <v>245</v>
      </c>
      <c r="N737" t="s">
        <v>2075</v>
      </c>
      <c r="O737" t="s">
        <v>1980</v>
      </c>
      <c r="P737" t="s">
        <v>2</v>
      </c>
      <c r="Q737" t="s">
        <v>2100</v>
      </c>
      <c r="R737">
        <v>10.3512</v>
      </c>
      <c r="S737">
        <v>76.938400000000001</v>
      </c>
      <c r="T737">
        <v>400</v>
      </c>
      <c r="U737" t="s">
        <v>1904</v>
      </c>
      <c r="V737" t="s">
        <v>245</v>
      </c>
      <c r="W737" t="s">
        <v>2076</v>
      </c>
      <c r="X737" t="s">
        <v>1980</v>
      </c>
      <c r="Y737" t="s">
        <v>2</v>
      </c>
      <c r="Z737" t="s">
        <v>2100</v>
      </c>
      <c r="AA737">
        <v>10.279</v>
      </c>
      <c r="AB737">
        <v>76.8874</v>
      </c>
      <c r="AC737">
        <v>500</v>
      </c>
      <c r="AD737" t="s">
        <v>1904</v>
      </c>
      <c r="AE737" t="s">
        <v>245</v>
      </c>
      <c r="AF737" t="s">
        <v>2077</v>
      </c>
      <c r="AG737" t="s">
        <v>1980</v>
      </c>
      <c r="AH737" t="s">
        <v>2</v>
      </c>
      <c r="AI737" t="s">
        <v>2100</v>
      </c>
      <c r="AJ737">
        <v>10.345000000000001</v>
      </c>
      <c r="AK737">
        <v>76.924999999999997</v>
      </c>
      <c r="AL737">
        <v>300</v>
      </c>
      <c r="AV737" t="s">
        <v>2149</v>
      </c>
      <c r="AW737" t="s">
        <v>29</v>
      </c>
      <c r="AX737">
        <v>2316000</v>
      </c>
      <c r="AY737">
        <v>1</v>
      </c>
      <c r="AZ737" t="s">
        <v>2060</v>
      </c>
      <c r="BA737">
        <v>2005</v>
      </c>
      <c r="BB737">
        <v>2005</v>
      </c>
      <c r="BC737" t="s">
        <v>2061</v>
      </c>
      <c r="BD737" t="s">
        <v>2073</v>
      </c>
      <c r="BE737" t="s">
        <v>2152</v>
      </c>
      <c r="BF737" t="s">
        <v>64</v>
      </c>
      <c r="BG737" t="s">
        <v>1762</v>
      </c>
      <c r="EE737" t="s">
        <v>2062</v>
      </c>
      <c r="EF737" t="s">
        <v>2063</v>
      </c>
      <c r="EG737" t="s">
        <v>29</v>
      </c>
      <c r="EI737" t="s">
        <v>2064</v>
      </c>
      <c r="EJ737" s="9" t="s">
        <v>2063</v>
      </c>
      <c r="EK737" s="9" t="s">
        <v>29</v>
      </c>
      <c r="EL737" s="9"/>
      <c r="EM737" s="9" t="s">
        <v>2065</v>
      </c>
      <c r="EN737" s="9" t="s">
        <v>2063</v>
      </c>
      <c r="EO737" s="9" t="s">
        <v>29</v>
      </c>
      <c r="EP737" s="9"/>
      <c r="EQ737" s="9"/>
      <c r="ER737" s="9"/>
      <c r="ES737" s="9"/>
      <c r="ET737" s="9"/>
      <c r="EU737" s="9"/>
      <c r="EV737" s="9"/>
      <c r="EW737" s="9"/>
      <c r="EX737" s="9"/>
      <c r="EY737" s="9"/>
      <c r="EZ737" s="9"/>
      <c r="FA737" s="9"/>
      <c r="FB737" s="9"/>
      <c r="FC737" s="9"/>
      <c r="FD737" s="9"/>
      <c r="FE737" s="9"/>
      <c r="FF737" s="9"/>
      <c r="FG737" s="9"/>
      <c r="FH737" s="9"/>
      <c r="FI737" s="9"/>
      <c r="FJ737" s="9"/>
      <c r="FK737" s="9"/>
      <c r="FL737" s="9"/>
      <c r="FM737" s="9"/>
      <c r="FN737" s="9"/>
      <c r="FO737" s="9"/>
      <c r="FP737" s="9"/>
      <c r="FQ737" s="9"/>
      <c r="FR737" s="9"/>
      <c r="FS737" s="9"/>
      <c r="FT737" s="9"/>
      <c r="FU737" s="9"/>
      <c r="FV737" s="9"/>
      <c r="FW737" s="9"/>
      <c r="FX737" s="9"/>
      <c r="FY737" s="9"/>
      <c r="FZ737" s="9"/>
      <c r="GA737" s="9"/>
      <c r="GB737" s="9"/>
      <c r="GC737" s="9"/>
      <c r="GD737" s="9"/>
      <c r="GE737" s="9"/>
      <c r="GF737" s="9"/>
      <c r="GG737" s="9"/>
      <c r="GH737" s="9"/>
      <c r="GI737" s="9"/>
      <c r="GJ737" s="9"/>
      <c r="GK737" s="9"/>
      <c r="GL737" s="9"/>
      <c r="GM737" s="9"/>
      <c r="GN737" s="9"/>
      <c r="GO737" s="9"/>
      <c r="GP737" s="9"/>
      <c r="GQ737" s="9"/>
      <c r="GR737" s="9"/>
      <c r="GS737" s="9"/>
      <c r="GT737" s="9"/>
      <c r="GU737" s="9"/>
      <c r="GV737" s="9"/>
      <c r="GW737" s="9"/>
      <c r="GX737" s="9"/>
      <c r="GY737" s="9"/>
      <c r="GZ737" s="9"/>
      <c r="HA737" s="9"/>
      <c r="HB737" s="9"/>
      <c r="HC737" s="9"/>
      <c r="HD737" s="9"/>
      <c r="HE737" s="9"/>
      <c r="HF737" s="9"/>
      <c r="HG737" s="9"/>
      <c r="HH737" s="9"/>
      <c r="HI737" s="9"/>
      <c r="HJ737" s="9"/>
      <c r="HK737" s="9"/>
      <c r="HL737" s="9"/>
      <c r="HM737" s="9"/>
      <c r="HY737" s="58"/>
      <c r="JO737" s="9"/>
      <c r="JY737" s="9"/>
      <c r="KQ737" s="9"/>
      <c r="KR737" s="9"/>
      <c r="KS737" s="9"/>
      <c r="KT737" s="9"/>
      <c r="MS737" t="s">
        <v>2153</v>
      </c>
      <c r="MT737" t="s">
        <v>29</v>
      </c>
      <c r="MU737" t="s">
        <v>2066</v>
      </c>
      <c r="MW737" t="s">
        <v>2067</v>
      </c>
      <c r="NE737" t="s">
        <v>2165</v>
      </c>
      <c r="NF737" t="s">
        <v>2166</v>
      </c>
      <c r="NG737" t="s">
        <v>2035</v>
      </c>
      <c r="NH737" t="s">
        <v>2099</v>
      </c>
      <c r="NP737" t="s">
        <v>2074</v>
      </c>
      <c r="NQ737" t="s">
        <v>6</v>
      </c>
      <c r="NR737">
        <v>80</v>
      </c>
      <c r="NS737" t="s">
        <v>1456</v>
      </c>
      <c r="NT737">
        <v>14.08</v>
      </c>
      <c r="NW737">
        <v>4</v>
      </c>
      <c r="OH737" t="s">
        <v>2098</v>
      </c>
      <c r="OI737" t="s">
        <v>6</v>
      </c>
      <c r="OJ737">
        <v>2005</v>
      </c>
      <c r="OK737">
        <v>2005</v>
      </c>
      <c r="OL737">
        <v>2005</v>
      </c>
      <c r="OO737" t="s">
        <v>2000</v>
      </c>
      <c r="OP737" s="58" t="s">
        <v>2068</v>
      </c>
      <c r="OU737" t="s">
        <v>2069</v>
      </c>
    </row>
    <row r="738" spans="1:411">
      <c r="A738" s="87" t="s">
        <v>36</v>
      </c>
      <c r="B738" s="87" t="s">
        <v>2057</v>
      </c>
      <c r="C738" s="87" t="s">
        <v>1904</v>
      </c>
      <c r="D738" s="87" t="s">
        <v>245</v>
      </c>
      <c r="E738" s="87" t="s">
        <v>2078</v>
      </c>
      <c r="F738" s="87" t="s">
        <v>1980</v>
      </c>
      <c r="G738" s="87" t="s">
        <v>2</v>
      </c>
      <c r="H738" s="87" t="s">
        <v>2100</v>
      </c>
      <c r="I738" s="87">
        <v>10.33</v>
      </c>
      <c r="J738" s="87">
        <v>76.965000000000003</v>
      </c>
      <c r="K738" s="87">
        <v>500</v>
      </c>
      <c r="L738" s="87" t="s">
        <v>1904</v>
      </c>
      <c r="M738" s="87" t="s">
        <v>245</v>
      </c>
      <c r="N738" s="87" t="s">
        <v>2082</v>
      </c>
      <c r="O738" s="87" t="s">
        <v>1980</v>
      </c>
      <c r="P738" s="87" t="s">
        <v>2</v>
      </c>
      <c r="Q738" s="87" t="s">
        <v>2100</v>
      </c>
      <c r="R738" s="87">
        <v>10.308299999999999</v>
      </c>
      <c r="S738" s="87">
        <v>76.899900000000002</v>
      </c>
      <c r="T738" s="87">
        <v>500</v>
      </c>
      <c r="U738" s="87" t="s">
        <v>1904</v>
      </c>
      <c r="V738" s="87" t="s">
        <v>245</v>
      </c>
      <c r="W738" s="87" t="s">
        <v>2083</v>
      </c>
      <c r="X738" s="87" t="s">
        <v>1980</v>
      </c>
      <c r="Y738" s="87" t="s">
        <v>2</v>
      </c>
      <c r="Z738" s="87" t="s">
        <v>2100</v>
      </c>
      <c r="AA738" s="87">
        <v>10.31</v>
      </c>
      <c r="AB738" s="87">
        <v>76.94</v>
      </c>
      <c r="AC738" s="87">
        <v>300</v>
      </c>
      <c r="AD738" s="87"/>
      <c r="AE738" s="87"/>
      <c r="AF738" s="87"/>
      <c r="AG738" s="87"/>
      <c r="AH738" s="87"/>
      <c r="AI738" s="87"/>
      <c r="AJ738" s="87"/>
      <c r="AK738" s="87"/>
      <c r="AL738" s="87"/>
      <c r="AM738" s="87"/>
      <c r="AN738" s="87"/>
      <c r="AO738" s="87"/>
      <c r="AP738" s="87"/>
      <c r="AQ738" s="87"/>
      <c r="AR738" s="87"/>
      <c r="AS738" s="87"/>
      <c r="AT738" s="87"/>
      <c r="AU738" s="87"/>
      <c r="AV738" s="87" t="s">
        <v>2149</v>
      </c>
      <c r="AW738" s="87" t="s">
        <v>29</v>
      </c>
      <c r="AX738" s="87">
        <v>1671000</v>
      </c>
      <c r="AY738" s="87">
        <v>1</v>
      </c>
      <c r="AZ738" s="87" t="s">
        <v>2060</v>
      </c>
      <c r="BA738" s="87">
        <v>2005</v>
      </c>
      <c r="BB738" s="87">
        <v>2005</v>
      </c>
      <c r="BC738" s="87" t="s">
        <v>2061</v>
      </c>
      <c r="BD738" s="87" t="s">
        <v>2073</v>
      </c>
      <c r="BE738" s="87" t="s">
        <v>2154</v>
      </c>
      <c r="BF738" s="87" t="s">
        <v>57</v>
      </c>
      <c r="BG738" s="87" t="s">
        <v>1762</v>
      </c>
      <c r="BH738" s="87"/>
      <c r="BI738" s="87"/>
      <c r="BJ738" s="87"/>
      <c r="BK738" s="87"/>
      <c r="BL738" s="87"/>
      <c r="BM738" s="87"/>
      <c r="BN738" s="87"/>
      <c r="BO738" s="87"/>
      <c r="BP738" s="87"/>
      <c r="BQ738" s="87"/>
      <c r="BR738" s="87"/>
      <c r="BS738" s="87"/>
      <c r="BT738" s="87"/>
      <c r="BU738" s="87"/>
      <c r="BV738" s="87"/>
      <c r="BW738" s="87"/>
      <c r="BX738" s="87"/>
      <c r="BY738" s="87"/>
      <c r="BZ738" s="87"/>
      <c r="CA738" s="87"/>
      <c r="CB738" s="87"/>
      <c r="CC738" s="87"/>
      <c r="CD738" s="87"/>
      <c r="CE738" s="87"/>
      <c r="CF738" s="87"/>
      <c r="CG738" s="87"/>
      <c r="CH738" s="87"/>
      <c r="CI738" s="87"/>
      <c r="CJ738" s="87"/>
      <c r="CK738" s="87"/>
      <c r="CL738" s="87"/>
      <c r="CM738" s="87"/>
      <c r="CN738" s="87"/>
      <c r="CO738" s="87"/>
      <c r="CP738" s="87"/>
      <c r="CQ738" s="87"/>
      <c r="CR738" s="87"/>
      <c r="CS738" s="87"/>
      <c r="CT738" s="87"/>
      <c r="CU738" s="87"/>
      <c r="CV738" s="87"/>
      <c r="CW738" s="87"/>
      <c r="CX738" s="87"/>
      <c r="CY738" s="87"/>
      <c r="CZ738" s="87"/>
      <c r="DA738" s="87"/>
      <c r="DB738" s="87"/>
      <c r="DC738" s="87"/>
      <c r="DD738" s="87"/>
      <c r="DE738" s="87"/>
      <c r="DF738" s="87"/>
      <c r="DG738" s="87"/>
      <c r="DH738" s="87"/>
      <c r="DI738" s="87"/>
      <c r="DJ738" s="87"/>
      <c r="DK738" s="87"/>
      <c r="DL738" s="87"/>
      <c r="DM738" s="87"/>
      <c r="DN738" s="87"/>
      <c r="DO738" s="87"/>
      <c r="DP738" s="87"/>
      <c r="DQ738" s="87"/>
      <c r="DR738" s="87"/>
      <c r="DS738" s="87"/>
      <c r="DT738" s="87"/>
      <c r="DU738" s="87"/>
      <c r="DV738" s="87"/>
      <c r="DW738" s="87"/>
      <c r="DX738" s="87"/>
      <c r="DY738" s="87"/>
      <c r="DZ738" s="87"/>
      <c r="EA738" s="87"/>
      <c r="EB738" s="87"/>
      <c r="EC738" s="87"/>
      <c r="ED738" s="87"/>
      <c r="EE738" s="87" t="s">
        <v>2062</v>
      </c>
      <c r="EF738" s="87" t="s">
        <v>2063</v>
      </c>
      <c r="EG738" s="87" t="s">
        <v>29</v>
      </c>
      <c r="EH738" s="87"/>
      <c r="EI738" s="87" t="s">
        <v>2064</v>
      </c>
      <c r="EJ738" s="144" t="s">
        <v>2063</v>
      </c>
      <c r="EK738" s="144" t="s">
        <v>29</v>
      </c>
      <c r="EL738" s="144"/>
      <c r="EM738" s="144" t="s">
        <v>2065</v>
      </c>
      <c r="EN738" s="144" t="s">
        <v>2063</v>
      </c>
      <c r="EO738" s="144" t="s">
        <v>29</v>
      </c>
      <c r="EP738" s="144"/>
      <c r="EQ738" s="144" t="s">
        <v>2079</v>
      </c>
      <c r="ER738" s="144" t="s">
        <v>2063</v>
      </c>
      <c r="ES738" s="144" t="s">
        <v>29</v>
      </c>
      <c r="ET738" s="144"/>
      <c r="EU738" s="144" t="s">
        <v>2080</v>
      </c>
      <c r="EV738" s="144" t="s">
        <v>2063</v>
      </c>
      <c r="EW738" s="144" t="s">
        <v>29</v>
      </c>
      <c r="EX738" s="144"/>
      <c r="EY738" s="144"/>
      <c r="EZ738" s="144"/>
      <c r="FA738" s="144"/>
      <c r="FB738" s="144"/>
      <c r="FC738" s="144"/>
      <c r="FD738" s="144"/>
      <c r="FE738" s="144"/>
      <c r="FF738" s="144"/>
      <c r="FG738" s="144"/>
      <c r="FH738" s="144"/>
      <c r="FI738" s="144"/>
      <c r="FJ738" s="144"/>
      <c r="FK738" s="144"/>
      <c r="FL738" s="144"/>
      <c r="FM738" s="144"/>
      <c r="FN738" s="144"/>
      <c r="FO738" s="144"/>
      <c r="FP738" s="144"/>
      <c r="FQ738" s="144"/>
      <c r="FR738" s="144"/>
      <c r="FS738" s="144"/>
      <c r="FT738" s="144"/>
      <c r="FU738" s="144"/>
      <c r="FV738" s="144"/>
      <c r="FW738" s="144"/>
      <c r="FX738" s="144"/>
      <c r="FY738" s="144"/>
      <c r="FZ738" s="144"/>
      <c r="GA738" s="144"/>
      <c r="GB738" s="144"/>
      <c r="GC738" s="144"/>
      <c r="GD738" s="144"/>
      <c r="GE738" s="144"/>
      <c r="GF738" s="144"/>
      <c r="GG738" s="144"/>
      <c r="GH738" s="144"/>
      <c r="GI738" s="144"/>
      <c r="GJ738" s="144"/>
      <c r="GK738" s="144"/>
      <c r="GL738" s="144"/>
      <c r="GM738" s="144"/>
      <c r="GN738" s="144"/>
      <c r="GO738" s="144"/>
      <c r="GP738" s="144"/>
      <c r="GQ738" s="144"/>
      <c r="GR738" s="144"/>
      <c r="GS738" s="144"/>
      <c r="GT738" s="144"/>
      <c r="GU738" s="144"/>
      <c r="GV738" s="144"/>
      <c r="GW738" s="144"/>
      <c r="GX738" s="144"/>
      <c r="GY738" s="144"/>
      <c r="GZ738" s="144"/>
      <c r="HA738" s="144"/>
      <c r="HB738" s="144"/>
      <c r="HC738" s="144"/>
      <c r="HD738" s="144"/>
      <c r="HE738" s="144"/>
      <c r="HF738" s="144"/>
      <c r="HG738" s="144"/>
      <c r="HH738" s="144"/>
      <c r="HI738" s="144"/>
      <c r="HJ738" s="144"/>
      <c r="HK738" s="144"/>
      <c r="HL738" s="144"/>
      <c r="HM738" s="144"/>
      <c r="HN738" s="87"/>
      <c r="HO738" s="87"/>
      <c r="HP738" s="87"/>
      <c r="HQ738" s="87"/>
      <c r="HR738" s="87"/>
      <c r="HS738" s="87"/>
      <c r="HT738" s="87"/>
      <c r="HU738" s="87"/>
      <c r="HV738" s="87"/>
      <c r="HW738" s="87"/>
      <c r="HX738" s="87"/>
      <c r="HY738" s="145"/>
      <c r="HZ738" s="87"/>
      <c r="IA738" s="87"/>
      <c r="IB738" s="87"/>
      <c r="IC738" s="87"/>
      <c r="ID738" s="87"/>
      <c r="IE738" s="87"/>
      <c r="IF738" s="87"/>
      <c r="IG738" s="87"/>
      <c r="IH738" s="87"/>
      <c r="II738" s="87"/>
      <c r="IJ738" s="87"/>
      <c r="IK738" s="87"/>
      <c r="IL738" s="87"/>
      <c r="IM738" s="87"/>
      <c r="IN738" s="87"/>
      <c r="IO738" s="87"/>
      <c r="IP738" s="87"/>
      <c r="IQ738" s="87"/>
      <c r="IR738" s="87"/>
      <c r="IS738" s="87"/>
      <c r="IT738" s="87"/>
      <c r="IU738" s="87"/>
      <c r="IV738" s="87"/>
      <c r="IW738" s="87"/>
      <c r="IX738" s="87"/>
      <c r="IY738" s="87"/>
      <c r="IZ738" s="87"/>
      <c r="JA738" s="87"/>
      <c r="JB738" s="87"/>
      <c r="JC738" s="87"/>
      <c r="JD738" s="87"/>
      <c r="JE738" s="87"/>
      <c r="JF738" s="87"/>
      <c r="JG738" s="87"/>
      <c r="JH738" s="87"/>
      <c r="JI738" s="87"/>
      <c r="JJ738" s="87"/>
      <c r="JK738" s="87"/>
      <c r="JL738" s="87"/>
      <c r="JM738" s="87"/>
      <c r="JN738" s="87"/>
      <c r="JO738" s="151"/>
      <c r="JP738" s="87"/>
      <c r="JQ738" s="87"/>
      <c r="JR738" s="87"/>
      <c r="JS738" s="87"/>
      <c r="JT738" s="87"/>
      <c r="JU738" s="87"/>
      <c r="JV738" s="87"/>
      <c r="JW738" s="87"/>
      <c r="JX738" s="87"/>
      <c r="JY738" s="151"/>
      <c r="JZ738" s="87"/>
      <c r="KA738" s="87"/>
      <c r="KB738" s="87"/>
      <c r="KC738" s="87"/>
      <c r="KD738" s="87"/>
      <c r="KE738" s="87"/>
      <c r="KF738" s="87"/>
      <c r="KG738" s="87"/>
      <c r="KH738" s="87"/>
      <c r="KI738" s="87"/>
      <c r="KJ738" s="87"/>
      <c r="KK738" s="87"/>
      <c r="KL738" s="87"/>
      <c r="KM738" s="87"/>
      <c r="KN738" s="87"/>
      <c r="KO738" s="87"/>
      <c r="KP738" s="87"/>
      <c r="KQ738" s="151"/>
      <c r="KR738" s="151"/>
      <c r="KS738" s="151"/>
      <c r="KT738" s="151"/>
      <c r="KU738" s="87"/>
      <c r="KV738" s="87"/>
      <c r="KW738" s="87"/>
      <c r="KX738" s="87"/>
      <c r="KY738" s="87"/>
      <c r="KZ738" s="87"/>
      <c r="LA738" s="87"/>
      <c r="LB738" s="87"/>
      <c r="LC738" s="87"/>
      <c r="LD738" s="87"/>
      <c r="LE738" s="87"/>
      <c r="LF738" s="87"/>
      <c r="LG738" s="87"/>
      <c r="LH738" s="87"/>
      <c r="LI738" s="87"/>
      <c r="LJ738" s="87"/>
      <c r="LK738" s="87"/>
      <c r="LL738" s="87"/>
      <c r="LM738" s="87"/>
      <c r="LN738" s="87"/>
      <c r="LO738" s="87"/>
      <c r="LP738" s="87"/>
      <c r="LQ738" s="87"/>
      <c r="LR738" s="87"/>
      <c r="LS738" s="87"/>
      <c r="LT738" s="87"/>
      <c r="LU738" s="87"/>
      <c r="LV738" s="87"/>
      <c r="LW738" s="87"/>
      <c r="LX738" s="87"/>
      <c r="LY738" s="87"/>
      <c r="LZ738" s="87"/>
      <c r="MA738" s="87"/>
      <c r="MB738" s="87"/>
      <c r="MC738" s="87"/>
      <c r="MD738" s="87"/>
      <c r="ME738" s="87"/>
      <c r="MF738" s="87"/>
      <c r="MG738" s="87"/>
      <c r="MH738" s="87"/>
      <c r="MI738" s="87"/>
      <c r="MJ738" s="87"/>
      <c r="MK738" s="87"/>
      <c r="ML738" s="87"/>
      <c r="MM738" s="87"/>
      <c r="MN738" s="87"/>
      <c r="MO738" s="87"/>
      <c r="MP738" s="87"/>
      <c r="MQ738" s="87"/>
      <c r="MR738" s="87"/>
      <c r="MS738" s="87" t="s">
        <v>2155</v>
      </c>
      <c r="MT738" s="87" t="s">
        <v>29</v>
      </c>
      <c r="MU738" s="87" t="s">
        <v>2066</v>
      </c>
      <c r="MV738" s="87"/>
      <c r="MW738" s="87" t="s">
        <v>2067</v>
      </c>
      <c r="MX738" s="87"/>
      <c r="MY738" s="87"/>
      <c r="MZ738" s="87"/>
      <c r="NA738" s="87"/>
      <c r="NB738" s="87"/>
      <c r="NC738" s="87"/>
      <c r="ND738" s="87"/>
      <c r="NE738" s="87" t="s">
        <v>2165</v>
      </c>
      <c r="NF738" s="87" t="s">
        <v>2166</v>
      </c>
      <c r="NG738" s="87" t="s">
        <v>2035</v>
      </c>
      <c r="NH738" s="87" t="s">
        <v>2099</v>
      </c>
      <c r="NI738" s="87"/>
      <c r="NJ738" s="87"/>
      <c r="NK738" s="87"/>
      <c r="NL738" s="87"/>
      <c r="NM738" s="87"/>
      <c r="NN738" s="87"/>
      <c r="NO738" s="87"/>
      <c r="NP738" s="87" t="s">
        <v>2081</v>
      </c>
      <c r="NQ738" s="87" t="s">
        <v>6</v>
      </c>
      <c r="NR738" s="87">
        <v>75</v>
      </c>
      <c r="NS738" s="87" t="s">
        <v>1456</v>
      </c>
      <c r="NT738" s="87">
        <v>12.08</v>
      </c>
      <c r="NU738" s="87"/>
      <c r="NV738" s="87"/>
      <c r="NW738" s="87">
        <v>3</v>
      </c>
      <c r="NX738" s="87"/>
      <c r="NY738" s="87"/>
      <c r="NZ738" s="87"/>
      <c r="OA738" s="87"/>
      <c r="OB738" s="87"/>
      <c r="OC738" s="87"/>
      <c r="OD738" s="87"/>
      <c r="OE738" s="87"/>
      <c r="OF738" s="87"/>
      <c r="OG738" s="87"/>
      <c r="OH738" s="87" t="s">
        <v>2098</v>
      </c>
      <c r="OI738" s="87" t="s">
        <v>6</v>
      </c>
      <c r="OJ738" s="87">
        <v>2005</v>
      </c>
      <c r="OK738" s="87">
        <v>2005</v>
      </c>
      <c r="OL738" s="87">
        <v>2005</v>
      </c>
      <c r="OM738" s="87"/>
      <c r="ON738" s="87"/>
      <c r="OO738" s="87" t="s">
        <v>2000</v>
      </c>
      <c r="OP738" s="145" t="s">
        <v>2068</v>
      </c>
      <c r="OQ738" s="87"/>
      <c r="OR738" s="87"/>
      <c r="OS738" s="87"/>
      <c r="OT738" s="87"/>
      <c r="OU738" s="143" t="s">
        <v>2069</v>
      </c>
    </row>
    <row r="739" spans="1:411">
      <c r="A739" t="s">
        <v>36</v>
      </c>
      <c r="B739" t="s">
        <v>2057</v>
      </c>
      <c r="C739" t="s">
        <v>1904</v>
      </c>
      <c r="D739" t="s">
        <v>245</v>
      </c>
      <c r="E739" t="s">
        <v>2084</v>
      </c>
      <c r="F739" t="s">
        <v>1823</v>
      </c>
      <c r="G739" t="s">
        <v>2</v>
      </c>
      <c r="H739" t="s">
        <v>2100</v>
      </c>
      <c r="I739">
        <v>10.29</v>
      </c>
      <c r="J739">
        <v>76.875</v>
      </c>
      <c r="K739">
        <v>600</v>
      </c>
      <c r="L739" t="s">
        <v>1904</v>
      </c>
      <c r="M739" t="s">
        <v>245</v>
      </c>
      <c r="N739" t="s">
        <v>2090</v>
      </c>
      <c r="O739" t="s">
        <v>1823</v>
      </c>
      <c r="P739" t="s">
        <v>2</v>
      </c>
      <c r="Q739" t="s">
        <v>2100</v>
      </c>
      <c r="R739">
        <v>10.348000000000001</v>
      </c>
      <c r="S739">
        <v>76.935000000000002</v>
      </c>
      <c r="T739">
        <v>600</v>
      </c>
      <c r="AV739" t="s">
        <v>2149</v>
      </c>
      <c r="AW739" t="s">
        <v>29</v>
      </c>
      <c r="AX739">
        <v>1838000</v>
      </c>
      <c r="AY739">
        <v>1</v>
      </c>
      <c r="AZ739" t="s">
        <v>2060</v>
      </c>
      <c r="BA739">
        <v>2005</v>
      </c>
      <c r="BB739">
        <v>2005</v>
      </c>
      <c r="BC739" t="s">
        <v>2061</v>
      </c>
      <c r="BD739" t="s">
        <v>2002</v>
      </c>
      <c r="BE739" t="s">
        <v>2156</v>
      </c>
      <c r="BF739" t="s">
        <v>48</v>
      </c>
      <c r="BG739" t="s">
        <v>1243</v>
      </c>
      <c r="BH739" t="s">
        <v>1840</v>
      </c>
      <c r="BI739" t="s">
        <v>29</v>
      </c>
      <c r="BJ739" t="s">
        <v>29</v>
      </c>
      <c r="BK739" t="s">
        <v>29</v>
      </c>
      <c r="EE739" t="s">
        <v>2085</v>
      </c>
      <c r="EF739" t="s">
        <v>29</v>
      </c>
      <c r="EG739" t="s">
        <v>29</v>
      </c>
      <c r="EI739" t="s">
        <v>2065</v>
      </c>
      <c r="EJ739" s="9" t="s">
        <v>29</v>
      </c>
      <c r="EK739" s="9" t="s">
        <v>29</v>
      </c>
      <c r="EL739" s="9"/>
      <c r="EM739" s="9" t="s">
        <v>2062</v>
      </c>
      <c r="EN739" s="9" t="s">
        <v>29</v>
      </c>
      <c r="EO739" s="9" t="s">
        <v>29</v>
      </c>
      <c r="EP739" s="9"/>
      <c r="EQ739" s="9" t="s">
        <v>2064</v>
      </c>
      <c r="ER739" s="9" t="s">
        <v>29</v>
      </c>
      <c r="ES739" s="9" t="s">
        <v>29</v>
      </c>
      <c r="ET739" s="9"/>
      <c r="EU739" s="9" t="s">
        <v>2091</v>
      </c>
      <c r="EV739" s="9" t="s">
        <v>29</v>
      </c>
      <c r="EW739" s="9" t="s">
        <v>29</v>
      </c>
      <c r="EX739" s="9"/>
      <c r="EY739" s="9"/>
      <c r="EZ739" s="9"/>
      <c r="FA739" s="9"/>
      <c r="FB739" s="9"/>
      <c r="FC739" s="9"/>
      <c r="FD739" s="9"/>
      <c r="FE739" s="9"/>
      <c r="FF739" s="9"/>
      <c r="FG739" s="9"/>
      <c r="FH739" s="9"/>
      <c r="FI739" s="9"/>
      <c r="FJ739" s="9"/>
      <c r="FK739" s="9"/>
      <c r="FL739" s="9"/>
      <c r="FM739" s="9"/>
      <c r="FN739" s="9"/>
      <c r="FO739" s="9"/>
      <c r="FP739" s="9"/>
      <c r="FQ739" s="9"/>
      <c r="FR739" s="9"/>
      <c r="FS739" s="9"/>
      <c r="FT739" s="9"/>
      <c r="FU739" s="9"/>
      <c r="FV739" s="9"/>
      <c r="FW739" s="9"/>
      <c r="FX739" s="9"/>
      <c r="FY739" s="9"/>
      <c r="FZ739" s="9"/>
      <c r="GA739" s="9"/>
      <c r="GB739" s="9"/>
      <c r="GC739" s="9"/>
      <c r="GD739" s="9"/>
      <c r="GE739" s="9"/>
      <c r="GF739" s="9"/>
      <c r="GG739" s="9"/>
      <c r="GH739" s="9"/>
      <c r="GI739" s="9"/>
      <c r="GJ739" s="9"/>
      <c r="GK739" s="9"/>
      <c r="GL739" s="9"/>
      <c r="GM739" s="9"/>
      <c r="GN739" s="9"/>
      <c r="GO739" s="9"/>
      <c r="GP739" s="9"/>
      <c r="GQ739" s="9"/>
      <c r="GR739" s="9"/>
      <c r="GS739" s="9"/>
      <c r="GT739" s="9"/>
      <c r="GU739" s="9"/>
      <c r="GV739" s="9"/>
      <c r="GW739" s="9"/>
      <c r="GX739" s="9"/>
      <c r="GY739" s="9"/>
      <c r="GZ739" s="9"/>
      <c r="HA739" s="9"/>
      <c r="HB739" s="9"/>
      <c r="HC739" s="9"/>
      <c r="HD739" s="9"/>
      <c r="HE739" s="9"/>
      <c r="HF739" s="9"/>
      <c r="HG739" s="9"/>
      <c r="HH739" s="9"/>
      <c r="HI739" s="9"/>
      <c r="HJ739" s="9"/>
      <c r="HK739" s="9"/>
      <c r="HL739" s="9"/>
      <c r="HM739" s="9"/>
      <c r="HY739" s="58"/>
      <c r="IU739" t="s">
        <v>2086</v>
      </c>
      <c r="IV739" t="s">
        <v>2009</v>
      </c>
      <c r="JI739" t="s">
        <v>2087</v>
      </c>
      <c r="JJ739" t="s">
        <v>2088</v>
      </c>
      <c r="JO739" s="9"/>
      <c r="JY739" s="9"/>
      <c r="KD739" t="s">
        <v>2157</v>
      </c>
      <c r="KE739" t="s">
        <v>1561</v>
      </c>
      <c r="KQ739" s="9"/>
      <c r="KR739" s="9"/>
      <c r="KS739" s="9"/>
      <c r="KT739" s="9"/>
      <c r="MS739" t="s">
        <v>2158</v>
      </c>
      <c r="MT739" t="s">
        <v>29</v>
      </c>
      <c r="MU739" t="s">
        <v>2066</v>
      </c>
      <c r="MW739" t="s">
        <v>2067</v>
      </c>
      <c r="NE739" t="s">
        <v>2165</v>
      </c>
      <c r="NF739" t="s">
        <v>2166</v>
      </c>
      <c r="NG739" t="s">
        <v>2035</v>
      </c>
      <c r="NH739" t="s">
        <v>2099</v>
      </c>
      <c r="NP739" t="s">
        <v>2089</v>
      </c>
      <c r="NQ739" t="s">
        <v>6</v>
      </c>
      <c r="NR739">
        <v>87.5</v>
      </c>
      <c r="NS739" t="s">
        <v>1456</v>
      </c>
      <c r="NT739">
        <v>26.77</v>
      </c>
      <c r="NW739">
        <v>2</v>
      </c>
      <c r="OH739" t="s">
        <v>2098</v>
      </c>
      <c r="OI739" t="s">
        <v>6</v>
      </c>
      <c r="OJ739">
        <v>2005</v>
      </c>
      <c r="OK739">
        <v>2005</v>
      </c>
      <c r="OL739">
        <v>2005</v>
      </c>
      <c r="OO739" t="s">
        <v>2000</v>
      </c>
      <c r="OP739" s="58" t="s">
        <v>2068</v>
      </c>
      <c r="OU739" t="s">
        <v>2069</v>
      </c>
    </row>
    <row r="740" spans="1:411" s="146" customFormat="1">
      <c r="A740" s="87" t="s">
        <v>248</v>
      </c>
      <c r="B740" s="146" t="s">
        <v>2184</v>
      </c>
      <c r="C740" s="146" t="s">
        <v>2183</v>
      </c>
      <c r="D740" s="146" t="s">
        <v>245</v>
      </c>
      <c r="E740" s="146" t="s">
        <v>2201</v>
      </c>
      <c r="F740" s="146" t="s">
        <v>243</v>
      </c>
      <c r="G740" s="146" t="s">
        <v>2</v>
      </c>
      <c r="H740" s="146" t="s">
        <v>30</v>
      </c>
      <c r="I740" s="146">
        <v>-13.06</v>
      </c>
      <c r="J740" s="146">
        <v>34.299999999999997</v>
      </c>
      <c r="K740" s="146" t="s">
        <v>29</v>
      </c>
      <c r="AV740" s="146" t="s">
        <v>2181</v>
      </c>
      <c r="AW740" s="146">
        <v>1300</v>
      </c>
      <c r="AX740" s="146">
        <v>3900</v>
      </c>
      <c r="AY740" s="146">
        <v>3</v>
      </c>
      <c r="AZ740" s="146" t="s">
        <v>2180</v>
      </c>
      <c r="BA740" s="146">
        <v>2011</v>
      </c>
      <c r="BB740" s="146">
        <v>2014</v>
      </c>
      <c r="BD740" s="146" t="s">
        <v>19</v>
      </c>
      <c r="BE740" s="146" t="s">
        <v>2195</v>
      </c>
      <c r="BF740" s="146" t="s">
        <v>39</v>
      </c>
      <c r="BG740" s="146" t="s">
        <v>1243</v>
      </c>
      <c r="BH740" s="146" t="s">
        <v>23</v>
      </c>
      <c r="BI740" s="146" t="s">
        <v>2176</v>
      </c>
      <c r="BJ740" s="146" t="s">
        <v>22</v>
      </c>
      <c r="BK740" s="146">
        <v>53333</v>
      </c>
      <c r="EJ740" s="150"/>
      <c r="EK740" s="150"/>
      <c r="EL740" s="150"/>
      <c r="EM740" s="150"/>
      <c r="EN740" s="150"/>
      <c r="EO740" s="150"/>
      <c r="EP740" s="150"/>
      <c r="EQ740" s="150"/>
      <c r="ER740" s="150"/>
      <c r="ES740" s="150"/>
      <c r="ET740" s="150"/>
      <c r="EU740" s="150"/>
      <c r="EV740" s="150"/>
      <c r="EW740" s="150"/>
      <c r="EX740" s="150"/>
      <c r="EY740" s="150"/>
      <c r="EZ740" s="150"/>
      <c r="FA740" s="150"/>
      <c r="FB740" s="150"/>
      <c r="FC740" s="150"/>
      <c r="FD740" s="150"/>
      <c r="FE740" s="150"/>
      <c r="FF740" s="150"/>
      <c r="FG740" s="150"/>
      <c r="FH740" s="150"/>
      <c r="FI740" s="150"/>
      <c r="FJ740" s="150"/>
      <c r="FK740" s="150"/>
      <c r="FL740" s="150"/>
      <c r="FM740" s="150"/>
      <c r="FN740" s="150"/>
      <c r="FO740" s="150"/>
      <c r="FP740" s="150"/>
      <c r="FQ740" s="150"/>
      <c r="FR740" s="150"/>
      <c r="FS740" s="150"/>
      <c r="FT740" s="150"/>
      <c r="FU740" s="150"/>
      <c r="FV740" s="150"/>
      <c r="FW740" s="150"/>
      <c r="FX740" s="150"/>
      <c r="FY740" s="150"/>
      <c r="FZ740" s="150"/>
      <c r="GA740" s="150"/>
      <c r="GB740" s="150"/>
      <c r="GC740" s="150"/>
      <c r="GD740" s="150"/>
      <c r="GE740" s="150"/>
      <c r="GF740" s="150"/>
      <c r="GG740" s="150"/>
      <c r="GH740" s="150"/>
      <c r="GI740" s="150"/>
      <c r="GJ740" s="150"/>
      <c r="GK740" s="150"/>
      <c r="GL740" s="150"/>
      <c r="GM740" s="150"/>
      <c r="GN740" s="150"/>
      <c r="GO740" s="150"/>
      <c r="GP740" s="150"/>
      <c r="GQ740" s="150"/>
      <c r="GR740" s="150"/>
      <c r="GS740" s="150"/>
      <c r="GT740" s="150"/>
      <c r="GU740" s="150"/>
      <c r="GV740" s="150"/>
      <c r="GW740" s="150"/>
      <c r="GX740" s="150"/>
      <c r="GY740" s="150"/>
      <c r="GZ740" s="150"/>
      <c r="HA740" s="150"/>
      <c r="HB740" s="150"/>
      <c r="HC740" s="150"/>
      <c r="HD740" s="150"/>
      <c r="HE740" s="150"/>
      <c r="HF740" s="150"/>
      <c r="HG740" s="150"/>
      <c r="HH740" s="150"/>
      <c r="HI740" s="150"/>
      <c r="HJ740" s="150"/>
      <c r="HK740" s="150"/>
      <c r="HL740" s="150" t="s">
        <v>2190</v>
      </c>
      <c r="HM740" s="150" t="s">
        <v>232</v>
      </c>
      <c r="HU740" s="147"/>
      <c r="HV740" s="147"/>
      <c r="HY740" s="147"/>
      <c r="IN740" s="146" t="s">
        <v>2195</v>
      </c>
      <c r="IO740" s="146" t="s">
        <v>19</v>
      </c>
      <c r="IR740" s="146">
        <v>2011</v>
      </c>
      <c r="JI740" s="146" t="s">
        <v>2173</v>
      </c>
      <c r="JK740" s="146" t="s">
        <v>14</v>
      </c>
      <c r="JO740" s="146" t="s">
        <v>13</v>
      </c>
      <c r="JP740" s="146">
        <v>309</v>
      </c>
      <c r="JQ740" s="146">
        <v>93</v>
      </c>
      <c r="KD740" s="146" t="s">
        <v>2172</v>
      </c>
      <c r="KE740" s="146" t="s">
        <v>12</v>
      </c>
      <c r="KF740" s="146" t="s">
        <v>29</v>
      </c>
      <c r="KG740" s="146" t="s">
        <v>29</v>
      </c>
      <c r="KI740" s="146" t="s">
        <v>222</v>
      </c>
      <c r="KJ740" s="146" t="s">
        <v>2187</v>
      </c>
      <c r="KK740" s="146" t="s">
        <v>220</v>
      </c>
      <c r="KL740" s="146">
        <v>7.5</v>
      </c>
      <c r="KM740" s="146" t="s">
        <v>222</v>
      </c>
      <c r="KN740" s="146" t="s">
        <v>2186</v>
      </c>
      <c r="KO740" s="146" t="s">
        <v>220</v>
      </c>
      <c r="KP740" s="146">
        <v>2</v>
      </c>
      <c r="MS740" s="146" t="s">
        <v>2170</v>
      </c>
      <c r="MT740" s="146">
        <v>1300</v>
      </c>
      <c r="MU740" s="146" t="s">
        <v>2194</v>
      </c>
      <c r="MW740" s="146" t="s">
        <v>168</v>
      </c>
      <c r="NE740" s="146" t="s">
        <v>2237</v>
      </c>
      <c r="NF740" s="146" t="s">
        <v>2236</v>
      </c>
      <c r="NG740" s="146" t="s">
        <v>1531</v>
      </c>
      <c r="NH740" s="146" t="s">
        <v>265</v>
      </c>
      <c r="NP740" s="146" t="s">
        <v>745</v>
      </c>
      <c r="NQ740" s="146" t="s">
        <v>6</v>
      </c>
      <c r="NR740" s="146">
        <v>2615.7600000000002</v>
      </c>
      <c r="NS740" s="146" t="s">
        <v>234</v>
      </c>
      <c r="NT740" s="146" t="s">
        <v>234</v>
      </c>
      <c r="NW740" s="146">
        <v>4</v>
      </c>
      <c r="OH740" s="146" t="s">
        <v>2218</v>
      </c>
      <c r="OI740" s="146" t="s">
        <v>2207</v>
      </c>
      <c r="OK740" s="146">
        <v>2011</v>
      </c>
      <c r="OL740" s="146">
        <v>2014</v>
      </c>
      <c r="OO740" s="146" t="s">
        <v>1178</v>
      </c>
      <c r="OP740" s="147">
        <v>46134</v>
      </c>
    </row>
    <row r="741" spans="1:411" s="146" customFormat="1">
      <c r="A741" t="s">
        <v>248</v>
      </c>
      <c r="B741" s="146" t="s">
        <v>2184</v>
      </c>
      <c r="C741" s="146" t="s">
        <v>2183</v>
      </c>
      <c r="D741" s="146" t="s">
        <v>245</v>
      </c>
      <c r="E741" s="146" t="s">
        <v>2201</v>
      </c>
      <c r="F741" s="146" t="s">
        <v>243</v>
      </c>
      <c r="G741" s="146" t="s">
        <v>2</v>
      </c>
      <c r="H741" s="146" t="s">
        <v>30</v>
      </c>
      <c r="I741" s="146">
        <v>-13.06</v>
      </c>
      <c r="J741" s="146">
        <v>34.299999999999997</v>
      </c>
      <c r="K741" s="146" t="s">
        <v>29</v>
      </c>
      <c r="AV741" s="146" t="s">
        <v>2181</v>
      </c>
      <c r="AW741" s="146">
        <v>1300</v>
      </c>
      <c r="AX741" s="146">
        <v>3900</v>
      </c>
      <c r="AY741" s="146">
        <v>3</v>
      </c>
      <c r="AZ741" s="146" t="s">
        <v>2180</v>
      </c>
      <c r="BA741" s="146">
        <v>2011</v>
      </c>
      <c r="BB741" s="146">
        <v>2014</v>
      </c>
      <c r="BD741" s="146" t="s">
        <v>274</v>
      </c>
      <c r="BE741" s="146" t="s">
        <v>2205</v>
      </c>
      <c r="BF741" s="146" t="s">
        <v>64</v>
      </c>
      <c r="BG741" s="146" t="s">
        <v>1243</v>
      </c>
      <c r="BH741" s="146" t="s">
        <v>2024</v>
      </c>
      <c r="BI741" s="146" t="s">
        <v>2200</v>
      </c>
      <c r="BJ741" s="146" t="s">
        <v>22</v>
      </c>
      <c r="BK741" s="146">
        <v>12300</v>
      </c>
      <c r="BL741" s="146" t="s">
        <v>56</v>
      </c>
      <c r="BM741" s="146" t="s">
        <v>2192</v>
      </c>
      <c r="BN741" s="146" t="s">
        <v>2191</v>
      </c>
      <c r="BO741" s="146" t="s">
        <v>22</v>
      </c>
      <c r="BP741" s="146">
        <v>24700</v>
      </c>
      <c r="BQ741" s="146" t="s">
        <v>275</v>
      </c>
      <c r="BR741" s="146" t="s">
        <v>250</v>
      </c>
      <c r="BS741" s="146" t="s">
        <v>2206</v>
      </c>
      <c r="BT741" s="146" t="s">
        <v>22</v>
      </c>
      <c r="BU741" s="146">
        <v>355556</v>
      </c>
      <c r="BV741" s="146" t="s">
        <v>56</v>
      </c>
      <c r="BW741" s="146" t="s">
        <v>2192</v>
      </c>
      <c r="BX741" s="146" t="s">
        <v>2191</v>
      </c>
      <c r="BY741" s="146" t="s">
        <v>22</v>
      </c>
      <c r="BZ741" s="146">
        <v>24700</v>
      </c>
      <c r="CA741" s="146" t="s">
        <v>275</v>
      </c>
      <c r="CB741" s="146" t="s">
        <v>23</v>
      </c>
      <c r="CC741" s="146" t="s">
        <v>2176</v>
      </c>
      <c r="CD741" s="146" t="s">
        <v>22</v>
      </c>
      <c r="CE741" s="146">
        <v>53333</v>
      </c>
      <c r="EJ741" s="150"/>
      <c r="EK741" s="150"/>
      <c r="EL741" s="150"/>
      <c r="EM741" s="150"/>
      <c r="EN741" s="150"/>
      <c r="EO741" s="150"/>
      <c r="EP741" s="150"/>
      <c r="EQ741" s="150"/>
      <c r="ER741" s="150"/>
      <c r="ES741" s="150"/>
      <c r="ET741" s="150"/>
      <c r="EU741" s="150"/>
      <c r="EV741" s="150"/>
      <c r="EW741" s="150"/>
      <c r="EX741" s="150"/>
      <c r="EY741" s="150"/>
      <c r="EZ741" s="150"/>
      <c r="FA741" s="150"/>
      <c r="FB741" s="150"/>
      <c r="FC741" s="150"/>
      <c r="FD741" s="150"/>
      <c r="FE741" s="150"/>
      <c r="FF741" s="150"/>
      <c r="FG741" s="150"/>
      <c r="FH741" s="150"/>
      <c r="FI741" s="150"/>
      <c r="FJ741" s="150"/>
      <c r="FK741" s="150"/>
      <c r="FL741" s="150"/>
      <c r="FM741" s="150"/>
      <c r="FN741" s="150"/>
      <c r="FO741" s="150"/>
      <c r="FP741" s="150"/>
      <c r="FQ741" s="150"/>
      <c r="FR741" s="150"/>
      <c r="FS741" s="150"/>
      <c r="FT741" s="150"/>
      <c r="FU741" s="150"/>
      <c r="FV741" s="150"/>
      <c r="FW741" s="150"/>
      <c r="FX741" s="150"/>
      <c r="FY741" s="150"/>
      <c r="FZ741" s="150"/>
      <c r="GA741" s="150"/>
      <c r="GB741" s="150"/>
      <c r="GC741" s="150"/>
      <c r="GD741" s="150"/>
      <c r="GE741" s="150"/>
      <c r="GF741" s="150"/>
      <c r="GG741" s="150"/>
      <c r="GH741" s="150"/>
      <c r="GI741" s="150"/>
      <c r="GJ741" s="150"/>
      <c r="GK741" s="150"/>
      <c r="GL741" s="150"/>
      <c r="GM741" s="150"/>
      <c r="GN741" s="150"/>
      <c r="GO741" s="150"/>
      <c r="GP741" s="150"/>
      <c r="GQ741" s="150"/>
      <c r="GR741" s="150"/>
      <c r="GS741" s="150"/>
      <c r="GT741" s="150"/>
      <c r="GU741" s="150"/>
      <c r="GV741" s="150"/>
      <c r="GW741" s="150"/>
      <c r="GX741" s="150"/>
      <c r="GY741" s="150"/>
      <c r="GZ741" s="150"/>
      <c r="HA741" s="150"/>
      <c r="HB741" s="150"/>
      <c r="HC741" s="150"/>
      <c r="HD741" s="150"/>
      <c r="HE741" s="150"/>
      <c r="HF741" s="150"/>
      <c r="HG741" s="150"/>
      <c r="HH741" s="150"/>
      <c r="HI741" s="150"/>
      <c r="HJ741" s="150"/>
      <c r="HK741" s="150"/>
      <c r="HL741" s="150" t="s">
        <v>2190</v>
      </c>
      <c r="HM741" s="150" t="s">
        <v>232</v>
      </c>
      <c r="HU741" s="147"/>
      <c r="HV741" s="147"/>
      <c r="HY741" s="147"/>
      <c r="IN741" s="146" t="s">
        <v>2205</v>
      </c>
      <c r="IO741" s="146" t="s">
        <v>273</v>
      </c>
      <c r="IP741" s="146" t="s">
        <v>2188</v>
      </c>
      <c r="IR741" s="146">
        <v>2011</v>
      </c>
      <c r="IT741" s="146" t="s">
        <v>29</v>
      </c>
      <c r="JI741" s="146" t="s">
        <v>2173</v>
      </c>
      <c r="JK741" s="146" t="s">
        <v>14</v>
      </c>
      <c r="JO741" s="146" t="s">
        <v>13</v>
      </c>
      <c r="JP741" s="146">
        <v>103</v>
      </c>
      <c r="JQ741" s="146">
        <v>31</v>
      </c>
      <c r="KD741" s="146" t="s">
        <v>2172</v>
      </c>
      <c r="KE741" s="146" t="s">
        <v>12</v>
      </c>
      <c r="KF741" s="146" t="s">
        <v>29</v>
      </c>
      <c r="KG741" s="146" t="s">
        <v>29</v>
      </c>
      <c r="KI741" s="146" t="s">
        <v>222</v>
      </c>
      <c r="KJ741" s="146" t="s">
        <v>2187</v>
      </c>
      <c r="KK741" s="146" t="s">
        <v>220</v>
      </c>
      <c r="KL741" s="146">
        <v>7.5</v>
      </c>
      <c r="KM741" s="146" t="s">
        <v>222</v>
      </c>
      <c r="KN741" s="146" t="s">
        <v>2186</v>
      </c>
      <c r="KO741" s="146" t="s">
        <v>220</v>
      </c>
      <c r="KP741" s="146">
        <v>1</v>
      </c>
      <c r="KQ741" s="146" t="s">
        <v>219</v>
      </c>
      <c r="KR741" s="146" t="s">
        <v>2204</v>
      </c>
      <c r="KS741" s="146" t="s">
        <v>2203</v>
      </c>
      <c r="KT741" s="146">
        <v>100</v>
      </c>
      <c r="MS741" s="146" t="s">
        <v>2170</v>
      </c>
      <c r="MT741" s="146">
        <v>1300</v>
      </c>
      <c r="MU741" s="146" t="s">
        <v>2202</v>
      </c>
      <c r="MW741" s="146" t="s">
        <v>168</v>
      </c>
      <c r="MX741" s="146" t="s">
        <v>2220</v>
      </c>
      <c r="MY741" s="146" t="s">
        <v>2216</v>
      </c>
      <c r="MZ741" s="146" t="s">
        <v>2223</v>
      </c>
      <c r="NE741" s="146" t="s">
        <v>2237</v>
      </c>
      <c r="NF741" s="146" t="s">
        <v>2236</v>
      </c>
      <c r="NG741" s="146" t="s">
        <v>1531</v>
      </c>
      <c r="NH741" s="146" t="s">
        <v>265</v>
      </c>
      <c r="NQ741" s="146" t="s">
        <v>6</v>
      </c>
      <c r="NR741" s="146">
        <v>1742.42</v>
      </c>
      <c r="NS741" s="146" t="s">
        <v>234</v>
      </c>
      <c r="NT741" s="146" t="s">
        <v>234</v>
      </c>
      <c r="NW741" s="146">
        <v>4</v>
      </c>
      <c r="OH741" s="146" t="s">
        <v>2218</v>
      </c>
      <c r="OI741" s="146" t="s">
        <v>2207</v>
      </c>
      <c r="OK741" s="146">
        <v>2011</v>
      </c>
      <c r="OL741" s="146">
        <v>2014</v>
      </c>
      <c r="OO741" s="146" t="s">
        <v>1178</v>
      </c>
      <c r="OP741" s="147">
        <v>46134</v>
      </c>
    </row>
    <row r="742" spans="1:411" s="146" customFormat="1">
      <c r="A742" t="s">
        <v>248</v>
      </c>
      <c r="B742" s="146" t="s">
        <v>2184</v>
      </c>
      <c r="C742" s="146" t="s">
        <v>2183</v>
      </c>
      <c r="D742" s="146" t="s">
        <v>245</v>
      </c>
      <c r="E742" s="146" t="s">
        <v>2201</v>
      </c>
      <c r="F742" s="146" t="s">
        <v>243</v>
      </c>
      <c r="G742" s="146" t="s">
        <v>2</v>
      </c>
      <c r="H742" s="146" t="s">
        <v>30</v>
      </c>
      <c r="I742" s="146">
        <v>-13.06</v>
      </c>
      <c r="J742" s="146">
        <v>34.299999999999997</v>
      </c>
      <c r="K742" s="146" t="s">
        <v>29</v>
      </c>
      <c r="AV742" s="146" t="s">
        <v>2181</v>
      </c>
      <c r="AW742" s="146">
        <v>1300</v>
      </c>
      <c r="AX742" s="146">
        <v>3900</v>
      </c>
      <c r="AY742" s="146">
        <v>3</v>
      </c>
      <c r="AZ742" s="146" t="s">
        <v>2180</v>
      </c>
      <c r="BA742" s="146">
        <v>2011</v>
      </c>
      <c r="BB742" s="146">
        <v>2014</v>
      </c>
      <c r="BD742" s="146" t="s">
        <v>274</v>
      </c>
      <c r="BE742" s="146" t="s">
        <v>2198</v>
      </c>
      <c r="BF742" s="146" t="s">
        <v>57</v>
      </c>
      <c r="BG742" s="146" t="s">
        <v>1243</v>
      </c>
      <c r="BH742" s="146" t="s">
        <v>2024</v>
      </c>
      <c r="BI742" s="146" t="s">
        <v>2200</v>
      </c>
      <c r="BJ742" s="146" t="s">
        <v>22</v>
      </c>
      <c r="BK742" s="146">
        <v>12300</v>
      </c>
      <c r="BL742" s="146" t="s">
        <v>275</v>
      </c>
      <c r="BM742" s="146" t="s">
        <v>271</v>
      </c>
      <c r="BN742" s="146" t="s">
        <v>2199</v>
      </c>
      <c r="BO742" s="146" t="s">
        <v>22</v>
      </c>
      <c r="BP742" s="146">
        <v>266667</v>
      </c>
      <c r="BQ742" s="146" t="s">
        <v>275</v>
      </c>
      <c r="BR742" s="146" t="s">
        <v>23</v>
      </c>
      <c r="BS742" s="146" t="s">
        <v>2176</v>
      </c>
      <c r="BT742" s="146" t="s">
        <v>22</v>
      </c>
      <c r="BU742" s="146">
        <v>53333</v>
      </c>
      <c r="EJ742" s="150"/>
      <c r="EK742" s="150"/>
      <c r="EL742" s="150"/>
      <c r="EM742" s="150"/>
      <c r="EN742" s="150"/>
      <c r="EO742" s="150"/>
      <c r="EP742" s="150"/>
      <c r="EQ742" s="150"/>
      <c r="ER742" s="150"/>
      <c r="ES742" s="150"/>
      <c r="ET742" s="150"/>
      <c r="EU742" s="150"/>
      <c r="EV742" s="150"/>
      <c r="EW742" s="150"/>
      <c r="EX742" s="150"/>
      <c r="EY742" s="150"/>
      <c r="EZ742" s="150"/>
      <c r="FA742" s="150"/>
      <c r="FB742" s="150"/>
      <c r="FC742" s="150"/>
      <c r="FD742" s="150"/>
      <c r="FE742" s="150"/>
      <c r="FF742" s="150"/>
      <c r="FG742" s="150"/>
      <c r="FH742" s="150"/>
      <c r="FI742" s="150"/>
      <c r="FJ742" s="150"/>
      <c r="FK742" s="150"/>
      <c r="FL742" s="150"/>
      <c r="FM742" s="150"/>
      <c r="FN742" s="150"/>
      <c r="FO742" s="150"/>
      <c r="FP742" s="150"/>
      <c r="FQ742" s="150"/>
      <c r="FR742" s="150"/>
      <c r="FS742" s="150"/>
      <c r="FT742" s="150"/>
      <c r="FU742" s="150"/>
      <c r="FV742" s="150"/>
      <c r="FW742" s="150"/>
      <c r="FX742" s="150"/>
      <c r="FY742" s="150"/>
      <c r="FZ742" s="150"/>
      <c r="GA742" s="150"/>
      <c r="GB742" s="150"/>
      <c r="GC742" s="150"/>
      <c r="GD742" s="150"/>
      <c r="GE742" s="150"/>
      <c r="GF742" s="150"/>
      <c r="GG742" s="150"/>
      <c r="GH742" s="150"/>
      <c r="GI742" s="150"/>
      <c r="GJ742" s="150"/>
      <c r="GK742" s="150"/>
      <c r="GL742" s="150"/>
      <c r="GM742" s="150"/>
      <c r="GN742" s="150"/>
      <c r="GO742" s="150"/>
      <c r="GP742" s="150"/>
      <c r="GQ742" s="150"/>
      <c r="GR742" s="150"/>
      <c r="GS742" s="150"/>
      <c r="GT742" s="150"/>
      <c r="GU742" s="150"/>
      <c r="GV742" s="150"/>
      <c r="GW742" s="150"/>
      <c r="GX742" s="150"/>
      <c r="GY742" s="150"/>
      <c r="GZ742" s="150"/>
      <c r="HA742" s="150"/>
      <c r="HB742" s="150"/>
      <c r="HC742" s="150"/>
      <c r="HD742" s="150"/>
      <c r="HE742" s="150"/>
      <c r="HF742" s="150"/>
      <c r="HG742" s="150"/>
      <c r="HH742" s="150"/>
      <c r="HI742" s="150"/>
      <c r="HJ742" s="150"/>
      <c r="HK742" s="150"/>
      <c r="HL742" s="150" t="s">
        <v>2175</v>
      </c>
      <c r="HM742" s="150" t="s">
        <v>297</v>
      </c>
      <c r="HN742" s="146" t="s">
        <v>29</v>
      </c>
      <c r="HO742" s="146" t="s">
        <v>29</v>
      </c>
      <c r="HP742" s="146" t="s">
        <v>29</v>
      </c>
      <c r="HQ742" s="146" t="s">
        <v>29</v>
      </c>
      <c r="HY742" s="147"/>
      <c r="IN742" s="146" t="s">
        <v>2198</v>
      </c>
      <c r="IO742" s="146" t="s">
        <v>273</v>
      </c>
      <c r="IR742" s="146">
        <v>2011</v>
      </c>
      <c r="IT742" s="146" t="s">
        <v>29</v>
      </c>
      <c r="JI742" s="146" t="s">
        <v>2173</v>
      </c>
      <c r="JK742" s="146" t="s">
        <v>14</v>
      </c>
      <c r="JO742" s="146" t="s">
        <v>13</v>
      </c>
      <c r="JP742" s="146">
        <v>124</v>
      </c>
      <c r="JQ742" s="146">
        <v>50</v>
      </c>
      <c r="KD742" s="146" t="s">
        <v>2172</v>
      </c>
      <c r="KE742" s="146" t="s">
        <v>12</v>
      </c>
      <c r="KF742" s="146" t="s">
        <v>29</v>
      </c>
      <c r="KG742" s="146" t="s">
        <v>29</v>
      </c>
      <c r="KI742" s="146" t="s">
        <v>2171</v>
      </c>
      <c r="MS742" s="146" t="s">
        <v>2170</v>
      </c>
      <c r="MT742" s="146">
        <v>1300</v>
      </c>
      <c r="MU742" s="146" t="s">
        <v>2197</v>
      </c>
      <c r="MW742" s="146" t="s">
        <v>168</v>
      </c>
      <c r="MX742" s="146" t="s">
        <v>2220</v>
      </c>
      <c r="MY742" s="146" t="s">
        <v>271</v>
      </c>
      <c r="NE742" s="146" t="s">
        <v>2237</v>
      </c>
      <c r="NF742" s="146" t="s">
        <v>2236</v>
      </c>
      <c r="NG742" s="146" t="s">
        <v>1531</v>
      </c>
      <c r="NH742" s="146" t="s">
        <v>265</v>
      </c>
      <c r="NQ742" s="146" t="s">
        <v>6</v>
      </c>
      <c r="NR742" s="146">
        <v>1614.17</v>
      </c>
      <c r="NS742" s="146" t="s">
        <v>234</v>
      </c>
      <c r="NT742" s="146" t="s">
        <v>234</v>
      </c>
      <c r="NW742" s="146">
        <v>4</v>
      </c>
      <c r="OH742" s="146" t="s">
        <v>2218</v>
      </c>
      <c r="OI742" s="146" t="s">
        <v>2207</v>
      </c>
      <c r="OK742" s="146">
        <v>2011</v>
      </c>
      <c r="OL742" s="146">
        <v>2014</v>
      </c>
      <c r="OO742" s="146" t="s">
        <v>1178</v>
      </c>
      <c r="OP742" s="147">
        <v>46134</v>
      </c>
    </row>
    <row r="743" spans="1:411" s="146" customFormat="1">
      <c r="A743" s="87" t="s">
        <v>248</v>
      </c>
      <c r="B743" s="146" t="s">
        <v>2184</v>
      </c>
      <c r="C743" s="146" t="s">
        <v>2183</v>
      </c>
      <c r="D743" s="146" t="s">
        <v>245</v>
      </c>
      <c r="E743" s="146" t="s">
        <v>2182</v>
      </c>
      <c r="F743" s="146" t="s">
        <v>243</v>
      </c>
      <c r="G743" s="146" t="s">
        <v>2</v>
      </c>
      <c r="H743" s="146" t="s">
        <v>30</v>
      </c>
      <c r="I743" s="146">
        <v>-13.47</v>
      </c>
      <c r="J743" s="146">
        <v>33.71</v>
      </c>
      <c r="K743" s="146" t="s">
        <v>29</v>
      </c>
      <c r="AV743" s="146" t="s">
        <v>2181</v>
      </c>
      <c r="AW743" s="146">
        <v>2500</v>
      </c>
      <c r="AX743" s="146">
        <v>7500</v>
      </c>
      <c r="AY743" s="146">
        <v>3</v>
      </c>
      <c r="AZ743" s="146" t="s">
        <v>2180</v>
      </c>
      <c r="BA743" s="146">
        <v>2011</v>
      </c>
      <c r="BB743" s="146">
        <v>2014</v>
      </c>
      <c r="BD743" s="146" t="s">
        <v>19</v>
      </c>
      <c r="BE743" s="146" t="s">
        <v>2195</v>
      </c>
      <c r="BF743" s="146" t="s">
        <v>24</v>
      </c>
      <c r="BG743" s="146" t="s">
        <v>1243</v>
      </c>
      <c r="BH743" s="146" t="s">
        <v>23</v>
      </c>
      <c r="BI743" s="146" t="s">
        <v>2176</v>
      </c>
      <c r="BJ743" s="146" t="s">
        <v>22</v>
      </c>
      <c r="BK743" s="146">
        <v>53333</v>
      </c>
      <c r="EJ743" s="150"/>
      <c r="EK743" s="150"/>
      <c r="EL743" s="150"/>
      <c r="EM743" s="150"/>
      <c r="EN743" s="150"/>
      <c r="EO743" s="150"/>
      <c r="EP743" s="150"/>
      <c r="EQ743" s="150"/>
      <c r="ER743" s="150"/>
      <c r="ES743" s="150"/>
      <c r="ET743" s="150"/>
      <c r="EU743" s="150"/>
      <c r="EV743" s="150"/>
      <c r="EW743" s="150"/>
      <c r="EX743" s="150"/>
      <c r="EY743" s="150"/>
      <c r="EZ743" s="150"/>
      <c r="FA743" s="150"/>
      <c r="FB743" s="150"/>
      <c r="FC743" s="150"/>
      <c r="FD743" s="150"/>
      <c r="FE743" s="150"/>
      <c r="FF743" s="150"/>
      <c r="FG743" s="150"/>
      <c r="FH743" s="150"/>
      <c r="FI743" s="150"/>
      <c r="FJ743" s="150"/>
      <c r="FK743" s="150"/>
      <c r="FL743" s="150"/>
      <c r="FM743" s="150"/>
      <c r="FN743" s="150"/>
      <c r="FO743" s="150"/>
      <c r="FP743" s="150"/>
      <c r="FQ743" s="150"/>
      <c r="FR743" s="150"/>
      <c r="FS743" s="150"/>
      <c r="FT743" s="150"/>
      <c r="FU743" s="150"/>
      <c r="FV743" s="150"/>
      <c r="FW743" s="150"/>
      <c r="FX743" s="150"/>
      <c r="FY743" s="150"/>
      <c r="FZ743" s="150"/>
      <c r="GA743" s="150"/>
      <c r="GB743" s="150"/>
      <c r="GC743" s="150"/>
      <c r="GD743" s="150"/>
      <c r="GE743" s="150"/>
      <c r="GF743" s="150"/>
      <c r="GG743" s="150"/>
      <c r="GH743" s="150"/>
      <c r="GI743" s="150"/>
      <c r="GJ743" s="150"/>
      <c r="GK743" s="150"/>
      <c r="GL743" s="150"/>
      <c r="GM743" s="150"/>
      <c r="GN743" s="150"/>
      <c r="GO743" s="150"/>
      <c r="GP743" s="150"/>
      <c r="GQ743" s="150"/>
      <c r="GR743" s="150"/>
      <c r="GS743" s="150"/>
      <c r="GT743" s="150"/>
      <c r="GU743" s="150"/>
      <c r="GV743" s="150"/>
      <c r="GW743" s="150"/>
      <c r="GX743" s="150"/>
      <c r="GY743" s="150"/>
      <c r="GZ743" s="150"/>
      <c r="HA743" s="150"/>
      <c r="HB743" s="150"/>
      <c r="HC743" s="150"/>
      <c r="HD743" s="150"/>
      <c r="HE743" s="150"/>
      <c r="HF743" s="150"/>
      <c r="HG743" s="150"/>
      <c r="HH743" s="150"/>
      <c r="HI743" s="150"/>
      <c r="HJ743" s="150"/>
      <c r="HK743" s="150"/>
      <c r="HL743" s="150" t="s">
        <v>2190</v>
      </c>
      <c r="HM743" s="150" t="s">
        <v>232</v>
      </c>
      <c r="HY743" s="147"/>
      <c r="IN743" s="146" t="s">
        <v>2195</v>
      </c>
      <c r="IO743" s="146" t="s">
        <v>19</v>
      </c>
      <c r="IR743" s="146">
        <v>2011</v>
      </c>
      <c r="JI743" s="146" t="s">
        <v>2173</v>
      </c>
      <c r="JK743" s="146" t="s">
        <v>14</v>
      </c>
      <c r="JO743" s="146" t="s">
        <v>13</v>
      </c>
      <c r="JP743" s="146">
        <v>309</v>
      </c>
      <c r="JQ743" s="146">
        <v>93</v>
      </c>
      <c r="KD743" s="146" t="s">
        <v>2172</v>
      </c>
      <c r="KE743" s="146" t="s">
        <v>12</v>
      </c>
      <c r="KF743" s="146" t="s">
        <v>29</v>
      </c>
      <c r="KG743" s="146" t="s">
        <v>29</v>
      </c>
      <c r="KI743" s="146" t="s">
        <v>222</v>
      </c>
      <c r="KJ743" s="146" t="s">
        <v>2187</v>
      </c>
      <c r="KK743" s="146" t="s">
        <v>220</v>
      </c>
      <c r="KL743" s="146">
        <v>7.5</v>
      </c>
      <c r="KM743" s="146" t="s">
        <v>222</v>
      </c>
      <c r="KN743" s="146" t="s">
        <v>2186</v>
      </c>
      <c r="KO743" s="146" t="s">
        <v>220</v>
      </c>
      <c r="KP743" s="146">
        <v>2</v>
      </c>
      <c r="MS743" s="146" t="s">
        <v>2170</v>
      </c>
      <c r="MT743" s="146">
        <v>2500</v>
      </c>
      <c r="MU743" s="146" t="s">
        <v>2194</v>
      </c>
      <c r="MW743" s="146" t="s">
        <v>168</v>
      </c>
      <c r="NE743" s="146" t="s">
        <v>2237</v>
      </c>
      <c r="NF743" s="146" t="s">
        <v>2236</v>
      </c>
      <c r="NG743" s="146" t="s">
        <v>1531</v>
      </c>
      <c r="NH743" s="146" t="s">
        <v>265</v>
      </c>
      <c r="NP743" s="146" t="s">
        <v>2193</v>
      </c>
      <c r="NQ743" s="146" t="s">
        <v>6</v>
      </c>
      <c r="NR743" s="146">
        <v>2573</v>
      </c>
      <c r="NS743" s="146" t="s">
        <v>234</v>
      </c>
      <c r="NT743" s="146" t="s">
        <v>234</v>
      </c>
      <c r="NW743" s="146">
        <v>4</v>
      </c>
      <c r="OH743" s="146" t="s">
        <v>2208</v>
      </c>
      <c r="OI743" s="146" t="s">
        <v>2207</v>
      </c>
      <c r="OK743" s="146">
        <v>2011</v>
      </c>
      <c r="OL743" s="146">
        <v>2014</v>
      </c>
      <c r="OO743" s="146" t="s">
        <v>1178</v>
      </c>
      <c r="OP743" s="147">
        <v>46134</v>
      </c>
    </row>
    <row r="744" spans="1:411" s="146" customFormat="1">
      <c r="A744" t="s">
        <v>248</v>
      </c>
      <c r="B744" s="146" t="s">
        <v>2184</v>
      </c>
      <c r="C744" s="146" t="s">
        <v>2183</v>
      </c>
      <c r="D744" s="146" t="s">
        <v>245</v>
      </c>
      <c r="E744" s="146" t="s">
        <v>2182</v>
      </c>
      <c r="F744" s="146" t="s">
        <v>243</v>
      </c>
      <c r="G744" s="146" t="s">
        <v>2</v>
      </c>
      <c r="H744" s="146" t="s">
        <v>30</v>
      </c>
      <c r="I744" s="146">
        <v>-13.47</v>
      </c>
      <c r="J744" s="146">
        <v>33.71</v>
      </c>
      <c r="K744" s="146" t="s">
        <v>29</v>
      </c>
      <c r="AV744" s="146" t="s">
        <v>2181</v>
      </c>
      <c r="AW744" s="146">
        <v>2500</v>
      </c>
      <c r="AX744" s="146">
        <v>7500</v>
      </c>
      <c r="AY744" s="146">
        <v>3</v>
      </c>
      <c r="AZ744" s="146" t="s">
        <v>2180</v>
      </c>
      <c r="BA744" s="146">
        <v>2011</v>
      </c>
      <c r="BB744" s="146">
        <v>2014</v>
      </c>
      <c r="BD744" s="146" t="s">
        <v>274</v>
      </c>
      <c r="BE744" s="146" t="s">
        <v>2189</v>
      </c>
      <c r="BF744" s="146" t="s">
        <v>48</v>
      </c>
      <c r="BG744" s="146" t="s">
        <v>1243</v>
      </c>
      <c r="BH744" s="146" t="s">
        <v>2179</v>
      </c>
      <c r="BI744" s="146" t="s">
        <v>2178</v>
      </c>
      <c r="BJ744" s="146" t="s">
        <v>22</v>
      </c>
      <c r="BK744" s="146">
        <v>3700</v>
      </c>
      <c r="BL744" s="146" t="s">
        <v>56</v>
      </c>
      <c r="BM744" s="146" t="s">
        <v>2192</v>
      </c>
      <c r="BN744" s="146" t="s">
        <v>2191</v>
      </c>
      <c r="BO744" s="146" t="s">
        <v>22</v>
      </c>
      <c r="BP744" s="146">
        <v>18500</v>
      </c>
      <c r="BQ744" s="146" t="s">
        <v>275</v>
      </c>
      <c r="BR744" s="146" t="s">
        <v>1677</v>
      </c>
      <c r="BS744" s="146" t="s">
        <v>2177</v>
      </c>
      <c r="BT744" s="146" t="s">
        <v>22</v>
      </c>
      <c r="BU744" s="146">
        <v>222200</v>
      </c>
      <c r="BV744" s="146" t="s">
        <v>275</v>
      </c>
      <c r="BW744" s="146" t="s">
        <v>23</v>
      </c>
      <c r="BX744" s="146" t="s">
        <v>2176</v>
      </c>
      <c r="BY744" s="146" t="s">
        <v>22</v>
      </c>
      <c r="BZ744" s="146">
        <v>53333</v>
      </c>
      <c r="EJ744" s="150"/>
      <c r="EK744" s="150"/>
      <c r="EL744" s="150"/>
      <c r="EM744" s="150"/>
      <c r="EN744" s="150"/>
      <c r="EO744" s="150"/>
      <c r="EP744" s="150"/>
      <c r="EQ744" s="150"/>
      <c r="ER744" s="150"/>
      <c r="ES744" s="150"/>
      <c r="ET744" s="150"/>
      <c r="EU744" s="150"/>
      <c r="EV744" s="150"/>
      <c r="EW744" s="150"/>
      <c r="EX744" s="150"/>
      <c r="EY744" s="150"/>
      <c r="EZ744" s="150"/>
      <c r="FA744" s="150"/>
      <c r="FB744" s="150"/>
      <c r="FC744" s="150"/>
      <c r="FD744" s="150"/>
      <c r="FE744" s="150"/>
      <c r="FF744" s="150"/>
      <c r="FG744" s="150"/>
      <c r="FH744" s="150"/>
      <c r="FI744" s="150"/>
      <c r="FJ744" s="150"/>
      <c r="FK744" s="150"/>
      <c r="FL744" s="150"/>
      <c r="FM744" s="150"/>
      <c r="FN744" s="150"/>
      <c r="FO744" s="150"/>
      <c r="FP744" s="150"/>
      <c r="FQ744" s="150"/>
      <c r="FR744" s="150"/>
      <c r="FS744" s="150"/>
      <c r="FT744" s="150"/>
      <c r="FU744" s="150"/>
      <c r="FV744" s="150"/>
      <c r="FW744" s="150"/>
      <c r="FX744" s="150"/>
      <c r="FY744" s="150"/>
      <c r="FZ744" s="150"/>
      <c r="GA744" s="150"/>
      <c r="GB744" s="150"/>
      <c r="GC744" s="150"/>
      <c r="GD744" s="150"/>
      <c r="GE744" s="150"/>
      <c r="GF744" s="150"/>
      <c r="GG744" s="150"/>
      <c r="GH744" s="150"/>
      <c r="GI744" s="150"/>
      <c r="GJ744" s="150"/>
      <c r="GK744" s="150"/>
      <c r="GL744" s="150"/>
      <c r="GM744" s="150"/>
      <c r="GN744" s="150"/>
      <c r="GO744" s="150"/>
      <c r="GP744" s="150"/>
      <c r="GQ744" s="150"/>
      <c r="GR744" s="150"/>
      <c r="GS744" s="150"/>
      <c r="GT744" s="150"/>
      <c r="GU744" s="150"/>
      <c r="GV744" s="150"/>
      <c r="GW744" s="150"/>
      <c r="GX744" s="150"/>
      <c r="GY744" s="150"/>
      <c r="GZ744" s="150"/>
      <c r="HA744" s="150"/>
      <c r="HB744" s="150"/>
      <c r="HC744" s="150"/>
      <c r="HD744" s="150"/>
      <c r="HE744" s="150"/>
      <c r="HF744" s="150"/>
      <c r="HG744" s="150"/>
      <c r="HH744" s="150"/>
      <c r="HI744" s="150"/>
      <c r="HJ744" s="150"/>
      <c r="HK744" s="150"/>
      <c r="HL744" s="150" t="s">
        <v>2190</v>
      </c>
      <c r="HM744" s="150" t="s">
        <v>232</v>
      </c>
      <c r="HY744" s="147"/>
      <c r="IN744" s="146" t="s">
        <v>2189</v>
      </c>
      <c r="IO744" s="146" t="s">
        <v>273</v>
      </c>
      <c r="IP744" s="146" t="s">
        <v>2188</v>
      </c>
      <c r="IR744" s="146">
        <v>2011</v>
      </c>
      <c r="IT744" s="146" t="s">
        <v>29</v>
      </c>
      <c r="JI744" s="146" t="s">
        <v>2173</v>
      </c>
      <c r="JK744" s="146" t="s">
        <v>14</v>
      </c>
      <c r="JO744" s="146" t="s">
        <v>13</v>
      </c>
      <c r="JP744" s="146">
        <v>131</v>
      </c>
      <c r="JQ744" s="146">
        <v>59</v>
      </c>
      <c r="KD744" s="146" t="s">
        <v>2172</v>
      </c>
      <c r="KE744" s="146" t="s">
        <v>12</v>
      </c>
      <c r="KF744" s="146" t="s">
        <v>29</v>
      </c>
      <c r="KG744" s="146" t="s">
        <v>29</v>
      </c>
      <c r="KI744" s="146" t="s">
        <v>222</v>
      </c>
      <c r="KJ744" s="146" t="s">
        <v>2187</v>
      </c>
      <c r="KK744" s="146" t="s">
        <v>220</v>
      </c>
      <c r="KL744" s="146">
        <v>7.5</v>
      </c>
      <c r="KM744" s="146" t="s">
        <v>222</v>
      </c>
      <c r="KN744" s="146" t="s">
        <v>2186</v>
      </c>
      <c r="KO744" s="146" t="s">
        <v>220</v>
      </c>
      <c r="KP744" s="146">
        <v>1</v>
      </c>
      <c r="MS744" s="146" t="s">
        <v>2170</v>
      </c>
      <c r="MT744" s="146">
        <v>2500</v>
      </c>
      <c r="MU744" s="146" t="s">
        <v>2185</v>
      </c>
      <c r="MW744" s="146" t="s">
        <v>168</v>
      </c>
      <c r="MX744" s="146" t="s">
        <v>2213</v>
      </c>
      <c r="MY744" s="146" t="s">
        <v>2216</v>
      </c>
      <c r="MZ744" s="146" t="s">
        <v>2212</v>
      </c>
      <c r="NE744" s="146" t="s">
        <v>2237</v>
      </c>
      <c r="NF744" s="146" t="s">
        <v>2236</v>
      </c>
      <c r="NG744" s="146" t="s">
        <v>1531</v>
      </c>
      <c r="NH744" s="146" t="s">
        <v>265</v>
      </c>
      <c r="NQ744" s="146" t="s">
        <v>6</v>
      </c>
      <c r="NR744" s="146">
        <v>2160.09</v>
      </c>
      <c r="NS744" s="146" t="s">
        <v>234</v>
      </c>
      <c r="NT744" s="146" t="s">
        <v>234</v>
      </c>
      <c r="NW744" s="146">
        <v>4</v>
      </c>
      <c r="OH744" s="146" t="s">
        <v>2208</v>
      </c>
      <c r="OI744" s="146" t="s">
        <v>2207</v>
      </c>
      <c r="OK744" s="146">
        <v>2011</v>
      </c>
      <c r="OL744" s="146">
        <v>2014</v>
      </c>
      <c r="OO744" s="146" t="s">
        <v>1178</v>
      </c>
      <c r="OP744" s="147">
        <v>46134</v>
      </c>
    </row>
    <row r="745" spans="1:411" s="146" customFormat="1">
      <c r="A745" t="s">
        <v>248</v>
      </c>
      <c r="B745" s="146" t="s">
        <v>2184</v>
      </c>
      <c r="C745" s="146" t="s">
        <v>2183</v>
      </c>
      <c r="D745" s="146" t="s">
        <v>245</v>
      </c>
      <c r="E745" s="146" t="s">
        <v>2182</v>
      </c>
      <c r="F745" s="146" t="s">
        <v>243</v>
      </c>
      <c r="G745" s="146" t="s">
        <v>2</v>
      </c>
      <c r="H745" s="146" t="s">
        <v>30</v>
      </c>
      <c r="I745" s="146">
        <v>-13.47</v>
      </c>
      <c r="J745" s="146">
        <v>33.71</v>
      </c>
      <c r="K745" s="146" t="s">
        <v>29</v>
      </c>
      <c r="AV745" s="146" t="s">
        <v>2181</v>
      </c>
      <c r="AW745" s="146">
        <v>2500</v>
      </c>
      <c r="AX745" s="146">
        <v>7500</v>
      </c>
      <c r="AY745" s="146">
        <v>3</v>
      </c>
      <c r="AZ745" s="146" t="s">
        <v>2180</v>
      </c>
      <c r="BA745" s="146">
        <v>2011</v>
      </c>
      <c r="BB745" s="146">
        <v>2014</v>
      </c>
      <c r="BD745" s="146" t="s">
        <v>274</v>
      </c>
      <c r="BE745" s="146" t="s">
        <v>2174</v>
      </c>
      <c r="BF745" s="146" t="s">
        <v>43</v>
      </c>
      <c r="BG745" s="146" t="s">
        <v>1243</v>
      </c>
      <c r="BH745" s="146" t="s">
        <v>2179</v>
      </c>
      <c r="BI745" s="146" t="s">
        <v>2178</v>
      </c>
      <c r="BJ745" s="146" t="s">
        <v>22</v>
      </c>
      <c r="BK745" s="146">
        <v>3700</v>
      </c>
      <c r="BL745" s="146" t="s">
        <v>275</v>
      </c>
      <c r="BM745" s="146" t="s">
        <v>1677</v>
      </c>
      <c r="BN745" s="146" t="s">
        <v>2177</v>
      </c>
      <c r="BO745" s="146" t="s">
        <v>22</v>
      </c>
      <c r="BP745" s="146">
        <v>177800</v>
      </c>
      <c r="BQ745" s="146" t="s">
        <v>275</v>
      </c>
      <c r="BR745" s="146" t="s">
        <v>23</v>
      </c>
      <c r="BS745" s="146" t="s">
        <v>2176</v>
      </c>
      <c r="BT745" s="146" t="s">
        <v>22</v>
      </c>
      <c r="BU745" s="146">
        <v>53333</v>
      </c>
      <c r="EJ745" s="150"/>
      <c r="EK745" s="150"/>
      <c r="EL745" s="150"/>
      <c r="EM745" s="150"/>
      <c r="EN745" s="150"/>
      <c r="EO745" s="150"/>
      <c r="EP745" s="150"/>
      <c r="EQ745" s="150"/>
      <c r="ER745" s="150"/>
      <c r="ES745" s="150"/>
      <c r="ET745" s="150"/>
      <c r="EU745" s="150"/>
      <c r="EV745" s="150"/>
      <c r="EW745" s="150"/>
      <c r="EX745" s="150"/>
      <c r="EY745" s="150"/>
      <c r="EZ745" s="150"/>
      <c r="FA745" s="150"/>
      <c r="FB745" s="150"/>
      <c r="FC745" s="150"/>
      <c r="FD745" s="150"/>
      <c r="FE745" s="150"/>
      <c r="FF745" s="150"/>
      <c r="FG745" s="150"/>
      <c r="FH745" s="150"/>
      <c r="FI745" s="150"/>
      <c r="FJ745" s="150"/>
      <c r="FK745" s="150"/>
      <c r="FL745" s="150"/>
      <c r="FM745" s="150"/>
      <c r="FN745" s="150"/>
      <c r="FO745" s="150"/>
      <c r="FP745" s="150"/>
      <c r="FQ745" s="150"/>
      <c r="FR745" s="150"/>
      <c r="FS745" s="150"/>
      <c r="FT745" s="150"/>
      <c r="FU745" s="150"/>
      <c r="FV745" s="150"/>
      <c r="FW745" s="150"/>
      <c r="FX745" s="150"/>
      <c r="FY745" s="150"/>
      <c r="FZ745" s="150"/>
      <c r="GA745" s="150"/>
      <c r="GB745" s="150"/>
      <c r="GC745" s="150"/>
      <c r="GD745" s="150"/>
      <c r="GE745" s="150"/>
      <c r="GF745" s="150"/>
      <c r="GG745" s="150"/>
      <c r="GH745" s="150"/>
      <c r="GI745" s="150"/>
      <c r="GJ745" s="150"/>
      <c r="GK745" s="150"/>
      <c r="GL745" s="150"/>
      <c r="GM745" s="150"/>
      <c r="GN745" s="150"/>
      <c r="GO745" s="150"/>
      <c r="GP745" s="150"/>
      <c r="GQ745" s="150"/>
      <c r="GR745" s="150"/>
      <c r="GS745" s="150"/>
      <c r="GT745" s="150"/>
      <c r="GU745" s="150"/>
      <c r="GV745" s="150"/>
      <c r="GW745" s="150"/>
      <c r="GX745" s="150"/>
      <c r="GY745" s="150"/>
      <c r="GZ745" s="150"/>
      <c r="HA745" s="150"/>
      <c r="HB745" s="150"/>
      <c r="HC745" s="150"/>
      <c r="HD745" s="150"/>
      <c r="HE745" s="150"/>
      <c r="HF745" s="150"/>
      <c r="HG745" s="150"/>
      <c r="HH745" s="150"/>
      <c r="HI745" s="150"/>
      <c r="HJ745" s="150"/>
      <c r="HK745" s="150"/>
      <c r="HL745" s="150" t="s">
        <v>2175</v>
      </c>
      <c r="HM745" s="150" t="s">
        <v>297</v>
      </c>
      <c r="HN745" s="146" t="s">
        <v>29</v>
      </c>
      <c r="HO745" s="146" t="s">
        <v>29</v>
      </c>
      <c r="HP745" s="146" t="s">
        <v>29</v>
      </c>
      <c r="HQ745" s="146" t="s">
        <v>29</v>
      </c>
      <c r="HY745" s="147"/>
      <c r="IN745" s="146" t="s">
        <v>2174</v>
      </c>
      <c r="IO745" s="146" t="s">
        <v>273</v>
      </c>
      <c r="IP745" s="146" t="s">
        <v>838</v>
      </c>
      <c r="IR745" s="146">
        <v>2011</v>
      </c>
      <c r="IT745" s="146" t="s">
        <v>29</v>
      </c>
      <c r="JI745" s="146" t="s">
        <v>2173</v>
      </c>
      <c r="JK745" s="146" t="s">
        <v>14</v>
      </c>
      <c r="JO745" s="146" t="s">
        <v>13</v>
      </c>
      <c r="JP745" s="146">
        <v>131</v>
      </c>
      <c r="JQ745" s="146">
        <v>59</v>
      </c>
      <c r="KD745" s="146" t="s">
        <v>2172</v>
      </c>
      <c r="KE745" s="146" t="s">
        <v>12</v>
      </c>
      <c r="KF745" s="146" t="s">
        <v>29</v>
      </c>
      <c r="KG745" s="146" t="s">
        <v>29</v>
      </c>
      <c r="KI745" s="146" t="s">
        <v>2171</v>
      </c>
      <c r="MS745" s="146" t="s">
        <v>2170</v>
      </c>
      <c r="MT745" s="146">
        <v>2500</v>
      </c>
      <c r="MU745" s="146" t="s">
        <v>2169</v>
      </c>
      <c r="MW745" s="146" t="s">
        <v>168</v>
      </c>
      <c r="MX745" s="146" t="s">
        <v>2213</v>
      </c>
      <c r="MY745" s="146" t="s">
        <v>2212</v>
      </c>
      <c r="NE745" s="146" t="s">
        <v>2237</v>
      </c>
      <c r="NF745" s="146" t="s">
        <v>2236</v>
      </c>
      <c r="NG745" s="146" t="s">
        <v>1531</v>
      </c>
      <c r="NH745" s="146" t="s">
        <v>265</v>
      </c>
      <c r="NQ745" s="146" t="s">
        <v>6</v>
      </c>
      <c r="NR745" s="146">
        <v>2359.15</v>
      </c>
      <c r="NS745" s="146" t="s">
        <v>234</v>
      </c>
      <c r="NT745" s="146" t="s">
        <v>234</v>
      </c>
      <c r="NW745" s="146">
        <v>4</v>
      </c>
      <c r="OH745" s="146" t="s">
        <v>2208</v>
      </c>
      <c r="OI745" s="146" t="s">
        <v>2207</v>
      </c>
      <c r="OK745" s="146">
        <v>2011</v>
      </c>
      <c r="OL745" s="146">
        <v>2014</v>
      </c>
      <c r="OO745" s="146" t="s">
        <v>1178</v>
      </c>
      <c r="OP745" s="147">
        <v>46134</v>
      </c>
    </row>
    <row r="746" spans="1:411" s="146" customFormat="1">
      <c r="A746" s="87" t="s">
        <v>248</v>
      </c>
      <c r="B746" s="146" t="s">
        <v>2184</v>
      </c>
      <c r="C746" s="146" t="s">
        <v>2183</v>
      </c>
      <c r="D746" s="146" t="s">
        <v>245</v>
      </c>
      <c r="E746" s="146" t="s">
        <v>2201</v>
      </c>
      <c r="F746" s="146" t="s">
        <v>243</v>
      </c>
      <c r="G746" s="146" t="s">
        <v>2</v>
      </c>
      <c r="H746" s="146" t="s">
        <v>30</v>
      </c>
      <c r="I746" s="146">
        <v>-13.06</v>
      </c>
      <c r="J746" s="146">
        <v>34.299999999999997</v>
      </c>
      <c r="K746" s="146" t="s">
        <v>29</v>
      </c>
      <c r="AV746" s="146" t="s">
        <v>2181</v>
      </c>
      <c r="AW746" s="146">
        <v>1300</v>
      </c>
      <c r="AX746" s="146">
        <v>3900</v>
      </c>
      <c r="AY746" s="146">
        <v>3</v>
      </c>
      <c r="AZ746" s="146" t="s">
        <v>2180</v>
      </c>
      <c r="BA746" s="146">
        <v>2011</v>
      </c>
      <c r="BB746" s="146">
        <v>2014</v>
      </c>
      <c r="BD746" s="146" t="s">
        <v>19</v>
      </c>
      <c r="BE746" s="146" t="s">
        <v>2195</v>
      </c>
      <c r="BF746" s="146" t="s">
        <v>39</v>
      </c>
      <c r="BG746" s="146" t="s">
        <v>1243</v>
      </c>
      <c r="BH746" s="146" t="s">
        <v>23</v>
      </c>
      <c r="BI746" s="146" t="s">
        <v>2176</v>
      </c>
      <c r="BJ746" s="146" t="s">
        <v>22</v>
      </c>
      <c r="BK746" s="146">
        <v>53333</v>
      </c>
      <c r="EJ746" s="150"/>
      <c r="EK746" s="150"/>
      <c r="EL746" s="150"/>
      <c r="EM746" s="150"/>
      <c r="EN746" s="150"/>
      <c r="EO746" s="150"/>
      <c r="EP746" s="150"/>
      <c r="EQ746" s="150"/>
      <c r="ER746" s="150"/>
      <c r="ES746" s="150"/>
      <c r="ET746" s="150"/>
      <c r="EU746" s="150"/>
      <c r="EV746" s="150"/>
      <c r="EW746" s="150"/>
      <c r="EX746" s="150"/>
      <c r="EY746" s="150"/>
      <c r="EZ746" s="150"/>
      <c r="FA746" s="150"/>
      <c r="FB746" s="150"/>
      <c r="FC746" s="150"/>
      <c r="FD746" s="150"/>
      <c r="FE746" s="150"/>
      <c r="FF746" s="150"/>
      <c r="FG746" s="150"/>
      <c r="FH746" s="150"/>
      <c r="FI746" s="150"/>
      <c r="FJ746" s="150"/>
      <c r="FK746" s="150"/>
      <c r="FL746" s="150"/>
      <c r="FM746" s="150"/>
      <c r="FN746" s="150"/>
      <c r="FO746" s="150"/>
      <c r="FP746" s="150"/>
      <c r="FQ746" s="150"/>
      <c r="FR746" s="150"/>
      <c r="FS746" s="150"/>
      <c r="FT746" s="150"/>
      <c r="FU746" s="150"/>
      <c r="FV746" s="150"/>
      <c r="FW746" s="150"/>
      <c r="FX746" s="150"/>
      <c r="FY746" s="150"/>
      <c r="FZ746" s="150"/>
      <c r="GA746" s="150"/>
      <c r="GB746" s="150"/>
      <c r="GC746" s="150"/>
      <c r="GD746" s="150"/>
      <c r="GE746" s="150"/>
      <c r="GF746" s="150"/>
      <c r="GG746" s="150"/>
      <c r="GH746" s="150"/>
      <c r="GI746" s="150"/>
      <c r="GJ746" s="150"/>
      <c r="GK746" s="150"/>
      <c r="GL746" s="150"/>
      <c r="GM746" s="150"/>
      <c r="GN746" s="150"/>
      <c r="GO746" s="150"/>
      <c r="GP746" s="150"/>
      <c r="GQ746" s="150"/>
      <c r="GR746" s="150"/>
      <c r="GS746" s="150"/>
      <c r="GT746" s="150"/>
      <c r="GU746" s="150"/>
      <c r="GV746" s="150"/>
      <c r="GW746" s="150"/>
      <c r="GX746" s="150"/>
      <c r="GY746" s="150"/>
      <c r="GZ746" s="150"/>
      <c r="HA746" s="150"/>
      <c r="HB746" s="150"/>
      <c r="HC746" s="150"/>
      <c r="HD746" s="150"/>
      <c r="HE746" s="150"/>
      <c r="HF746" s="150"/>
      <c r="HG746" s="150"/>
      <c r="HH746" s="150"/>
      <c r="HI746" s="150"/>
      <c r="HJ746" s="150"/>
      <c r="HK746" s="150"/>
      <c r="HL746" s="150" t="s">
        <v>2190</v>
      </c>
      <c r="HM746" s="150" t="s">
        <v>232</v>
      </c>
      <c r="HU746" s="147"/>
      <c r="HV746" s="147"/>
      <c r="HY746" s="147"/>
      <c r="IN746" s="146" t="s">
        <v>2195</v>
      </c>
      <c r="IO746" s="146" t="s">
        <v>19</v>
      </c>
      <c r="IR746" s="146">
        <v>2011</v>
      </c>
      <c r="JI746" s="146" t="s">
        <v>2173</v>
      </c>
      <c r="JK746" s="146" t="s">
        <v>14</v>
      </c>
      <c r="JO746" s="146" t="s">
        <v>13</v>
      </c>
      <c r="JP746" s="146">
        <v>309</v>
      </c>
      <c r="JQ746" s="146">
        <v>93</v>
      </c>
      <c r="KD746" s="146" t="s">
        <v>2172</v>
      </c>
      <c r="KE746" s="146" t="s">
        <v>12</v>
      </c>
      <c r="KF746" s="146" t="s">
        <v>29</v>
      </c>
      <c r="KG746" s="146" t="s">
        <v>29</v>
      </c>
      <c r="KI746" s="146" t="s">
        <v>222</v>
      </c>
      <c r="KJ746" s="146" t="s">
        <v>2187</v>
      </c>
      <c r="KK746" s="146" t="s">
        <v>220</v>
      </c>
      <c r="KL746" s="146">
        <v>7.5</v>
      </c>
      <c r="KM746" s="146" t="s">
        <v>222</v>
      </c>
      <c r="KN746" s="146" t="s">
        <v>2186</v>
      </c>
      <c r="KO746" s="146" t="s">
        <v>220</v>
      </c>
      <c r="KP746" s="146">
        <v>2</v>
      </c>
      <c r="MS746" s="146" t="s">
        <v>2170</v>
      </c>
      <c r="MT746" s="146">
        <v>1300</v>
      </c>
      <c r="ND746" s="146" t="s">
        <v>2229</v>
      </c>
      <c r="NE746" s="146" t="s">
        <v>2235</v>
      </c>
      <c r="NF746" s="146" t="s">
        <v>2227</v>
      </c>
      <c r="NG746" s="146" t="s">
        <v>671</v>
      </c>
      <c r="NH746" s="146" t="s">
        <v>265</v>
      </c>
      <c r="NP746" s="146" t="s">
        <v>745</v>
      </c>
      <c r="NQ746" s="146" t="s">
        <v>6</v>
      </c>
      <c r="NR746" s="146">
        <v>449.66</v>
      </c>
      <c r="NS746" s="146" t="s">
        <v>234</v>
      </c>
      <c r="NT746" s="146" t="s">
        <v>234</v>
      </c>
      <c r="NW746" s="146">
        <v>4</v>
      </c>
      <c r="OH746" s="146" t="s">
        <v>2218</v>
      </c>
      <c r="OI746" s="146" t="s">
        <v>2207</v>
      </c>
      <c r="OK746" s="146">
        <v>2011</v>
      </c>
      <c r="OL746" s="146">
        <v>2014</v>
      </c>
      <c r="OO746" s="146" t="s">
        <v>1178</v>
      </c>
      <c r="OP746" s="147">
        <v>46134</v>
      </c>
    </row>
    <row r="747" spans="1:411" s="146" customFormat="1">
      <c r="A747" t="s">
        <v>248</v>
      </c>
      <c r="B747" s="146" t="s">
        <v>2184</v>
      </c>
      <c r="C747" s="146" t="s">
        <v>2183</v>
      </c>
      <c r="D747" s="146" t="s">
        <v>245</v>
      </c>
      <c r="E747" s="146" t="s">
        <v>2201</v>
      </c>
      <c r="F747" s="146" t="s">
        <v>243</v>
      </c>
      <c r="G747" s="146" t="s">
        <v>2</v>
      </c>
      <c r="H747" s="146" t="s">
        <v>30</v>
      </c>
      <c r="I747" s="146">
        <v>-13.06</v>
      </c>
      <c r="J747" s="146">
        <v>34.299999999999997</v>
      </c>
      <c r="K747" s="146" t="s">
        <v>29</v>
      </c>
      <c r="AV747" s="146" t="s">
        <v>2181</v>
      </c>
      <c r="AW747" s="146">
        <v>1300</v>
      </c>
      <c r="AX747" s="146">
        <v>3900</v>
      </c>
      <c r="AY747" s="146">
        <v>3</v>
      </c>
      <c r="AZ747" s="146" t="s">
        <v>2180</v>
      </c>
      <c r="BA747" s="146">
        <v>2011</v>
      </c>
      <c r="BB747" s="146">
        <v>2014</v>
      </c>
      <c r="BD747" s="146" t="s">
        <v>274</v>
      </c>
      <c r="BE747" s="146" t="s">
        <v>2205</v>
      </c>
      <c r="BF747" s="146" t="s">
        <v>64</v>
      </c>
      <c r="BG747" s="146" t="s">
        <v>1243</v>
      </c>
      <c r="BH747" s="146" t="s">
        <v>2024</v>
      </c>
      <c r="BI747" s="146" t="s">
        <v>2200</v>
      </c>
      <c r="BJ747" s="146" t="s">
        <v>22</v>
      </c>
      <c r="BK747" s="146">
        <v>12300</v>
      </c>
      <c r="BL747" s="146" t="s">
        <v>56</v>
      </c>
      <c r="BM747" s="146" t="s">
        <v>2192</v>
      </c>
      <c r="BN747" s="146" t="s">
        <v>2191</v>
      </c>
      <c r="BO747" s="146" t="s">
        <v>22</v>
      </c>
      <c r="BP747" s="146">
        <v>24700</v>
      </c>
      <c r="BQ747" s="146" t="s">
        <v>275</v>
      </c>
      <c r="BR747" s="146" t="s">
        <v>250</v>
      </c>
      <c r="BS747" s="146" t="s">
        <v>2206</v>
      </c>
      <c r="BT747" s="146" t="s">
        <v>22</v>
      </c>
      <c r="BU747" s="146">
        <v>355556</v>
      </c>
      <c r="BV747" s="146" t="s">
        <v>56</v>
      </c>
      <c r="BW747" s="146" t="s">
        <v>2192</v>
      </c>
      <c r="BX747" s="146" t="s">
        <v>2191</v>
      </c>
      <c r="BY747" s="146" t="s">
        <v>22</v>
      </c>
      <c r="BZ747" s="146">
        <v>24700</v>
      </c>
      <c r="CA747" s="146" t="s">
        <v>275</v>
      </c>
      <c r="CB747" s="146" t="s">
        <v>23</v>
      </c>
      <c r="CC747" s="146" t="s">
        <v>2176</v>
      </c>
      <c r="CD747" s="146" t="s">
        <v>22</v>
      </c>
      <c r="CE747" s="146">
        <v>53333</v>
      </c>
      <c r="EJ747" s="150"/>
      <c r="EK747" s="150"/>
      <c r="EL747" s="150"/>
      <c r="EM747" s="150"/>
      <c r="EN747" s="150"/>
      <c r="EO747" s="150"/>
      <c r="EP747" s="150"/>
      <c r="EQ747" s="150"/>
      <c r="ER747" s="150"/>
      <c r="ES747" s="150"/>
      <c r="ET747" s="150"/>
      <c r="EU747" s="150"/>
      <c r="EV747" s="150"/>
      <c r="EW747" s="150"/>
      <c r="EX747" s="150"/>
      <c r="EY747" s="150"/>
      <c r="EZ747" s="150"/>
      <c r="FA747" s="150"/>
      <c r="FB747" s="150"/>
      <c r="FC747" s="150"/>
      <c r="FD747" s="150"/>
      <c r="FE747" s="150"/>
      <c r="FF747" s="150"/>
      <c r="FG747" s="150"/>
      <c r="FH747" s="150"/>
      <c r="FI747" s="150"/>
      <c r="FJ747" s="150"/>
      <c r="FK747" s="150"/>
      <c r="FL747" s="150"/>
      <c r="FM747" s="150"/>
      <c r="FN747" s="150"/>
      <c r="FO747" s="150"/>
      <c r="FP747" s="150"/>
      <c r="FQ747" s="150"/>
      <c r="FR747" s="150"/>
      <c r="FS747" s="150"/>
      <c r="FT747" s="150"/>
      <c r="FU747" s="150"/>
      <c r="FV747" s="150"/>
      <c r="FW747" s="150"/>
      <c r="FX747" s="150"/>
      <c r="FY747" s="150"/>
      <c r="FZ747" s="150"/>
      <c r="GA747" s="150"/>
      <c r="GB747" s="150"/>
      <c r="GC747" s="150"/>
      <c r="GD747" s="150"/>
      <c r="GE747" s="150"/>
      <c r="GF747" s="150"/>
      <c r="GG747" s="150"/>
      <c r="GH747" s="150"/>
      <c r="GI747" s="150"/>
      <c r="GJ747" s="150"/>
      <c r="GK747" s="150"/>
      <c r="GL747" s="150"/>
      <c r="GM747" s="150"/>
      <c r="GN747" s="150"/>
      <c r="GO747" s="150"/>
      <c r="GP747" s="150"/>
      <c r="GQ747" s="150"/>
      <c r="GR747" s="150"/>
      <c r="GS747" s="150"/>
      <c r="GT747" s="150"/>
      <c r="GU747" s="150"/>
      <c r="GV747" s="150"/>
      <c r="GW747" s="150"/>
      <c r="GX747" s="150"/>
      <c r="GY747" s="150"/>
      <c r="GZ747" s="150"/>
      <c r="HA747" s="150"/>
      <c r="HB747" s="150"/>
      <c r="HC747" s="150"/>
      <c r="HD747" s="150"/>
      <c r="HE747" s="150"/>
      <c r="HF747" s="150"/>
      <c r="HG747" s="150"/>
      <c r="HH747" s="150"/>
      <c r="HI747" s="150"/>
      <c r="HJ747" s="150"/>
      <c r="HK747" s="150"/>
      <c r="HL747" s="150" t="s">
        <v>2190</v>
      </c>
      <c r="HM747" s="150" t="s">
        <v>232</v>
      </c>
      <c r="HU747" s="147"/>
      <c r="HV747" s="147"/>
      <c r="HY747" s="147"/>
      <c r="IN747" s="146" t="s">
        <v>2205</v>
      </c>
      <c r="IO747" s="146" t="s">
        <v>273</v>
      </c>
      <c r="IP747" s="146" t="s">
        <v>2188</v>
      </c>
      <c r="IR747" s="146">
        <v>2011</v>
      </c>
      <c r="IT747" s="146" t="s">
        <v>29</v>
      </c>
      <c r="JI747" s="146" t="s">
        <v>2173</v>
      </c>
      <c r="JK747" s="146" t="s">
        <v>14</v>
      </c>
      <c r="JO747" s="146" t="s">
        <v>13</v>
      </c>
      <c r="JP747" s="146">
        <v>103</v>
      </c>
      <c r="JQ747" s="146">
        <v>31</v>
      </c>
      <c r="KD747" s="146" t="s">
        <v>2172</v>
      </c>
      <c r="KE747" s="146" t="s">
        <v>12</v>
      </c>
      <c r="KF747" s="146" t="s">
        <v>29</v>
      </c>
      <c r="KG747" s="146" t="s">
        <v>29</v>
      </c>
      <c r="KI747" s="146" t="s">
        <v>222</v>
      </c>
      <c r="KJ747" s="146" t="s">
        <v>2187</v>
      </c>
      <c r="KK747" s="146" t="s">
        <v>220</v>
      </c>
      <c r="KL747" s="146">
        <v>7.5</v>
      </c>
      <c r="KM747" s="146" t="s">
        <v>222</v>
      </c>
      <c r="KN747" s="146" t="s">
        <v>2186</v>
      </c>
      <c r="KO747" s="146" t="s">
        <v>220</v>
      </c>
      <c r="KP747" s="146">
        <v>1</v>
      </c>
      <c r="KQ747" s="146" t="s">
        <v>219</v>
      </c>
      <c r="KR747" s="146" t="s">
        <v>2204</v>
      </c>
      <c r="KS747" s="146" t="s">
        <v>2203</v>
      </c>
      <c r="KT747" s="146">
        <v>100</v>
      </c>
      <c r="MS747" s="146" t="s">
        <v>2170</v>
      </c>
      <c r="MT747" s="146">
        <v>1300</v>
      </c>
      <c r="ND747" s="146" t="s">
        <v>2230</v>
      </c>
      <c r="NE747" s="146" t="s">
        <v>2235</v>
      </c>
      <c r="NF747" s="146" t="s">
        <v>2227</v>
      </c>
      <c r="NG747" s="146" t="s">
        <v>671</v>
      </c>
      <c r="NH747" s="146" t="s">
        <v>265</v>
      </c>
      <c r="NQ747" s="146" t="s">
        <v>6</v>
      </c>
      <c r="NR747" s="146">
        <v>397.09</v>
      </c>
      <c r="NS747" s="146" t="s">
        <v>234</v>
      </c>
      <c r="NT747" s="146" t="s">
        <v>234</v>
      </c>
      <c r="NW747" s="146">
        <v>4</v>
      </c>
      <c r="OH747" s="146" t="s">
        <v>2218</v>
      </c>
      <c r="OI747" s="146" t="s">
        <v>2207</v>
      </c>
      <c r="OK747" s="146">
        <v>2011</v>
      </c>
      <c r="OL747" s="146">
        <v>2014</v>
      </c>
      <c r="OO747" s="146" t="s">
        <v>1178</v>
      </c>
      <c r="OP747" s="147">
        <v>46134</v>
      </c>
    </row>
    <row r="748" spans="1:411" s="146" customFormat="1">
      <c r="A748" t="s">
        <v>248</v>
      </c>
      <c r="B748" s="146" t="s">
        <v>2184</v>
      </c>
      <c r="C748" s="146" t="s">
        <v>2183</v>
      </c>
      <c r="D748" s="146" t="s">
        <v>245</v>
      </c>
      <c r="E748" s="146" t="s">
        <v>2201</v>
      </c>
      <c r="F748" s="146" t="s">
        <v>243</v>
      </c>
      <c r="G748" s="146" t="s">
        <v>2</v>
      </c>
      <c r="H748" s="146" t="s">
        <v>30</v>
      </c>
      <c r="I748" s="146">
        <v>-13.06</v>
      </c>
      <c r="J748" s="146">
        <v>34.299999999999997</v>
      </c>
      <c r="K748" s="146" t="s">
        <v>29</v>
      </c>
      <c r="AV748" s="146" t="s">
        <v>2181</v>
      </c>
      <c r="AW748" s="146">
        <v>1300</v>
      </c>
      <c r="AX748" s="146">
        <v>3900</v>
      </c>
      <c r="AY748" s="146">
        <v>3</v>
      </c>
      <c r="AZ748" s="146" t="s">
        <v>2180</v>
      </c>
      <c r="BA748" s="146">
        <v>2011</v>
      </c>
      <c r="BB748" s="146">
        <v>2014</v>
      </c>
      <c r="BD748" s="146" t="s">
        <v>274</v>
      </c>
      <c r="BE748" s="146" t="s">
        <v>2198</v>
      </c>
      <c r="BF748" s="146" t="s">
        <v>57</v>
      </c>
      <c r="BG748" s="146" t="s">
        <v>1243</v>
      </c>
      <c r="BH748" s="146" t="s">
        <v>2024</v>
      </c>
      <c r="BI748" s="146" t="s">
        <v>2200</v>
      </c>
      <c r="BJ748" s="146" t="s">
        <v>22</v>
      </c>
      <c r="BK748" s="146">
        <v>12300</v>
      </c>
      <c r="BL748" s="146" t="s">
        <v>275</v>
      </c>
      <c r="BM748" s="146" t="s">
        <v>271</v>
      </c>
      <c r="BN748" s="146" t="s">
        <v>2199</v>
      </c>
      <c r="BO748" s="146" t="s">
        <v>22</v>
      </c>
      <c r="BP748" s="146">
        <v>266667</v>
      </c>
      <c r="BQ748" s="146" t="s">
        <v>275</v>
      </c>
      <c r="BR748" s="146" t="s">
        <v>23</v>
      </c>
      <c r="BS748" s="146" t="s">
        <v>2176</v>
      </c>
      <c r="BT748" s="146" t="s">
        <v>22</v>
      </c>
      <c r="BU748" s="146">
        <v>53333</v>
      </c>
      <c r="EJ748" s="150"/>
      <c r="EK748" s="150"/>
      <c r="EL748" s="150"/>
      <c r="EM748" s="150"/>
      <c r="EN748" s="150"/>
      <c r="EO748" s="150"/>
      <c r="EP748" s="150"/>
      <c r="EQ748" s="150"/>
      <c r="ER748" s="150"/>
      <c r="ES748" s="150"/>
      <c r="ET748" s="150"/>
      <c r="EU748" s="150"/>
      <c r="EV748" s="150"/>
      <c r="EW748" s="150"/>
      <c r="EX748" s="150"/>
      <c r="EY748" s="150"/>
      <c r="EZ748" s="150"/>
      <c r="FA748" s="150"/>
      <c r="FB748" s="150"/>
      <c r="FC748" s="150"/>
      <c r="FD748" s="150"/>
      <c r="FE748" s="150"/>
      <c r="FF748" s="150"/>
      <c r="FG748" s="150"/>
      <c r="FH748" s="150"/>
      <c r="FI748" s="150"/>
      <c r="FJ748" s="150"/>
      <c r="FK748" s="150"/>
      <c r="FL748" s="150"/>
      <c r="FM748" s="150"/>
      <c r="FN748" s="150"/>
      <c r="FO748" s="150"/>
      <c r="FP748" s="150"/>
      <c r="FQ748" s="150"/>
      <c r="FR748" s="150"/>
      <c r="FS748" s="150"/>
      <c r="FT748" s="150"/>
      <c r="FU748" s="150"/>
      <c r="FV748" s="150"/>
      <c r="FW748" s="150"/>
      <c r="FX748" s="150"/>
      <c r="FY748" s="150"/>
      <c r="FZ748" s="150"/>
      <c r="GA748" s="150"/>
      <c r="GB748" s="150"/>
      <c r="GC748" s="150"/>
      <c r="GD748" s="150"/>
      <c r="GE748" s="150"/>
      <c r="GF748" s="150"/>
      <c r="GG748" s="150"/>
      <c r="GH748" s="150"/>
      <c r="GI748" s="150"/>
      <c r="GJ748" s="150"/>
      <c r="GK748" s="150"/>
      <c r="GL748" s="150"/>
      <c r="GM748" s="150"/>
      <c r="GN748" s="150"/>
      <c r="GO748" s="150"/>
      <c r="GP748" s="150"/>
      <c r="GQ748" s="150"/>
      <c r="GR748" s="150"/>
      <c r="GS748" s="150"/>
      <c r="GT748" s="150"/>
      <c r="GU748" s="150"/>
      <c r="GV748" s="150"/>
      <c r="GW748" s="150"/>
      <c r="GX748" s="150"/>
      <c r="GY748" s="150"/>
      <c r="GZ748" s="150"/>
      <c r="HA748" s="150"/>
      <c r="HB748" s="150"/>
      <c r="HC748" s="150"/>
      <c r="HD748" s="150"/>
      <c r="HE748" s="150"/>
      <c r="HF748" s="150"/>
      <c r="HG748" s="150"/>
      <c r="HH748" s="150"/>
      <c r="HI748" s="150"/>
      <c r="HJ748" s="150"/>
      <c r="HK748" s="150"/>
      <c r="HL748" s="150" t="s">
        <v>2175</v>
      </c>
      <c r="HM748" s="150" t="s">
        <v>297</v>
      </c>
      <c r="HN748" s="146" t="s">
        <v>29</v>
      </c>
      <c r="HO748" s="146" t="s">
        <v>29</v>
      </c>
      <c r="HP748" s="146" t="s">
        <v>29</v>
      </c>
      <c r="HQ748" s="146" t="s">
        <v>29</v>
      </c>
      <c r="HY748" s="147"/>
      <c r="IN748" s="146" t="s">
        <v>2198</v>
      </c>
      <c r="IO748" s="146" t="s">
        <v>273</v>
      </c>
      <c r="IR748" s="146">
        <v>2011</v>
      </c>
      <c r="IT748" s="146" t="s">
        <v>29</v>
      </c>
      <c r="JI748" s="146" t="s">
        <v>2173</v>
      </c>
      <c r="JK748" s="146" t="s">
        <v>14</v>
      </c>
      <c r="JO748" s="146" t="s">
        <v>13</v>
      </c>
      <c r="JP748" s="146">
        <v>124</v>
      </c>
      <c r="JQ748" s="146">
        <v>50</v>
      </c>
      <c r="KD748" s="146" t="s">
        <v>2172</v>
      </c>
      <c r="KE748" s="146" t="s">
        <v>12</v>
      </c>
      <c r="KF748" s="146" t="s">
        <v>29</v>
      </c>
      <c r="KG748" s="146" t="s">
        <v>29</v>
      </c>
      <c r="KI748" s="146" t="s">
        <v>2171</v>
      </c>
      <c r="MS748" s="146" t="s">
        <v>2170</v>
      </c>
      <c r="MT748" s="146">
        <v>1300</v>
      </c>
      <c r="ND748" s="146" t="s">
        <v>2229</v>
      </c>
      <c r="NE748" s="146" t="s">
        <v>2235</v>
      </c>
      <c r="NF748" s="146" t="s">
        <v>2227</v>
      </c>
      <c r="NG748" s="146" t="s">
        <v>671</v>
      </c>
      <c r="NH748" s="146" t="s">
        <v>265</v>
      </c>
      <c r="NQ748" s="146" t="s">
        <v>6</v>
      </c>
      <c r="NR748" s="146">
        <v>377.9</v>
      </c>
      <c r="NS748" s="146" t="s">
        <v>234</v>
      </c>
      <c r="NT748" s="146" t="s">
        <v>234</v>
      </c>
      <c r="NW748" s="146">
        <v>4</v>
      </c>
      <c r="OH748" s="146" t="s">
        <v>2218</v>
      </c>
      <c r="OI748" s="146" t="s">
        <v>2207</v>
      </c>
      <c r="OK748" s="146">
        <v>2011</v>
      </c>
      <c r="OL748" s="146">
        <v>2014</v>
      </c>
      <c r="OO748" s="146" t="s">
        <v>1178</v>
      </c>
      <c r="OP748" s="147">
        <v>46134</v>
      </c>
    </row>
    <row r="749" spans="1:411" s="146" customFormat="1">
      <c r="A749" s="87" t="s">
        <v>248</v>
      </c>
      <c r="B749" s="146" t="s">
        <v>2184</v>
      </c>
      <c r="C749" s="146" t="s">
        <v>2183</v>
      </c>
      <c r="D749" s="146" t="s">
        <v>245</v>
      </c>
      <c r="E749" s="146" t="s">
        <v>2182</v>
      </c>
      <c r="F749" s="146" t="s">
        <v>243</v>
      </c>
      <c r="G749" s="146" t="s">
        <v>2</v>
      </c>
      <c r="H749" s="146" t="s">
        <v>30</v>
      </c>
      <c r="I749" s="146">
        <v>-13.47</v>
      </c>
      <c r="J749" s="146">
        <v>33.71</v>
      </c>
      <c r="K749" s="146" t="s">
        <v>29</v>
      </c>
      <c r="AV749" s="146" t="s">
        <v>2181</v>
      </c>
      <c r="AW749" s="146">
        <v>2500</v>
      </c>
      <c r="AX749" s="146">
        <v>7500</v>
      </c>
      <c r="AY749" s="146">
        <v>3</v>
      </c>
      <c r="AZ749" s="146" t="s">
        <v>2180</v>
      </c>
      <c r="BA749" s="146">
        <v>2011</v>
      </c>
      <c r="BB749" s="146">
        <v>2014</v>
      </c>
      <c r="BD749" s="146" t="s">
        <v>19</v>
      </c>
      <c r="BE749" s="146" t="s">
        <v>2195</v>
      </c>
      <c r="BF749" s="146" t="s">
        <v>24</v>
      </c>
      <c r="BG749" s="146" t="s">
        <v>1243</v>
      </c>
      <c r="BH749" s="146" t="s">
        <v>23</v>
      </c>
      <c r="BI749" s="146" t="s">
        <v>2176</v>
      </c>
      <c r="BJ749" s="146" t="s">
        <v>22</v>
      </c>
      <c r="BK749" s="146">
        <v>53333</v>
      </c>
      <c r="EJ749" s="150"/>
      <c r="EK749" s="150"/>
      <c r="EL749" s="150"/>
      <c r="EM749" s="150"/>
      <c r="EN749" s="150"/>
      <c r="EO749" s="150"/>
      <c r="EP749" s="150"/>
      <c r="EQ749" s="150"/>
      <c r="ER749" s="150"/>
      <c r="ES749" s="150"/>
      <c r="ET749" s="150"/>
      <c r="EU749" s="150"/>
      <c r="EV749" s="150"/>
      <c r="EW749" s="150"/>
      <c r="EX749" s="150"/>
      <c r="EY749" s="150"/>
      <c r="EZ749" s="150"/>
      <c r="FA749" s="150"/>
      <c r="FB749" s="150"/>
      <c r="FC749" s="150"/>
      <c r="FD749" s="150"/>
      <c r="FE749" s="150"/>
      <c r="FF749" s="150"/>
      <c r="FG749" s="150"/>
      <c r="FH749" s="150"/>
      <c r="FI749" s="150"/>
      <c r="FJ749" s="150"/>
      <c r="FK749" s="150"/>
      <c r="FL749" s="150"/>
      <c r="FM749" s="150"/>
      <c r="FN749" s="150"/>
      <c r="FO749" s="150"/>
      <c r="FP749" s="150"/>
      <c r="FQ749" s="150"/>
      <c r="FR749" s="150"/>
      <c r="FS749" s="150"/>
      <c r="FT749" s="150"/>
      <c r="FU749" s="150"/>
      <c r="FV749" s="150"/>
      <c r="FW749" s="150"/>
      <c r="FX749" s="150"/>
      <c r="FY749" s="150"/>
      <c r="FZ749" s="150"/>
      <c r="GA749" s="150"/>
      <c r="GB749" s="150"/>
      <c r="GC749" s="150"/>
      <c r="GD749" s="150"/>
      <c r="GE749" s="150"/>
      <c r="GF749" s="150"/>
      <c r="GG749" s="150"/>
      <c r="GH749" s="150"/>
      <c r="GI749" s="150"/>
      <c r="GJ749" s="150"/>
      <c r="GK749" s="150"/>
      <c r="GL749" s="150"/>
      <c r="GM749" s="150"/>
      <c r="GN749" s="150"/>
      <c r="GO749" s="150"/>
      <c r="GP749" s="150"/>
      <c r="GQ749" s="150"/>
      <c r="GR749" s="150"/>
      <c r="GS749" s="150"/>
      <c r="GT749" s="150"/>
      <c r="GU749" s="150"/>
      <c r="GV749" s="150"/>
      <c r="GW749" s="150"/>
      <c r="GX749" s="150"/>
      <c r="GY749" s="150"/>
      <c r="GZ749" s="150"/>
      <c r="HA749" s="150"/>
      <c r="HB749" s="150"/>
      <c r="HC749" s="150"/>
      <c r="HD749" s="150"/>
      <c r="HE749" s="150"/>
      <c r="HF749" s="150"/>
      <c r="HG749" s="150"/>
      <c r="HH749" s="150"/>
      <c r="HI749" s="150"/>
      <c r="HJ749" s="150"/>
      <c r="HK749" s="150"/>
      <c r="HL749" s="150" t="s">
        <v>2190</v>
      </c>
      <c r="HM749" s="150" t="s">
        <v>232</v>
      </c>
      <c r="HY749" s="147"/>
      <c r="IN749" s="146" t="s">
        <v>2195</v>
      </c>
      <c r="IO749" s="146" t="s">
        <v>19</v>
      </c>
      <c r="IR749" s="146">
        <v>2011</v>
      </c>
      <c r="JI749" s="146" t="s">
        <v>2173</v>
      </c>
      <c r="JK749" s="146" t="s">
        <v>14</v>
      </c>
      <c r="JO749" s="146" t="s">
        <v>13</v>
      </c>
      <c r="JP749" s="146">
        <v>309</v>
      </c>
      <c r="JQ749" s="146">
        <v>93</v>
      </c>
      <c r="KD749" s="146" t="s">
        <v>2172</v>
      </c>
      <c r="KE749" s="146" t="s">
        <v>12</v>
      </c>
      <c r="KF749" s="146" t="s">
        <v>29</v>
      </c>
      <c r="KG749" s="146" t="s">
        <v>29</v>
      </c>
      <c r="KI749" s="146" t="s">
        <v>222</v>
      </c>
      <c r="KJ749" s="146" t="s">
        <v>2187</v>
      </c>
      <c r="KK749" s="146" t="s">
        <v>220</v>
      </c>
      <c r="KL749" s="146">
        <v>7.5</v>
      </c>
      <c r="KM749" s="146" t="s">
        <v>222</v>
      </c>
      <c r="KN749" s="146" t="s">
        <v>2186</v>
      </c>
      <c r="KO749" s="146" t="s">
        <v>220</v>
      </c>
      <c r="KP749" s="146">
        <v>2</v>
      </c>
      <c r="MS749" s="146" t="s">
        <v>2170</v>
      </c>
      <c r="MT749" s="146">
        <v>2500</v>
      </c>
      <c r="ND749" s="146" t="s">
        <v>2229</v>
      </c>
      <c r="NE749" s="146" t="s">
        <v>2235</v>
      </c>
      <c r="NF749" s="146" t="s">
        <v>2227</v>
      </c>
      <c r="NG749" s="146" t="s">
        <v>671</v>
      </c>
      <c r="NH749" s="146" t="s">
        <v>265</v>
      </c>
      <c r="NP749" s="146" t="s">
        <v>2193</v>
      </c>
      <c r="NQ749" s="146" t="s">
        <v>6</v>
      </c>
      <c r="NR749" s="146">
        <v>282.61</v>
      </c>
      <c r="NS749" s="146" t="s">
        <v>234</v>
      </c>
      <c r="NT749" s="146" t="s">
        <v>234</v>
      </c>
      <c r="NW749" s="146">
        <v>4</v>
      </c>
      <c r="OH749" s="146" t="s">
        <v>2208</v>
      </c>
      <c r="OI749" s="146" t="s">
        <v>2207</v>
      </c>
      <c r="OK749" s="146">
        <v>2011</v>
      </c>
      <c r="OL749" s="146">
        <v>2014</v>
      </c>
      <c r="OO749" s="146" t="s">
        <v>1178</v>
      </c>
      <c r="OP749" s="147">
        <v>46134</v>
      </c>
    </row>
    <row r="750" spans="1:411" s="146" customFormat="1">
      <c r="A750" t="s">
        <v>248</v>
      </c>
      <c r="B750" s="146" t="s">
        <v>2184</v>
      </c>
      <c r="C750" s="146" t="s">
        <v>2183</v>
      </c>
      <c r="D750" s="146" t="s">
        <v>245</v>
      </c>
      <c r="E750" s="146" t="s">
        <v>2182</v>
      </c>
      <c r="F750" s="146" t="s">
        <v>243</v>
      </c>
      <c r="G750" s="146" t="s">
        <v>2</v>
      </c>
      <c r="H750" s="146" t="s">
        <v>30</v>
      </c>
      <c r="I750" s="146">
        <v>-13.47</v>
      </c>
      <c r="J750" s="146">
        <v>33.71</v>
      </c>
      <c r="K750" s="146" t="s">
        <v>29</v>
      </c>
      <c r="AV750" s="146" t="s">
        <v>2181</v>
      </c>
      <c r="AW750" s="146">
        <v>2500</v>
      </c>
      <c r="AX750" s="146">
        <v>7500</v>
      </c>
      <c r="AY750" s="146">
        <v>3</v>
      </c>
      <c r="AZ750" s="146" t="s">
        <v>2180</v>
      </c>
      <c r="BA750" s="146">
        <v>2011</v>
      </c>
      <c r="BB750" s="146">
        <v>2014</v>
      </c>
      <c r="BD750" s="146" t="s">
        <v>274</v>
      </c>
      <c r="BE750" s="146" t="s">
        <v>2189</v>
      </c>
      <c r="BF750" s="146" t="s">
        <v>48</v>
      </c>
      <c r="BG750" s="146" t="s">
        <v>1243</v>
      </c>
      <c r="BH750" s="146" t="s">
        <v>2179</v>
      </c>
      <c r="BI750" s="146" t="s">
        <v>2178</v>
      </c>
      <c r="BJ750" s="146" t="s">
        <v>22</v>
      </c>
      <c r="BK750" s="146">
        <v>3700</v>
      </c>
      <c r="BL750" s="146" t="s">
        <v>56</v>
      </c>
      <c r="BM750" s="146" t="s">
        <v>2192</v>
      </c>
      <c r="BN750" s="146" t="s">
        <v>2191</v>
      </c>
      <c r="BO750" s="146" t="s">
        <v>22</v>
      </c>
      <c r="BP750" s="146">
        <v>18500</v>
      </c>
      <c r="BQ750" s="146" t="s">
        <v>275</v>
      </c>
      <c r="BR750" s="146" t="s">
        <v>1677</v>
      </c>
      <c r="BS750" s="146" t="s">
        <v>2177</v>
      </c>
      <c r="BT750" s="146" t="s">
        <v>22</v>
      </c>
      <c r="BU750" s="146">
        <v>222200</v>
      </c>
      <c r="BV750" s="146" t="s">
        <v>275</v>
      </c>
      <c r="BW750" s="146" t="s">
        <v>23</v>
      </c>
      <c r="BX750" s="146" t="s">
        <v>2176</v>
      </c>
      <c r="BY750" s="146" t="s">
        <v>22</v>
      </c>
      <c r="BZ750" s="146">
        <v>53333</v>
      </c>
      <c r="EJ750" s="150"/>
      <c r="EK750" s="150"/>
      <c r="EL750" s="150"/>
      <c r="EM750" s="150"/>
      <c r="EN750" s="150"/>
      <c r="EO750" s="150"/>
      <c r="EP750" s="150"/>
      <c r="EQ750" s="150"/>
      <c r="ER750" s="150"/>
      <c r="ES750" s="150"/>
      <c r="ET750" s="150"/>
      <c r="EU750" s="150"/>
      <c r="EV750" s="150"/>
      <c r="EW750" s="150"/>
      <c r="EX750" s="150"/>
      <c r="EY750" s="150"/>
      <c r="EZ750" s="150"/>
      <c r="FA750" s="150"/>
      <c r="FB750" s="150"/>
      <c r="FC750" s="150"/>
      <c r="FD750" s="150"/>
      <c r="FE750" s="150"/>
      <c r="FF750" s="150"/>
      <c r="FG750" s="150"/>
      <c r="FH750" s="150"/>
      <c r="FI750" s="150"/>
      <c r="FJ750" s="150"/>
      <c r="FK750" s="150"/>
      <c r="FL750" s="150"/>
      <c r="FM750" s="150"/>
      <c r="FN750" s="150"/>
      <c r="FO750" s="150"/>
      <c r="FP750" s="150"/>
      <c r="FQ750" s="150"/>
      <c r="FR750" s="150"/>
      <c r="FS750" s="150"/>
      <c r="FT750" s="150"/>
      <c r="FU750" s="150"/>
      <c r="FV750" s="150"/>
      <c r="FW750" s="150"/>
      <c r="FX750" s="150"/>
      <c r="FY750" s="150"/>
      <c r="FZ750" s="150"/>
      <c r="GA750" s="150"/>
      <c r="GB750" s="150"/>
      <c r="GC750" s="150"/>
      <c r="GD750" s="150"/>
      <c r="GE750" s="150"/>
      <c r="GF750" s="150"/>
      <c r="GG750" s="150"/>
      <c r="GH750" s="150"/>
      <c r="GI750" s="150"/>
      <c r="GJ750" s="150"/>
      <c r="GK750" s="150"/>
      <c r="GL750" s="150"/>
      <c r="GM750" s="150"/>
      <c r="GN750" s="150"/>
      <c r="GO750" s="150"/>
      <c r="GP750" s="150"/>
      <c r="GQ750" s="150"/>
      <c r="GR750" s="150"/>
      <c r="GS750" s="150"/>
      <c r="GT750" s="150"/>
      <c r="GU750" s="150"/>
      <c r="GV750" s="150"/>
      <c r="GW750" s="150"/>
      <c r="GX750" s="150"/>
      <c r="GY750" s="150"/>
      <c r="GZ750" s="150"/>
      <c r="HA750" s="150"/>
      <c r="HB750" s="150"/>
      <c r="HC750" s="150"/>
      <c r="HD750" s="150"/>
      <c r="HE750" s="150"/>
      <c r="HF750" s="150"/>
      <c r="HG750" s="150"/>
      <c r="HH750" s="150"/>
      <c r="HI750" s="150"/>
      <c r="HJ750" s="150"/>
      <c r="HK750" s="150"/>
      <c r="HL750" s="150" t="s">
        <v>2190</v>
      </c>
      <c r="HM750" s="150" t="s">
        <v>232</v>
      </c>
      <c r="HY750" s="147"/>
      <c r="IN750" s="146" t="s">
        <v>2189</v>
      </c>
      <c r="IO750" s="146" t="s">
        <v>273</v>
      </c>
      <c r="IP750" s="146" t="s">
        <v>2188</v>
      </c>
      <c r="IR750" s="146">
        <v>2011</v>
      </c>
      <c r="IT750" s="146" t="s">
        <v>29</v>
      </c>
      <c r="JI750" s="146" t="s">
        <v>2173</v>
      </c>
      <c r="JK750" s="146" t="s">
        <v>14</v>
      </c>
      <c r="JO750" s="146" t="s">
        <v>13</v>
      </c>
      <c r="JP750" s="146">
        <v>131</v>
      </c>
      <c r="JQ750" s="146">
        <v>59</v>
      </c>
      <c r="KD750" s="146" t="s">
        <v>2172</v>
      </c>
      <c r="KE750" s="146" t="s">
        <v>12</v>
      </c>
      <c r="KF750" s="146" t="s">
        <v>29</v>
      </c>
      <c r="KG750" s="146" t="s">
        <v>29</v>
      </c>
      <c r="KI750" s="146" t="s">
        <v>222</v>
      </c>
      <c r="KJ750" s="146" t="s">
        <v>2187</v>
      </c>
      <c r="KK750" s="146" t="s">
        <v>220</v>
      </c>
      <c r="KL750" s="146">
        <v>7.5</v>
      </c>
      <c r="KM750" s="146" t="s">
        <v>222</v>
      </c>
      <c r="KN750" s="146" t="s">
        <v>2186</v>
      </c>
      <c r="KO750" s="146" t="s">
        <v>220</v>
      </c>
      <c r="KP750" s="146">
        <v>1</v>
      </c>
      <c r="MS750" s="146" t="s">
        <v>2170</v>
      </c>
      <c r="MT750" s="146">
        <v>2500</v>
      </c>
      <c r="ND750" s="146" t="s">
        <v>2229</v>
      </c>
      <c r="NE750" s="146" t="s">
        <v>2235</v>
      </c>
      <c r="NF750" s="146" t="s">
        <v>2227</v>
      </c>
      <c r="NG750" s="146" t="s">
        <v>671</v>
      </c>
      <c r="NH750" s="146" t="s">
        <v>265</v>
      </c>
      <c r="NQ750" s="146" t="s">
        <v>6</v>
      </c>
      <c r="NR750" s="146">
        <v>238.69</v>
      </c>
      <c r="NS750" s="146" t="s">
        <v>234</v>
      </c>
      <c r="NT750" s="146" t="s">
        <v>234</v>
      </c>
      <c r="NW750" s="146">
        <v>4</v>
      </c>
      <c r="OH750" s="146" t="s">
        <v>2208</v>
      </c>
      <c r="OI750" s="146" t="s">
        <v>2207</v>
      </c>
      <c r="OK750" s="146">
        <v>2011</v>
      </c>
      <c r="OL750" s="146">
        <v>2014</v>
      </c>
      <c r="OO750" s="146" t="s">
        <v>1178</v>
      </c>
      <c r="OP750" s="147">
        <v>46134</v>
      </c>
    </row>
    <row r="751" spans="1:411" s="146" customFormat="1">
      <c r="A751" t="s">
        <v>248</v>
      </c>
      <c r="B751" s="146" t="s">
        <v>2184</v>
      </c>
      <c r="C751" s="146" t="s">
        <v>2183</v>
      </c>
      <c r="D751" s="146" t="s">
        <v>245</v>
      </c>
      <c r="E751" s="146" t="s">
        <v>2182</v>
      </c>
      <c r="F751" s="146" t="s">
        <v>243</v>
      </c>
      <c r="G751" s="146" t="s">
        <v>2</v>
      </c>
      <c r="H751" s="146" t="s">
        <v>30</v>
      </c>
      <c r="I751" s="146">
        <v>-13.47</v>
      </c>
      <c r="J751" s="146">
        <v>33.71</v>
      </c>
      <c r="K751" s="146" t="s">
        <v>29</v>
      </c>
      <c r="AV751" s="146" t="s">
        <v>2181</v>
      </c>
      <c r="AW751" s="146">
        <v>2500</v>
      </c>
      <c r="AX751" s="146">
        <v>7500</v>
      </c>
      <c r="AY751" s="146">
        <v>3</v>
      </c>
      <c r="AZ751" s="146" t="s">
        <v>2180</v>
      </c>
      <c r="BA751" s="146">
        <v>2011</v>
      </c>
      <c r="BB751" s="146">
        <v>2014</v>
      </c>
      <c r="BD751" s="146" t="s">
        <v>274</v>
      </c>
      <c r="BE751" s="146" t="s">
        <v>2174</v>
      </c>
      <c r="BF751" s="146" t="s">
        <v>43</v>
      </c>
      <c r="BG751" s="146" t="s">
        <v>1243</v>
      </c>
      <c r="BH751" s="146" t="s">
        <v>2179</v>
      </c>
      <c r="BI751" s="146" t="s">
        <v>2178</v>
      </c>
      <c r="BJ751" s="146" t="s">
        <v>22</v>
      </c>
      <c r="BK751" s="146">
        <v>3700</v>
      </c>
      <c r="BL751" s="146" t="s">
        <v>275</v>
      </c>
      <c r="BM751" s="146" t="s">
        <v>1677</v>
      </c>
      <c r="BN751" s="146" t="s">
        <v>2177</v>
      </c>
      <c r="BO751" s="146" t="s">
        <v>22</v>
      </c>
      <c r="BP751" s="146">
        <v>177800</v>
      </c>
      <c r="BQ751" s="146" t="s">
        <v>275</v>
      </c>
      <c r="BR751" s="146" t="s">
        <v>23</v>
      </c>
      <c r="BS751" s="146" t="s">
        <v>2176</v>
      </c>
      <c r="BT751" s="146" t="s">
        <v>22</v>
      </c>
      <c r="BU751" s="146">
        <v>53333</v>
      </c>
      <c r="EJ751" s="150"/>
      <c r="EK751" s="150"/>
      <c r="EL751" s="150"/>
      <c r="EM751" s="150"/>
      <c r="EN751" s="150"/>
      <c r="EO751" s="150"/>
      <c r="EP751" s="150"/>
      <c r="EQ751" s="150"/>
      <c r="ER751" s="150"/>
      <c r="ES751" s="150"/>
      <c r="ET751" s="150"/>
      <c r="EU751" s="150"/>
      <c r="EV751" s="150"/>
      <c r="EW751" s="150"/>
      <c r="EX751" s="150"/>
      <c r="EY751" s="150"/>
      <c r="EZ751" s="150"/>
      <c r="FA751" s="150"/>
      <c r="FB751" s="150"/>
      <c r="FC751" s="150"/>
      <c r="FD751" s="150"/>
      <c r="FE751" s="150"/>
      <c r="FF751" s="150"/>
      <c r="FG751" s="150"/>
      <c r="FH751" s="150"/>
      <c r="FI751" s="150"/>
      <c r="FJ751" s="150"/>
      <c r="FK751" s="150"/>
      <c r="FL751" s="150"/>
      <c r="FM751" s="150"/>
      <c r="FN751" s="150"/>
      <c r="FO751" s="150"/>
      <c r="FP751" s="150"/>
      <c r="FQ751" s="150"/>
      <c r="FR751" s="150"/>
      <c r="FS751" s="150"/>
      <c r="FT751" s="150"/>
      <c r="FU751" s="150"/>
      <c r="FV751" s="150"/>
      <c r="FW751" s="150"/>
      <c r="FX751" s="150"/>
      <c r="FY751" s="150"/>
      <c r="FZ751" s="150"/>
      <c r="GA751" s="150"/>
      <c r="GB751" s="150"/>
      <c r="GC751" s="150"/>
      <c r="GD751" s="150"/>
      <c r="GE751" s="150"/>
      <c r="GF751" s="150"/>
      <c r="GG751" s="150"/>
      <c r="GH751" s="150"/>
      <c r="GI751" s="150"/>
      <c r="GJ751" s="150"/>
      <c r="GK751" s="150"/>
      <c r="GL751" s="150"/>
      <c r="GM751" s="150"/>
      <c r="GN751" s="150"/>
      <c r="GO751" s="150"/>
      <c r="GP751" s="150"/>
      <c r="GQ751" s="150"/>
      <c r="GR751" s="150"/>
      <c r="GS751" s="150"/>
      <c r="GT751" s="150"/>
      <c r="GU751" s="150"/>
      <c r="GV751" s="150"/>
      <c r="GW751" s="150"/>
      <c r="GX751" s="150"/>
      <c r="GY751" s="150"/>
      <c r="GZ751" s="150"/>
      <c r="HA751" s="150"/>
      <c r="HB751" s="150"/>
      <c r="HC751" s="150"/>
      <c r="HD751" s="150"/>
      <c r="HE751" s="150"/>
      <c r="HF751" s="150"/>
      <c r="HG751" s="150"/>
      <c r="HH751" s="150"/>
      <c r="HI751" s="150"/>
      <c r="HJ751" s="150"/>
      <c r="HK751" s="150"/>
      <c r="HL751" s="150" t="s">
        <v>2175</v>
      </c>
      <c r="HM751" s="150" t="s">
        <v>297</v>
      </c>
      <c r="HN751" s="146" t="s">
        <v>29</v>
      </c>
      <c r="HO751" s="146" t="s">
        <v>29</v>
      </c>
      <c r="HP751" s="146" t="s">
        <v>29</v>
      </c>
      <c r="HQ751" s="146" t="s">
        <v>29</v>
      </c>
      <c r="HY751" s="147"/>
      <c r="IN751" s="146" t="s">
        <v>2174</v>
      </c>
      <c r="IO751" s="146" t="s">
        <v>273</v>
      </c>
      <c r="IP751" s="146" t="s">
        <v>838</v>
      </c>
      <c r="IR751" s="146">
        <v>2011</v>
      </c>
      <c r="IT751" s="146" t="s">
        <v>29</v>
      </c>
      <c r="JI751" s="146" t="s">
        <v>2173</v>
      </c>
      <c r="JK751" s="146" t="s">
        <v>14</v>
      </c>
      <c r="JO751" s="146" t="s">
        <v>13</v>
      </c>
      <c r="JP751" s="146">
        <v>131</v>
      </c>
      <c r="JQ751" s="146">
        <v>59</v>
      </c>
      <c r="KD751" s="146" t="s">
        <v>2172</v>
      </c>
      <c r="KE751" s="146" t="s">
        <v>12</v>
      </c>
      <c r="KF751" s="146" t="s">
        <v>29</v>
      </c>
      <c r="KG751" s="146" t="s">
        <v>29</v>
      </c>
      <c r="KI751" s="146" t="s">
        <v>2171</v>
      </c>
      <c r="MS751" s="146" t="s">
        <v>2170</v>
      </c>
      <c r="MT751" s="146">
        <v>2500</v>
      </c>
      <c r="ND751" s="146" t="s">
        <v>2229</v>
      </c>
      <c r="NE751" s="146" t="s">
        <v>2235</v>
      </c>
      <c r="NF751" s="146" t="s">
        <v>2227</v>
      </c>
      <c r="NG751" s="146" t="s">
        <v>671</v>
      </c>
      <c r="NH751" s="146" t="s">
        <v>265</v>
      </c>
      <c r="NQ751" s="146" t="s">
        <v>6</v>
      </c>
      <c r="NR751" s="146">
        <v>263.73</v>
      </c>
      <c r="NS751" s="146" t="s">
        <v>234</v>
      </c>
      <c r="NT751" s="146" t="s">
        <v>234</v>
      </c>
      <c r="NW751" s="146">
        <v>4</v>
      </c>
      <c r="OH751" s="146" t="s">
        <v>2208</v>
      </c>
      <c r="OI751" s="146" t="s">
        <v>2207</v>
      </c>
      <c r="OK751" s="146">
        <v>2011</v>
      </c>
      <c r="OL751" s="146">
        <v>2014</v>
      </c>
      <c r="OO751" s="146" t="s">
        <v>1178</v>
      </c>
      <c r="OP751" s="147">
        <v>46134</v>
      </c>
    </row>
    <row r="752" spans="1:411" s="146" customFormat="1">
      <c r="A752" s="87" t="s">
        <v>248</v>
      </c>
      <c r="B752" s="146" t="s">
        <v>2184</v>
      </c>
      <c r="C752" s="146" t="s">
        <v>2183</v>
      </c>
      <c r="D752" s="146" t="s">
        <v>245</v>
      </c>
      <c r="E752" s="146" t="s">
        <v>2201</v>
      </c>
      <c r="F752" s="146" t="s">
        <v>243</v>
      </c>
      <c r="G752" s="146" t="s">
        <v>2</v>
      </c>
      <c r="H752" s="146" t="s">
        <v>30</v>
      </c>
      <c r="I752" s="146">
        <v>-13.06</v>
      </c>
      <c r="J752" s="146">
        <v>34.299999999999997</v>
      </c>
      <c r="K752" s="146" t="s">
        <v>29</v>
      </c>
      <c r="AV752" s="146" t="s">
        <v>2181</v>
      </c>
      <c r="AW752" s="146">
        <v>1300</v>
      </c>
      <c r="AX752" s="146">
        <v>3900</v>
      </c>
      <c r="AY752" s="146">
        <v>3</v>
      </c>
      <c r="AZ752" s="146" t="s">
        <v>2180</v>
      </c>
      <c r="BA752" s="146">
        <v>2011</v>
      </c>
      <c r="BB752" s="146">
        <v>2014</v>
      </c>
      <c r="BD752" s="146" t="s">
        <v>19</v>
      </c>
      <c r="BE752" s="146" t="s">
        <v>2195</v>
      </c>
      <c r="BF752" s="146" t="s">
        <v>39</v>
      </c>
      <c r="BG752" s="146" t="s">
        <v>1243</v>
      </c>
      <c r="BH752" s="146" t="s">
        <v>23</v>
      </c>
      <c r="BI752" s="146" t="s">
        <v>2176</v>
      </c>
      <c r="BJ752" s="146" t="s">
        <v>22</v>
      </c>
      <c r="BK752" s="146">
        <v>53333</v>
      </c>
      <c r="EJ752" s="150"/>
      <c r="EK752" s="150"/>
      <c r="EL752" s="150"/>
      <c r="EM752" s="150"/>
      <c r="EN752" s="150"/>
      <c r="EO752" s="150"/>
      <c r="EP752" s="150"/>
      <c r="EQ752" s="150"/>
      <c r="ER752" s="150"/>
      <c r="ES752" s="150"/>
      <c r="ET752" s="150"/>
      <c r="EU752" s="150"/>
      <c r="EV752" s="150"/>
      <c r="EW752" s="150"/>
      <c r="EX752" s="150"/>
      <c r="EY752" s="150"/>
      <c r="EZ752" s="150"/>
      <c r="FA752" s="150"/>
      <c r="FB752" s="150"/>
      <c r="FC752" s="150"/>
      <c r="FD752" s="150"/>
      <c r="FE752" s="150"/>
      <c r="FF752" s="150"/>
      <c r="FG752" s="150"/>
      <c r="FH752" s="150"/>
      <c r="FI752" s="150"/>
      <c r="FJ752" s="150"/>
      <c r="FK752" s="150"/>
      <c r="FL752" s="150"/>
      <c r="FM752" s="150"/>
      <c r="FN752" s="150"/>
      <c r="FO752" s="150"/>
      <c r="FP752" s="150"/>
      <c r="FQ752" s="150"/>
      <c r="FR752" s="150"/>
      <c r="FS752" s="150"/>
      <c r="FT752" s="150"/>
      <c r="FU752" s="150"/>
      <c r="FV752" s="150"/>
      <c r="FW752" s="150"/>
      <c r="FX752" s="150"/>
      <c r="FY752" s="150"/>
      <c r="FZ752" s="150"/>
      <c r="GA752" s="150"/>
      <c r="GB752" s="150"/>
      <c r="GC752" s="150"/>
      <c r="GD752" s="150"/>
      <c r="GE752" s="150"/>
      <c r="GF752" s="150"/>
      <c r="GG752" s="150"/>
      <c r="GH752" s="150"/>
      <c r="GI752" s="150"/>
      <c r="GJ752" s="150"/>
      <c r="GK752" s="150"/>
      <c r="GL752" s="150"/>
      <c r="GM752" s="150"/>
      <c r="GN752" s="150"/>
      <c r="GO752" s="150"/>
      <c r="GP752" s="150"/>
      <c r="GQ752" s="150"/>
      <c r="GR752" s="150"/>
      <c r="GS752" s="150"/>
      <c r="GT752" s="150"/>
      <c r="GU752" s="150"/>
      <c r="GV752" s="150"/>
      <c r="GW752" s="150"/>
      <c r="GX752" s="150"/>
      <c r="GY752" s="150"/>
      <c r="GZ752" s="150"/>
      <c r="HA752" s="150"/>
      <c r="HB752" s="150"/>
      <c r="HC752" s="150"/>
      <c r="HD752" s="150"/>
      <c r="HE752" s="150"/>
      <c r="HF752" s="150"/>
      <c r="HG752" s="150"/>
      <c r="HH752" s="150"/>
      <c r="HI752" s="150"/>
      <c r="HJ752" s="150"/>
      <c r="HK752" s="150"/>
      <c r="HL752" s="150" t="s">
        <v>2190</v>
      </c>
      <c r="HM752" s="150" t="s">
        <v>232</v>
      </c>
      <c r="HU752" s="147"/>
      <c r="HV752" s="147"/>
      <c r="HY752" s="147"/>
      <c r="IN752" s="146" t="s">
        <v>2195</v>
      </c>
      <c r="IO752" s="146" t="s">
        <v>19</v>
      </c>
      <c r="IR752" s="146">
        <v>2011</v>
      </c>
      <c r="JI752" s="146" t="s">
        <v>2173</v>
      </c>
      <c r="JK752" s="146" t="s">
        <v>14</v>
      </c>
      <c r="JO752" s="146" t="s">
        <v>13</v>
      </c>
      <c r="JP752" s="146">
        <v>309</v>
      </c>
      <c r="JQ752" s="146">
        <v>93</v>
      </c>
      <c r="KD752" s="146" t="s">
        <v>2172</v>
      </c>
      <c r="KE752" s="146" t="s">
        <v>12</v>
      </c>
      <c r="KF752" s="146" t="s">
        <v>29</v>
      </c>
      <c r="KG752" s="146" t="s">
        <v>29</v>
      </c>
      <c r="KI752" s="146" t="s">
        <v>222</v>
      </c>
      <c r="KJ752" s="146" t="s">
        <v>2187</v>
      </c>
      <c r="KK752" s="146" t="s">
        <v>220</v>
      </c>
      <c r="KL752" s="146">
        <v>7.5</v>
      </c>
      <c r="KM752" s="146" t="s">
        <v>222</v>
      </c>
      <c r="KN752" s="146" t="s">
        <v>2186</v>
      </c>
      <c r="KO752" s="146" t="s">
        <v>220</v>
      </c>
      <c r="KP752" s="146">
        <v>2</v>
      </c>
      <c r="MS752" s="146" t="s">
        <v>2170</v>
      </c>
      <c r="MT752" s="146">
        <v>1300</v>
      </c>
      <c r="ND752" s="146" t="s">
        <v>2215</v>
      </c>
      <c r="NE752" s="146" t="s">
        <v>2234</v>
      </c>
      <c r="NF752" s="146" t="s">
        <v>2231</v>
      </c>
      <c r="NG752" s="146" t="s">
        <v>2233</v>
      </c>
      <c r="NH752" s="146" t="s">
        <v>265</v>
      </c>
      <c r="NP752" s="146" t="s">
        <v>745</v>
      </c>
      <c r="NQ752" s="146" t="s">
        <v>6</v>
      </c>
      <c r="NR752" s="146">
        <v>1379.77</v>
      </c>
      <c r="NS752" s="146" t="s">
        <v>234</v>
      </c>
      <c r="NT752" s="146" t="s">
        <v>234</v>
      </c>
      <c r="NW752" s="146">
        <v>4</v>
      </c>
      <c r="OH752" s="146" t="s">
        <v>2218</v>
      </c>
      <c r="OI752" s="146" t="s">
        <v>2207</v>
      </c>
      <c r="OK752" s="146">
        <v>2011</v>
      </c>
      <c r="OL752" s="146">
        <v>2014</v>
      </c>
      <c r="OO752" s="146" t="s">
        <v>1178</v>
      </c>
      <c r="OP752" s="147">
        <v>46134</v>
      </c>
    </row>
    <row r="753" spans="1:406" s="146" customFormat="1">
      <c r="A753" t="s">
        <v>248</v>
      </c>
      <c r="B753" s="146" t="s">
        <v>2184</v>
      </c>
      <c r="C753" s="146" t="s">
        <v>2183</v>
      </c>
      <c r="D753" s="146" t="s">
        <v>245</v>
      </c>
      <c r="E753" s="146" t="s">
        <v>2201</v>
      </c>
      <c r="F753" s="146" t="s">
        <v>243</v>
      </c>
      <c r="G753" s="146" t="s">
        <v>2</v>
      </c>
      <c r="H753" s="146" t="s">
        <v>30</v>
      </c>
      <c r="I753" s="146">
        <v>-13.06</v>
      </c>
      <c r="J753" s="146">
        <v>34.299999999999997</v>
      </c>
      <c r="K753" s="146" t="s">
        <v>29</v>
      </c>
      <c r="AV753" s="146" t="s">
        <v>2181</v>
      </c>
      <c r="AW753" s="146">
        <v>1300</v>
      </c>
      <c r="AX753" s="146">
        <v>3900</v>
      </c>
      <c r="AY753" s="146">
        <v>3</v>
      </c>
      <c r="AZ753" s="146" t="s">
        <v>2180</v>
      </c>
      <c r="BA753" s="146">
        <v>2011</v>
      </c>
      <c r="BB753" s="146">
        <v>2014</v>
      </c>
      <c r="BD753" s="146" t="s">
        <v>274</v>
      </c>
      <c r="BE753" s="146" t="s">
        <v>2205</v>
      </c>
      <c r="BF753" s="146" t="s">
        <v>64</v>
      </c>
      <c r="BG753" s="146" t="s">
        <v>1243</v>
      </c>
      <c r="BH753" s="146" t="s">
        <v>2024</v>
      </c>
      <c r="BI753" s="146" t="s">
        <v>2200</v>
      </c>
      <c r="BJ753" s="146" t="s">
        <v>22</v>
      </c>
      <c r="BK753" s="146">
        <v>12300</v>
      </c>
      <c r="BL753" s="146" t="s">
        <v>56</v>
      </c>
      <c r="BM753" s="146" t="s">
        <v>2192</v>
      </c>
      <c r="BN753" s="146" t="s">
        <v>2191</v>
      </c>
      <c r="BO753" s="146" t="s">
        <v>22</v>
      </c>
      <c r="BP753" s="146">
        <v>24700</v>
      </c>
      <c r="BQ753" s="146" t="s">
        <v>275</v>
      </c>
      <c r="BR753" s="146" t="s">
        <v>250</v>
      </c>
      <c r="BS753" s="146" t="s">
        <v>2206</v>
      </c>
      <c r="BT753" s="146" t="s">
        <v>22</v>
      </c>
      <c r="BU753" s="146">
        <v>355556</v>
      </c>
      <c r="BV753" s="146" t="s">
        <v>56</v>
      </c>
      <c r="BW753" s="146" t="s">
        <v>2192</v>
      </c>
      <c r="BX753" s="146" t="s">
        <v>2191</v>
      </c>
      <c r="BY753" s="146" t="s">
        <v>22</v>
      </c>
      <c r="BZ753" s="146">
        <v>24700</v>
      </c>
      <c r="CA753" s="146" t="s">
        <v>275</v>
      </c>
      <c r="CB753" s="146" t="s">
        <v>23</v>
      </c>
      <c r="CC753" s="146" t="s">
        <v>2176</v>
      </c>
      <c r="CD753" s="146" t="s">
        <v>22</v>
      </c>
      <c r="CE753" s="146">
        <v>53333</v>
      </c>
      <c r="EJ753" s="150"/>
      <c r="EK753" s="150"/>
      <c r="EL753" s="150"/>
      <c r="EM753" s="150"/>
      <c r="EN753" s="150"/>
      <c r="EO753" s="150"/>
      <c r="EP753" s="150"/>
      <c r="EQ753" s="150"/>
      <c r="ER753" s="150"/>
      <c r="ES753" s="150"/>
      <c r="ET753" s="150"/>
      <c r="EU753" s="150"/>
      <c r="EV753" s="150"/>
      <c r="EW753" s="150"/>
      <c r="EX753" s="150"/>
      <c r="EY753" s="150"/>
      <c r="EZ753" s="150"/>
      <c r="FA753" s="150"/>
      <c r="FB753" s="150"/>
      <c r="FC753" s="150"/>
      <c r="FD753" s="150"/>
      <c r="FE753" s="150"/>
      <c r="FF753" s="150"/>
      <c r="FG753" s="150"/>
      <c r="FH753" s="150"/>
      <c r="FI753" s="150"/>
      <c r="FJ753" s="150"/>
      <c r="FK753" s="150"/>
      <c r="FL753" s="150"/>
      <c r="FM753" s="150"/>
      <c r="FN753" s="150"/>
      <c r="FO753" s="150"/>
      <c r="FP753" s="150"/>
      <c r="FQ753" s="150"/>
      <c r="FR753" s="150"/>
      <c r="FS753" s="150"/>
      <c r="FT753" s="150"/>
      <c r="FU753" s="150"/>
      <c r="FV753" s="150"/>
      <c r="FW753" s="150"/>
      <c r="FX753" s="150"/>
      <c r="FY753" s="150"/>
      <c r="FZ753" s="150"/>
      <c r="GA753" s="150"/>
      <c r="GB753" s="150"/>
      <c r="GC753" s="150"/>
      <c r="GD753" s="150"/>
      <c r="GE753" s="150"/>
      <c r="GF753" s="150"/>
      <c r="GG753" s="150"/>
      <c r="GH753" s="150"/>
      <c r="GI753" s="150"/>
      <c r="GJ753" s="150"/>
      <c r="GK753" s="150"/>
      <c r="GL753" s="150"/>
      <c r="GM753" s="150"/>
      <c r="GN753" s="150"/>
      <c r="GO753" s="150"/>
      <c r="GP753" s="150"/>
      <c r="GQ753" s="150"/>
      <c r="GR753" s="150"/>
      <c r="GS753" s="150"/>
      <c r="GT753" s="150"/>
      <c r="GU753" s="150"/>
      <c r="GV753" s="150"/>
      <c r="GW753" s="150"/>
      <c r="GX753" s="150"/>
      <c r="GY753" s="150"/>
      <c r="GZ753" s="150"/>
      <c r="HA753" s="150"/>
      <c r="HB753" s="150"/>
      <c r="HC753" s="150"/>
      <c r="HD753" s="150"/>
      <c r="HE753" s="150"/>
      <c r="HF753" s="150"/>
      <c r="HG753" s="150"/>
      <c r="HH753" s="150"/>
      <c r="HI753" s="150"/>
      <c r="HJ753" s="150"/>
      <c r="HK753" s="150"/>
      <c r="HL753" s="150" t="s">
        <v>2190</v>
      </c>
      <c r="HM753" s="150" t="s">
        <v>232</v>
      </c>
      <c r="HU753" s="147"/>
      <c r="HV753" s="147"/>
      <c r="HY753" s="147"/>
      <c r="IN753" s="146" t="s">
        <v>2205</v>
      </c>
      <c r="IO753" s="146" t="s">
        <v>273</v>
      </c>
      <c r="IP753" s="146" t="s">
        <v>2188</v>
      </c>
      <c r="IR753" s="146">
        <v>2011</v>
      </c>
      <c r="IT753" s="146" t="s">
        <v>29</v>
      </c>
      <c r="JI753" s="146" t="s">
        <v>2173</v>
      </c>
      <c r="JK753" s="146" t="s">
        <v>14</v>
      </c>
      <c r="JO753" s="146" t="s">
        <v>13</v>
      </c>
      <c r="JP753" s="146">
        <v>103</v>
      </c>
      <c r="JQ753" s="146">
        <v>31</v>
      </c>
      <c r="KD753" s="146" t="s">
        <v>2172</v>
      </c>
      <c r="KE753" s="146" t="s">
        <v>12</v>
      </c>
      <c r="KF753" s="146" t="s">
        <v>29</v>
      </c>
      <c r="KG753" s="146" t="s">
        <v>29</v>
      </c>
      <c r="KI753" s="146" t="s">
        <v>222</v>
      </c>
      <c r="KJ753" s="146" t="s">
        <v>2187</v>
      </c>
      <c r="KK753" s="146" t="s">
        <v>220</v>
      </c>
      <c r="KL753" s="146">
        <v>7.5</v>
      </c>
      <c r="KM753" s="146" t="s">
        <v>222</v>
      </c>
      <c r="KN753" s="146" t="s">
        <v>2186</v>
      </c>
      <c r="KO753" s="146" t="s">
        <v>220</v>
      </c>
      <c r="KP753" s="146">
        <v>1</v>
      </c>
      <c r="KQ753" s="146" t="s">
        <v>219</v>
      </c>
      <c r="KR753" s="146" t="s">
        <v>2204</v>
      </c>
      <c r="KS753" s="146" t="s">
        <v>2203</v>
      </c>
      <c r="KT753" s="146">
        <v>100</v>
      </c>
      <c r="MS753" s="146" t="s">
        <v>2170</v>
      </c>
      <c r="MT753" s="146">
        <v>1300</v>
      </c>
      <c r="ND753" s="146" t="s">
        <v>2222</v>
      </c>
      <c r="NE753" s="146" t="s">
        <v>2234</v>
      </c>
      <c r="NF753" s="146" t="s">
        <v>2231</v>
      </c>
      <c r="NG753" s="146" t="s">
        <v>2233</v>
      </c>
      <c r="NH753" s="146" t="s">
        <v>265</v>
      </c>
      <c r="NQ753" s="146" t="s">
        <v>6</v>
      </c>
      <c r="NR753" s="146">
        <v>1054.49</v>
      </c>
      <c r="NS753" s="146" t="s">
        <v>234</v>
      </c>
      <c r="NT753" s="146" t="s">
        <v>234</v>
      </c>
      <c r="NW753" s="146">
        <v>4</v>
      </c>
      <c r="OH753" s="146" t="s">
        <v>2218</v>
      </c>
      <c r="OI753" s="146" t="s">
        <v>2207</v>
      </c>
      <c r="OK753" s="146">
        <v>2011</v>
      </c>
      <c r="OL753" s="146">
        <v>2014</v>
      </c>
      <c r="OO753" s="146" t="s">
        <v>1178</v>
      </c>
      <c r="OP753" s="147">
        <v>46134</v>
      </c>
    </row>
    <row r="754" spans="1:406" s="146" customFormat="1">
      <c r="A754" t="s">
        <v>248</v>
      </c>
      <c r="B754" s="146" t="s">
        <v>2184</v>
      </c>
      <c r="C754" s="146" t="s">
        <v>2183</v>
      </c>
      <c r="D754" s="146" t="s">
        <v>245</v>
      </c>
      <c r="E754" s="146" t="s">
        <v>2201</v>
      </c>
      <c r="F754" s="146" t="s">
        <v>243</v>
      </c>
      <c r="G754" s="146" t="s">
        <v>2</v>
      </c>
      <c r="H754" s="146" t="s">
        <v>30</v>
      </c>
      <c r="I754" s="146">
        <v>-13.06</v>
      </c>
      <c r="J754" s="146">
        <v>34.299999999999997</v>
      </c>
      <c r="K754" s="146" t="s">
        <v>29</v>
      </c>
      <c r="AV754" s="146" t="s">
        <v>2181</v>
      </c>
      <c r="AW754" s="146">
        <v>1300</v>
      </c>
      <c r="AX754" s="146">
        <v>3900</v>
      </c>
      <c r="AY754" s="146">
        <v>3</v>
      </c>
      <c r="AZ754" s="146" t="s">
        <v>2180</v>
      </c>
      <c r="BA754" s="146">
        <v>2011</v>
      </c>
      <c r="BB754" s="146">
        <v>2014</v>
      </c>
      <c r="BD754" s="146" t="s">
        <v>274</v>
      </c>
      <c r="BE754" s="146" t="s">
        <v>2198</v>
      </c>
      <c r="BF754" s="146" t="s">
        <v>57</v>
      </c>
      <c r="BG754" s="146" t="s">
        <v>1243</v>
      </c>
      <c r="BH754" s="146" t="s">
        <v>2024</v>
      </c>
      <c r="BI754" s="146" t="s">
        <v>2200</v>
      </c>
      <c r="BJ754" s="146" t="s">
        <v>22</v>
      </c>
      <c r="BK754" s="146">
        <v>12300</v>
      </c>
      <c r="BL754" s="146" t="s">
        <v>275</v>
      </c>
      <c r="BM754" s="146" t="s">
        <v>271</v>
      </c>
      <c r="BN754" s="146" t="s">
        <v>2199</v>
      </c>
      <c r="BO754" s="146" t="s">
        <v>22</v>
      </c>
      <c r="BP754" s="146">
        <v>266667</v>
      </c>
      <c r="BQ754" s="146" t="s">
        <v>275</v>
      </c>
      <c r="BR754" s="146" t="s">
        <v>23</v>
      </c>
      <c r="BS754" s="146" t="s">
        <v>2176</v>
      </c>
      <c r="BT754" s="146" t="s">
        <v>22</v>
      </c>
      <c r="BU754" s="146">
        <v>53333</v>
      </c>
      <c r="EJ754" s="150"/>
      <c r="EK754" s="150"/>
      <c r="EL754" s="150"/>
      <c r="EM754" s="150"/>
      <c r="EN754" s="150"/>
      <c r="EO754" s="150"/>
      <c r="EP754" s="150"/>
      <c r="EQ754" s="150"/>
      <c r="ER754" s="150"/>
      <c r="ES754" s="150"/>
      <c r="ET754" s="150"/>
      <c r="EU754" s="150"/>
      <c r="EV754" s="150"/>
      <c r="EW754" s="150"/>
      <c r="EX754" s="150"/>
      <c r="EY754" s="150"/>
      <c r="EZ754" s="150"/>
      <c r="FA754" s="150"/>
      <c r="FB754" s="150"/>
      <c r="FC754" s="150"/>
      <c r="FD754" s="150"/>
      <c r="FE754" s="150"/>
      <c r="FF754" s="150"/>
      <c r="FG754" s="150"/>
      <c r="FH754" s="150"/>
      <c r="FI754" s="150"/>
      <c r="FJ754" s="150"/>
      <c r="FK754" s="150"/>
      <c r="FL754" s="150"/>
      <c r="FM754" s="150"/>
      <c r="FN754" s="150"/>
      <c r="FO754" s="150"/>
      <c r="FP754" s="150"/>
      <c r="FQ754" s="150"/>
      <c r="FR754" s="150"/>
      <c r="FS754" s="150"/>
      <c r="FT754" s="150"/>
      <c r="FU754" s="150"/>
      <c r="FV754" s="150"/>
      <c r="FW754" s="150"/>
      <c r="FX754" s="150"/>
      <c r="FY754" s="150"/>
      <c r="FZ754" s="150"/>
      <c r="GA754" s="150"/>
      <c r="GB754" s="150"/>
      <c r="GC754" s="150"/>
      <c r="GD754" s="150"/>
      <c r="GE754" s="150"/>
      <c r="GF754" s="150"/>
      <c r="GG754" s="150"/>
      <c r="GH754" s="150"/>
      <c r="GI754" s="150"/>
      <c r="GJ754" s="150"/>
      <c r="GK754" s="150"/>
      <c r="GL754" s="150"/>
      <c r="GM754" s="150"/>
      <c r="GN754" s="150"/>
      <c r="GO754" s="150"/>
      <c r="GP754" s="150"/>
      <c r="GQ754" s="150"/>
      <c r="GR754" s="150"/>
      <c r="GS754" s="150"/>
      <c r="GT754" s="150"/>
      <c r="GU754" s="150"/>
      <c r="GV754" s="150"/>
      <c r="GW754" s="150"/>
      <c r="GX754" s="150"/>
      <c r="GY754" s="150"/>
      <c r="GZ754" s="150"/>
      <c r="HA754" s="150"/>
      <c r="HB754" s="150"/>
      <c r="HC754" s="150"/>
      <c r="HD754" s="150"/>
      <c r="HE754" s="150"/>
      <c r="HF754" s="150"/>
      <c r="HG754" s="150"/>
      <c r="HH754" s="150"/>
      <c r="HI754" s="150"/>
      <c r="HJ754" s="150"/>
      <c r="HK754" s="150"/>
      <c r="HL754" s="150" t="s">
        <v>2175</v>
      </c>
      <c r="HM754" s="150" t="s">
        <v>297</v>
      </c>
      <c r="HN754" s="146" t="s">
        <v>29</v>
      </c>
      <c r="HO754" s="146" t="s">
        <v>29</v>
      </c>
      <c r="HP754" s="146" t="s">
        <v>29</v>
      </c>
      <c r="HQ754" s="146" t="s">
        <v>29</v>
      </c>
      <c r="HY754" s="147"/>
      <c r="IN754" s="146" t="s">
        <v>2198</v>
      </c>
      <c r="IO754" s="146" t="s">
        <v>273</v>
      </c>
      <c r="IR754" s="146">
        <v>2011</v>
      </c>
      <c r="IT754" s="146" t="s">
        <v>29</v>
      </c>
      <c r="JI754" s="146" t="s">
        <v>2173</v>
      </c>
      <c r="JK754" s="146" t="s">
        <v>14</v>
      </c>
      <c r="JO754" s="146" t="s">
        <v>13</v>
      </c>
      <c r="JP754" s="146">
        <v>124</v>
      </c>
      <c r="JQ754" s="146">
        <v>50</v>
      </c>
      <c r="KD754" s="146" t="s">
        <v>2172</v>
      </c>
      <c r="KE754" s="146" t="s">
        <v>12</v>
      </c>
      <c r="KF754" s="146" t="s">
        <v>29</v>
      </c>
      <c r="KG754" s="146" t="s">
        <v>29</v>
      </c>
      <c r="KI754" s="146" t="s">
        <v>2171</v>
      </c>
      <c r="MS754" s="146" t="s">
        <v>2170</v>
      </c>
      <c r="MT754" s="146">
        <v>1300</v>
      </c>
      <c r="ND754" s="146" t="s">
        <v>2211</v>
      </c>
      <c r="NE754" s="146" t="s">
        <v>2234</v>
      </c>
      <c r="NF754" s="146" t="s">
        <v>2231</v>
      </c>
      <c r="NG754" s="146" t="s">
        <v>2233</v>
      </c>
      <c r="NH754" s="146" t="s">
        <v>265</v>
      </c>
      <c r="NQ754" s="146" t="s">
        <v>6</v>
      </c>
      <c r="NR754" s="146">
        <v>890.16</v>
      </c>
      <c r="NS754" s="146" t="s">
        <v>234</v>
      </c>
      <c r="NT754" s="146" t="s">
        <v>234</v>
      </c>
      <c r="NW754" s="146">
        <v>4</v>
      </c>
      <c r="OH754" s="146" t="s">
        <v>2218</v>
      </c>
      <c r="OI754" s="146" t="s">
        <v>2207</v>
      </c>
      <c r="OK754" s="146">
        <v>2011</v>
      </c>
      <c r="OL754" s="146">
        <v>2014</v>
      </c>
      <c r="OO754" s="146" t="s">
        <v>1178</v>
      </c>
      <c r="OP754" s="147">
        <v>46134</v>
      </c>
    </row>
    <row r="755" spans="1:406" s="146" customFormat="1">
      <c r="A755" s="87" t="s">
        <v>248</v>
      </c>
      <c r="B755" s="146" t="s">
        <v>2184</v>
      </c>
      <c r="C755" s="146" t="s">
        <v>2183</v>
      </c>
      <c r="D755" s="146" t="s">
        <v>245</v>
      </c>
      <c r="E755" s="146" t="s">
        <v>2182</v>
      </c>
      <c r="F755" s="146" t="s">
        <v>243</v>
      </c>
      <c r="G755" s="146" t="s">
        <v>2</v>
      </c>
      <c r="H755" s="146" t="s">
        <v>30</v>
      </c>
      <c r="I755" s="146">
        <v>-13.47</v>
      </c>
      <c r="J755" s="146">
        <v>33.71</v>
      </c>
      <c r="K755" s="146" t="s">
        <v>29</v>
      </c>
      <c r="AV755" s="146" t="s">
        <v>2181</v>
      </c>
      <c r="AW755" s="146">
        <v>2500</v>
      </c>
      <c r="AX755" s="146">
        <v>7500</v>
      </c>
      <c r="AY755" s="146">
        <v>3</v>
      </c>
      <c r="AZ755" s="146" t="s">
        <v>2180</v>
      </c>
      <c r="BA755" s="146">
        <v>2011</v>
      </c>
      <c r="BB755" s="146">
        <v>2014</v>
      </c>
      <c r="BD755" s="146" t="s">
        <v>19</v>
      </c>
      <c r="BE755" s="146" t="s">
        <v>2195</v>
      </c>
      <c r="BF755" s="146" t="s">
        <v>24</v>
      </c>
      <c r="BG755" s="146" t="s">
        <v>1243</v>
      </c>
      <c r="BH755" s="146" t="s">
        <v>23</v>
      </c>
      <c r="BI755" s="146" t="s">
        <v>2176</v>
      </c>
      <c r="BJ755" s="146" t="s">
        <v>22</v>
      </c>
      <c r="BK755" s="146">
        <v>53333</v>
      </c>
      <c r="EJ755" s="150"/>
      <c r="EK755" s="150"/>
      <c r="EL755" s="150"/>
      <c r="EM755" s="150"/>
      <c r="EN755" s="150"/>
      <c r="EO755" s="150"/>
      <c r="EP755" s="150"/>
      <c r="EQ755" s="150"/>
      <c r="ER755" s="150"/>
      <c r="ES755" s="150"/>
      <c r="ET755" s="150"/>
      <c r="EU755" s="150"/>
      <c r="EV755" s="150"/>
      <c r="EW755" s="150"/>
      <c r="EX755" s="150"/>
      <c r="EY755" s="150"/>
      <c r="EZ755" s="150"/>
      <c r="FA755" s="150"/>
      <c r="FB755" s="150"/>
      <c r="FC755" s="150"/>
      <c r="FD755" s="150"/>
      <c r="FE755" s="150"/>
      <c r="FF755" s="150"/>
      <c r="FG755" s="150"/>
      <c r="FH755" s="150"/>
      <c r="FI755" s="150"/>
      <c r="FJ755" s="150"/>
      <c r="FK755" s="150"/>
      <c r="FL755" s="150"/>
      <c r="FM755" s="150"/>
      <c r="FN755" s="150"/>
      <c r="FO755" s="150"/>
      <c r="FP755" s="150"/>
      <c r="FQ755" s="150"/>
      <c r="FR755" s="150"/>
      <c r="FS755" s="150"/>
      <c r="FT755" s="150"/>
      <c r="FU755" s="150"/>
      <c r="FV755" s="150"/>
      <c r="FW755" s="150"/>
      <c r="FX755" s="150"/>
      <c r="FY755" s="150"/>
      <c r="FZ755" s="150"/>
      <c r="GA755" s="150"/>
      <c r="GB755" s="150"/>
      <c r="GC755" s="150"/>
      <c r="GD755" s="150"/>
      <c r="GE755" s="150"/>
      <c r="GF755" s="150"/>
      <c r="GG755" s="150"/>
      <c r="GH755" s="150"/>
      <c r="GI755" s="150"/>
      <c r="GJ755" s="150"/>
      <c r="GK755" s="150"/>
      <c r="GL755" s="150"/>
      <c r="GM755" s="150"/>
      <c r="GN755" s="150"/>
      <c r="GO755" s="150"/>
      <c r="GP755" s="150"/>
      <c r="GQ755" s="150"/>
      <c r="GR755" s="150"/>
      <c r="GS755" s="150"/>
      <c r="GT755" s="150"/>
      <c r="GU755" s="150"/>
      <c r="GV755" s="150"/>
      <c r="GW755" s="150"/>
      <c r="GX755" s="150"/>
      <c r="GY755" s="150"/>
      <c r="GZ755" s="150"/>
      <c r="HA755" s="150"/>
      <c r="HB755" s="150"/>
      <c r="HC755" s="150"/>
      <c r="HD755" s="150"/>
      <c r="HE755" s="150"/>
      <c r="HF755" s="150"/>
      <c r="HG755" s="150"/>
      <c r="HH755" s="150"/>
      <c r="HI755" s="150"/>
      <c r="HJ755" s="150"/>
      <c r="HK755" s="150"/>
      <c r="HL755" s="150" t="s">
        <v>2190</v>
      </c>
      <c r="HM755" s="150" t="s">
        <v>232</v>
      </c>
      <c r="HY755" s="147"/>
      <c r="IN755" s="146" t="s">
        <v>2195</v>
      </c>
      <c r="IO755" s="146" t="s">
        <v>19</v>
      </c>
      <c r="IR755" s="146">
        <v>2011</v>
      </c>
      <c r="JI755" s="146" t="s">
        <v>2173</v>
      </c>
      <c r="JK755" s="146" t="s">
        <v>14</v>
      </c>
      <c r="JO755" s="146" t="s">
        <v>13</v>
      </c>
      <c r="JP755" s="146">
        <v>309</v>
      </c>
      <c r="JQ755" s="146">
        <v>93</v>
      </c>
      <c r="KD755" s="146" t="s">
        <v>2172</v>
      </c>
      <c r="KE755" s="146" t="s">
        <v>12</v>
      </c>
      <c r="KF755" s="146" t="s">
        <v>29</v>
      </c>
      <c r="KG755" s="146" t="s">
        <v>29</v>
      </c>
      <c r="KI755" s="146" t="s">
        <v>222</v>
      </c>
      <c r="KJ755" s="146" t="s">
        <v>2187</v>
      </c>
      <c r="KK755" s="146" t="s">
        <v>220</v>
      </c>
      <c r="KL755" s="146">
        <v>7.5</v>
      </c>
      <c r="KM755" s="146" t="s">
        <v>222</v>
      </c>
      <c r="KN755" s="146" t="s">
        <v>2186</v>
      </c>
      <c r="KO755" s="146" t="s">
        <v>220</v>
      </c>
      <c r="KP755" s="146">
        <v>2</v>
      </c>
      <c r="MS755" s="146" t="s">
        <v>2170</v>
      </c>
      <c r="MT755" s="146">
        <v>2500</v>
      </c>
      <c r="ND755" s="146" t="s">
        <v>2215</v>
      </c>
      <c r="NE755" s="146" t="s">
        <v>2234</v>
      </c>
      <c r="NF755" s="146" t="s">
        <v>2231</v>
      </c>
      <c r="NG755" s="146" t="s">
        <v>2233</v>
      </c>
      <c r="NH755" s="146" t="s">
        <v>265</v>
      </c>
      <c r="NP755" s="146" t="s">
        <v>2193</v>
      </c>
      <c r="NQ755" s="146" t="s">
        <v>6</v>
      </c>
      <c r="NR755" s="146">
        <v>1212.73</v>
      </c>
      <c r="NS755" s="146" t="s">
        <v>234</v>
      </c>
      <c r="NT755" s="146" t="s">
        <v>234</v>
      </c>
      <c r="NW755" s="146">
        <v>4</v>
      </c>
      <c r="OH755" s="146" t="s">
        <v>2208</v>
      </c>
      <c r="OI755" s="146" t="s">
        <v>2207</v>
      </c>
      <c r="OK755" s="146">
        <v>2011</v>
      </c>
      <c r="OL755" s="146">
        <v>2014</v>
      </c>
      <c r="OO755" s="146" t="s">
        <v>1178</v>
      </c>
      <c r="OP755" s="147">
        <v>46134</v>
      </c>
    </row>
    <row r="756" spans="1:406" s="146" customFormat="1">
      <c r="A756" t="s">
        <v>248</v>
      </c>
      <c r="B756" s="146" t="s">
        <v>2184</v>
      </c>
      <c r="C756" s="146" t="s">
        <v>2183</v>
      </c>
      <c r="D756" s="146" t="s">
        <v>245</v>
      </c>
      <c r="E756" s="146" t="s">
        <v>2182</v>
      </c>
      <c r="F756" s="146" t="s">
        <v>243</v>
      </c>
      <c r="G756" s="146" t="s">
        <v>2</v>
      </c>
      <c r="H756" s="146" t="s">
        <v>30</v>
      </c>
      <c r="I756" s="146">
        <v>-13.47</v>
      </c>
      <c r="J756" s="146">
        <v>33.71</v>
      </c>
      <c r="K756" s="146" t="s">
        <v>29</v>
      </c>
      <c r="AV756" s="146" t="s">
        <v>2181</v>
      </c>
      <c r="AW756" s="146">
        <v>2500</v>
      </c>
      <c r="AX756" s="146">
        <v>7500</v>
      </c>
      <c r="AY756" s="146">
        <v>3</v>
      </c>
      <c r="AZ756" s="146" t="s">
        <v>2180</v>
      </c>
      <c r="BA756" s="146">
        <v>2011</v>
      </c>
      <c r="BB756" s="146">
        <v>2014</v>
      </c>
      <c r="BD756" s="146" t="s">
        <v>274</v>
      </c>
      <c r="BE756" s="146" t="s">
        <v>2189</v>
      </c>
      <c r="BF756" s="146" t="s">
        <v>48</v>
      </c>
      <c r="BG756" s="146" t="s">
        <v>1243</v>
      </c>
      <c r="BH756" s="146" t="s">
        <v>2179</v>
      </c>
      <c r="BI756" s="146" t="s">
        <v>2178</v>
      </c>
      <c r="BJ756" s="146" t="s">
        <v>22</v>
      </c>
      <c r="BK756" s="146">
        <v>3700</v>
      </c>
      <c r="BL756" s="146" t="s">
        <v>56</v>
      </c>
      <c r="BM756" s="146" t="s">
        <v>2192</v>
      </c>
      <c r="BN756" s="146" t="s">
        <v>2191</v>
      </c>
      <c r="BO756" s="146" t="s">
        <v>22</v>
      </c>
      <c r="BP756" s="146">
        <v>18500</v>
      </c>
      <c r="BQ756" s="146" t="s">
        <v>275</v>
      </c>
      <c r="BR756" s="146" t="s">
        <v>1677</v>
      </c>
      <c r="BS756" s="146" t="s">
        <v>2177</v>
      </c>
      <c r="BT756" s="146" t="s">
        <v>22</v>
      </c>
      <c r="BU756" s="146">
        <v>222200</v>
      </c>
      <c r="BV756" s="146" t="s">
        <v>275</v>
      </c>
      <c r="BW756" s="146" t="s">
        <v>23</v>
      </c>
      <c r="BX756" s="146" t="s">
        <v>2176</v>
      </c>
      <c r="BY756" s="146" t="s">
        <v>22</v>
      </c>
      <c r="BZ756" s="146">
        <v>53333</v>
      </c>
      <c r="EJ756" s="150"/>
      <c r="EK756" s="150"/>
      <c r="EL756" s="150"/>
      <c r="EM756" s="150"/>
      <c r="EN756" s="150"/>
      <c r="EO756" s="150"/>
      <c r="EP756" s="150"/>
      <c r="EQ756" s="150"/>
      <c r="ER756" s="150"/>
      <c r="ES756" s="150"/>
      <c r="ET756" s="150"/>
      <c r="EU756" s="150"/>
      <c r="EV756" s="150"/>
      <c r="EW756" s="150"/>
      <c r="EX756" s="150"/>
      <c r="EY756" s="150"/>
      <c r="EZ756" s="150"/>
      <c r="FA756" s="150"/>
      <c r="FB756" s="150"/>
      <c r="FC756" s="150"/>
      <c r="FD756" s="150"/>
      <c r="FE756" s="150"/>
      <c r="FF756" s="150"/>
      <c r="FG756" s="150"/>
      <c r="FH756" s="150"/>
      <c r="FI756" s="150"/>
      <c r="FJ756" s="150"/>
      <c r="FK756" s="150"/>
      <c r="FL756" s="150"/>
      <c r="FM756" s="150"/>
      <c r="FN756" s="150"/>
      <c r="FO756" s="150"/>
      <c r="FP756" s="150"/>
      <c r="FQ756" s="150"/>
      <c r="FR756" s="150"/>
      <c r="FS756" s="150"/>
      <c r="FT756" s="150"/>
      <c r="FU756" s="150"/>
      <c r="FV756" s="150"/>
      <c r="FW756" s="150"/>
      <c r="FX756" s="150"/>
      <c r="FY756" s="150"/>
      <c r="FZ756" s="150"/>
      <c r="GA756" s="150"/>
      <c r="GB756" s="150"/>
      <c r="GC756" s="150"/>
      <c r="GD756" s="150"/>
      <c r="GE756" s="150"/>
      <c r="GF756" s="150"/>
      <c r="GG756" s="150"/>
      <c r="GH756" s="150"/>
      <c r="GI756" s="150"/>
      <c r="GJ756" s="150"/>
      <c r="GK756" s="150"/>
      <c r="GL756" s="150"/>
      <c r="GM756" s="150"/>
      <c r="GN756" s="150"/>
      <c r="GO756" s="150"/>
      <c r="GP756" s="150"/>
      <c r="GQ756" s="150"/>
      <c r="GR756" s="150"/>
      <c r="GS756" s="150"/>
      <c r="GT756" s="150"/>
      <c r="GU756" s="150"/>
      <c r="GV756" s="150"/>
      <c r="GW756" s="150"/>
      <c r="GX756" s="150"/>
      <c r="GY756" s="150"/>
      <c r="GZ756" s="150"/>
      <c r="HA756" s="150"/>
      <c r="HB756" s="150"/>
      <c r="HC756" s="150"/>
      <c r="HD756" s="150"/>
      <c r="HE756" s="150"/>
      <c r="HF756" s="150"/>
      <c r="HG756" s="150"/>
      <c r="HH756" s="150"/>
      <c r="HI756" s="150"/>
      <c r="HJ756" s="150"/>
      <c r="HK756" s="150"/>
      <c r="HL756" s="150" t="s">
        <v>2190</v>
      </c>
      <c r="HM756" s="150" t="s">
        <v>232</v>
      </c>
      <c r="HY756" s="147"/>
      <c r="IN756" s="146" t="s">
        <v>2189</v>
      </c>
      <c r="IO756" s="146" t="s">
        <v>273</v>
      </c>
      <c r="IP756" s="146" t="s">
        <v>2188</v>
      </c>
      <c r="IR756" s="146">
        <v>2011</v>
      </c>
      <c r="IT756" s="146" t="s">
        <v>29</v>
      </c>
      <c r="JI756" s="146" t="s">
        <v>2173</v>
      </c>
      <c r="JK756" s="146" t="s">
        <v>14</v>
      </c>
      <c r="JO756" s="146" t="s">
        <v>13</v>
      </c>
      <c r="JP756" s="146">
        <v>131</v>
      </c>
      <c r="JQ756" s="146">
        <v>59</v>
      </c>
      <c r="KD756" s="146" t="s">
        <v>2172</v>
      </c>
      <c r="KE756" s="146" t="s">
        <v>12</v>
      </c>
      <c r="KF756" s="146" t="s">
        <v>29</v>
      </c>
      <c r="KG756" s="146" t="s">
        <v>29</v>
      </c>
      <c r="KI756" s="146" t="s">
        <v>222</v>
      </c>
      <c r="KJ756" s="146" t="s">
        <v>2187</v>
      </c>
      <c r="KK756" s="146" t="s">
        <v>220</v>
      </c>
      <c r="KL756" s="146">
        <v>7.5</v>
      </c>
      <c r="KM756" s="146" t="s">
        <v>222</v>
      </c>
      <c r="KN756" s="146" t="s">
        <v>2186</v>
      </c>
      <c r="KO756" s="146" t="s">
        <v>220</v>
      </c>
      <c r="KP756" s="146">
        <v>1</v>
      </c>
      <c r="MS756" s="146" t="s">
        <v>2170</v>
      </c>
      <c r="MT756" s="146">
        <v>2500</v>
      </c>
      <c r="ND756" s="146" t="s">
        <v>2215</v>
      </c>
      <c r="NE756" s="146" t="s">
        <v>2234</v>
      </c>
      <c r="NF756" s="146" t="s">
        <v>2231</v>
      </c>
      <c r="NG756" s="146" t="s">
        <v>2233</v>
      </c>
      <c r="NH756" s="146" t="s">
        <v>265</v>
      </c>
      <c r="NQ756" s="146" t="s">
        <v>6</v>
      </c>
      <c r="NR756" s="146">
        <v>1191.1099999999999</v>
      </c>
      <c r="NS756" s="146" t="s">
        <v>234</v>
      </c>
      <c r="NT756" s="146" t="s">
        <v>234</v>
      </c>
      <c r="NW756" s="146">
        <v>4</v>
      </c>
      <c r="OH756" s="146" t="s">
        <v>2208</v>
      </c>
      <c r="OI756" s="146" t="s">
        <v>2207</v>
      </c>
      <c r="OK756" s="146">
        <v>2011</v>
      </c>
      <c r="OL756" s="146">
        <v>2014</v>
      </c>
      <c r="OO756" s="146" t="s">
        <v>1178</v>
      </c>
      <c r="OP756" s="147">
        <v>46134</v>
      </c>
    </row>
    <row r="757" spans="1:406" s="146" customFormat="1">
      <c r="A757" t="s">
        <v>248</v>
      </c>
      <c r="B757" s="146" t="s">
        <v>2184</v>
      </c>
      <c r="C757" s="146" t="s">
        <v>2183</v>
      </c>
      <c r="D757" s="146" t="s">
        <v>245</v>
      </c>
      <c r="E757" s="146" t="s">
        <v>2182</v>
      </c>
      <c r="F757" s="146" t="s">
        <v>243</v>
      </c>
      <c r="G757" s="146" t="s">
        <v>2</v>
      </c>
      <c r="H757" s="146" t="s">
        <v>30</v>
      </c>
      <c r="I757" s="146">
        <v>-13.47</v>
      </c>
      <c r="J757" s="146">
        <v>33.71</v>
      </c>
      <c r="K757" s="146" t="s">
        <v>29</v>
      </c>
      <c r="AV757" s="146" t="s">
        <v>2181</v>
      </c>
      <c r="AW757" s="146">
        <v>2500</v>
      </c>
      <c r="AX757" s="146">
        <v>7500</v>
      </c>
      <c r="AY757" s="146">
        <v>3</v>
      </c>
      <c r="AZ757" s="146" t="s">
        <v>2180</v>
      </c>
      <c r="BA757" s="146">
        <v>2011</v>
      </c>
      <c r="BB757" s="146">
        <v>2014</v>
      </c>
      <c r="BD757" s="146" t="s">
        <v>274</v>
      </c>
      <c r="BE757" s="146" t="s">
        <v>2174</v>
      </c>
      <c r="BF757" s="146" t="s">
        <v>43</v>
      </c>
      <c r="BG757" s="146" t="s">
        <v>1243</v>
      </c>
      <c r="BH757" s="146" t="s">
        <v>2179</v>
      </c>
      <c r="BI757" s="146" t="s">
        <v>2178</v>
      </c>
      <c r="BJ757" s="146" t="s">
        <v>22</v>
      </c>
      <c r="BK757" s="146">
        <v>3700</v>
      </c>
      <c r="BL757" s="146" t="s">
        <v>275</v>
      </c>
      <c r="BM757" s="146" t="s">
        <v>1677</v>
      </c>
      <c r="BN757" s="146" t="s">
        <v>2177</v>
      </c>
      <c r="BO757" s="146" t="s">
        <v>22</v>
      </c>
      <c r="BP757" s="146">
        <v>177800</v>
      </c>
      <c r="BQ757" s="146" t="s">
        <v>275</v>
      </c>
      <c r="BR757" s="146" t="s">
        <v>23</v>
      </c>
      <c r="BS757" s="146" t="s">
        <v>2176</v>
      </c>
      <c r="BT757" s="146" t="s">
        <v>22</v>
      </c>
      <c r="BU757" s="146">
        <v>53333</v>
      </c>
      <c r="EJ757" s="150"/>
      <c r="EK757" s="150"/>
      <c r="EL757" s="150"/>
      <c r="EM757" s="150"/>
      <c r="EN757" s="150"/>
      <c r="EO757" s="150"/>
      <c r="EP757" s="150"/>
      <c r="EQ757" s="150"/>
      <c r="ER757" s="150"/>
      <c r="ES757" s="150"/>
      <c r="ET757" s="150"/>
      <c r="EU757" s="150"/>
      <c r="EV757" s="150"/>
      <c r="EW757" s="150"/>
      <c r="EX757" s="150"/>
      <c r="EY757" s="150"/>
      <c r="EZ757" s="150"/>
      <c r="FA757" s="150"/>
      <c r="FB757" s="150"/>
      <c r="FC757" s="150"/>
      <c r="FD757" s="150"/>
      <c r="FE757" s="150"/>
      <c r="FF757" s="150"/>
      <c r="FG757" s="150"/>
      <c r="FH757" s="150"/>
      <c r="FI757" s="150"/>
      <c r="FJ757" s="150"/>
      <c r="FK757" s="150"/>
      <c r="FL757" s="150"/>
      <c r="FM757" s="150"/>
      <c r="FN757" s="150"/>
      <c r="FO757" s="150"/>
      <c r="FP757" s="150"/>
      <c r="FQ757" s="150"/>
      <c r="FR757" s="150"/>
      <c r="FS757" s="150"/>
      <c r="FT757" s="150"/>
      <c r="FU757" s="150"/>
      <c r="FV757" s="150"/>
      <c r="FW757" s="150"/>
      <c r="FX757" s="150"/>
      <c r="FY757" s="150"/>
      <c r="FZ757" s="150"/>
      <c r="GA757" s="150"/>
      <c r="GB757" s="150"/>
      <c r="GC757" s="150"/>
      <c r="GD757" s="150"/>
      <c r="GE757" s="150"/>
      <c r="GF757" s="150"/>
      <c r="GG757" s="150"/>
      <c r="GH757" s="150"/>
      <c r="GI757" s="150"/>
      <c r="GJ757" s="150"/>
      <c r="GK757" s="150"/>
      <c r="GL757" s="150"/>
      <c r="GM757" s="150"/>
      <c r="GN757" s="150"/>
      <c r="GO757" s="150"/>
      <c r="GP757" s="150"/>
      <c r="GQ757" s="150"/>
      <c r="GR757" s="150"/>
      <c r="GS757" s="150"/>
      <c r="GT757" s="150"/>
      <c r="GU757" s="150"/>
      <c r="GV757" s="150"/>
      <c r="GW757" s="150"/>
      <c r="GX757" s="150"/>
      <c r="GY757" s="150"/>
      <c r="GZ757" s="150"/>
      <c r="HA757" s="150"/>
      <c r="HB757" s="150"/>
      <c r="HC757" s="150"/>
      <c r="HD757" s="150"/>
      <c r="HE757" s="150"/>
      <c r="HF757" s="150"/>
      <c r="HG757" s="150"/>
      <c r="HH757" s="150"/>
      <c r="HI757" s="150"/>
      <c r="HJ757" s="150"/>
      <c r="HK757" s="150"/>
      <c r="HL757" s="150" t="s">
        <v>2175</v>
      </c>
      <c r="HM757" s="150" t="s">
        <v>297</v>
      </c>
      <c r="HN757" s="146" t="s">
        <v>29</v>
      </c>
      <c r="HO757" s="146" t="s">
        <v>29</v>
      </c>
      <c r="HP757" s="146" t="s">
        <v>29</v>
      </c>
      <c r="HQ757" s="146" t="s">
        <v>29</v>
      </c>
      <c r="HY757" s="147"/>
      <c r="IN757" s="146" t="s">
        <v>2174</v>
      </c>
      <c r="IO757" s="146" t="s">
        <v>273</v>
      </c>
      <c r="IP757" s="146" t="s">
        <v>838</v>
      </c>
      <c r="IR757" s="146">
        <v>2011</v>
      </c>
      <c r="IT757" s="146" t="s">
        <v>29</v>
      </c>
      <c r="JI757" s="146" t="s">
        <v>2173</v>
      </c>
      <c r="JK757" s="146" t="s">
        <v>14</v>
      </c>
      <c r="JO757" s="146" t="s">
        <v>13</v>
      </c>
      <c r="JP757" s="146">
        <v>131</v>
      </c>
      <c r="JQ757" s="146">
        <v>59</v>
      </c>
      <c r="KD757" s="146" t="s">
        <v>2172</v>
      </c>
      <c r="KE757" s="146" t="s">
        <v>12</v>
      </c>
      <c r="KF757" s="146" t="s">
        <v>29</v>
      </c>
      <c r="KG757" s="146" t="s">
        <v>29</v>
      </c>
      <c r="KI757" s="146" t="s">
        <v>2171</v>
      </c>
      <c r="MS757" s="146" t="s">
        <v>2170</v>
      </c>
      <c r="MT757" s="146">
        <v>2500</v>
      </c>
      <c r="ND757" s="146" t="s">
        <v>2211</v>
      </c>
      <c r="NE757" s="146" t="s">
        <v>2234</v>
      </c>
      <c r="NF757" s="146" t="s">
        <v>2231</v>
      </c>
      <c r="NG757" s="146" t="s">
        <v>2233</v>
      </c>
      <c r="NH757" s="146" t="s">
        <v>265</v>
      </c>
      <c r="NQ757" s="146" t="s">
        <v>6</v>
      </c>
      <c r="NR757" s="146">
        <v>1046.0999999999999</v>
      </c>
      <c r="NS757" s="146" t="s">
        <v>234</v>
      </c>
      <c r="NT757" s="146" t="s">
        <v>234</v>
      </c>
      <c r="NW757" s="146">
        <v>4</v>
      </c>
      <c r="OH757" s="146" t="s">
        <v>2208</v>
      </c>
      <c r="OI757" s="146" t="s">
        <v>2207</v>
      </c>
      <c r="OK757" s="146">
        <v>2011</v>
      </c>
      <c r="OL757" s="146">
        <v>2014</v>
      </c>
      <c r="OO757" s="146" t="s">
        <v>1178</v>
      </c>
      <c r="OP757" s="147">
        <v>46134</v>
      </c>
    </row>
    <row r="758" spans="1:406" s="146" customFormat="1">
      <c r="A758" s="87" t="s">
        <v>248</v>
      </c>
      <c r="B758" s="146" t="s">
        <v>2184</v>
      </c>
      <c r="C758" s="146" t="s">
        <v>2183</v>
      </c>
      <c r="D758" s="146" t="s">
        <v>245</v>
      </c>
      <c r="E758" s="146" t="s">
        <v>2201</v>
      </c>
      <c r="F758" s="146" t="s">
        <v>243</v>
      </c>
      <c r="G758" s="146" t="s">
        <v>2</v>
      </c>
      <c r="H758" s="146" t="s">
        <v>30</v>
      </c>
      <c r="I758" s="146">
        <v>-13.06</v>
      </c>
      <c r="J758" s="146">
        <v>34.299999999999997</v>
      </c>
      <c r="K758" s="146" t="s">
        <v>29</v>
      </c>
      <c r="AV758" s="146" t="s">
        <v>2181</v>
      </c>
      <c r="AW758" s="146">
        <v>1300</v>
      </c>
      <c r="AX758" s="146">
        <v>3900</v>
      </c>
      <c r="AY758" s="146">
        <v>3</v>
      </c>
      <c r="AZ758" s="146" t="s">
        <v>2180</v>
      </c>
      <c r="BA758" s="146">
        <v>2011</v>
      </c>
      <c r="BB758" s="146">
        <v>2014</v>
      </c>
      <c r="BD758" s="146" t="s">
        <v>19</v>
      </c>
      <c r="BE758" s="146" t="s">
        <v>2195</v>
      </c>
      <c r="BF758" s="146" t="s">
        <v>39</v>
      </c>
      <c r="BG758" s="146" t="s">
        <v>1243</v>
      </c>
      <c r="BH758" s="146" t="s">
        <v>23</v>
      </c>
      <c r="BI758" s="146" t="s">
        <v>2176</v>
      </c>
      <c r="BJ758" s="146" t="s">
        <v>22</v>
      </c>
      <c r="BK758" s="146">
        <v>53333</v>
      </c>
      <c r="EJ758" s="150"/>
      <c r="EK758" s="150"/>
      <c r="EL758" s="150"/>
      <c r="EM758" s="150"/>
      <c r="EN758" s="150"/>
      <c r="EO758" s="150"/>
      <c r="EP758" s="150"/>
      <c r="EQ758" s="150"/>
      <c r="ER758" s="150"/>
      <c r="ES758" s="150"/>
      <c r="ET758" s="150"/>
      <c r="EU758" s="150"/>
      <c r="EV758" s="150"/>
      <c r="EW758" s="150"/>
      <c r="EX758" s="150"/>
      <c r="EY758" s="150"/>
      <c r="EZ758" s="150"/>
      <c r="FA758" s="150"/>
      <c r="FB758" s="150"/>
      <c r="FC758" s="150"/>
      <c r="FD758" s="150"/>
      <c r="FE758" s="150"/>
      <c r="FF758" s="150"/>
      <c r="FG758" s="150"/>
      <c r="FH758" s="150"/>
      <c r="FI758" s="150"/>
      <c r="FJ758" s="150"/>
      <c r="FK758" s="150"/>
      <c r="FL758" s="150"/>
      <c r="FM758" s="150"/>
      <c r="FN758" s="150"/>
      <c r="FO758" s="150"/>
      <c r="FP758" s="150"/>
      <c r="FQ758" s="150"/>
      <c r="FR758" s="150"/>
      <c r="FS758" s="150"/>
      <c r="FT758" s="150"/>
      <c r="FU758" s="150"/>
      <c r="FV758" s="150"/>
      <c r="FW758" s="150"/>
      <c r="FX758" s="150"/>
      <c r="FY758" s="150"/>
      <c r="FZ758" s="150"/>
      <c r="GA758" s="150"/>
      <c r="GB758" s="150"/>
      <c r="GC758" s="150"/>
      <c r="GD758" s="150"/>
      <c r="GE758" s="150"/>
      <c r="GF758" s="150"/>
      <c r="GG758" s="150"/>
      <c r="GH758" s="150"/>
      <c r="GI758" s="150"/>
      <c r="GJ758" s="150"/>
      <c r="GK758" s="150"/>
      <c r="GL758" s="150"/>
      <c r="GM758" s="150"/>
      <c r="GN758" s="150"/>
      <c r="GO758" s="150"/>
      <c r="GP758" s="150"/>
      <c r="GQ758" s="150"/>
      <c r="GR758" s="150"/>
      <c r="GS758" s="150"/>
      <c r="GT758" s="150"/>
      <c r="GU758" s="150"/>
      <c r="GV758" s="150"/>
      <c r="GW758" s="150"/>
      <c r="GX758" s="150"/>
      <c r="GY758" s="150"/>
      <c r="GZ758" s="150"/>
      <c r="HA758" s="150"/>
      <c r="HB758" s="150"/>
      <c r="HC758" s="150"/>
      <c r="HD758" s="150"/>
      <c r="HE758" s="150"/>
      <c r="HF758" s="150"/>
      <c r="HG758" s="150"/>
      <c r="HH758" s="150"/>
      <c r="HI758" s="150"/>
      <c r="HJ758" s="150"/>
      <c r="HK758" s="150"/>
      <c r="HL758" s="150" t="s">
        <v>2190</v>
      </c>
      <c r="HM758" s="150" t="s">
        <v>232</v>
      </c>
      <c r="HY758" s="147"/>
      <c r="IN758" s="146" t="s">
        <v>2195</v>
      </c>
      <c r="IO758" s="146" t="s">
        <v>19</v>
      </c>
      <c r="IR758" s="146">
        <v>2011</v>
      </c>
      <c r="JI758" s="146" t="s">
        <v>2173</v>
      </c>
      <c r="JK758" s="146" t="s">
        <v>14</v>
      </c>
      <c r="JO758" s="146" t="s">
        <v>13</v>
      </c>
      <c r="JP758" s="146">
        <v>309</v>
      </c>
      <c r="JQ758" s="146">
        <v>93</v>
      </c>
      <c r="KD758" s="146" t="s">
        <v>2172</v>
      </c>
      <c r="KE758" s="146" t="s">
        <v>12</v>
      </c>
      <c r="KF758" s="146" t="s">
        <v>29</v>
      </c>
      <c r="KG758" s="146" t="s">
        <v>29</v>
      </c>
      <c r="KI758" s="146" t="s">
        <v>222</v>
      </c>
      <c r="KJ758" s="146" t="s">
        <v>2187</v>
      </c>
      <c r="KK758" s="146" t="s">
        <v>220</v>
      </c>
      <c r="KL758" s="146">
        <v>7.5</v>
      </c>
      <c r="KM758" s="146" t="s">
        <v>222</v>
      </c>
      <c r="KN758" s="146" t="s">
        <v>2186</v>
      </c>
      <c r="KO758" s="146" t="s">
        <v>220</v>
      </c>
      <c r="KP758" s="146">
        <v>2</v>
      </c>
      <c r="MS758" s="146" t="s">
        <v>2170</v>
      </c>
      <c r="MT758" s="146">
        <v>1300</v>
      </c>
      <c r="MU758" s="146" t="s">
        <v>2194</v>
      </c>
      <c r="MW758" s="146" t="s">
        <v>168</v>
      </c>
      <c r="ND758" s="146" t="s">
        <v>2215</v>
      </c>
      <c r="NE758" s="146" t="s">
        <v>2232</v>
      </c>
      <c r="NF758" s="146" t="s">
        <v>2395</v>
      </c>
      <c r="NG758" s="146" t="s">
        <v>1929</v>
      </c>
      <c r="NH758" s="146" t="s">
        <v>265</v>
      </c>
      <c r="NP758" s="146" t="s">
        <v>745</v>
      </c>
      <c r="NQ758" s="146" t="s">
        <v>6</v>
      </c>
      <c r="NR758" s="146">
        <v>1235.99</v>
      </c>
      <c r="NS758" s="146" t="s">
        <v>234</v>
      </c>
      <c r="NT758" s="146" t="s">
        <v>234</v>
      </c>
      <c r="NW758" s="146">
        <v>4</v>
      </c>
      <c r="OH758" s="146" t="s">
        <v>2218</v>
      </c>
      <c r="OI758" s="146" t="s">
        <v>2207</v>
      </c>
      <c r="OK758" s="146">
        <v>2011</v>
      </c>
      <c r="OL758" s="146">
        <v>2014</v>
      </c>
      <c r="OO758" s="146" t="s">
        <v>1178</v>
      </c>
      <c r="OP758" s="147">
        <v>46134</v>
      </c>
    </row>
    <row r="759" spans="1:406" s="146" customFormat="1">
      <c r="A759" t="s">
        <v>248</v>
      </c>
      <c r="B759" s="146" t="s">
        <v>2184</v>
      </c>
      <c r="C759" s="146" t="s">
        <v>2183</v>
      </c>
      <c r="D759" s="146" t="s">
        <v>245</v>
      </c>
      <c r="E759" s="146" t="s">
        <v>2201</v>
      </c>
      <c r="F759" s="146" t="s">
        <v>243</v>
      </c>
      <c r="G759" s="146" t="s">
        <v>2</v>
      </c>
      <c r="H759" s="146" t="s">
        <v>30</v>
      </c>
      <c r="I759" s="146">
        <v>-13.06</v>
      </c>
      <c r="J759" s="146">
        <v>34.299999999999997</v>
      </c>
      <c r="K759" s="146" t="s">
        <v>29</v>
      </c>
      <c r="AV759" s="146" t="s">
        <v>2181</v>
      </c>
      <c r="AW759" s="146">
        <v>1300</v>
      </c>
      <c r="AX759" s="146">
        <v>3900</v>
      </c>
      <c r="AY759" s="146">
        <v>3</v>
      </c>
      <c r="AZ759" s="146" t="s">
        <v>2180</v>
      </c>
      <c r="BA759" s="146">
        <v>2011</v>
      </c>
      <c r="BB759" s="146">
        <v>2014</v>
      </c>
      <c r="BD759" s="146" t="s">
        <v>274</v>
      </c>
      <c r="BE759" s="146" t="s">
        <v>2205</v>
      </c>
      <c r="BF759" s="146" t="s">
        <v>64</v>
      </c>
      <c r="BG759" s="146" t="s">
        <v>1243</v>
      </c>
      <c r="BH759" s="146" t="s">
        <v>2024</v>
      </c>
      <c r="BI759" s="146" t="s">
        <v>2200</v>
      </c>
      <c r="BJ759" s="146" t="s">
        <v>22</v>
      </c>
      <c r="BK759" s="146">
        <v>12300</v>
      </c>
      <c r="BL759" s="146" t="s">
        <v>56</v>
      </c>
      <c r="BM759" s="146" t="s">
        <v>2192</v>
      </c>
      <c r="BN759" s="146" t="s">
        <v>2191</v>
      </c>
      <c r="BO759" s="146" t="s">
        <v>22</v>
      </c>
      <c r="BP759" s="146">
        <v>24700</v>
      </c>
      <c r="BQ759" s="146" t="s">
        <v>275</v>
      </c>
      <c r="BR759" s="146" t="s">
        <v>250</v>
      </c>
      <c r="BS759" s="146" t="s">
        <v>2206</v>
      </c>
      <c r="BT759" s="146" t="s">
        <v>22</v>
      </c>
      <c r="BU759" s="146">
        <v>355556</v>
      </c>
      <c r="BV759" s="146" t="s">
        <v>56</v>
      </c>
      <c r="BW759" s="146" t="s">
        <v>2192</v>
      </c>
      <c r="BX759" s="146" t="s">
        <v>2191</v>
      </c>
      <c r="BY759" s="146" t="s">
        <v>22</v>
      </c>
      <c r="BZ759" s="146">
        <v>24700</v>
      </c>
      <c r="CA759" s="146" t="s">
        <v>275</v>
      </c>
      <c r="CB759" s="146" t="s">
        <v>23</v>
      </c>
      <c r="CC759" s="146" t="s">
        <v>2176</v>
      </c>
      <c r="CD759" s="146" t="s">
        <v>22</v>
      </c>
      <c r="CE759" s="146">
        <v>53333</v>
      </c>
      <c r="EJ759" s="150"/>
      <c r="EK759" s="150"/>
      <c r="EL759" s="150"/>
      <c r="EM759" s="150"/>
      <c r="EN759" s="150"/>
      <c r="EO759" s="150"/>
      <c r="EP759" s="150"/>
      <c r="EQ759" s="150"/>
      <c r="ER759" s="150"/>
      <c r="ES759" s="150"/>
      <c r="ET759" s="150"/>
      <c r="EU759" s="150"/>
      <c r="EV759" s="150"/>
      <c r="EW759" s="150"/>
      <c r="EX759" s="150"/>
      <c r="EY759" s="150"/>
      <c r="EZ759" s="150"/>
      <c r="FA759" s="150"/>
      <c r="FB759" s="150"/>
      <c r="FC759" s="150"/>
      <c r="FD759" s="150"/>
      <c r="FE759" s="150"/>
      <c r="FF759" s="150"/>
      <c r="FG759" s="150"/>
      <c r="FH759" s="150"/>
      <c r="FI759" s="150"/>
      <c r="FJ759" s="150"/>
      <c r="FK759" s="150"/>
      <c r="FL759" s="150"/>
      <c r="FM759" s="150"/>
      <c r="FN759" s="150"/>
      <c r="FO759" s="150"/>
      <c r="FP759" s="150"/>
      <c r="FQ759" s="150"/>
      <c r="FR759" s="150"/>
      <c r="FS759" s="150"/>
      <c r="FT759" s="150"/>
      <c r="FU759" s="150"/>
      <c r="FV759" s="150"/>
      <c r="FW759" s="150"/>
      <c r="FX759" s="150"/>
      <c r="FY759" s="150"/>
      <c r="FZ759" s="150"/>
      <c r="GA759" s="150"/>
      <c r="GB759" s="150"/>
      <c r="GC759" s="150"/>
      <c r="GD759" s="150"/>
      <c r="GE759" s="150"/>
      <c r="GF759" s="150"/>
      <c r="GG759" s="150"/>
      <c r="GH759" s="150"/>
      <c r="GI759" s="150"/>
      <c r="GJ759" s="150"/>
      <c r="GK759" s="150"/>
      <c r="GL759" s="150"/>
      <c r="GM759" s="150"/>
      <c r="GN759" s="150"/>
      <c r="GO759" s="150"/>
      <c r="GP759" s="150"/>
      <c r="GQ759" s="150"/>
      <c r="GR759" s="150"/>
      <c r="GS759" s="150"/>
      <c r="GT759" s="150"/>
      <c r="GU759" s="150"/>
      <c r="GV759" s="150"/>
      <c r="GW759" s="150"/>
      <c r="GX759" s="150"/>
      <c r="GY759" s="150"/>
      <c r="GZ759" s="150"/>
      <c r="HA759" s="150"/>
      <c r="HB759" s="150"/>
      <c r="HC759" s="150"/>
      <c r="HD759" s="150"/>
      <c r="HE759" s="150"/>
      <c r="HF759" s="150"/>
      <c r="HG759" s="150"/>
      <c r="HH759" s="150"/>
      <c r="HI759" s="150"/>
      <c r="HJ759" s="150"/>
      <c r="HK759" s="150"/>
      <c r="HL759" s="150" t="s">
        <v>2190</v>
      </c>
      <c r="HM759" s="150" t="s">
        <v>232</v>
      </c>
      <c r="HY759" s="147"/>
      <c r="IN759" s="146" t="s">
        <v>2205</v>
      </c>
      <c r="IO759" s="146" t="s">
        <v>273</v>
      </c>
      <c r="IP759" s="146" t="s">
        <v>2188</v>
      </c>
      <c r="IR759" s="146">
        <v>2011</v>
      </c>
      <c r="IT759" s="146" t="s">
        <v>29</v>
      </c>
      <c r="JI759" s="146" t="s">
        <v>2173</v>
      </c>
      <c r="JK759" s="146" t="s">
        <v>14</v>
      </c>
      <c r="JO759" s="146" t="s">
        <v>13</v>
      </c>
      <c r="JP759" s="146">
        <v>103</v>
      </c>
      <c r="JQ759" s="146">
        <v>31</v>
      </c>
      <c r="KD759" s="146" t="s">
        <v>2172</v>
      </c>
      <c r="KE759" s="146" t="s">
        <v>12</v>
      </c>
      <c r="KF759" s="146" t="s">
        <v>29</v>
      </c>
      <c r="KG759" s="146" t="s">
        <v>29</v>
      </c>
      <c r="KI759" s="146" t="s">
        <v>222</v>
      </c>
      <c r="KJ759" s="146" t="s">
        <v>2187</v>
      </c>
      <c r="KK759" s="146" t="s">
        <v>220</v>
      </c>
      <c r="KL759" s="146">
        <v>7.5</v>
      </c>
      <c r="KM759" s="146" t="s">
        <v>222</v>
      </c>
      <c r="KN759" s="146" t="s">
        <v>2186</v>
      </c>
      <c r="KO759" s="146" t="s">
        <v>220</v>
      </c>
      <c r="KP759" s="146">
        <v>1</v>
      </c>
      <c r="KQ759" s="146" t="s">
        <v>219</v>
      </c>
      <c r="KR759" s="146" t="s">
        <v>2204</v>
      </c>
      <c r="KS759" s="146" t="s">
        <v>2203</v>
      </c>
      <c r="KT759" s="146">
        <v>100</v>
      </c>
      <c r="MS759" s="146" t="s">
        <v>2170</v>
      </c>
      <c r="MT759" s="146">
        <v>1300</v>
      </c>
      <c r="MU759" s="146" t="s">
        <v>2202</v>
      </c>
      <c r="MW759" s="146" t="s">
        <v>168</v>
      </c>
      <c r="MX759" s="146" t="s">
        <v>2220</v>
      </c>
      <c r="MY759" s="146" t="s">
        <v>2216</v>
      </c>
      <c r="MZ759" s="146" t="s">
        <v>2223</v>
      </c>
      <c r="ND759" s="146" t="s">
        <v>2222</v>
      </c>
      <c r="NE759" s="146" t="s">
        <v>2232</v>
      </c>
      <c r="NF759" s="146" t="s">
        <v>2395</v>
      </c>
      <c r="NG759" s="146" t="s">
        <v>1929</v>
      </c>
      <c r="NH759" s="146" t="s">
        <v>265</v>
      </c>
      <c r="NQ759" s="146" t="s">
        <v>6</v>
      </c>
      <c r="NR759" s="146">
        <v>687.93</v>
      </c>
      <c r="NS759" s="146" t="s">
        <v>234</v>
      </c>
      <c r="NT759" s="146" t="s">
        <v>234</v>
      </c>
      <c r="NW759" s="146">
        <v>4</v>
      </c>
      <c r="OH759" s="146" t="s">
        <v>2218</v>
      </c>
      <c r="OI759" s="146" t="s">
        <v>2207</v>
      </c>
      <c r="OK759" s="146">
        <v>2011</v>
      </c>
      <c r="OL759" s="146">
        <v>2014</v>
      </c>
      <c r="OO759" s="146" t="s">
        <v>1178</v>
      </c>
      <c r="OP759" s="147">
        <v>46134</v>
      </c>
    </row>
    <row r="760" spans="1:406" s="146" customFormat="1">
      <c r="A760" t="s">
        <v>248</v>
      </c>
      <c r="B760" s="146" t="s">
        <v>2184</v>
      </c>
      <c r="C760" s="146" t="s">
        <v>2183</v>
      </c>
      <c r="D760" s="146" t="s">
        <v>245</v>
      </c>
      <c r="E760" s="146" t="s">
        <v>2201</v>
      </c>
      <c r="F760" s="146" t="s">
        <v>243</v>
      </c>
      <c r="G760" s="146" t="s">
        <v>2</v>
      </c>
      <c r="H760" s="146" t="s">
        <v>30</v>
      </c>
      <c r="I760" s="146">
        <v>-13.06</v>
      </c>
      <c r="J760" s="146">
        <v>34.299999999999997</v>
      </c>
      <c r="K760" s="146" t="s">
        <v>29</v>
      </c>
      <c r="AV760" s="146" t="s">
        <v>2181</v>
      </c>
      <c r="AW760" s="146">
        <v>1300</v>
      </c>
      <c r="AX760" s="146">
        <v>3900</v>
      </c>
      <c r="AY760" s="146">
        <v>3</v>
      </c>
      <c r="AZ760" s="146" t="s">
        <v>2180</v>
      </c>
      <c r="BA760" s="146">
        <v>2011</v>
      </c>
      <c r="BB760" s="146">
        <v>2014</v>
      </c>
      <c r="BD760" s="146" t="s">
        <v>274</v>
      </c>
      <c r="BE760" s="146" t="s">
        <v>2198</v>
      </c>
      <c r="BF760" s="146" t="s">
        <v>57</v>
      </c>
      <c r="BG760" s="146" t="s">
        <v>1243</v>
      </c>
      <c r="BH760" s="146" t="s">
        <v>2024</v>
      </c>
      <c r="BI760" s="146" t="s">
        <v>2200</v>
      </c>
      <c r="BJ760" s="146" t="s">
        <v>22</v>
      </c>
      <c r="BK760" s="146">
        <v>12300</v>
      </c>
      <c r="BL760" s="146" t="s">
        <v>275</v>
      </c>
      <c r="BM760" s="146" t="s">
        <v>271</v>
      </c>
      <c r="BN760" s="146" t="s">
        <v>2199</v>
      </c>
      <c r="BO760" s="146" t="s">
        <v>22</v>
      </c>
      <c r="BP760" s="146">
        <v>266667</v>
      </c>
      <c r="BQ760" s="146" t="s">
        <v>275</v>
      </c>
      <c r="BR760" s="146" t="s">
        <v>23</v>
      </c>
      <c r="BS760" s="146" t="s">
        <v>2176</v>
      </c>
      <c r="BT760" s="146" t="s">
        <v>22</v>
      </c>
      <c r="BU760" s="146">
        <v>53333</v>
      </c>
      <c r="EJ760" s="150"/>
      <c r="EK760" s="150"/>
      <c r="EL760" s="150"/>
      <c r="EM760" s="150"/>
      <c r="EN760" s="150"/>
      <c r="EO760" s="150"/>
      <c r="EP760" s="150"/>
      <c r="EQ760" s="150"/>
      <c r="ER760" s="150"/>
      <c r="ES760" s="150"/>
      <c r="ET760" s="150"/>
      <c r="EU760" s="150"/>
      <c r="EV760" s="150"/>
      <c r="EW760" s="150"/>
      <c r="EX760" s="150"/>
      <c r="EY760" s="150"/>
      <c r="EZ760" s="150"/>
      <c r="FA760" s="150"/>
      <c r="FB760" s="150"/>
      <c r="FC760" s="150"/>
      <c r="FD760" s="150"/>
      <c r="FE760" s="150"/>
      <c r="FF760" s="150"/>
      <c r="FG760" s="150"/>
      <c r="FH760" s="150"/>
      <c r="FI760" s="150"/>
      <c r="FJ760" s="150"/>
      <c r="FK760" s="150"/>
      <c r="FL760" s="150"/>
      <c r="FM760" s="150"/>
      <c r="FN760" s="150"/>
      <c r="FO760" s="150"/>
      <c r="FP760" s="150"/>
      <c r="FQ760" s="150"/>
      <c r="FR760" s="150"/>
      <c r="FS760" s="150"/>
      <c r="FT760" s="150"/>
      <c r="FU760" s="150"/>
      <c r="FV760" s="150"/>
      <c r="FW760" s="150"/>
      <c r="FX760" s="150"/>
      <c r="FY760" s="150"/>
      <c r="FZ760" s="150"/>
      <c r="GA760" s="150"/>
      <c r="GB760" s="150"/>
      <c r="GC760" s="150"/>
      <c r="GD760" s="150"/>
      <c r="GE760" s="150"/>
      <c r="GF760" s="150"/>
      <c r="GG760" s="150"/>
      <c r="GH760" s="150"/>
      <c r="GI760" s="150"/>
      <c r="GJ760" s="150"/>
      <c r="GK760" s="150"/>
      <c r="GL760" s="150"/>
      <c r="GM760" s="150"/>
      <c r="GN760" s="150"/>
      <c r="GO760" s="150"/>
      <c r="GP760" s="150"/>
      <c r="GQ760" s="150"/>
      <c r="GR760" s="150"/>
      <c r="GS760" s="150"/>
      <c r="GT760" s="150"/>
      <c r="GU760" s="150"/>
      <c r="GV760" s="150"/>
      <c r="GW760" s="150"/>
      <c r="GX760" s="150"/>
      <c r="GY760" s="150"/>
      <c r="GZ760" s="150"/>
      <c r="HA760" s="150"/>
      <c r="HB760" s="150"/>
      <c r="HC760" s="150"/>
      <c r="HD760" s="150"/>
      <c r="HE760" s="150"/>
      <c r="HF760" s="150"/>
      <c r="HG760" s="150"/>
      <c r="HH760" s="150"/>
      <c r="HI760" s="150"/>
      <c r="HJ760" s="150"/>
      <c r="HK760" s="150"/>
      <c r="HL760" s="150" t="s">
        <v>2175</v>
      </c>
      <c r="HM760" s="150" t="s">
        <v>297</v>
      </c>
      <c r="HN760" s="146" t="s">
        <v>29</v>
      </c>
      <c r="HO760" s="146" t="s">
        <v>29</v>
      </c>
      <c r="HP760" s="146" t="s">
        <v>29</v>
      </c>
      <c r="HQ760" s="146" t="s">
        <v>29</v>
      </c>
      <c r="HY760" s="147"/>
      <c r="IN760" s="146" t="s">
        <v>2198</v>
      </c>
      <c r="IO760" s="146" t="s">
        <v>273</v>
      </c>
      <c r="IR760" s="146">
        <v>2011</v>
      </c>
      <c r="IT760" s="146" t="s">
        <v>29</v>
      </c>
      <c r="JI760" s="146" t="s">
        <v>2173</v>
      </c>
      <c r="JK760" s="146" t="s">
        <v>14</v>
      </c>
      <c r="JO760" s="146" t="s">
        <v>13</v>
      </c>
      <c r="JP760" s="146">
        <v>124</v>
      </c>
      <c r="JQ760" s="146">
        <v>50</v>
      </c>
      <c r="KD760" s="146" t="s">
        <v>2172</v>
      </c>
      <c r="KE760" s="146" t="s">
        <v>12</v>
      </c>
      <c r="KF760" s="146" t="s">
        <v>29</v>
      </c>
      <c r="KG760" s="146" t="s">
        <v>29</v>
      </c>
      <c r="KI760" s="146" t="s">
        <v>2171</v>
      </c>
      <c r="MS760" s="146" t="s">
        <v>2170</v>
      </c>
      <c r="MT760" s="146">
        <v>1300</v>
      </c>
      <c r="MU760" s="146" t="s">
        <v>2197</v>
      </c>
      <c r="MW760" s="146" t="s">
        <v>168</v>
      </c>
      <c r="MX760" s="146" t="s">
        <v>2220</v>
      </c>
      <c r="MY760" s="146" t="s">
        <v>271</v>
      </c>
      <c r="ND760" s="146" t="s">
        <v>2211</v>
      </c>
      <c r="NE760" s="146" t="s">
        <v>2232</v>
      </c>
      <c r="NF760" s="146" t="s">
        <v>2395</v>
      </c>
      <c r="NG760" s="146" t="s">
        <v>1929</v>
      </c>
      <c r="NH760" s="146" t="s">
        <v>265</v>
      </c>
      <c r="NQ760" s="146" t="s">
        <v>6</v>
      </c>
      <c r="NR760" s="146">
        <v>724.01</v>
      </c>
      <c r="NS760" s="146" t="s">
        <v>234</v>
      </c>
      <c r="NT760" s="146" t="s">
        <v>234</v>
      </c>
      <c r="NW760" s="146">
        <v>4</v>
      </c>
      <c r="OH760" s="146" t="s">
        <v>2218</v>
      </c>
      <c r="OI760" s="146" t="s">
        <v>2207</v>
      </c>
      <c r="OK760" s="146">
        <v>2011</v>
      </c>
      <c r="OL760" s="146">
        <v>2014</v>
      </c>
      <c r="OO760" s="146" t="s">
        <v>1178</v>
      </c>
      <c r="OP760" s="147">
        <v>46134</v>
      </c>
    </row>
    <row r="761" spans="1:406" s="146" customFormat="1">
      <c r="A761" s="87" t="s">
        <v>248</v>
      </c>
      <c r="B761" s="146" t="s">
        <v>2184</v>
      </c>
      <c r="C761" s="146" t="s">
        <v>2183</v>
      </c>
      <c r="D761" s="146" t="s">
        <v>245</v>
      </c>
      <c r="E761" s="146" t="s">
        <v>2182</v>
      </c>
      <c r="F761" s="146" t="s">
        <v>243</v>
      </c>
      <c r="G761" s="146" t="s">
        <v>2</v>
      </c>
      <c r="H761" s="146" t="s">
        <v>30</v>
      </c>
      <c r="I761" s="146">
        <v>-13.47</v>
      </c>
      <c r="J761" s="146">
        <v>33.71</v>
      </c>
      <c r="K761" s="146" t="s">
        <v>29</v>
      </c>
      <c r="AV761" s="146" t="s">
        <v>2181</v>
      </c>
      <c r="AW761" s="146">
        <v>2500</v>
      </c>
      <c r="AX761" s="146">
        <v>7500</v>
      </c>
      <c r="AY761" s="146">
        <v>3</v>
      </c>
      <c r="AZ761" s="146" t="s">
        <v>2180</v>
      </c>
      <c r="BA761" s="146">
        <v>2011</v>
      </c>
      <c r="BB761" s="146">
        <v>2014</v>
      </c>
      <c r="BD761" s="146" t="s">
        <v>19</v>
      </c>
      <c r="BE761" s="146" t="s">
        <v>2195</v>
      </c>
      <c r="BF761" s="146" t="s">
        <v>24</v>
      </c>
      <c r="BG761" s="146" t="s">
        <v>1243</v>
      </c>
      <c r="BH761" s="146" t="s">
        <v>23</v>
      </c>
      <c r="BI761" s="146" t="s">
        <v>2176</v>
      </c>
      <c r="BJ761" s="146" t="s">
        <v>22</v>
      </c>
      <c r="BK761" s="146">
        <v>53333</v>
      </c>
      <c r="EJ761" s="150"/>
      <c r="EK761" s="150"/>
      <c r="EL761" s="150"/>
      <c r="EM761" s="150"/>
      <c r="EN761" s="150"/>
      <c r="EO761" s="150"/>
      <c r="EP761" s="150"/>
      <c r="EQ761" s="150"/>
      <c r="ER761" s="150"/>
      <c r="ES761" s="150"/>
      <c r="ET761" s="150"/>
      <c r="EU761" s="150"/>
      <c r="EV761" s="150"/>
      <c r="EW761" s="150"/>
      <c r="EX761" s="150"/>
      <c r="EY761" s="150"/>
      <c r="EZ761" s="150"/>
      <c r="FA761" s="150"/>
      <c r="FB761" s="150"/>
      <c r="FC761" s="150"/>
      <c r="FD761" s="150"/>
      <c r="FE761" s="150"/>
      <c r="FF761" s="150"/>
      <c r="FG761" s="150"/>
      <c r="FH761" s="150"/>
      <c r="FI761" s="150"/>
      <c r="FJ761" s="150"/>
      <c r="FK761" s="150"/>
      <c r="FL761" s="150"/>
      <c r="FM761" s="150"/>
      <c r="FN761" s="150"/>
      <c r="FO761" s="150"/>
      <c r="FP761" s="150"/>
      <c r="FQ761" s="150"/>
      <c r="FR761" s="150"/>
      <c r="FS761" s="150"/>
      <c r="FT761" s="150"/>
      <c r="FU761" s="150"/>
      <c r="FV761" s="150"/>
      <c r="FW761" s="150"/>
      <c r="FX761" s="150"/>
      <c r="FY761" s="150"/>
      <c r="FZ761" s="150"/>
      <c r="GA761" s="150"/>
      <c r="GB761" s="150"/>
      <c r="GC761" s="150"/>
      <c r="GD761" s="150"/>
      <c r="GE761" s="150"/>
      <c r="GF761" s="150"/>
      <c r="GG761" s="150"/>
      <c r="GH761" s="150"/>
      <c r="GI761" s="150"/>
      <c r="GJ761" s="150"/>
      <c r="GK761" s="150"/>
      <c r="GL761" s="150"/>
      <c r="GM761" s="150"/>
      <c r="GN761" s="150"/>
      <c r="GO761" s="150"/>
      <c r="GP761" s="150"/>
      <c r="GQ761" s="150"/>
      <c r="GR761" s="150"/>
      <c r="GS761" s="150"/>
      <c r="GT761" s="150"/>
      <c r="GU761" s="150"/>
      <c r="GV761" s="150"/>
      <c r="GW761" s="150"/>
      <c r="GX761" s="150"/>
      <c r="GY761" s="150"/>
      <c r="GZ761" s="150"/>
      <c r="HA761" s="150"/>
      <c r="HB761" s="150"/>
      <c r="HC761" s="150"/>
      <c r="HD761" s="150"/>
      <c r="HE761" s="150"/>
      <c r="HF761" s="150"/>
      <c r="HG761" s="150"/>
      <c r="HH761" s="150"/>
      <c r="HI761" s="150"/>
      <c r="HJ761" s="150"/>
      <c r="HK761" s="150"/>
      <c r="HL761" s="150" t="s">
        <v>2190</v>
      </c>
      <c r="HM761" s="150" t="s">
        <v>232</v>
      </c>
      <c r="HY761" s="147"/>
      <c r="IN761" s="146" t="s">
        <v>2195</v>
      </c>
      <c r="IO761" s="146" t="s">
        <v>19</v>
      </c>
      <c r="IR761" s="146">
        <v>2011</v>
      </c>
      <c r="JI761" s="146" t="s">
        <v>2173</v>
      </c>
      <c r="JK761" s="146" t="s">
        <v>14</v>
      </c>
      <c r="JO761" s="146" t="s">
        <v>13</v>
      </c>
      <c r="JP761" s="146">
        <v>309</v>
      </c>
      <c r="JQ761" s="146">
        <v>93</v>
      </c>
      <c r="KD761" s="146" t="s">
        <v>2172</v>
      </c>
      <c r="KE761" s="146" t="s">
        <v>12</v>
      </c>
      <c r="KF761" s="146" t="s">
        <v>29</v>
      </c>
      <c r="KG761" s="146" t="s">
        <v>29</v>
      </c>
      <c r="KI761" s="146" t="s">
        <v>222</v>
      </c>
      <c r="KJ761" s="146" t="s">
        <v>2187</v>
      </c>
      <c r="KK761" s="146" t="s">
        <v>220</v>
      </c>
      <c r="KL761" s="146">
        <v>7.5</v>
      </c>
      <c r="KM761" s="146" t="s">
        <v>222</v>
      </c>
      <c r="KN761" s="146" t="s">
        <v>2186</v>
      </c>
      <c r="KO761" s="146" t="s">
        <v>220</v>
      </c>
      <c r="KP761" s="146">
        <v>2</v>
      </c>
      <c r="MS761" s="146" t="s">
        <v>2170</v>
      </c>
      <c r="MT761" s="146">
        <v>2500</v>
      </c>
      <c r="MU761" s="146" t="s">
        <v>2194</v>
      </c>
      <c r="MW761" s="146" t="s">
        <v>168</v>
      </c>
      <c r="ND761" s="146" t="s">
        <v>2215</v>
      </c>
      <c r="NE761" s="146" t="s">
        <v>2232</v>
      </c>
      <c r="NF761" s="146" t="s">
        <v>2395</v>
      </c>
      <c r="NG761" s="146" t="s">
        <v>1929</v>
      </c>
      <c r="NH761" s="146" t="s">
        <v>265</v>
      </c>
      <c r="NP761" s="146" t="s">
        <v>2193</v>
      </c>
      <c r="NQ761" s="146" t="s">
        <v>6</v>
      </c>
      <c r="NR761" s="146">
        <v>1360.27</v>
      </c>
      <c r="NS761" s="146" t="s">
        <v>234</v>
      </c>
      <c r="NT761" s="146" t="s">
        <v>234</v>
      </c>
      <c r="NW761" s="146">
        <v>4</v>
      </c>
      <c r="OH761" s="146" t="s">
        <v>2208</v>
      </c>
      <c r="OI761" s="146" t="s">
        <v>2207</v>
      </c>
      <c r="OK761" s="146">
        <v>2011</v>
      </c>
      <c r="OL761" s="146">
        <v>2014</v>
      </c>
      <c r="OO761" s="146" t="s">
        <v>1178</v>
      </c>
      <c r="OP761" s="147">
        <v>46134</v>
      </c>
    </row>
    <row r="762" spans="1:406" s="146" customFormat="1">
      <c r="A762" t="s">
        <v>248</v>
      </c>
      <c r="B762" s="146" t="s">
        <v>2184</v>
      </c>
      <c r="C762" s="146" t="s">
        <v>2183</v>
      </c>
      <c r="D762" s="146" t="s">
        <v>245</v>
      </c>
      <c r="E762" s="146" t="s">
        <v>2182</v>
      </c>
      <c r="F762" s="146" t="s">
        <v>243</v>
      </c>
      <c r="G762" s="146" t="s">
        <v>2</v>
      </c>
      <c r="H762" s="146" t="s">
        <v>30</v>
      </c>
      <c r="I762" s="146">
        <v>-13.47</v>
      </c>
      <c r="J762" s="146">
        <v>33.71</v>
      </c>
      <c r="K762" s="146" t="s">
        <v>29</v>
      </c>
      <c r="AV762" s="146" t="s">
        <v>2181</v>
      </c>
      <c r="AW762" s="146">
        <v>2500</v>
      </c>
      <c r="AX762" s="146">
        <v>7500</v>
      </c>
      <c r="AY762" s="146">
        <v>3</v>
      </c>
      <c r="AZ762" s="146" t="s">
        <v>2180</v>
      </c>
      <c r="BA762" s="146">
        <v>2011</v>
      </c>
      <c r="BB762" s="146">
        <v>2014</v>
      </c>
      <c r="BD762" s="146" t="s">
        <v>274</v>
      </c>
      <c r="BE762" s="146" t="s">
        <v>2189</v>
      </c>
      <c r="BF762" s="146" t="s">
        <v>48</v>
      </c>
      <c r="BG762" s="146" t="s">
        <v>1243</v>
      </c>
      <c r="BH762" s="146" t="s">
        <v>2179</v>
      </c>
      <c r="BI762" s="146" t="s">
        <v>2178</v>
      </c>
      <c r="BJ762" s="146" t="s">
        <v>22</v>
      </c>
      <c r="BK762" s="146">
        <v>3700</v>
      </c>
      <c r="BL762" s="146" t="s">
        <v>56</v>
      </c>
      <c r="BM762" s="146" t="s">
        <v>2192</v>
      </c>
      <c r="BN762" s="146" t="s">
        <v>2191</v>
      </c>
      <c r="BO762" s="146" t="s">
        <v>22</v>
      </c>
      <c r="BP762" s="146">
        <v>18500</v>
      </c>
      <c r="BQ762" s="146" t="s">
        <v>275</v>
      </c>
      <c r="BR762" s="146" t="s">
        <v>1677</v>
      </c>
      <c r="BS762" s="146" t="s">
        <v>2177</v>
      </c>
      <c r="BT762" s="146" t="s">
        <v>22</v>
      </c>
      <c r="BU762" s="146">
        <v>222200</v>
      </c>
      <c r="BV762" s="146" t="s">
        <v>275</v>
      </c>
      <c r="BW762" s="146" t="s">
        <v>23</v>
      </c>
      <c r="BX762" s="146" t="s">
        <v>2176</v>
      </c>
      <c r="BY762" s="146" t="s">
        <v>22</v>
      </c>
      <c r="BZ762" s="146">
        <v>53333</v>
      </c>
      <c r="EJ762" s="150"/>
      <c r="EK762" s="150"/>
      <c r="EL762" s="150"/>
      <c r="EM762" s="150"/>
      <c r="EN762" s="150"/>
      <c r="EO762" s="150"/>
      <c r="EP762" s="150"/>
      <c r="EQ762" s="150"/>
      <c r="ER762" s="150"/>
      <c r="ES762" s="150"/>
      <c r="ET762" s="150"/>
      <c r="EU762" s="150"/>
      <c r="EV762" s="150"/>
      <c r="EW762" s="150"/>
      <c r="EX762" s="150"/>
      <c r="EY762" s="150"/>
      <c r="EZ762" s="150"/>
      <c r="FA762" s="150"/>
      <c r="FB762" s="150"/>
      <c r="FC762" s="150"/>
      <c r="FD762" s="150"/>
      <c r="FE762" s="150"/>
      <c r="FF762" s="150"/>
      <c r="FG762" s="150"/>
      <c r="FH762" s="150"/>
      <c r="FI762" s="150"/>
      <c r="FJ762" s="150"/>
      <c r="FK762" s="150"/>
      <c r="FL762" s="150"/>
      <c r="FM762" s="150"/>
      <c r="FN762" s="150"/>
      <c r="FO762" s="150"/>
      <c r="FP762" s="150"/>
      <c r="FQ762" s="150"/>
      <c r="FR762" s="150"/>
      <c r="FS762" s="150"/>
      <c r="FT762" s="150"/>
      <c r="FU762" s="150"/>
      <c r="FV762" s="150"/>
      <c r="FW762" s="150"/>
      <c r="FX762" s="150"/>
      <c r="FY762" s="150"/>
      <c r="FZ762" s="150"/>
      <c r="GA762" s="150"/>
      <c r="GB762" s="150"/>
      <c r="GC762" s="150"/>
      <c r="GD762" s="150"/>
      <c r="GE762" s="150"/>
      <c r="GF762" s="150"/>
      <c r="GG762" s="150"/>
      <c r="GH762" s="150"/>
      <c r="GI762" s="150"/>
      <c r="GJ762" s="150"/>
      <c r="GK762" s="150"/>
      <c r="GL762" s="150"/>
      <c r="GM762" s="150"/>
      <c r="GN762" s="150"/>
      <c r="GO762" s="150"/>
      <c r="GP762" s="150"/>
      <c r="GQ762" s="150"/>
      <c r="GR762" s="150"/>
      <c r="GS762" s="150"/>
      <c r="GT762" s="150"/>
      <c r="GU762" s="150"/>
      <c r="GV762" s="150"/>
      <c r="GW762" s="150"/>
      <c r="GX762" s="150"/>
      <c r="GY762" s="150"/>
      <c r="GZ762" s="150"/>
      <c r="HA762" s="150"/>
      <c r="HB762" s="150"/>
      <c r="HC762" s="150"/>
      <c r="HD762" s="150"/>
      <c r="HE762" s="150"/>
      <c r="HF762" s="150"/>
      <c r="HG762" s="150"/>
      <c r="HH762" s="150"/>
      <c r="HI762" s="150"/>
      <c r="HJ762" s="150"/>
      <c r="HK762" s="150"/>
      <c r="HL762" s="150" t="s">
        <v>2190</v>
      </c>
      <c r="HM762" s="150" t="s">
        <v>232</v>
      </c>
      <c r="HY762" s="147"/>
      <c r="IN762" s="146" t="s">
        <v>2189</v>
      </c>
      <c r="IO762" s="146" t="s">
        <v>273</v>
      </c>
      <c r="IP762" s="146" t="s">
        <v>2188</v>
      </c>
      <c r="IR762" s="146">
        <v>2011</v>
      </c>
      <c r="IT762" s="146" t="s">
        <v>29</v>
      </c>
      <c r="JI762" s="146" t="s">
        <v>2173</v>
      </c>
      <c r="JK762" s="146" t="s">
        <v>14</v>
      </c>
      <c r="JO762" s="146" t="s">
        <v>13</v>
      </c>
      <c r="JP762" s="146">
        <v>131</v>
      </c>
      <c r="JQ762" s="146">
        <v>59</v>
      </c>
      <c r="KD762" s="146" t="s">
        <v>2172</v>
      </c>
      <c r="KE762" s="146" t="s">
        <v>12</v>
      </c>
      <c r="KF762" s="146" t="s">
        <v>29</v>
      </c>
      <c r="KG762" s="146" t="s">
        <v>29</v>
      </c>
      <c r="KI762" s="146" t="s">
        <v>222</v>
      </c>
      <c r="KJ762" s="146" t="s">
        <v>2187</v>
      </c>
      <c r="KK762" s="146" t="s">
        <v>220</v>
      </c>
      <c r="KL762" s="146">
        <v>7.5</v>
      </c>
      <c r="KM762" s="146" t="s">
        <v>222</v>
      </c>
      <c r="KN762" s="146" t="s">
        <v>2186</v>
      </c>
      <c r="KO762" s="146" t="s">
        <v>220</v>
      </c>
      <c r="KP762" s="146">
        <v>1</v>
      </c>
      <c r="MS762" s="146" t="s">
        <v>2170</v>
      </c>
      <c r="MT762" s="146">
        <v>2500</v>
      </c>
      <c r="MU762" s="146" t="s">
        <v>2185</v>
      </c>
      <c r="MW762" s="146" t="s">
        <v>168</v>
      </c>
      <c r="MX762" s="146" t="s">
        <v>2213</v>
      </c>
      <c r="MY762" s="146" t="s">
        <v>2216</v>
      </c>
      <c r="MZ762" s="146" t="s">
        <v>2212</v>
      </c>
      <c r="ND762" s="146" t="s">
        <v>2215</v>
      </c>
      <c r="NE762" s="146" t="s">
        <v>2232</v>
      </c>
      <c r="NF762" s="146" t="s">
        <v>2395</v>
      </c>
      <c r="NG762" s="146" t="s">
        <v>1929</v>
      </c>
      <c r="NH762" s="146" t="s">
        <v>265</v>
      </c>
      <c r="NQ762" s="146" t="s">
        <v>6</v>
      </c>
      <c r="NR762" s="146">
        <v>968.97</v>
      </c>
      <c r="NS762" s="146" t="s">
        <v>234</v>
      </c>
      <c r="NT762" s="146" t="s">
        <v>234</v>
      </c>
      <c r="NW762" s="146">
        <v>4</v>
      </c>
      <c r="OH762" s="146" t="s">
        <v>2208</v>
      </c>
      <c r="OI762" s="146" t="s">
        <v>2207</v>
      </c>
      <c r="OK762" s="146">
        <v>2011</v>
      </c>
      <c r="OL762" s="146">
        <v>2014</v>
      </c>
      <c r="OO762" s="146" t="s">
        <v>1178</v>
      </c>
      <c r="OP762" s="147">
        <v>46134</v>
      </c>
    </row>
    <row r="763" spans="1:406" s="146" customFormat="1">
      <c r="A763" t="s">
        <v>248</v>
      </c>
      <c r="B763" s="146" t="s">
        <v>2184</v>
      </c>
      <c r="C763" s="146" t="s">
        <v>2183</v>
      </c>
      <c r="D763" s="146" t="s">
        <v>245</v>
      </c>
      <c r="E763" s="146" t="s">
        <v>2182</v>
      </c>
      <c r="F763" s="146" t="s">
        <v>243</v>
      </c>
      <c r="G763" s="146" t="s">
        <v>2</v>
      </c>
      <c r="H763" s="146" t="s">
        <v>30</v>
      </c>
      <c r="I763" s="146">
        <v>-13.47</v>
      </c>
      <c r="J763" s="146">
        <v>33.71</v>
      </c>
      <c r="K763" s="146" t="s">
        <v>29</v>
      </c>
      <c r="AV763" s="146" t="s">
        <v>2181</v>
      </c>
      <c r="AW763" s="146">
        <v>2500</v>
      </c>
      <c r="AX763" s="146">
        <v>7500</v>
      </c>
      <c r="AY763" s="146">
        <v>3</v>
      </c>
      <c r="AZ763" s="146" t="s">
        <v>2180</v>
      </c>
      <c r="BA763" s="146">
        <v>2011</v>
      </c>
      <c r="BB763" s="146">
        <v>2014</v>
      </c>
      <c r="BD763" s="146" t="s">
        <v>274</v>
      </c>
      <c r="BE763" s="146" t="s">
        <v>2174</v>
      </c>
      <c r="BF763" s="146" t="s">
        <v>43</v>
      </c>
      <c r="BG763" s="146" t="s">
        <v>1243</v>
      </c>
      <c r="BH763" s="146" t="s">
        <v>2179</v>
      </c>
      <c r="BI763" s="146" t="s">
        <v>2178</v>
      </c>
      <c r="BJ763" s="146" t="s">
        <v>22</v>
      </c>
      <c r="BK763" s="146">
        <v>3700</v>
      </c>
      <c r="BL763" s="146" t="s">
        <v>275</v>
      </c>
      <c r="BM763" s="146" t="s">
        <v>1677</v>
      </c>
      <c r="BN763" s="146" t="s">
        <v>2177</v>
      </c>
      <c r="BO763" s="146" t="s">
        <v>22</v>
      </c>
      <c r="BP763" s="146">
        <v>177800</v>
      </c>
      <c r="BQ763" s="146" t="s">
        <v>275</v>
      </c>
      <c r="BR763" s="146" t="s">
        <v>23</v>
      </c>
      <c r="BS763" s="146" t="s">
        <v>2176</v>
      </c>
      <c r="BT763" s="146" t="s">
        <v>22</v>
      </c>
      <c r="BU763" s="146">
        <v>53333</v>
      </c>
      <c r="EJ763" s="150"/>
      <c r="EK763" s="150"/>
      <c r="EL763" s="150"/>
      <c r="EM763" s="150"/>
      <c r="EN763" s="150"/>
      <c r="EO763" s="150"/>
      <c r="EP763" s="150"/>
      <c r="EQ763" s="150"/>
      <c r="ER763" s="150"/>
      <c r="ES763" s="150"/>
      <c r="ET763" s="150"/>
      <c r="EU763" s="150"/>
      <c r="EV763" s="150"/>
      <c r="EW763" s="150"/>
      <c r="EX763" s="150"/>
      <c r="EY763" s="150"/>
      <c r="EZ763" s="150"/>
      <c r="FA763" s="150"/>
      <c r="FB763" s="150"/>
      <c r="FC763" s="150"/>
      <c r="FD763" s="150"/>
      <c r="FE763" s="150"/>
      <c r="FF763" s="150"/>
      <c r="FG763" s="150"/>
      <c r="FH763" s="150"/>
      <c r="FI763" s="150"/>
      <c r="FJ763" s="150"/>
      <c r="FK763" s="150"/>
      <c r="FL763" s="150"/>
      <c r="FM763" s="150"/>
      <c r="FN763" s="150"/>
      <c r="FO763" s="150"/>
      <c r="FP763" s="150"/>
      <c r="FQ763" s="150"/>
      <c r="FR763" s="150"/>
      <c r="FS763" s="150"/>
      <c r="FT763" s="150"/>
      <c r="FU763" s="150"/>
      <c r="FV763" s="150"/>
      <c r="FW763" s="150"/>
      <c r="FX763" s="150"/>
      <c r="FY763" s="150"/>
      <c r="FZ763" s="150"/>
      <c r="GA763" s="150"/>
      <c r="GB763" s="150"/>
      <c r="GC763" s="150"/>
      <c r="GD763" s="150"/>
      <c r="GE763" s="150"/>
      <c r="GF763" s="150"/>
      <c r="GG763" s="150"/>
      <c r="GH763" s="150"/>
      <c r="GI763" s="150"/>
      <c r="GJ763" s="150"/>
      <c r="GK763" s="150"/>
      <c r="GL763" s="150"/>
      <c r="GM763" s="150"/>
      <c r="GN763" s="150"/>
      <c r="GO763" s="150"/>
      <c r="GP763" s="150"/>
      <c r="GQ763" s="150"/>
      <c r="GR763" s="150"/>
      <c r="GS763" s="150"/>
      <c r="GT763" s="150"/>
      <c r="GU763" s="150"/>
      <c r="GV763" s="150"/>
      <c r="GW763" s="150"/>
      <c r="GX763" s="150"/>
      <c r="GY763" s="150"/>
      <c r="GZ763" s="150"/>
      <c r="HA763" s="150"/>
      <c r="HB763" s="150"/>
      <c r="HC763" s="150"/>
      <c r="HD763" s="150"/>
      <c r="HE763" s="150"/>
      <c r="HF763" s="150"/>
      <c r="HG763" s="150"/>
      <c r="HH763" s="150"/>
      <c r="HI763" s="150"/>
      <c r="HJ763" s="150"/>
      <c r="HK763" s="150"/>
      <c r="HL763" s="150" t="s">
        <v>2175</v>
      </c>
      <c r="HM763" s="150" t="s">
        <v>297</v>
      </c>
      <c r="HN763" s="146" t="s">
        <v>29</v>
      </c>
      <c r="HO763" s="146" t="s">
        <v>29</v>
      </c>
      <c r="HP763" s="146" t="s">
        <v>29</v>
      </c>
      <c r="HQ763" s="146" t="s">
        <v>29</v>
      </c>
      <c r="HY763" s="147"/>
      <c r="IN763" s="146" t="s">
        <v>2174</v>
      </c>
      <c r="IO763" s="146" t="s">
        <v>273</v>
      </c>
      <c r="IR763" s="146">
        <v>2011</v>
      </c>
      <c r="IT763" s="146" t="s">
        <v>29</v>
      </c>
      <c r="JI763" s="146" t="s">
        <v>2173</v>
      </c>
      <c r="JK763" s="146" t="s">
        <v>14</v>
      </c>
      <c r="JO763" s="146" t="s">
        <v>13</v>
      </c>
      <c r="JP763" s="146">
        <v>131</v>
      </c>
      <c r="JQ763" s="146">
        <v>59</v>
      </c>
      <c r="KD763" s="146" t="s">
        <v>2172</v>
      </c>
      <c r="KE763" s="146" t="s">
        <v>12</v>
      </c>
      <c r="KF763" s="146" t="s">
        <v>29</v>
      </c>
      <c r="KG763" s="146" t="s">
        <v>29</v>
      </c>
      <c r="KI763" s="146" t="s">
        <v>2171</v>
      </c>
      <c r="MS763" s="146" t="s">
        <v>2170</v>
      </c>
      <c r="MT763" s="146">
        <v>2500</v>
      </c>
      <c r="MU763" s="146" t="s">
        <v>2169</v>
      </c>
      <c r="MW763" s="146" t="s">
        <v>168</v>
      </c>
      <c r="MX763" s="146" t="s">
        <v>2213</v>
      </c>
      <c r="MY763" s="146" t="s">
        <v>2212</v>
      </c>
      <c r="ND763" s="146" t="s">
        <v>2211</v>
      </c>
      <c r="NE763" s="146" t="s">
        <v>2232</v>
      </c>
      <c r="NF763" s="146" t="s">
        <v>2395</v>
      </c>
      <c r="NG763" s="146" t="s">
        <v>1929</v>
      </c>
      <c r="NH763" s="146" t="s">
        <v>265</v>
      </c>
      <c r="NQ763" s="146" t="s">
        <v>6</v>
      </c>
      <c r="NR763" s="146">
        <v>1313.06</v>
      </c>
      <c r="NS763" s="146" t="s">
        <v>234</v>
      </c>
      <c r="NT763" s="146" t="s">
        <v>234</v>
      </c>
      <c r="NW763" s="146">
        <v>4</v>
      </c>
      <c r="OH763" s="146" t="s">
        <v>2208</v>
      </c>
      <c r="OI763" s="146" t="s">
        <v>2207</v>
      </c>
      <c r="OK763" s="146">
        <v>2011</v>
      </c>
      <c r="OL763" s="146">
        <v>2014</v>
      </c>
      <c r="OO763" s="146" t="s">
        <v>1178</v>
      </c>
      <c r="OP763" s="147">
        <v>46134</v>
      </c>
    </row>
    <row r="764" spans="1:406" s="146" customFormat="1">
      <c r="A764" s="87" t="s">
        <v>248</v>
      </c>
      <c r="B764" s="146" t="s">
        <v>2184</v>
      </c>
      <c r="C764" s="146" t="s">
        <v>2183</v>
      </c>
      <c r="D764" s="146" t="s">
        <v>245</v>
      </c>
      <c r="E764" s="146" t="s">
        <v>2201</v>
      </c>
      <c r="F764" s="146" t="s">
        <v>243</v>
      </c>
      <c r="G764" s="146" t="s">
        <v>2</v>
      </c>
      <c r="H764" s="146" t="s">
        <v>30</v>
      </c>
      <c r="I764" s="146">
        <v>-13.06</v>
      </c>
      <c r="J764" s="146">
        <v>34.299999999999997</v>
      </c>
      <c r="K764" s="146" t="s">
        <v>29</v>
      </c>
      <c r="AV764" s="146" t="s">
        <v>2181</v>
      </c>
      <c r="AW764" s="146">
        <v>1300</v>
      </c>
      <c r="AX764" s="146">
        <v>3900</v>
      </c>
      <c r="AY764" s="146">
        <v>3</v>
      </c>
      <c r="AZ764" s="146" t="s">
        <v>2180</v>
      </c>
      <c r="BA764" s="146">
        <v>2011</v>
      </c>
      <c r="BB764" s="146">
        <v>2014</v>
      </c>
      <c r="BD764" s="146" t="s">
        <v>19</v>
      </c>
      <c r="BE764" s="146" t="s">
        <v>2195</v>
      </c>
      <c r="BF764" s="146" t="s">
        <v>39</v>
      </c>
      <c r="BG764" s="146" t="s">
        <v>1243</v>
      </c>
      <c r="BH764" s="146" t="s">
        <v>23</v>
      </c>
      <c r="BI764" s="146" t="s">
        <v>2176</v>
      </c>
      <c r="BJ764" s="146" t="s">
        <v>22</v>
      </c>
      <c r="BK764" s="146">
        <v>53333</v>
      </c>
      <c r="EJ764" s="150"/>
      <c r="EK764" s="150"/>
      <c r="EL764" s="150"/>
      <c r="EM764" s="150"/>
      <c r="EN764" s="150"/>
      <c r="EO764" s="150"/>
      <c r="EP764" s="150"/>
      <c r="EQ764" s="150"/>
      <c r="ER764" s="150"/>
      <c r="ES764" s="150"/>
      <c r="ET764" s="150"/>
      <c r="EU764" s="150"/>
      <c r="EV764" s="150"/>
      <c r="EW764" s="150"/>
      <c r="EX764" s="150"/>
      <c r="EY764" s="150"/>
      <c r="EZ764" s="150"/>
      <c r="FA764" s="150"/>
      <c r="FB764" s="150"/>
      <c r="FC764" s="150"/>
      <c r="FD764" s="150"/>
      <c r="FE764" s="150"/>
      <c r="FF764" s="150"/>
      <c r="FG764" s="150"/>
      <c r="FH764" s="150"/>
      <c r="FI764" s="150"/>
      <c r="FJ764" s="150"/>
      <c r="FK764" s="150"/>
      <c r="FL764" s="150"/>
      <c r="FM764" s="150"/>
      <c r="FN764" s="150"/>
      <c r="FO764" s="150"/>
      <c r="FP764" s="150"/>
      <c r="FQ764" s="150"/>
      <c r="FR764" s="150"/>
      <c r="FS764" s="150"/>
      <c r="FT764" s="150"/>
      <c r="FU764" s="150"/>
      <c r="FV764" s="150"/>
      <c r="FW764" s="150"/>
      <c r="FX764" s="150"/>
      <c r="FY764" s="150"/>
      <c r="FZ764" s="150"/>
      <c r="GA764" s="150"/>
      <c r="GB764" s="150"/>
      <c r="GC764" s="150"/>
      <c r="GD764" s="150"/>
      <c r="GE764" s="150"/>
      <c r="GF764" s="150"/>
      <c r="GG764" s="150"/>
      <c r="GH764" s="150"/>
      <c r="GI764" s="150"/>
      <c r="GJ764" s="150"/>
      <c r="GK764" s="150"/>
      <c r="GL764" s="150"/>
      <c r="GM764" s="150"/>
      <c r="GN764" s="150"/>
      <c r="GO764" s="150"/>
      <c r="GP764" s="150"/>
      <c r="GQ764" s="150"/>
      <c r="GR764" s="150"/>
      <c r="GS764" s="150"/>
      <c r="GT764" s="150"/>
      <c r="GU764" s="150"/>
      <c r="GV764" s="150"/>
      <c r="GW764" s="150"/>
      <c r="GX764" s="150"/>
      <c r="GY764" s="150"/>
      <c r="GZ764" s="150"/>
      <c r="HA764" s="150"/>
      <c r="HB764" s="150"/>
      <c r="HC764" s="150"/>
      <c r="HD764" s="150"/>
      <c r="HE764" s="150"/>
      <c r="HF764" s="150"/>
      <c r="HG764" s="150"/>
      <c r="HH764" s="150"/>
      <c r="HI764" s="150"/>
      <c r="HJ764" s="150"/>
      <c r="HK764" s="150"/>
      <c r="HL764" s="150" t="s">
        <v>2190</v>
      </c>
      <c r="HM764" s="150" t="s">
        <v>232</v>
      </c>
      <c r="HU764" s="147"/>
      <c r="HV764" s="147"/>
      <c r="HY764" s="147"/>
      <c r="IN764" s="146" t="s">
        <v>2195</v>
      </c>
      <c r="IO764" s="146" t="s">
        <v>19</v>
      </c>
      <c r="IR764" s="146">
        <v>2011</v>
      </c>
      <c r="JI764" s="146" t="s">
        <v>2173</v>
      </c>
      <c r="JK764" s="146" t="s">
        <v>14</v>
      </c>
      <c r="JO764" s="146" t="s">
        <v>13</v>
      </c>
      <c r="JP764" s="146">
        <v>309</v>
      </c>
      <c r="JQ764" s="146">
        <v>93</v>
      </c>
      <c r="KD764" s="146" t="s">
        <v>2172</v>
      </c>
      <c r="KE764" s="146" t="s">
        <v>12</v>
      </c>
      <c r="KF764" s="146" t="s">
        <v>29</v>
      </c>
      <c r="KG764" s="146" t="s">
        <v>29</v>
      </c>
      <c r="KI764" s="146" t="s">
        <v>222</v>
      </c>
      <c r="KJ764" s="146" t="s">
        <v>2187</v>
      </c>
      <c r="KK764" s="146" t="s">
        <v>220</v>
      </c>
      <c r="KL764" s="146">
        <v>7.5</v>
      </c>
      <c r="KM764" s="146" t="s">
        <v>222</v>
      </c>
      <c r="KN764" s="146" t="s">
        <v>2186</v>
      </c>
      <c r="KO764" s="146" t="s">
        <v>220</v>
      </c>
      <c r="KP764" s="146">
        <v>2</v>
      </c>
      <c r="MS764" s="146" t="s">
        <v>2170</v>
      </c>
      <c r="MT764" s="146">
        <v>1300</v>
      </c>
      <c r="ND764" s="146" t="s">
        <v>2229</v>
      </c>
      <c r="NE764" s="146" t="s">
        <v>2228</v>
      </c>
      <c r="NF764" s="146" t="s">
        <v>2227</v>
      </c>
      <c r="NG764" s="146" t="s">
        <v>2226</v>
      </c>
      <c r="NH764" s="146" t="s">
        <v>2225</v>
      </c>
      <c r="NP764" s="146" t="s">
        <v>745</v>
      </c>
      <c r="NQ764" s="146" t="s">
        <v>6</v>
      </c>
      <c r="NR764" s="146">
        <v>3.84</v>
      </c>
      <c r="NS764" s="146" t="s">
        <v>234</v>
      </c>
      <c r="NT764" s="146" t="s">
        <v>234</v>
      </c>
      <c r="NW764" s="146">
        <v>4</v>
      </c>
      <c r="OH764" s="146" t="s">
        <v>2218</v>
      </c>
      <c r="OI764" s="146" t="s">
        <v>2207</v>
      </c>
      <c r="OK764" s="146">
        <v>2011</v>
      </c>
      <c r="OL764" s="146">
        <v>2014</v>
      </c>
      <c r="OO764" s="146" t="s">
        <v>1178</v>
      </c>
      <c r="OP764" s="147">
        <v>46134</v>
      </c>
    </row>
    <row r="765" spans="1:406" s="146" customFormat="1">
      <c r="A765" t="s">
        <v>248</v>
      </c>
      <c r="B765" s="146" t="s">
        <v>2184</v>
      </c>
      <c r="C765" s="146" t="s">
        <v>2183</v>
      </c>
      <c r="D765" s="146" t="s">
        <v>245</v>
      </c>
      <c r="E765" s="146" t="s">
        <v>2201</v>
      </c>
      <c r="F765" s="146" t="s">
        <v>243</v>
      </c>
      <c r="G765" s="146" t="s">
        <v>2</v>
      </c>
      <c r="H765" s="146" t="s">
        <v>30</v>
      </c>
      <c r="I765" s="146">
        <v>-13.06</v>
      </c>
      <c r="J765" s="146">
        <v>34.299999999999997</v>
      </c>
      <c r="K765" s="146" t="s">
        <v>29</v>
      </c>
      <c r="AV765" s="146" t="s">
        <v>2181</v>
      </c>
      <c r="AW765" s="146">
        <v>1300</v>
      </c>
      <c r="AX765" s="146">
        <v>3900</v>
      </c>
      <c r="AY765" s="146">
        <v>3</v>
      </c>
      <c r="AZ765" s="146" t="s">
        <v>2180</v>
      </c>
      <c r="BA765" s="146">
        <v>2011</v>
      </c>
      <c r="BB765" s="146">
        <v>2014</v>
      </c>
      <c r="BD765" s="146" t="s">
        <v>274</v>
      </c>
      <c r="BE765" s="146" t="s">
        <v>2205</v>
      </c>
      <c r="BF765" s="146" t="s">
        <v>64</v>
      </c>
      <c r="BG765" s="146" t="s">
        <v>1243</v>
      </c>
      <c r="BH765" s="146" t="s">
        <v>2024</v>
      </c>
      <c r="BI765" s="146" t="s">
        <v>2200</v>
      </c>
      <c r="BJ765" s="146" t="s">
        <v>22</v>
      </c>
      <c r="BK765" s="146">
        <v>12300</v>
      </c>
      <c r="BL765" s="146" t="s">
        <v>56</v>
      </c>
      <c r="BM765" s="146" t="s">
        <v>2192</v>
      </c>
      <c r="BN765" s="146" t="s">
        <v>2191</v>
      </c>
      <c r="BO765" s="146" t="s">
        <v>22</v>
      </c>
      <c r="BP765" s="146">
        <v>24700</v>
      </c>
      <c r="BQ765" s="146" t="s">
        <v>275</v>
      </c>
      <c r="BR765" s="146" t="s">
        <v>250</v>
      </c>
      <c r="BS765" s="146" t="s">
        <v>2206</v>
      </c>
      <c r="BT765" s="146" t="s">
        <v>22</v>
      </c>
      <c r="BU765" s="146">
        <v>355556</v>
      </c>
      <c r="BV765" s="146" t="s">
        <v>56</v>
      </c>
      <c r="BW765" s="146" t="s">
        <v>2192</v>
      </c>
      <c r="BX765" s="146" t="s">
        <v>2191</v>
      </c>
      <c r="BY765" s="146" t="s">
        <v>22</v>
      </c>
      <c r="BZ765" s="146">
        <v>24700</v>
      </c>
      <c r="CA765" s="146" t="s">
        <v>275</v>
      </c>
      <c r="CB765" s="146" t="s">
        <v>23</v>
      </c>
      <c r="CC765" s="146" t="s">
        <v>2176</v>
      </c>
      <c r="CD765" s="146" t="s">
        <v>22</v>
      </c>
      <c r="CE765" s="146">
        <v>53333</v>
      </c>
      <c r="EJ765" s="150"/>
      <c r="EK765" s="150"/>
      <c r="EL765" s="150"/>
      <c r="EM765" s="150"/>
      <c r="EN765" s="150"/>
      <c r="EO765" s="150"/>
      <c r="EP765" s="150"/>
      <c r="EQ765" s="150"/>
      <c r="ER765" s="150"/>
      <c r="ES765" s="150"/>
      <c r="ET765" s="150"/>
      <c r="EU765" s="150"/>
      <c r="EV765" s="150"/>
      <c r="EW765" s="150"/>
      <c r="EX765" s="150"/>
      <c r="EY765" s="150"/>
      <c r="EZ765" s="150"/>
      <c r="FA765" s="150"/>
      <c r="FB765" s="150"/>
      <c r="FC765" s="150"/>
      <c r="FD765" s="150"/>
      <c r="FE765" s="150"/>
      <c r="FF765" s="150"/>
      <c r="FG765" s="150"/>
      <c r="FH765" s="150"/>
      <c r="FI765" s="150"/>
      <c r="FJ765" s="150"/>
      <c r="FK765" s="150"/>
      <c r="FL765" s="150"/>
      <c r="FM765" s="150"/>
      <c r="FN765" s="150"/>
      <c r="FO765" s="150"/>
      <c r="FP765" s="150"/>
      <c r="FQ765" s="150"/>
      <c r="FR765" s="150"/>
      <c r="FS765" s="150"/>
      <c r="FT765" s="150"/>
      <c r="FU765" s="150"/>
      <c r="FV765" s="150"/>
      <c r="FW765" s="150"/>
      <c r="FX765" s="150"/>
      <c r="FY765" s="150"/>
      <c r="FZ765" s="150"/>
      <c r="GA765" s="150"/>
      <c r="GB765" s="150"/>
      <c r="GC765" s="150"/>
      <c r="GD765" s="150"/>
      <c r="GE765" s="150"/>
      <c r="GF765" s="150"/>
      <c r="GG765" s="150"/>
      <c r="GH765" s="150"/>
      <c r="GI765" s="150"/>
      <c r="GJ765" s="150"/>
      <c r="GK765" s="150"/>
      <c r="GL765" s="150"/>
      <c r="GM765" s="150"/>
      <c r="GN765" s="150"/>
      <c r="GO765" s="150"/>
      <c r="GP765" s="150"/>
      <c r="GQ765" s="150"/>
      <c r="GR765" s="150"/>
      <c r="GS765" s="150"/>
      <c r="GT765" s="150"/>
      <c r="GU765" s="150"/>
      <c r="GV765" s="150"/>
      <c r="GW765" s="150"/>
      <c r="GX765" s="150"/>
      <c r="GY765" s="150"/>
      <c r="GZ765" s="150"/>
      <c r="HA765" s="150"/>
      <c r="HB765" s="150"/>
      <c r="HC765" s="150"/>
      <c r="HD765" s="150"/>
      <c r="HE765" s="150"/>
      <c r="HF765" s="150"/>
      <c r="HG765" s="150"/>
      <c r="HH765" s="150"/>
      <c r="HI765" s="150"/>
      <c r="HJ765" s="150"/>
      <c r="HK765" s="150"/>
      <c r="HL765" s="150" t="s">
        <v>2190</v>
      </c>
      <c r="HM765" s="150" t="s">
        <v>232</v>
      </c>
      <c r="HU765" s="147"/>
      <c r="HV765" s="147"/>
      <c r="HY765" s="147"/>
      <c r="IN765" s="146" t="s">
        <v>2205</v>
      </c>
      <c r="IO765" s="146" t="s">
        <v>273</v>
      </c>
      <c r="IP765" s="146" t="s">
        <v>2188</v>
      </c>
      <c r="IR765" s="146">
        <v>2011</v>
      </c>
      <c r="IT765" s="146" t="s">
        <v>29</v>
      </c>
      <c r="JI765" s="146" t="s">
        <v>2173</v>
      </c>
      <c r="JK765" s="146" t="s">
        <v>14</v>
      </c>
      <c r="JO765" s="146" t="s">
        <v>13</v>
      </c>
      <c r="JP765" s="146">
        <v>103</v>
      </c>
      <c r="JQ765" s="146">
        <v>31</v>
      </c>
      <c r="KD765" s="146" t="s">
        <v>2172</v>
      </c>
      <c r="KE765" s="146" t="s">
        <v>12</v>
      </c>
      <c r="KF765" s="146" t="s">
        <v>29</v>
      </c>
      <c r="KG765" s="146" t="s">
        <v>29</v>
      </c>
      <c r="KI765" s="146" t="s">
        <v>222</v>
      </c>
      <c r="KJ765" s="146" t="s">
        <v>2187</v>
      </c>
      <c r="KK765" s="146" t="s">
        <v>220</v>
      </c>
      <c r="KL765" s="146">
        <v>7.5</v>
      </c>
      <c r="KM765" s="146" t="s">
        <v>222</v>
      </c>
      <c r="KN765" s="146" t="s">
        <v>2186</v>
      </c>
      <c r="KO765" s="146" t="s">
        <v>220</v>
      </c>
      <c r="KP765" s="146">
        <v>1</v>
      </c>
      <c r="KQ765" s="146" t="s">
        <v>219</v>
      </c>
      <c r="KR765" s="146" t="s">
        <v>2204</v>
      </c>
      <c r="KS765" s="146" t="s">
        <v>2203</v>
      </c>
      <c r="KT765" s="146">
        <v>100</v>
      </c>
      <c r="MS765" s="146" t="s">
        <v>2170</v>
      </c>
      <c r="MT765" s="146">
        <v>1300</v>
      </c>
      <c r="ND765" s="146" t="s">
        <v>2230</v>
      </c>
      <c r="NE765" s="146" t="s">
        <v>2228</v>
      </c>
      <c r="NF765" s="146" t="s">
        <v>2227</v>
      </c>
      <c r="NG765" s="146" t="s">
        <v>2226</v>
      </c>
      <c r="NH765" s="146" t="s">
        <v>2225</v>
      </c>
      <c r="NQ765" s="146" t="s">
        <v>6</v>
      </c>
      <c r="NR765" s="146">
        <v>2.8</v>
      </c>
      <c r="NS765" s="146" t="s">
        <v>234</v>
      </c>
      <c r="NT765" s="146" t="s">
        <v>234</v>
      </c>
      <c r="NW765" s="146">
        <v>4</v>
      </c>
      <c r="OH765" s="146" t="s">
        <v>2218</v>
      </c>
      <c r="OI765" s="146" t="s">
        <v>2207</v>
      </c>
      <c r="OK765" s="146">
        <v>2011</v>
      </c>
      <c r="OL765" s="146">
        <v>2014</v>
      </c>
      <c r="OO765" s="146" t="s">
        <v>1178</v>
      </c>
      <c r="OP765" s="147">
        <v>46134</v>
      </c>
    </row>
    <row r="766" spans="1:406" s="146" customFormat="1">
      <c r="A766" t="s">
        <v>248</v>
      </c>
      <c r="B766" s="146" t="s">
        <v>2184</v>
      </c>
      <c r="C766" s="146" t="s">
        <v>2183</v>
      </c>
      <c r="D766" s="146" t="s">
        <v>245</v>
      </c>
      <c r="E766" s="146" t="s">
        <v>2201</v>
      </c>
      <c r="F766" s="146" t="s">
        <v>243</v>
      </c>
      <c r="G766" s="146" t="s">
        <v>2</v>
      </c>
      <c r="H766" s="146" t="s">
        <v>30</v>
      </c>
      <c r="I766" s="146">
        <v>-13.06</v>
      </c>
      <c r="J766" s="146">
        <v>34.299999999999997</v>
      </c>
      <c r="K766" s="146" t="s">
        <v>29</v>
      </c>
      <c r="AV766" s="146" t="s">
        <v>2181</v>
      </c>
      <c r="AW766" s="146">
        <v>1300</v>
      </c>
      <c r="AX766" s="146">
        <v>3900</v>
      </c>
      <c r="AY766" s="146">
        <v>3</v>
      </c>
      <c r="AZ766" s="146" t="s">
        <v>2180</v>
      </c>
      <c r="BA766" s="146">
        <v>2011</v>
      </c>
      <c r="BB766" s="146">
        <v>2014</v>
      </c>
      <c r="BD766" s="146" t="s">
        <v>274</v>
      </c>
      <c r="BE766" s="146" t="s">
        <v>2198</v>
      </c>
      <c r="BF766" s="146" t="s">
        <v>57</v>
      </c>
      <c r="BG766" s="146" t="s">
        <v>1243</v>
      </c>
      <c r="BH766" s="146" t="s">
        <v>2024</v>
      </c>
      <c r="BI766" s="146" t="s">
        <v>2200</v>
      </c>
      <c r="BJ766" s="146" t="s">
        <v>22</v>
      </c>
      <c r="BK766" s="146">
        <v>12300</v>
      </c>
      <c r="BL766" s="146" t="s">
        <v>275</v>
      </c>
      <c r="BM766" s="146" t="s">
        <v>271</v>
      </c>
      <c r="BN766" s="146" t="s">
        <v>2199</v>
      </c>
      <c r="BO766" s="146" t="s">
        <v>22</v>
      </c>
      <c r="BP766" s="146">
        <v>266667</v>
      </c>
      <c r="BQ766" s="146" t="s">
        <v>275</v>
      </c>
      <c r="BR766" s="146" t="s">
        <v>23</v>
      </c>
      <c r="BS766" s="146" t="s">
        <v>2176</v>
      </c>
      <c r="BT766" s="146" t="s">
        <v>22</v>
      </c>
      <c r="BU766" s="146">
        <v>53333</v>
      </c>
      <c r="EJ766" s="150"/>
      <c r="EK766" s="150"/>
      <c r="EL766" s="150"/>
      <c r="EM766" s="150"/>
      <c r="EN766" s="150"/>
      <c r="EO766" s="150"/>
      <c r="EP766" s="150"/>
      <c r="EQ766" s="150"/>
      <c r="ER766" s="150"/>
      <c r="ES766" s="150"/>
      <c r="ET766" s="150"/>
      <c r="EU766" s="150"/>
      <c r="EV766" s="150"/>
      <c r="EW766" s="150"/>
      <c r="EX766" s="150"/>
      <c r="EY766" s="150"/>
      <c r="EZ766" s="150"/>
      <c r="FA766" s="150"/>
      <c r="FB766" s="150"/>
      <c r="FC766" s="150"/>
      <c r="FD766" s="150"/>
      <c r="FE766" s="150"/>
      <c r="FF766" s="150"/>
      <c r="FG766" s="150"/>
      <c r="FH766" s="150"/>
      <c r="FI766" s="150"/>
      <c r="FJ766" s="150"/>
      <c r="FK766" s="150"/>
      <c r="FL766" s="150"/>
      <c r="FM766" s="150"/>
      <c r="FN766" s="150"/>
      <c r="FO766" s="150"/>
      <c r="FP766" s="150"/>
      <c r="FQ766" s="150"/>
      <c r="FR766" s="150"/>
      <c r="FS766" s="150"/>
      <c r="FT766" s="150"/>
      <c r="FU766" s="150"/>
      <c r="FV766" s="150"/>
      <c r="FW766" s="150"/>
      <c r="FX766" s="150"/>
      <c r="FY766" s="150"/>
      <c r="FZ766" s="150"/>
      <c r="GA766" s="150"/>
      <c r="GB766" s="150"/>
      <c r="GC766" s="150"/>
      <c r="GD766" s="150"/>
      <c r="GE766" s="150"/>
      <c r="GF766" s="150"/>
      <c r="GG766" s="150"/>
      <c r="GH766" s="150"/>
      <c r="GI766" s="150"/>
      <c r="GJ766" s="150"/>
      <c r="GK766" s="150"/>
      <c r="GL766" s="150"/>
      <c r="GM766" s="150"/>
      <c r="GN766" s="150"/>
      <c r="GO766" s="150"/>
      <c r="GP766" s="150"/>
      <c r="GQ766" s="150"/>
      <c r="GR766" s="150"/>
      <c r="GS766" s="150"/>
      <c r="GT766" s="150"/>
      <c r="GU766" s="150"/>
      <c r="GV766" s="150"/>
      <c r="GW766" s="150"/>
      <c r="GX766" s="150"/>
      <c r="GY766" s="150"/>
      <c r="GZ766" s="150"/>
      <c r="HA766" s="150"/>
      <c r="HB766" s="150"/>
      <c r="HC766" s="150"/>
      <c r="HD766" s="150"/>
      <c r="HE766" s="150"/>
      <c r="HF766" s="150"/>
      <c r="HG766" s="150"/>
      <c r="HH766" s="150"/>
      <c r="HI766" s="150"/>
      <c r="HJ766" s="150"/>
      <c r="HK766" s="150"/>
      <c r="HL766" s="150" t="s">
        <v>2175</v>
      </c>
      <c r="HM766" s="150" t="s">
        <v>297</v>
      </c>
      <c r="HN766" s="146" t="s">
        <v>29</v>
      </c>
      <c r="HO766" s="146" t="s">
        <v>29</v>
      </c>
      <c r="HP766" s="146" t="s">
        <v>29</v>
      </c>
      <c r="HQ766" s="146" t="s">
        <v>29</v>
      </c>
      <c r="HY766" s="147"/>
      <c r="IN766" s="146" t="s">
        <v>2198</v>
      </c>
      <c r="IO766" s="146" t="s">
        <v>273</v>
      </c>
      <c r="IR766" s="146">
        <v>2011</v>
      </c>
      <c r="IT766" s="146" t="s">
        <v>29</v>
      </c>
      <c r="JI766" s="146" t="s">
        <v>2173</v>
      </c>
      <c r="JK766" s="146" t="s">
        <v>14</v>
      </c>
      <c r="JO766" s="146" t="s">
        <v>13</v>
      </c>
      <c r="JP766" s="146">
        <v>124</v>
      </c>
      <c r="JQ766" s="146">
        <v>50</v>
      </c>
      <c r="KD766" s="146" t="s">
        <v>2172</v>
      </c>
      <c r="KE766" s="146" t="s">
        <v>12</v>
      </c>
      <c r="KF766" s="146" t="s">
        <v>29</v>
      </c>
      <c r="KG766" s="146" t="s">
        <v>29</v>
      </c>
      <c r="KI766" s="146" t="s">
        <v>2171</v>
      </c>
      <c r="MS766" s="146" t="s">
        <v>2170</v>
      </c>
      <c r="MT766" s="146">
        <v>1300</v>
      </c>
      <c r="ND766" s="146" t="s">
        <v>2229</v>
      </c>
      <c r="NE766" s="146" t="s">
        <v>2228</v>
      </c>
      <c r="NF766" s="146" t="s">
        <v>2227</v>
      </c>
      <c r="NG766" s="146" t="s">
        <v>2226</v>
      </c>
      <c r="NH766" s="146" t="s">
        <v>2225</v>
      </c>
      <c r="NQ766" s="146" t="s">
        <v>6</v>
      </c>
      <c r="NR766" s="146">
        <v>2.99</v>
      </c>
      <c r="NS766" s="146" t="s">
        <v>234</v>
      </c>
      <c r="NT766" s="146" t="s">
        <v>234</v>
      </c>
      <c r="NW766" s="146">
        <v>4</v>
      </c>
      <c r="OH766" s="146" t="s">
        <v>2218</v>
      </c>
      <c r="OI766" s="146" t="s">
        <v>2207</v>
      </c>
      <c r="OK766" s="146">
        <v>2011</v>
      </c>
      <c r="OL766" s="146">
        <v>2014</v>
      </c>
      <c r="OO766" s="146" t="s">
        <v>1178</v>
      </c>
      <c r="OP766" s="147">
        <v>46134</v>
      </c>
    </row>
    <row r="767" spans="1:406" s="146" customFormat="1">
      <c r="A767" s="87" t="s">
        <v>248</v>
      </c>
      <c r="B767" s="146" t="s">
        <v>2184</v>
      </c>
      <c r="C767" s="146" t="s">
        <v>2183</v>
      </c>
      <c r="D767" s="146" t="s">
        <v>245</v>
      </c>
      <c r="E767" s="146" t="s">
        <v>2182</v>
      </c>
      <c r="F767" s="146" t="s">
        <v>243</v>
      </c>
      <c r="G767" s="146" t="s">
        <v>2</v>
      </c>
      <c r="H767" s="146" t="s">
        <v>30</v>
      </c>
      <c r="I767" s="146">
        <v>-13.47</v>
      </c>
      <c r="J767" s="146">
        <v>33.71</v>
      </c>
      <c r="K767" s="146" t="s">
        <v>29</v>
      </c>
      <c r="AV767" s="146" t="s">
        <v>2181</v>
      </c>
      <c r="AW767" s="146">
        <v>2500</v>
      </c>
      <c r="AX767" s="146">
        <v>7500</v>
      </c>
      <c r="AY767" s="146">
        <v>3</v>
      </c>
      <c r="AZ767" s="146" t="s">
        <v>2180</v>
      </c>
      <c r="BA767" s="146">
        <v>2011</v>
      </c>
      <c r="BB767" s="146">
        <v>2014</v>
      </c>
      <c r="BD767" s="146" t="s">
        <v>19</v>
      </c>
      <c r="BE767" s="146" t="s">
        <v>2195</v>
      </c>
      <c r="BF767" s="146" t="s">
        <v>24</v>
      </c>
      <c r="BG767" s="146" t="s">
        <v>1243</v>
      </c>
      <c r="BH767" s="146" t="s">
        <v>23</v>
      </c>
      <c r="BI767" s="146" t="s">
        <v>2176</v>
      </c>
      <c r="BJ767" s="146" t="s">
        <v>22</v>
      </c>
      <c r="BK767" s="146">
        <v>53333</v>
      </c>
      <c r="EJ767" s="150"/>
      <c r="EK767" s="150"/>
      <c r="EL767" s="150"/>
      <c r="EM767" s="150"/>
      <c r="EN767" s="150"/>
      <c r="EO767" s="150"/>
      <c r="EP767" s="150"/>
      <c r="EQ767" s="150"/>
      <c r="ER767" s="150"/>
      <c r="ES767" s="150"/>
      <c r="ET767" s="150"/>
      <c r="EU767" s="150"/>
      <c r="EV767" s="150"/>
      <c r="EW767" s="150"/>
      <c r="EX767" s="150"/>
      <c r="EY767" s="150"/>
      <c r="EZ767" s="150"/>
      <c r="FA767" s="150"/>
      <c r="FB767" s="150"/>
      <c r="FC767" s="150"/>
      <c r="FD767" s="150"/>
      <c r="FE767" s="150"/>
      <c r="FF767" s="150"/>
      <c r="FG767" s="150"/>
      <c r="FH767" s="150"/>
      <c r="FI767" s="150"/>
      <c r="FJ767" s="150"/>
      <c r="FK767" s="150"/>
      <c r="FL767" s="150"/>
      <c r="FM767" s="150"/>
      <c r="FN767" s="150"/>
      <c r="FO767" s="150"/>
      <c r="FP767" s="150"/>
      <c r="FQ767" s="150"/>
      <c r="FR767" s="150"/>
      <c r="FS767" s="150"/>
      <c r="FT767" s="150"/>
      <c r="FU767" s="150"/>
      <c r="FV767" s="150"/>
      <c r="FW767" s="150"/>
      <c r="FX767" s="150"/>
      <c r="FY767" s="150"/>
      <c r="FZ767" s="150"/>
      <c r="GA767" s="150"/>
      <c r="GB767" s="150"/>
      <c r="GC767" s="150"/>
      <c r="GD767" s="150"/>
      <c r="GE767" s="150"/>
      <c r="GF767" s="150"/>
      <c r="GG767" s="150"/>
      <c r="GH767" s="150"/>
      <c r="GI767" s="150"/>
      <c r="GJ767" s="150"/>
      <c r="GK767" s="150"/>
      <c r="GL767" s="150"/>
      <c r="GM767" s="150"/>
      <c r="GN767" s="150"/>
      <c r="GO767" s="150"/>
      <c r="GP767" s="150"/>
      <c r="GQ767" s="150"/>
      <c r="GR767" s="150"/>
      <c r="GS767" s="150"/>
      <c r="GT767" s="150"/>
      <c r="GU767" s="150"/>
      <c r="GV767" s="150"/>
      <c r="GW767" s="150"/>
      <c r="GX767" s="150"/>
      <c r="GY767" s="150"/>
      <c r="GZ767" s="150"/>
      <c r="HA767" s="150"/>
      <c r="HB767" s="150"/>
      <c r="HC767" s="150"/>
      <c r="HD767" s="150"/>
      <c r="HE767" s="150"/>
      <c r="HF767" s="150"/>
      <c r="HG767" s="150"/>
      <c r="HH767" s="150"/>
      <c r="HI767" s="150"/>
      <c r="HJ767" s="150"/>
      <c r="HK767" s="150"/>
      <c r="HL767" s="150" t="s">
        <v>2190</v>
      </c>
      <c r="HM767" s="150" t="s">
        <v>232</v>
      </c>
      <c r="HY767" s="147"/>
      <c r="IN767" s="146" t="s">
        <v>2195</v>
      </c>
      <c r="IO767" s="146" t="s">
        <v>19</v>
      </c>
      <c r="IR767" s="146">
        <v>2011</v>
      </c>
      <c r="JI767" s="146" t="s">
        <v>2173</v>
      </c>
      <c r="JK767" s="146" t="s">
        <v>14</v>
      </c>
      <c r="JO767" s="146" t="s">
        <v>13</v>
      </c>
      <c r="JP767" s="146">
        <v>309</v>
      </c>
      <c r="JQ767" s="146">
        <v>93</v>
      </c>
      <c r="KD767" s="146" t="s">
        <v>2172</v>
      </c>
      <c r="KE767" s="146" t="s">
        <v>12</v>
      </c>
      <c r="KF767" s="146" t="s">
        <v>29</v>
      </c>
      <c r="KG767" s="146" t="s">
        <v>29</v>
      </c>
      <c r="KI767" s="146" t="s">
        <v>222</v>
      </c>
      <c r="KJ767" s="146" t="s">
        <v>2187</v>
      </c>
      <c r="KK767" s="146" t="s">
        <v>220</v>
      </c>
      <c r="KL767" s="146">
        <v>7.5</v>
      </c>
      <c r="KM767" s="146" t="s">
        <v>222</v>
      </c>
      <c r="KN767" s="146" t="s">
        <v>2186</v>
      </c>
      <c r="KO767" s="146" t="s">
        <v>220</v>
      </c>
      <c r="KP767" s="146">
        <v>2</v>
      </c>
      <c r="MS767" s="146" t="s">
        <v>2170</v>
      </c>
      <c r="MT767" s="146">
        <v>2500</v>
      </c>
      <c r="ND767" s="146" t="s">
        <v>2229</v>
      </c>
      <c r="NE767" s="146" t="s">
        <v>2228</v>
      </c>
      <c r="NF767" s="146" t="s">
        <v>2227</v>
      </c>
      <c r="NG767" s="146" t="s">
        <v>2226</v>
      </c>
      <c r="NH767" s="146" t="s">
        <v>2225</v>
      </c>
      <c r="NP767" s="146" t="s">
        <v>2193</v>
      </c>
      <c r="NQ767" s="146" t="s">
        <v>6</v>
      </c>
      <c r="NR767" s="146">
        <v>5.95</v>
      </c>
      <c r="NS767" s="146" t="s">
        <v>234</v>
      </c>
      <c r="NT767" s="146" t="s">
        <v>234</v>
      </c>
      <c r="NW767" s="146">
        <v>4</v>
      </c>
      <c r="OH767" s="146" t="s">
        <v>2208</v>
      </c>
      <c r="OI767" s="146" t="s">
        <v>2207</v>
      </c>
      <c r="OK767" s="146">
        <v>2011</v>
      </c>
      <c r="OL767" s="146">
        <v>2014</v>
      </c>
      <c r="OO767" s="146" t="s">
        <v>1178</v>
      </c>
      <c r="OP767" s="147">
        <v>46134</v>
      </c>
    </row>
    <row r="768" spans="1:406" s="146" customFormat="1">
      <c r="A768" t="s">
        <v>248</v>
      </c>
      <c r="B768" s="146" t="s">
        <v>2184</v>
      </c>
      <c r="C768" s="146" t="s">
        <v>2183</v>
      </c>
      <c r="D768" s="146" t="s">
        <v>245</v>
      </c>
      <c r="E768" s="146" t="s">
        <v>2182</v>
      </c>
      <c r="F768" s="146" t="s">
        <v>243</v>
      </c>
      <c r="G768" s="146" t="s">
        <v>2</v>
      </c>
      <c r="H768" s="146" t="s">
        <v>30</v>
      </c>
      <c r="I768" s="146">
        <v>-13.47</v>
      </c>
      <c r="J768" s="146">
        <v>33.71</v>
      </c>
      <c r="K768" s="146" t="s">
        <v>29</v>
      </c>
      <c r="AV768" s="146" t="s">
        <v>2181</v>
      </c>
      <c r="AW768" s="146">
        <v>2500</v>
      </c>
      <c r="AX768" s="146">
        <v>7500</v>
      </c>
      <c r="AY768" s="146">
        <v>3</v>
      </c>
      <c r="AZ768" s="146" t="s">
        <v>2180</v>
      </c>
      <c r="BA768" s="146">
        <v>2011</v>
      </c>
      <c r="BB768" s="146">
        <v>2014</v>
      </c>
      <c r="BD768" s="146" t="s">
        <v>274</v>
      </c>
      <c r="BE768" s="146" t="s">
        <v>2189</v>
      </c>
      <c r="BF768" s="146" t="s">
        <v>48</v>
      </c>
      <c r="BG768" s="146" t="s">
        <v>1243</v>
      </c>
      <c r="BH768" s="146" t="s">
        <v>2179</v>
      </c>
      <c r="BI768" s="146" t="s">
        <v>2178</v>
      </c>
      <c r="BJ768" s="146" t="s">
        <v>22</v>
      </c>
      <c r="BK768" s="146">
        <v>3700</v>
      </c>
      <c r="BL768" s="146" t="s">
        <v>56</v>
      </c>
      <c r="BM768" s="146" t="s">
        <v>2192</v>
      </c>
      <c r="BN768" s="146" t="s">
        <v>2191</v>
      </c>
      <c r="BO768" s="146" t="s">
        <v>22</v>
      </c>
      <c r="BP768" s="146">
        <v>18500</v>
      </c>
      <c r="BQ768" s="146" t="s">
        <v>275</v>
      </c>
      <c r="BR768" s="146" t="s">
        <v>1677</v>
      </c>
      <c r="BS768" s="146" t="s">
        <v>2177</v>
      </c>
      <c r="BT768" s="146" t="s">
        <v>22</v>
      </c>
      <c r="BU768" s="146">
        <v>222200</v>
      </c>
      <c r="BV768" s="146" t="s">
        <v>275</v>
      </c>
      <c r="BW768" s="146" t="s">
        <v>23</v>
      </c>
      <c r="BX768" s="146" t="s">
        <v>2176</v>
      </c>
      <c r="BY768" s="146" t="s">
        <v>22</v>
      </c>
      <c r="BZ768" s="146">
        <v>53333</v>
      </c>
      <c r="EJ768" s="150"/>
      <c r="EK768" s="150"/>
      <c r="EL768" s="150"/>
      <c r="EM768" s="150"/>
      <c r="EN768" s="150"/>
      <c r="EO768" s="150"/>
      <c r="EP768" s="150"/>
      <c r="EQ768" s="150"/>
      <c r="ER768" s="150"/>
      <c r="ES768" s="150"/>
      <c r="ET768" s="150"/>
      <c r="EU768" s="150"/>
      <c r="EV768" s="150"/>
      <c r="EW768" s="150"/>
      <c r="EX768" s="150"/>
      <c r="EY768" s="150"/>
      <c r="EZ768" s="150"/>
      <c r="FA768" s="150"/>
      <c r="FB768" s="150"/>
      <c r="FC768" s="150"/>
      <c r="FD768" s="150"/>
      <c r="FE768" s="150"/>
      <c r="FF768" s="150"/>
      <c r="FG768" s="150"/>
      <c r="FH768" s="150"/>
      <c r="FI768" s="150"/>
      <c r="FJ768" s="150"/>
      <c r="FK768" s="150"/>
      <c r="FL768" s="150"/>
      <c r="FM768" s="150"/>
      <c r="FN768" s="150"/>
      <c r="FO768" s="150"/>
      <c r="FP768" s="150"/>
      <c r="FQ768" s="150"/>
      <c r="FR768" s="150"/>
      <c r="FS768" s="150"/>
      <c r="FT768" s="150"/>
      <c r="FU768" s="150"/>
      <c r="FV768" s="150"/>
      <c r="FW768" s="150"/>
      <c r="FX768" s="150"/>
      <c r="FY768" s="150"/>
      <c r="FZ768" s="150"/>
      <c r="GA768" s="150"/>
      <c r="GB768" s="150"/>
      <c r="GC768" s="150"/>
      <c r="GD768" s="150"/>
      <c r="GE768" s="150"/>
      <c r="GF768" s="150"/>
      <c r="GG768" s="150"/>
      <c r="GH768" s="150"/>
      <c r="GI768" s="150"/>
      <c r="GJ768" s="150"/>
      <c r="GK768" s="150"/>
      <c r="GL768" s="150"/>
      <c r="GM768" s="150"/>
      <c r="GN768" s="150"/>
      <c r="GO768" s="150"/>
      <c r="GP768" s="150"/>
      <c r="GQ768" s="150"/>
      <c r="GR768" s="150"/>
      <c r="GS768" s="150"/>
      <c r="GT768" s="150"/>
      <c r="GU768" s="150"/>
      <c r="GV768" s="150"/>
      <c r="GW768" s="150"/>
      <c r="GX768" s="150"/>
      <c r="GY768" s="150"/>
      <c r="GZ768" s="150"/>
      <c r="HA768" s="150"/>
      <c r="HB768" s="150"/>
      <c r="HC768" s="150"/>
      <c r="HD768" s="150"/>
      <c r="HE768" s="150"/>
      <c r="HF768" s="150"/>
      <c r="HG768" s="150"/>
      <c r="HH768" s="150"/>
      <c r="HI768" s="150"/>
      <c r="HJ768" s="150"/>
      <c r="HK768" s="150"/>
      <c r="HL768" s="150" t="s">
        <v>2190</v>
      </c>
      <c r="HM768" s="150" t="s">
        <v>232</v>
      </c>
      <c r="HY768" s="147"/>
      <c r="IN768" s="146" t="s">
        <v>2189</v>
      </c>
      <c r="IO768" s="146" t="s">
        <v>273</v>
      </c>
      <c r="IP768" s="146" t="s">
        <v>2188</v>
      </c>
      <c r="IR768" s="146">
        <v>2011</v>
      </c>
      <c r="IT768" s="146" t="s">
        <v>29</v>
      </c>
      <c r="JI768" s="146" t="s">
        <v>2173</v>
      </c>
      <c r="JK768" s="146" t="s">
        <v>14</v>
      </c>
      <c r="JO768" s="146" t="s">
        <v>13</v>
      </c>
      <c r="JP768" s="146">
        <v>131</v>
      </c>
      <c r="JQ768" s="146">
        <v>59</v>
      </c>
      <c r="KD768" s="146" t="s">
        <v>2172</v>
      </c>
      <c r="KE768" s="146" t="s">
        <v>12</v>
      </c>
      <c r="KF768" s="146" t="s">
        <v>29</v>
      </c>
      <c r="KG768" s="146" t="s">
        <v>29</v>
      </c>
      <c r="KI768" s="146" t="s">
        <v>222</v>
      </c>
      <c r="KJ768" s="146" t="s">
        <v>2187</v>
      </c>
      <c r="KK768" s="146" t="s">
        <v>220</v>
      </c>
      <c r="KL768" s="146">
        <v>7.5</v>
      </c>
      <c r="KM768" s="146" t="s">
        <v>222</v>
      </c>
      <c r="KN768" s="146" t="s">
        <v>2186</v>
      </c>
      <c r="KO768" s="146" t="s">
        <v>220</v>
      </c>
      <c r="KP768" s="146">
        <v>1</v>
      </c>
      <c r="MS768" s="146" t="s">
        <v>2170</v>
      </c>
      <c r="MT768" s="146">
        <v>2500</v>
      </c>
      <c r="ND768" s="146" t="s">
        <v>2229</v>
      </c>
      <c r="NE768" s="146" t="s">
        <v>2228</v>
      </c>
      <c r="NF768" s="146" t="s">
        <v>2227</v>
      </c>
      <c r="NG768" s="146" t="s">
        <v>2226</v>
      </c>
      <c r="NH768" s="146" t="s">
        <v>2225</v>
      </c>
      <c r="NQ768" s="146" t="s">
        <v>6</v>
      </c>
      <c r="NR768" s="146">
        <v>5.21</v>
      </c>
      <c r="NS768" s="146" t="s">
        <v>234</v>
      </c>
      <c r="NT768" s="146" t="s">
        <v>234</v>
      </c>
      <c r="NW768" s="146">
        <v>4</v>
      </c>
      <c r="OH768" s="146" t="s">
        <v>2208</v>
      </c>
      <c r="OI768" s="146" t="s">
        <v>2207</v>
      </c>
      <c r="OK768" s="146">
        <v>2011</v>
      </c>
      <c r="OL768" s="146">
        <v>2014</v>
      </c>
      <c r="OO768" s="146" t="s">
        <v>1178</v>
      </c>
      <c r="OP768" s="147">
        <v>46134</v>
      </c>
    </row>
    <row r="769" spans="1:406" s="146" customFormat="1">
      <c r="A769" t="s">
        <v>248</v>
      </c>
      <c r="B769" s="146" t="s">
        <v>2184</v>
      </c>
      <c r="C769" s="146" t="s">
        <v>2183</v>
      </c>
      <c r="D769" s="146" t="s">
        <v>245</v>
      </c>
      <c r="E769" s="146" t="s">
        <v>2182</v>
      </c>
      <c r="F769" s="146" t="s">
        <v>243</v>
      </c>
      <c r="G769" s="146" t="s">
        <v>2</v>
      </c>
      <c r="H769" s="146" t="s">
        <v>30</v>
      </c>
      <c r="I769" s="146">
        <v>-13.47</v>
      </c>
      <c r="J769" s="146">
        <v>33.71</v>
      </c>
      <c r="K769" s="146" t="s">
        <v>29</v>
      </c>
      <c r="AV769" s="146" t="s">
        <v>2181</v>
      </c>
      <c r="AW769" s="146">
        <v>2500</v>
      </c>
      <c r="AX769" s="146">
        <v>7500</v>
      </c>
      <c r="AY769" s="146">
        <v>3</v>
      </c>
      <c r="AZ769" s="146" t="s">
        <v>2180</v>
      </c>
      <c r="BA769" s="146">
        <v>2011</v>
      </c>
      <c r="BB769" s="146">
        <v>2014</v>
      </c>
      <c r="BD769" s="146" t="s">
        <v>274</v>
      </c>
      <c r="BE769" s="146" t="s">
        <v>2174</v>
      </c>
      <c r="BF769" s="146" t="s">
        <v>43</v>
      </c>
      <c r="BG769" s="146" t="s">
        <v>1243</v>
      </c>
      <c r="BH769" s="146" t="s">
        <v>2179</v>
      </c>
      <c r="BI769" s="146" t="s">
        <v>2178</v>
      </c>
      <c r="BJ769" s="146" t="s">
        <v>22</v>
      </c>
      <c r="BK769" s="146">
        <v>3700</v>
      </c>
      <c r="BL769" s="146" t="s">
        <v>275</v>
      </c>
      <c r="BM769" s="146" t="s">
        <v>1677</v>
      </c>
      <c r="BN769" s="146" t="s">
        <v>2177</v>
      </c>
      <c r="BO769" s="146" t="s">
        <v>22</v>
      </c>
      <c r="BP769" s="146">
        <v>177800</v>
      </c>
      <c r="BQ769" s="146" t="s">
        <v>275</v>
      </c>
      <c r="BR769" s="146" t="s">
        <v>23</v>
      </c>
      <c r="BS769" s="146" t="s">
        <v>2176</v>
      </c>
      <c r="BT769" s="146" t="s">
        <v>22</v>
      </c>
      <c r="BU769" s="146">
        <v>53333</v>
      </c>
      <c r="EJ769" s="150"/>
      <c r="EK769" s="150"/>
      <c r="EL769" s="150"/>
      <c r="EM769" s="150"/>
      <c r="EN769" s="150"/>
      <c r="EO769" s="150"/>
      <c r="EP769" s="150"/>
      <c r="EQ769" s="150"/>
      <c r="ER769" s="150"/>
      <c r="ES769" s="150"/>
      <c r="ET769" s="150"/>
      <c r="EU769" s="150"/>
      <c r="EV769" s="150"/>
      <c r="EW769" s="150"/>
      <c r="EX769" s="150"/>
      <c r="EY769" s="150"/>
      <c r="EZ769" s="150"/>
      <c r="FA769" s="150"/>
      <c r="FB769" s="150"/>
      <c r="FC769" s="150"/>
      <c r="FD769" s="150"/>
      <c r="FE769" s="150"/>
      <c r="FF769" s="150"/>
      <c r="FG769" s="150"/>
      <c r="FH769" s="150"/>
      <c r="FI769" s="150"/>
      <c r="FJ769" s="150"/>
      <c r="FK769" s="150"/>
      <c r="FL769" s="150"/>
      <c r="FM769" s="150"/>
      <c r="FN769" s="150"/>
      <c r="FO769" s="150"/>
      <c r="FP769" s="150"/>
      <c r="FQ769" s="150"/>
      <c r="FR769" s="150"/>
      <c r="FS769" s="150"/>
      <c r="FT769" s="150"/>
      <c r="FU769" s="150"/>
      <c r="FV769" s="150"/>
      <c r="FW769" s="150"/>
      <c r="FX769" s="150"/>
      <c r="FY769" s="150"/>
      <c r="FZ769" s="150"/>
      <c r="GA769" s="150"/>
      <c r="GB769" s="150"/>
      <c r="GC769" s="150"/>
      <c r="GD769" s="150"/>
      <c r="GE769" s="150"/>
      <c r="GF769" s="150"/>
      <c r="GG769" s="150"/>
      <c r="GH769" s="150"/>
      <c r="GI769" s="150"/>
      <c r="GJ769" s="150"/>
      <c r="GK769" s="150"/>
      <c r="GL769" s="150"/>
      <c r="GM769" s="150"/>
      <c r="GN769" s="150"/>
      <c r="GO769" s="150"/>
      <c r="GP769" s="150"/>
      <c r="GQ769" s="150"/>
      <c r="GR769" s="150"/>
      <c r="GS769" s="150"/>
      <c r="GT769" s="150"/>
      <c r="GU769" s="150"/>
      <c r="GV769" s="150"/>
      <c r="GW769" s="150"/>
      <c r="GX769" s="150"/>
      <c r="GY769" s="150"/>
      <c r="GZ769" s="150"/>
      <c r="HA769" s="150"/>
      <c r="HB769" s="150"/>
      <c r="HC769" s="150"/>
      <c r="HD769" s="150"/>
      <c r="HE769" s="150"/>
      <c r="HF769" s="150"/>
      <c r="HG769" s="150"/>
      <c r="HH769" s="150"/>
      <c r="HI769" s="150"/>
      <c r="HJ769" s="150"/>
      <c r="HK769" s="150"/>
      <c r="HL769" s="150" t="s">
        <v>2175</v>
      </c>
      <c r="HM769" s="150" t="s">
        <v>297</v>
      </c>
      <c r="HN769" s="146" t="s">
        <v>29</v>
      </c>
      <c r="HO769" s="146" t="s">
        <v>29</v>
      </c>
      <c r="HP769" s="146" t="s">
        <v>29</v>
      </c>
      <c r="HQ769" s="146" t="s">
        <v>29</v>
      </c>
      <c r="HY769" s="147"/>
      <c r="IN769" s="146" t="s">
        <v>2174</v>
      </c>
      <c r="IO769" s="146" t="s">
        <v>273</v>
      </c>
      <c r="IP769" s="146" t="s">
        <v>838</v>
      </c>
      <c r="IR769" s="146">
        <v>2011</v>
      </c>
      <c r="IT769" s="146" t="s">
        <v>29</v>
      </c>
      <c r="JI769" s="146" t="s">
        <v>2173</v>
      </c>
      <c r="JK769" s="146" t="s">
        <v>14</v>
      </c>
      <c r="JO769" s="146" t="s">
        <v>13</v>
      </c>
      <c r="JP769" s="146">
        <v>131</v>
      </c>
      <c r="JQ769" s="146">
        <v>59</v>
      </c>
      <c r="KD769" s="146" t="s">
        <v>2172</v>
      </c>
      <c r="KE769" s="146" t="s">
        <v>12</v>
      </c>
      <c r="KF769" s="146" t="s">
        <v>29</v>
      </c>
      <c r="KG769" s="146" t="s">
        <v>29</v>
      </c>
      <c r="KI769" s="146" t="s">
        <v>2171</v>
      </c>
      <c r="MS769" s="146" t="s">
        <v>2170</v>
      </c>
      <c r="MT769" s="146">
        <v>2500</v>
      </c>
      <c r="ND769" s="146" t="s">
        <v>2229</v>
      </c>
      <c r="NE769" s="146" t="s">
        <v>2228</v>
      </c>
      <c r="NF769" s="146" t="s">
        <v>2227</v>
      </c>
      <c r="NG769" s="146" t="s">
        <v>2226</v>
      </c>
      <c r="NH769" s="146" t="s">
        <v>2225</v>
      </c>
      <c r="NQ769" s="146" t="s">
        <v>6</v>
      </c>
      <c r="NR769" s="146">
        <v>6.15</v>
      </c>
      <c r="NS769" s="146" t="s">
        <v>234</v>
      </c>
      <c r="NT769" s="146" t="s">
        <v>234</v>
      </c>
      <c r="NW769" s="146">
        <v>4</v>
      </c>
      <c r="OH769" s="146" t="s">
        <v>2208</v>
      </c>
      <c r="OI769" s="146" t="s">
        <v>2207</v>
      </c>
      <c r="OK769" s="146">
        <v>2011</v>
      </c>
      <c r="OL769" s="146">
        <v>2014</v>
      </c>
      <c r="OO769" s="146" t="s">
        <v>1178</v>
      </c>
      <c r="OP769" s="147">
        <v>46134</v>
      </c>
    </row>
    <row r="770" spans="1:406" s="146" customFormat="1">
      <c r="A770" s="87" t="s">
        <v>248</v>
      </c>
      <c r="B770" s="146" t="s">
        <v>2184</v>
      </c>
      <c r="C770" s="146" t="s">
        <v>2183</v>
      </c>
      <c r="D770" s="146" t="s">
        <v>245</v>
      </c>
      <c r="E770" s="146" t="s">
        <v>2201</v>
      </c>
      <c r="F770" s="146" t="s">
        <v>243</v>
      </c>
      <c r="G770" s="146" t="s">
        <v>2</v>
      </c>
      <c r="H770" s="146" t="s">
        <v>30</v>
      </c>
      <c r="I770" s="146">
        <v>-13.06</v>
      </c>
      <c r="J770" s="146">
        <v>34.299999999999997</v>
      </c>
      <c r="K770" s="146" t="s">
        <v>29</v>
      </c>
      <c r="AV770" s="146" t="s">
        <v>2181</v>
      </c>
      <c r="AW770" s="146">
        <v>1300</v>
      </c>
      <c r="AX770" s="146">
        <v>3900</v>
      </c>
      <c r="AY770" s="146">
        <v>3</v>
      </c>
      <c r="AZ770" s="146" t="s">
        <v>2180</v>
      </c>
      <c r="BA770" s="146">
        <v>2011</v>
      </c>
      <c r="BB770" s="146">
        <v>2014</v>
      </c>
      <c r="BD770" s="146" t="s">
        <v>19</v>
      </c>
      <c r="BE770" s="146" t="s">
        <v>2195</v>
      </c>
      <c r="BF770" s="146" t="s">
        <v>39</v>
      </c>
      <c r="BG770" s="146" t="s">
        <v>1243</v>
      </c>
      <c r="BH770" s="146" t="s">
        <v>23</v>
      </c>
      <c r="BI770" s="146" t="s">
        <v>2176</v>
      </c>
      <c r="BJ770" s="146" t="s">
        <v>22</v>
      </c>
      <c r="BK770" s="146">
        <v>53333</v>
      </c>
      <c r="EJ770" s="150"/>
      <c r="EK770" s="150"/>
      <c r="EL770" s="150"/>
      <c r="EM770" s="150"/>
      <c r="EN770" s="150"/>
      <c r="EO770" s="150"/>
      <c r="EP770" s="150"/>
      <c r="EQ770" s="150"/>
      <c r="ER770" s="150"/>
      <c r="ES770" s="150"/>
      <c r="ET770" s="150"/>
      <c r="EU770" s="150"/>
      <c r="EV770" s="150"/>
      <c r="EW770" s="150"/>
      <c r="EX770" s="150"/>
      <c r="EY770" s="150"/>
      <c r="EZ770" s="150"/>
      <c r="FA770" s="150"/>
      <c r="FB770" s="150"/>
      <c r="FC770" s="150"/>
      <c r="FD770" s="150"/>
      <c r="FE770" s="150"/>
      <c r="FF770" s="150"/>
      <c r="FG770" s="150"/>
      <c r="FH770" s="150"/>
      <c r="FI770" s="150"/>
      <c r="FJ770" s="150"/>
      <c r="FK770" s="150"/>
      <c r="FL770" s="150"/>
      <c r="FM770" s="150"/>
      <c r="FN770" s="150"/>
      <c r="FO770" s="150"/>
      <c r="FP770" s="150"/>
      <c r="FQ770" s="150"/>
      <c r="FR770" s="150"/>
      <c r="FS770" s="150"/>
      <c r="FT770" s="150"/>
      <c r="FU770" s="150"/>
      <c r="FV770" s="150"/>
      <c r="FW770" s="150"/>
      <c r="FX770" s="150"/>
      <c r="FY770" s="150"/>
      <c r="FZ770" s="150"/>
      <c r="GA770" s="150"/>
      <c r="GB770" s="150"/>
      <c r="GC770" s="150"/>
      <c r="GD770" s="150"/>
      <c r="GE770" s="150"/>
      <c r="GF770" s="150"/>
      <c r="GG770" s="150"/>
      <c r="GH770" s="150"/>
      <c r="GI770" s="150"/>
      <c r="GJ770" s="150"/>
      <c r="GK770" s="150"/>
      <c r="GL770" s="150"/>
      <c r="GM770" s="150"/>
      <c r="GN770" s="150"/>
      <c r="GO770" s="150"/>
      <c r="GP770" s="150"/>
      <c r="GQ770" s="150"/>
      <c r="GR770" s="150"/>
      <c r="GS770" s="150"/>
      <c r="GT770" s="150"/>
      <c r="GU770" s="150"/>
      <c r="GV770" s="150"/>
      <c r="GW770" s="150"/>
      <c r="GX770" s="150"/>
      <c r="GY770" s="150"/>
      <c r="GZ770" s="150"/>
      <c r="HA770" s="150"/>
      <c r="HB770" s="150"/>
      <c r="HC770" s="150"/>
      <c r="HD770" s="150"/>
      <c r="HE770" s="150"/>
      <c r="HF770" s="150"/>
      <c r="HG770" s="150"/>
      <c r="HH770" s="150"/>
      <c r="HI770" s="150"/>
      <c r="HJ770" s="150"/>
      <c r="HK770" s="150"/>
      <c r="HL770" s="150" t="s">
        <v>2190</v>
      </c>
      <c r="HM770" s="150" t="s">
        <v>232</v>
      </c>
      <c r="HU770" s="147"/>
      <c r="HV770" s="147"/>
      <c r="HY770" s="147"/>
      <c r="IN770" s="146" t="s">
        <v>2195</v>
      </c>
      <c r="IO770" s="146" t="s">
        <v>19</v>
      </c>
      <c r="IR770" s="146">
        <v>2011</v>
      </c>
      <c r="JI770" s="146" t="s">
        <v>2173</v>
      </c>
      <c r="JK770" s="146" t="s">
        <v>14</v>
      </c>
      <c r="JO770" s="146" t="s">
        <v>13</v>
      </c>
      <c r="JP770" s="146">
        <v>309</v>
      </c>
      <c r="JQ770" s="146">
        <v>93</v>
      </c>
      <c r="KD770" s="146" t="s">
        <v>2172</v>
      </c>
      <c r="KE770" s="146" t="s">
        <v>12</v>
      </c>
      <c r="KF770" s="146" t="s">
        <v>29</v>
      </c>
      <c r="KG770" s="146" t="s">
        <v>29</v>
      </c>
      <c r="KI770" s="146" t="s">
        <v>222</v>
      </c>
      <c r="KJ770" s="146" t="s">
        <v>2187</v>
      </c>
      <c r="KK770" s="146" t="s">
        <v>220</v>
      </c>
      <c r="KL770" s="146">
        <v>7.5</v>
      </c>
      <c r="KM770" s="146" t="s">
        <v>222</v>
      </c>
      <c r="KN770" s="146" t="s">
        <v>2186</v>
      </c>
      <c r="KO770" s="146" t="s">
        <v>220</v>
      </c>
      <c r="KP770" s="146">
        <v>2</v>
      </c>
      <c r="MS770" s="146" t="s">
        <v>2170</v>
      </c>
      <c r="MT770" s="146">
        <v>1300</v>
      </c>
      <c r="MU770" s="146" t="s">
        <v>2194</v>
      </c>
      <c r="MW770" s="146" t="s">
        <v>168</v>
      </c>
      <c r="ND770" s="146" t="s">
        <v>2215</v>
      </c>
      <c r="NE770" s="146" t="s">
        <v>2210</v>
      </c>
      <c r="NF770" s="146" t="s">
        <v>2224</v>
      </c>
      <c r="NG770" s="146" t="s">
        <v>266</v>
      </c>
      <c r="NH770" s="148" t="s">
        <v>1002</v>
      </c>
      <c r="NP770" s="146" t="s">
        <v>745</v>
      </c>
      <c r="NQ770" s="146" t="s">
        <v>6</v>
      </c>
      <c r="NR770" s="146">
        <v>49</v>
      </c>
      <c r="NS770" s="146" t="s">
        <v>234</v>
      </c>
      <c r="NT770" s="146" t="s">
        <v>234</v>
      </c>
      <c r="NW770" s="146">
        <v>4</v>
      </c>
      <c r="OH770" s="146" t="s">
        <v>2218</v>
      </c>
      <c r="OI770" s="146" t="s">
        <v>2207</v>
      </c>
      <c r="OK770" s="146">
        <v>2011</v>
      </c>
      <c r="OL770" s="146">
        <v>2014</v>
      </c>
      <c r="OO770" s="146" t="s">
        <v>1178</v>
      </c>
      <c r="OP770" s="147">
        <v>46134</v>
      </c>
    </row>
    <row r="771" spans="1:406" s="146" customFormat="1">
      <c r="A771" t="s">
        <v>248</v>
      </c>
      <c r="B771" s="146" t="s">
        <v>2184</v>
      </c>
      <c r="C771" s="146" t="s">
        <v>2183</v>
      </c>
      <c r="D771" s="146" t="s">
        <v>245</v>
      </c>
      <c r="E771" s="146" t="s">
        <v>2201</v>
      </c>
      <c r="F771" s="146" t="s">
        <v>243</v>
      </c>
      <c r="G771" s="146" t="s">
        <v>2</v>
      </c>
      <c r="H771" s="146" t="s">
        <v>30</v>
      </c>
      <c r="I771" s="146">
        <v>-13.06</v>
      </c>
      <c r="J771" s="146">
        <v>34.299999999999997</v>
      </c>
      <c r="K771" s="146" t="s">
        <v>29</v>
      </c>
      <c r="AV771" s="146" t="s">
        <v>2181</v>
      </c>
      <c r="AW771" s="146">
        <v>1300</v>
      </c>
      <c r="AX771" s="146">
        <v>3900</v>
      </c>
      <c r="AY771" s="146">
        <v>3</v>
      </c>
      <c r="AZ771" s="146" t="s">
        <v>2180</v>
      </c>
      <c r="BA771" s="146">
        <v>2011</v>
      </c>
      <c r="BB771" s="146">
        <v>2014</v>
      </c>
      <c r="BD771" s="146" t="s">
        <v>274</v>
      </c>
      <c r="BE771" s="146" t="s">
        <v>2205</v>
      </c>
      <c r="BF771" s="146" t="s">
        <v>64</v>
      </c>
      <c r="BG771" s="146" t="s">
        <v>1243</v>
      </c>
      <c r="BH771" s="146" t="s">
        <v>2024</v>
      </c>
      <c r="BI771" s="146" t="s">
        <v>2200</v>
      </c>
      <c r="BJ771" s="146" t="s">
        <v>22</v>
      </c>
      <c r="BK771" s="146">
        <v>12300</v>
      </c>
      <c r="BL771" s="146" t="s">
        <v>56</v>
      </c>
      <c r="BM771" s="146" t="s">
        <v>2192</v>
      </c>
      <c r="BN771" s="146" t="s">
        <v>2191</v>
      </c>
      <c r="BO771" s="146" t="s">
        <v>22</v>
      </c>
      <c r="BP771" s="146">
        <v>24700</v>
      </c>
      <c r="BQ771" s="146" t="s">
        <v>275</v>
      </c>
      <c r="BR771" s="146" t="s">
        <v>250</v>
      </c>
      <c r="BS771" s="146" t="s">
        <v>2206</v>
      </c>
      <c r="BT771" s="146" t="s">
        <v>22</v>
      </c>
      <c r="BU771" s="146">
        <v>355556</v>
      </c>
      <c r="BV771" s="146" t="s">
        <v>56</v>
      </c>
      <c r="BW771" s="146" t="s">
        <v>2192</v>
      </c>
      <c r="BX771" s="146" t="s">
        <v>2191</v>
      </c>
      <c r="BY771" s="146" t="s">
        <v>22</v>
      </c>
      <c r="BZ771" s="146">
        <v>24700</v>
      </c>
      <c r="CA771" s="146" t="s">
        <v>275</v>
      </c>
      <c r="CB771" s="146" t="s">
        <v>23</v>
      </c>
      <c r="CC771" s="146" t="s">
        <v>2176</v>
      </c>
      <c r="CD771" s="146" t="s">
        <v>22</v>
      </c>
      <c r="CE771" s="146">
        <v>53333</v>
      </c>
      <c r="EJ771" s="150"/>
      <c r="EK771" s="150"/>
      <c r="EL771" s="150"/>
      <c r="EM771" s="150"/>
      <c r="EN771" s="150"/>
      <c r="EO771" s="150"/>
      <c r="EP771" s="150"/>
      <c r="EQ771" s="150"/>
      <c r="ER771" s="150"/>
      <c r="ES771" s="150"/>
      <c r="ET771" s="150"/>
      <c r="EU771" s="150"/>
      <c r="EV771" s="150"/>
      <c r="EW771" s="150"/>
      <c r="EX771" s="150"/>
      <c r="EY771" s="150"/>
      <c r="EZ771" s="150"/>
      <c r="FA771" s="150"/>
      <c r="FB771" s="150"/>
      <c r="FC771" s="150"/>
      <c r="FD771" s="150"/>
      <c r="FE771" s="150"/>
      <c r="FF771" s="150"/>
      <c r="FG771" s="150"/>
      <c r="FH771" s="150"/>
      <c r="FI771" s="150"/>
      <c r="FJ771" s="150"/>
      <c r="FK771" s="150"/>
      <c r="FL771" s="150"/>
      <c r="FM771" s="150"/>
      <c r="FN771" s="150"/>
      <c r="FO771" s="150"/>
      <c r="FP771" s="150"/>
      <c r="FQ771" s="150"/>
      <c r="FR771" s="150"/>
      <c r="FS771" s="150"/>
      <c r="FT771" s="150"/>
      <c r="FU771" s="150"/>
      <c r="FV771" s="150"/>
      <c r="FW771" s="150"/>
      <c r="FX771" s="150"/>
      <c r="FY771" s="150"/>
      <c r="FZ771" s="150"/>
      <c r="GA771" s="150"/>
      <c r="GB771" s="150"/>
      <c r="GC771" s="150"/>
      <c r="GD771" s="150"/>
      <c r="GE771" s="150"/>
      <c r="GF771" s="150"/>
      <c r="GG771" s="150"/>
      <c r="GH771" s="150"/>
      <c r="GI771" s="150"/>
      <c r="GJ771" s="150"/>
      <c r="GK771" s="150"/>
      <c r="GL771" s="150"/>
      <c r="GM771" s="150"/>
      <c r="GN771" s="150"/>
      <c r="GO771" s="150"/>
      <c r="GP771" s="150"/>
      <c r="GQ771" s="150"/>
      <c r="GR771" s="150"/>
      <c r="GS771" s="150"/>
      <c r="GT771" s="150"/>
      <c r="GU771" s="150"/>
      <c r="GV771" s="150"/>
      <c r="GW771" s="150"/>
      <c r="GX771" s="150"/>
      <c r="GY771" s="150"/>
      <c r="GZ771" s="150"/>
      <c r="HA771" s="150"/>
      <c r="HB771" s="150"/>
      <c r="HC771" s="150"/>
      <c r="HD771" s="150"/>
      <c r="HE771" s="150"/>
      <c r="HF771" s="150"/>
      <c r="HG771" s="150"/>
      <c r="HH771" s="150"/>
      <c r="HI771" s="150"/>
      <c r="HJ771" s="150"/>
      <c r="HK771" s="150"/>
      <c r="HL771" s="150" t="s">
        <v>2190</v>
      </c>
      <c r="HM771" s="150" t="s">
        <v>232</v>
      </c>
      <c r="HU771" s="147"/>
      <c r="HV771" s="147"/>
      <c r="HY771" s="147"/>
      <c r="IN771" s="146" t="s">
        <v>2205</v>
      </c>
      <c r="IO771" s="146" t="s">
        <v>273</v>
      </c>
      <c r="IP771" s="146" t="s">
        <v>2188</v>
      </c>
      <c r="IR771" s="146">
        <v>2011</v>
      </c>
      <c r="IT771" s="146" t="s">
        <v>29</v>
      </c>
      <c r="JI771" s="146" t="s">
        <v>2173</v>
      </c>
      <c r="JK771" s="146" t="s">
        <v>14</v>
      </c>
      <c r="JO771" s="146" t="s">
        <v>13</v>
      </c>
      <c r="JP771" s="146">
        <v>103</v>
      </c>
      <c r="JQ771" s="146">
        <v>31</v>
      </c>
      <c r="KD771" s="146" t="s">
        <v>2172</v>
      </c>
      <c r="KE771" s="146" t="s">
        <v>12</v>
      </c>
      <c r="KF771" s="146" t="s">
        <v>29</v>
      </c>
      <c r="KG771" s="146" t="s">
        <v>29</v>
      </c>
      <c r="KI771" s="146" t="s">
        <v>222</v>
      </c>
      <c r="KJ771" s="146" t="s">
        <v>2187</v>
      </c>
      <c r="KK771" s="146" t="s">
        <v>220</v>
      </c>
      <c r="KL771" s="146">
        <v>7.5</v>
      </c>
      <c r="KM771" s="146" t="s">
        <v>222</v>
      </c>
      <c r="KN771" s="146" t="s">
        <v>2186</v>
      </c>
      <c r="KO771" s="146" t="s">
        <v>220</v>
      </c>
      <c r="KP771" s="146">
        <v>1</v>
      </c>
      <c r="KQ771" s="146" t="s">
        <v>219</v>
      </c>
      <c r="KR771" s="146" t="s">
        <v>2204</v>
      </c>
      <c r="KS771" s="146" t="s">
        <v>2203</v>
      </c>
      <c r="KT771" s="146">
        <v>100</v>
      </c>
      <c r="MS771" s="146" t="s">
        <v>2170</v>
      </c>
      <c r="MT771" s="146">
        <v>1300</v>
      </c>
      <c r="MU771" s="146" t="s">
        <v>2202</v>
      </c>
      <c r="MW771" s="146" t="s">
        <v>168</v>
      </c>
      <c r="MX771" s="146" t="s">
        <v>2220</v>
      </c>
      <c r="MY771" s="146" t="s">
        <v>2216</v>
      </c>
      <c r="MZ771" s="146" t="s">
        <v>2223</v>
      </c>
      <c r="ND771" s="146" t="s">
        <v>2222</v>
      </c>
      <c r="NE771" s="146" t="s">
        <v>2210</v>
      </c>
      <c r="NF771" s="146" t="s">
        <v>2221</v>
      </c>
      <c r="NG771" s="146" t="s">
        <v>266</v>
      </c>
      <c r="NH771" s="148" t="s">
        <v>1002</v>
      </c>
      <c r="NQ771" s="146" t="s">
        <v>6</v>
      </c>
      <c r="NR771" s="146">
        <v>39</v>
      </c>
      <c r="NS771" s="146" t="s">
        <v>234</v>
      </c>
      <c r="NT771" s="146" t="s">
        <v>234</v>
      </c>
      <c r="NW771" s="146">
        <v>4</v>
      </c>
      <c r="OH771" s="146" t="s">
        <v>2218</v>
      </c>
      <c r="OI771" s="146" t="s">
        <v>2207</v>
      </c>
      <c r="OK771" s="146">
        <v>2011</v>
      </c>
      <c r="OL771" s="146">
        <v>2014</v>
      </c>
      <c r="OO771" s="146" t="s">
        <v>1178</v>
      </c>
      <c r="OP771" s="147">
        <v>46134</v>
      </c>
    </row>
    <row r="772" spans="1:406" s="146" customFormat="1">
      <c r="A772" t="s">
        <v>248</v>
      </c>
      <c r="B772" s="146" t="s">
        <v>2184</v>
      </c>
      <c r="C772" s="146" t="s">
        <v>2183</v>
      </c>
      <c r="D772" s="146" t="s">
        <v>245</v>
      </c>
      <c r="E772" s="146" t="s">
        <v>2201</v>
      </c>
      <c r="F772" s="146" t="s">
        <v>243</v>
      </c>
      <c r="G772" s="146" t="s">
        <v>2</v>
      </c>
      <c r="H772" s="146" t="s">
        <v>30</v>
      </c>
      <c r="I772" s="146">
        <v>-13.06</v>
      </c>
      <c r="J772" s="146">
        <v>34.299999999999997</v>
      </c>
      <c r="K772" s="146" t="s">
        <v>29</v>
      </c>
      <c r="AV772" s="146" t="s">
        <v>2181</v>
      </c>
      <c r="AW772" s="146">
        <v>1300</v>
      </c>
      <c r="AX772" s="146">
        <v>3900</v>
      </c>
      <c r="AY772" s="146">
        <v>3</v>
      </c>
      <c r="AZ772" s="146" t="s">
        <v>2180</v>
      </c>
      <c r="BA772" s="146">
        <v>2011</v>
      </c>
      <c r="BB772" s="146">
        <v>2014</v>
      </c>
      <c r="BD772" s="146" t="s">
        <v>274</v>
      </c>
      <c r="BE772" s="146" t="s">
        <v>2198</v>
      </c>
      <c r="BF772" s="146" t="s">
        <v>57</v>
      </c>
      <c r="BG772" s="146" t="s">
        <v>1243</v>
      </c>
      <c r="BH772" s="146" t="s">
        <v>2024</v>
      </c>
      <c r="BI772" s="146" t="s">
        <v>2200</v>
      </c>
      <c r="BJ772" s="146" t="s">
        <v>22</v>
      </c>
      <c r="BK772" s="146">
        <v>12300</v>
      </c>
      <c r="BL772" s="146" t="s">
        <v>275</v>
      </c>
      <c r="BM772" s="146" t="s">
        <v>271</v>
      </c>
      <c r="BN772" s="146" t="s">
        <v>2199</v>
      </c>
      <c r="BO772" s="146" t="s">
        <v>22</v>
      </c>
      <c r="BP772" s="146">
        <v>266667</v>
      </c>
      <c r="BQ772" s="146" t="s">
        <v>275</v>
      </c>
      <c r="BR772" s="146" t="s">
        <v>23</v>
      </c>
      <c r="BS772" s="146" t="s">
        <v>2176</v>
      </c>
      <c r="BT772" s="146" t="s">
        <v>22</v>
      </c>
      <c r="BU772" s="146">
        <v>53333</v>
      </c>
      <c r="EJ772" s="150"/>
      <c r="EK772" s="150"/>
      <c r="EL772" s="150"/>
      <c r="EM772" s="150"/>
      <c r="EN772" s="150"/>
      <c r="EO772" s="150"/>
      <c r="EP772" s="150"/>
      <c r="EQ772" s="150"/>
      <c r="ER772" s="150"/>
      <c r="ES772" s="150"/>
      <c r="ET772" s="150"/>
      <c r="EU772" s="150"/>
      <c r="EV772" s="150"/>
      <c r="EW772" s="150"/>
      <c r="EX772" s="150"/>
      <c r="EY772" s="150"/>
      <c r="EZ772" s="150"/>
      <c r="FA772" s="150"/>
      <c r="FB772" s="150"/>
      <c r="FC772" s="150"/>
      <c r="FD772" s="150"/>
      <c r="FE772" s="150"/>
      <c r="FF772" s="150"/>
      <c r="FG772" s="150"/>
      <c r="FH772" s="150"/>
      <c r="FI772" s="150"/>
      <c r="FJ772" s="150"/>
      <c r="FK772" s="150"/>
      <c r="FL772" s="150"/>
      <c r="FM772" s="150"/>
      <c r="FN772" s="150"/>
      <c r="FO772" s="150"/>
      <c r="FP772" s="150"/>
      <c r="FQ772" s="150"/>
      <c r="FR772" s="150"/>
      <c r="FS772" s="150"/>
      <c r="FT772" s="150"/>
      <c r="FU772" s="150"/>
      <c r="FV772" s="150"/>
      <c r="FW772" s="150"/>
      <c r="FX772" s="150"/>
      <c r="FY772" s="150"/>
      <c r="FZ772" s="150"/>
      <c r="GA772" s="150"/>
      <c r="GB772" s="150"/>
      <c r="GC772" s="150"/>
      <c r="GD772" s="150"/>
      <c r="GE772" s="150"/>
      <c r="GF772" s="150"/>
      <c r="GG772" s="150"/>
      <c r="GH772" s="150"/>
      <c r="GI772" s="150"/>
      <c r="GJ772" s="150"/>
      <c r="GK772" s="150"/>
      <c r="GL772" s="150"/>
      <c r="GM772" s="150"/>
      <c r="GN772" s="150"/>
      <c r="GO772" s="150"/>
      <c r="GP772" s="150"/>
      <c r="GQ772" s="150"/>
      <c r="GR772" s="150"/>
      <c r="GS772" s="150"/>
      <c r="GT772" s="150"/>
      <c r="GU772" s="150"/>
      <c r="GV772" s="150"/>
      <c r="GW772" s="150"/>
      <c r="GX772" s="150"/>
      <c r="GY772" s="150"/>
      <c r="GZ772" s="150"/>
      <c r="HA772" s="150"/>
      <c r="HB772" s="150"/>
      <c r="HC772" s="150"/>
      <c r="HD772" s="150"/>
      <c r="HE772" s="150"/>
      <c r="HF772" s="150"/>
      <c r="HG772" s="150"/>
      <c r="HH772" s="150"/>
      <c r="HI772" s="150"/>
      <c r="HJ772" s="150"/>
      <c r="HK772" s="150"/>
      <c r="HL772" s="150" t="s">
        <v>2175</v>
      </c>
      <c r="HM772" s="150" t="s">
        <v>297</v>
      </c>
      <c r="HN772" s="146" t="s">
        <v>29</v>
      </c>
      <c r="HO772" s="146" t="s">
        <v>29</v>
      </c>
      <c r="HP772" s="146" t="s">
        <v>29</v>
      </c>
      <c r="HQ772" s="146" t="s">
        <v>29</v>
      </c>
      <c r="HY772" s="147"/>
      <c r="IN772" s="146" t="s">
        <v>2198</v>
      </c>
      <c r="IO772" s="146" t="s">
        <v>273</v>
      </c>
      <c r="IR772" s="146">
        <v>2011</v>
      </c>
      <c r="IT772" s="146" t="s">
        <v>29</v>
      </c>
      <c r="JI772" s="146" t="s">
        <v>2173</v>
      </c>
      <c r="JK772" s="146" t="s">
        <v>14</v>
      </c>
      <c r="JO772" s="146" t="s">
        <v>13</v>
      </c>
      <c r="JP772" s="146">
        <v>124</v>
      </c>
      <c r="JQ772" s="146">
        <v>50</v>
      </c>
      <c r="KD772" s="146" t="s">
        <v>2172</v>
      </c>
      <c r="KE772" s="146" t="s">
        <v>12</v>
      </c>
      <c r="KF772" s="146" t="s">
        <v>29</v>
      </c>
      <c r="KG772" s="146" t="s">
        <v>29</v>
      </c>
      <c r="KI772" s="146" t="s">
        <v>2171</v>
      </c>
      <c r="MS772" s="146" t="s">
        <v>2170</v>
      </c>
      <c r="MT772" s="146">
        <v>1300</v>
      </c>
      <c r="MU772" s="146" t="s">
        <v>2197</v>
      </c>
      <c r="MW772" s="146" t="s">
        <v>168</v>
      </c>
      <c r="MX772" s="146" t="s">
        <v>2220</v>
      </c>
      <c r="MY772" s="146" t="s">
        <v>271</v>
      </c>
      <c r="ND772" s="146" t="s">
        <v>2211</v>
      </c>
      <c r="NE772" s="146" t="s">
        <v>2210</v>
      </c>
      <c r="NF772" s="146" t="s">
        <v>2219</v>
      </c>
      <c r="NG772" s="146" t="s">
        <v>266</v>
      </c>
      <c r="NH772" s="148" t="s">
        <v>1002</v>
      </c>
      <c r="NQ772" s="146" t="s">
        <v>6</v>
      </c>
      <c r="NR772" s="146">
        <v>45</v>
      </c>
      <c r="NS772" s="146" t="s">
        <v>234</v>
      </c>
      <c r="NT772" s="146" t="s">
        <v>234</v>
      </c>
      <c r="NW772" s="146">
        <v>4</v>
      </c>
      <c r="OH772" s="146" t="s">
        <v>2218</v>
      </c>
      <c r="OI772" s="146" t="s">
        <v>2207</v>
      </c>
      <c r="OK772" s="146">
        <v>2011</v>
      </c>
      <c r="OL772" s="146">
        <v>2014</v>
      </c>
      <c r="OO772" s="146" t="s">
        <v>1178</v>
      </c>
      <c r="OP772" s="147">
        <v>46134</v>
      </c>
    </row>
    <row r="773" spans="1:406" s="146" customFormat="1">
      <c r="A773" s="87" t="s">
        <v>248</v>
      </c>
      <c r="B773" s="146" t="s">
        <v>2184</v>
      </c>
      <c r="C773" s="146" t="s">
        <v>2183</v>
      </c>
      <c r="D773" s="146" t="s">
        <v>245</v>
      </c>
      <c r="E773" s="146" t="s">
        <v>2182</v>
      </c>
      <c r="F773" s="146" t="s">
        <v>243</v>
      </c>
      <c r="G773" s="146" t="s">
        <v>2</v>
      </c>
      <c r="H773" s="146" t="s">
        <v>30</v>
      </c>
      <c r="I773" s="146">
        <v>-13.47</v>
      </c>
      <c r="J773" s="146">
        <v>33.71</v>
      </c>
      <c r="K773" s="146" t="s">
        <v>29</v>
      </c>
      <c r="AV773" s="146" t="s">
        <v>2181</v>
      </c>
      <c r="AW773" s="146">
        <v>2500</v>
      </c>
      <c r="AX773" s="146">
        <v>7500</v>
      </c>
      <c r="AY773" s="146">
        <v>3</v>
      </c>
      <c r="AZ773" s="146" t="s">
        <v>2180</v>
      </c>
      <c r="BA773" s="146">
        <v>2011</v>
      </c>
      <c r="BB773" s="146">
        <v>2014</v>
      </c>
      <c r="BD773" s="146" t="s">
        <v>19</v>
      </c>
      <c r="BE773" s="146" t="s">
        <v>2195</v>
      </c>
      <c r="BF773" s="146" t="s">
        <v>24</v>
      </c>
      <c r="BG773" s="146" t="s">
        <v>1243</v>
      </c>
      <c r="BH773" s="146" t="s">
        <v>23</v>
      </c>
      <c r="BI773" s="146" t="s">
        <v>2176</v>
      </c>
      <c r="BJ773" s="146" t="s">
        <v>22</v>
      </c>
      <c r="BK773" s="146">
        <v>53333</v>
      </c>
      <c r="EJ773" s="150"/>
      <c r="EK773" s="150"/>
      <c r="EL773" s="150"/>
      <c r="EM773" s="150"/>
      <c r="EN773" s="150"/>
      <c r="EO773" s="150"/>
      <c r="EP773" s="150"/>
      <c r="EQ773" s="150"/>
      <c r="ER773" s="150"/>
      <c r="ES773" s="150"/>
      <c r="ET773" s="150"/>
      <c r="EU773" s="150"/>
      <c r="EV773" s="150"/>
      <c r="EW773" s="150"/>
      <c r="EX773" s="150"/>
      <c r="EY773" s="150"/>
      <c r="EZ773" s="150"/>
      <c r="FA773" s="150"/>
      <c r="FB773" s="150"/>
      <c r="FC773" s="150"/>
      <c r="FD773" s="150"/>
      <c r="FE773" s="150"/>
      <c r="FF773" s="150"/>
      <c r="FG773" s="150"/>
      <c r="FH773" s="150"/>
      <c r="FI773" s="150"/>
      <c r="FJ773" s="150"/>
      <c r="FK773" s="150"/>
      <c r="FL773" s="150"/>
      <c r="FM773" s="150"/>
      <c r="FN773" s="150"/>
      <c r="FO773" s="150"/>
      <c r="FP773" s="150"/>
      <c r="FQ773" s="150"/>
      <c r="FR773" s="150"/>
      <c r="FS773" s="150"/>
      <c r="FT773" s="150"/>
      <c r="FU773" s="150"/>
      <c r="FV773" s="150"/>
      <c r="FW773" s="150"/>
      <c r="FX773" s="150"/>
      <c r="FY773" s="150"/>
      <c r="FZ773" s="150"/>
      <c r="GA773" s="150"/>
      <c r="GB773" s="150"/>
      <c r="GC773" s="150"/>
      <c r="GD773" s="150"/>
      <c r="GE773" s="150"/>
      <c r="GF773" s="150"/>
      <c r="GG773" s="150"/>
      <c r="GH773" s="150"/>
      <c r="GI773" s="150"/>
      <c r="GJ773" s="150"/>
      <c r="GK773" s="150"/>
      <c r="GL773" s="150"/>
      <c r="GM773" s="150"/>
      <c r="GN773" s="150"/>
      <c r="GO773" s="150"/>
      <c r="GP773" s="150"/>
      <c r="GQ773" s="150"/>
      <c r="GR773" s="150"/>
      <c r="GS773" s="150"/>
      <c r="GT773" s="150"/>
      <c r="GU773" s="150"/>
      <c r="GV773" s="150"/>
      <c r="GW773" s="150"/>
      <c r="GX773" s="150"/>
      <c r="GY773" s="150"/>
      <c r="GZ773" s="150"/>
      <c r="HA773" s="150"/>
      <c r="HB773" s="150"/>
      <c r="HC773" s="150"/>
      <c r="HD773" s="150"/>
      <c r="HE773" s="150"/>
      <c r="HF773" s="150"/>
      <c r="HG773" s="150"/>
      <c r="HH773" s="150"/>
      <c r="HI773" s="150"/>
      <c r="HJ773" s="150"/>
      <c r="HK773" s="150"/>
      <c r="HL773" s="150" t="s">
        <v>2190</v>
      </c>
      <c r="HM773" s="150" t="s">
        <v>232</v>
      </c>
      <c r="HY773" s="147"/>
      <c r="IN773" s="146" t="s">
        <v>2195</v>
      </c>
      <c r="IO773" s="146" t="s">
        <v>19</v>
      </c>
      <c r="IR773" s="146">
        <v>2011</v>
      </c>
      <c r="JI773" s="146" t="s">
        <v>2173</v>
      </c>
      <c r="JK773" s="146" t="s">
        <v>14</v>
      </c>
      <c r="JO773" s="146" t="s">
        <v>13</v>
      </c>
      <c r="JP773" s="146">
        <v>309</v>
      </c>
      <c r="JQ773" s="146">
        <v>93</v>
      </c>
      <c r="KD773" s="146" t="s">
        <v>2172</v>
      </c>
      <c r="KE773" s="146" t="s">
        <v>12</v>
      </c>
      <c r="KF773" s="146" t="s">
        <v>29</v>
      </c>
      <c r="KG773" s="146" t="s">
        <v>29</v>
      </c>
      <c r="KI773" s="146" t="s">
        <v>222</v>
      </c>
      <c r="KJ773" s="146" t="s">
        <v>2187</v>
      </c>
      <c r="KK773" s="146" t="s">
        <v>220</v>
      </c>
      <c r="KL773" s="146">
        <v>7.5</v>
      </c>
      <c r="KM773" s="146" t="s">
        <v>222</v>
      </c>
      <c r="KN773" s="146" t="s">
        <v>2186</v>
      </c>
      <c r="KO773" s="146" t="s">
        <v>220</v>
      </c>
      <c r="KP773" s="146">
        <v>2</v>
      </c>
      <c r="MS773" s="146" t="s">
        <v>2170</v>
      </c>
      <c r="MT773" s="146">
        <v>2500</v>
      </c>
      <c r="MU773" s="146" t="s">
        <v>2194</v>
      </c>
      <c r="MW773" s="146" t="s">
        <v>168</v>
      </c>
      <c r="ND773" s="146" t="s">
        <v>2215</v>
      </c>
      <c r="NE773" s="146" t="s">
        <v>2210</v>
      </c>
      <c r="NF773" s="146" t="s">
        <v>2217</v>
      </c>
      <c r="NG773" s="146" t="s">
        <v>266</v>
      </c>
      <c r="NH773" s="148" t="s">
        <v>1002</v>
      </c>
      <c r="NP773" s="146" t="s">
        <v>2193</v>
      </c>
      <c r="NQ773" s="146" t="s">
        <v>6</v>
      </c>
      <c r="NR773" s="146">
        <v>53</v>
      </c>
      <c r="NS773" s="146" t="s">
        <v>234</v>
      </c>
      <c r="NT773" s="146" t="s">
        <v>234</v>
      </c>
      <c r="NW773" s="146">
        <v>4</v>
      </c>
      <c r="OH773" s="146" t="s">
        <v>2208</v>
      </c>
      <c r="OI773" s="146" t="s">
        <v>2207</v>
      </c>
      <c r="OK773" s="146">
        <v>2011</v>
      </c>
      <c r="OL773" s="146">
        <v>2014</v>
      </c>
      <c r="OO773" s="146" t="s">
        <v>1178</v>
      </c>
      <c r="OP773" s="147">
        <v>46134</v>
      </c>
    </row>
    <row r="774" spans="1:406" s="146" customFormat="1">
      <c r="A774" t="s">
        <v>248</v>
      </c>
      <c r="B774" s="146" t="s">
        <v>2184</v>
      </c>
      <c r="C774" s="146" t="s">
        <v>2183</v>
      </c>
      <c r="D774" s="146" t="s">
        <v>245</v>
      </c>
      <c r="E774" s="146" t="s">
        <v>2182</v>
      </c>
      <c r="F774" s="146" t="s">
        <v>243</v>
      </c>
      <c r="G774" s="146" t="s">
        <v>2</v>
      </c>
      <c r="H774" s="146" t="s">
        <v>30</v>
      </c>
      <c r="I774" s="146">
        <v>-13.47</v>
      </c>
      <c r="J774" s="146">
        <v>33.71</v>
      </c>
      <c r="K774" s="146" t="s">
        <v>29</v>
      </c>
      <c r="AV774" s="146" t="s">
        <v>2181</v>
      </c>
      <c r="AW774" s="146">
        <v>2500</v>
      </c>
      <c r="AX774" s="146">
        <v>7500</v>
      </c>
      <c r="AY774" s="146">
        <v>3</v>
      </c>
      <c r="AZ774" s="146" t="s">
        <v>2180</v>
      </c>
      <c r="BA774" s="146">
        <v>2011</v>
      </c>
      <c r="BB774" s="146">
        <v>2014</v>
      </c>
      <c r="BD774" s="146" t="s">
        <v>274</v>
      </c>
      <c r="BE774" s="146" t="s">
        <v>2189</v>
      </c>
      <c r="BF774" s="146" t="s">
        <v>48</v>
      </c>
      <c r="BG774" s="146" t="s">
        <v>1243</v>
      </c>
      <c r="BH774" s="146" t="s">
        <v>2179</v>
      </c>
      <c r="BI774" s="146" t="s">
        <v>2178</v>
      </c>
      <c r="BJ774" s="146" t="s">
        <v>22</v>
      </c>
      <c r="BK774" s="146">
        <v>3700</v>
      </c>
      <c r="BL774" s="146" t="s">
        <v>56</v>
      </c>
      <c r="BM774" s="146" t="s">
        <v>2192</v>
      </c>
      <c r="BN774" s="146" t="s">
        <v>2191</v>
      </c>
      <c r="BO774" s="146" t="s">
        <v>22</v>
      </c>
      <c r="BP774" s="146">
        <v>18500</v>
      </c>
      <c r="BQ774" s="146" t="s">
        <v>275</v>
      </c>
      <c r="BR774" s="146" t="s">
        <v>1677</v>
      </c>
      <c r="BS774" s="146" t="s">
        <v>2177</v>
      </c>
      <c r="BT774" s="146" t="s">
        <v>22</v>
      </c>
      <c r="BU774" s="146">
        <v>222200</v>
      </c>
      <c r="BV774" s="146" t="s">
        <v>275</v>
      </c>
      <c r="BW774" s="146" t="s">
        <v>23</v>
      </c>
      <c r="BX774" s="146" t="s">
        <v>2176</v>
      </c>
      <c r="BY774" s="146" t="s">
        <v>22</v>
      </c>
      <c r="BZ774" s="146">
        <v>53333</v>
      </c>
      <c r="EJ774" s="150"/>
      <c r="EK774" s="150"/>
      <c r="EL774" s="150"/>
      <c r="EM774" s="150"/>
      <c r="EN774" s="150"/>
      <c r="EO774" s="150"/>
      <c r="EP774" s="150"/>
      <c r="EQ774" s="150"/>
      <c r="ER774" s="150"/>
      <c r="ES774" s="150"/>
      <c r="ET774" s="150"/>
      <c r="EU774" s="150"/>
      <c r="EV774" s="150"/>
      <c r="EW774" s="150"/>
      <c r="EX774" s="150"/>
      <c r="EY774" s="150"/>
      <c r="EZ774" s="150"/>
      <c r="FA774" s="150"/>
      <c r="FB774" s="150"/>
      <c r="FC774" s="150"/>
      <c r="FD774" s="150"/>
      <c r="FE774" s="150"/>
      <c r="FF774" s="150"/>
      <c r="FG774" s="150"/>
      <c r="FH774" s="150"/>
      <c r="FI774" s="150"/>
      <c r="FJ774" s="150"/>
      <c r="FK774" s="150"/>
      <c r="FL774" s="150"/>
      <c r="FM774" s="150"/>
      <c r="FN774" s="150"/>
      <c r="FO774" s="150"/>
      <c r="FP774" s="150"/>
      <c r="FQ774" s="150"/>
      <c r="FR774" s="150"/>
      <c r="FS774" s="150"/>
      <c r="FT774" s="150"/>
      <c r="FU774" s="150"/>
      <c r="FV774" s="150"/>
      <c r="FW774" s="150"/>
      <c r="FX774" s="150"/>
      <c r="FY774" s="150"/>
      <c r="FZ774" s="150"/>
      <c r="GA774" s="150"/>
      <c r="GB774" s="150"/>
      <c r="GC774" s="150"/>
      <c r="GD774" s="150"/>
      <c r="GE774" s="150"/>
      <c r="GF774" s="150"/>
      <c r="GG774" s="150"/>
      <c r="GH774" s="150"/>
      <c r="GI774" s="150"/>
      <c r="GJ774" s="150"/>
      <c r="GK774" s="150"/>
      <c r="GL774" s="150"/>
      <c r="GM774" s="150"/>
      <c r="GN774" s="150"/>
      <c r="GO774" s="150"/>
      <c r="GP774" s="150"/>
      <c r="GQ774" s="150"/>
      <c r="GR774" s="150"/>
      <c r="GS774" s="150"/>
      <c r="GT774" s="150"/>
      <c r="GU774" s="150"/>
      <c r="GV774" s="150"/>
      <c r="GW774" s="150"/>
      <c r="GX774" s="150"/>
      <c r="GY774" s="150"/>
      <c r="GZ774" s="150"/>
      <c r="HA774" s="150"/>
      <c r="HB774" s="150"/>
      <c r="HC774" s="150"/>
      <c r="HD774" s="150"/>
      <c r="HE774" s="150"/>
      <c r="HF774" s="150"/>
      <c r="HG774" s="150"/>
      <c r="HH774" s="150"/>
      <c r="HI774" s="150"/>
      <c r="HJ774" s="150"/>
      <c r="HK774" s="150"/>
      <c r="HL774" s="150" t="s">
        <v>2190</v>
      </c>
      <c r="HM774" s="150" t="s">
        <v>232</v>
      </c>
      <c r="HY774" s="147"/>
      <c r="IN774" s="146" t="s">
        <v>2189</v>
      </c>
      <c r="IO774" s="146" t="s">
        <v>273</v>
      </c>
      <c r="IP774" s="146" t="s">
        <v>2188</v>
      </c>
      <c r="IR774" s="146">
        <v>2011</v>
      </c>
      <c r="IT774" s="146" t="s">
        <v>29</v>
      </c>
      <c r="JI774" s="146" t="s">
        <v>2173</v>
      </c>
      <c r="JK774" s="146" t="s">
        <v>14</v>
      </c>
      <c r="JO774" s="146" t="s">
        <v>13</v>
      </c>
      <c r="JP774" s="146">
        <v>131</v>
      </c>
      <c r="JQ774" s="146">
        <v>59</v>
      </c>
      <c r="KD774" s="146" t="s">
        <v>2172</v>
      </c>
      <c r="KE774" s="146" t="s">
        <v>12</v>
      </c>
      <c r="KF774" s="146" t="s">
        <v>29</v>
      </c>
      <c r="KG774" s="146" t="s">
        <v>29</v>
      </c>
      <c r="KI774" s="146" t="s">
        <v>222</v>
      </c>
      <c r="KJ774" s="146" t="s">
        <v>2187</v>
      </c>
      <c r="KK774" s="146" t="s">
        <v>220</v>
      </c>
      <c r="KL774" s="146">
        <v>7.5</v>
      </c>
      <c r="KM774" s="146" t="s">
        <v>222</v>
      </c>
      <c r="KN774" s="146" t="s">
        <v>2186</v>
      </c>
      <c r="KO774" s="146" t="s">
        <v>220</v>
      </c>
      <c r="KP774" s="146">
        <v>1</v>
      </c>
      <c r="MS774" s="146" t="s">
        <v>2170</v>
      </c>
      <c r="MT774" s="146">
        <v>2500</v>
      </c>
      <c r="MU774" s="146" t="s">
        <v>2185</v>
      </c>
      <c r="MW774" s="146" t="s">
        <v>168</v>
      </c>
      <c r="MX774" s="146" t="s">
        <v>2213</v>
      </c>
      <c r="MY774" s="146" t="s">
        <v>2216</v>
      </c>
      <c r="MZ774" s="146" t="s">
        <v>2212</v>
      </c>
      <c r="ND774" s="146" t="s">
        <v>2215</v>
      </c>
      <c r="NE774" s="146" t="s">
        <v>2210</v>
      </c>
      <c r="NF774" s="146" t="s">
        <v>2214</v>
      </c>
      <c r="NG774" s="146" t="s">
        <v>266</v>
      </c>
      <c r="NH774" s="148" t="s">
        <v>1002</v>
      </c>
      <c r="NQ774" s="146" t="s">
        <v>6</v>
      </c>
      <c r="NR774" s="146">
        <v>45</v>
      </c>
      <c r="NS774" s="146" t="s">
        <v>234</v>
      </c>
      <c r="NT774" s="146" t="s">
        <v>234</v>
      </c>
      <c r="NW774" s="146">
        <v>4</v>
      </c>
      <c r="OH774" s="146" t="s">
        <v>2208</v>
      </c>
      <c r="OI774" s="146" t="s">
        <v>2207</v>
      </c>
      <c r="OK774" s="146">
        <v>2011</v>
      </c>
      <c r="OL774" s="146">
        <v>2014</v>
      </c>
      <c r="OO774" s="146" t="s">
        <v>1178</v>
      </c>
      <c r="OP774" s="147">
        <v>46134</v>
      </c>
    </row>
    <row r="775" spans="1:406" s="146" customFormat="1">
      <c r="A775" t="s">
        <v>248</v>
      </c>
      <c r="B775" s="146" t="s">
        <v>2184</v>
      </c>
      <c r="C775" s="146" t="s">
        <v>2183</v>
      </c>
      <c r="D775" s="146" t="s">
        <v>245</v>
      </c>
      <c r="E775" s="146" t="s">
        <v>2182</v>
      </c>
      <c r="F775" s="146" t="s">
        <v>243</v>
      </c>
      <c r="G775" s="146" t="s">
        <v>2</v>
      </c>
      <c r="H775" s="146" t="s">
        <v>30</v>
      </c>
      <c r="I775" s="146">
        <v>-13.47</v>
      </c>
      <c r="J775" s="146">
        <v>33.71</v>
      </c>
      <c r="K775" s="146" t="s">
        <v>29</v>
      </c>
      <c r="AV775" s="146" t="s">
        <v>2181</v>
      </c>
      <c r="AW775" s="146">
        <v>2500</v>
      </c>
      <c r="AX775" s="146">
        <v>7500</v>
      </c>
      <c r="AY775" s="146">
        <v>3</v>
      </c>
      <c r="AZ775" s="146" t="s">
        <v>2180</v>
      </c>
      <c r="BA775" s="146">
        <v>2011</v>
      </c>
      <c r="BB775" s="146">
        <v>2014</v>
      </c>
      <c r="BD775" s="146" t="s">
        <v>274</v>
      </c>
      <c r="BE775" s="146" t="s">
        <v>2174</v>
      </c>
      <c r="BF775" s="146" t="s">
        <v>43</v>
      </c>
      <c r="BG775" s="146" t="s">
        <v>1243</v>
      </c>
      <c r="BH775" s="146" t="s">
        <v>2179</v>
      </c>
      <c r="BI775" s="146" t="s">
        <v>2178</v>
      </c>
      <c r="BJ775" s="146" t="s">
        <v>22</v>
      </c>
      <c r="BK775" s="146">
        <v>3700</v>
      </c>
      <c r="BL775" s="146" t="s">
        <v>275</v>
      </c>
      <c r="BM775" s="146" t="s">
        <v>1677</v>
      </c>
      <c r="BN775" s="146" t="s">
        <v>2177</v>
      </c>
      <c r="BO775" s="146" t="s">
        <v>22</v>
      </c>
      <c r="BP775" s="146">
        <v>177800</v>
      </c>
      <c r="BQ775" s="146" t="s">
        <v>275</v>
      </c>
      <c r="BR775" s="146" t="s">
        <v>23</v>
      </c>
      <c r="BS775" s="146" t="s">
        <v>2176</v>
      </c>
      <c r="BT775" s="146" t="s">
        <v>22</v>
      </c>
      <c r="BU775" s="146">
        <v>53333</v>
      </c>
      <c r="EJ775" s="150"/>
      <c r="EK775" s="150"/>
      <c r="EL775" s="150"/>
      <c r="EM775" s="150"/>
      <c r="EN775" s="150"/>
      <c r="EO775" s="150"/>
      <c r="EP775" s="150"/>
      <c r="EQ775" s="150"/>
      <c r="ER775" s="150"/>
      <c r="ES775" s="150"/>
      <c r="ET775" s="150"/>
      <c r="EU775" s="150"/>
      <c r="EV775" s="150"/>
      <c r="EW775" s="150"/>
      <c r="EX775" s="150"/>
      <c r="EY775" s="150"/>
      <c r="EZ775" s="150"/>
      <c r="FA775" s="150"/>
      <c r="FB775" s="150"/>
      <c r="FC775" s="150"/>
      <c r="FD775" s="150"/>
      <c r="FE775" s="150"/>
      <c r="FF775" s="150"/>
      <c r="FG775" s="150"/>
      <c r="FH775" s="150"/>
      <c r="FI775" s="150"/>
      <c r="FJ775" s="150"/>
      <c r="FK775" s="150"/>
      <c r="FL775" s="150"/>
      <c r="FM775" s="150"/>
      <c r="FN775" s="150"/>
      <c r="FO775" s="150"/>
      <c r="FP775" s="150"/>
      <c r="FQ775" s="150"/>
      <c r="FR775" s="150"/>
      <c r="FS775" s="150"/>
      <c r="FT775" s="150"/>
      <c r="FU775" s="150"/>
      <c r="FV775" s="150"/>
      <c r="FW775" s="150"/>
      <c r="FX775" s="150"/>
      <c r="FY775" s="150"/>
      <c r="FZ775" s="150"/>
      <c r="GA775" s="150"/>
      <c r="GB775" s="150"/>
      <c r="GC775" s="150"/>
      <c r="GD775" s="150"/>
      <c r="GE775" s="150"/>
      <c r="GF775" s="150"/>
      <c r="GG775" s="150"/>
      <c r="GH775" s="150"/>
      <c r="GI775" s="150"/>
      <c r="GJ775" s="150"/>
      <c r="GK775" s="150"/>
      <c r="GL775" s="150"/>
      <c r="GM775" s="150"/>
      <c r="GN775" s="150"/>
      <c r="GO775" s="150"/>
      <c r="GP775" s="150"/>
      <c r="GQ775" s="150"/>
      <c r="GR775" s="150"/>
      <c r="GS775" s="150"/>
      <c r="GT775" s="150"/>
      <c r="GU775" s="150"/>
      <c r="GV775" s="150"/>
      <c r="GW775" s="150"/>
      <c r="GX775" s="150"/>
      <c r="GY775" s="150"/>
      <c r="GZ775" s="150"/>
      <c r="HA775" s="150"/>
      <c r="HB775" s="150"/>
      <c r="HC775" s="150"/>
      <c r="HD775" s="150"/>
      <c r="HE775" s="150"/>
      <c r="HF775" s="150"/>
      <c r="HG775" s="150"/>
      <c r="HH775" s="150"/>
      <c r="HI775" s="150"/>
      <c r="HJ775" s="150"/>
      <c r="HK775" s="150"/>
      <c r="HL775" s="150" t="s">
        <v>2175</v>
      </c>
      <c r="HM775" s="150" t="s">
        <v>297</v>
      </c>
      <c r="HN775" s="146" t="s">
        <v>29</v>
      </c>
      <c r="HO775" s="146" t="s">
        <v>29</v>
      </c>
      <c r="HP775" s="146" t="s">
        <v>29</v>
      </c>
      <c r="HQ775" s="146" t="s">
        <v>29</v>
      </c>
      <c r="HY775" s="147"/>
      <c r="IN775" s="146" t="s">
        <v>2174</v>
      </c>
      <c r="IO775" s="146" t="s">
        <v>273</v>
      </c>
      <c r="IP775" s="146" t="s">
        <v>838</v>
      </c>
      <c r="IR775" s="146">
        <v>2011</v>
      </c>
      <c r="IT775" s="146" t="s">
        <v>29</v>
      </c>
      <c r="JI775" s="146" t="s">
        <v>2173</v>
      </c>
      <c r="JK775" s="146" t="s">
        <v>14</v>
      </c>
      <c r="JO775" s="146" t="s">
        <v>13</v>
      </c>
      <c r="JP775" s="146">
        <v>131</v>
      </c>
      <c r="JQ775" s="146">
        <v>59</v>
      </c>
      <c r="KD775" s="146" t="s">
        <v>2172</v>
      </c>
      <c r="KE775" s="146" t="s">
        <v>12</v>
      </c>
      <c r="KF775" s="146" t="s">
        <v>29</v>
      </c>
      <c r="KG775" s="146" t="s">
        <v>29</v>
      </c>
      <c r="KI775" s="146" t="s">
        <v>2171</v>
      </c>
      <c r="MS775" s="146" t="s">
        <v>2170</v>
      </c>
      <c r="MT775" s="146">
        <v>2500</v>
      </c>
      <c r="MU775" s="146" t="s">
        <v>2169</v>
      </c>
      <c r="MW775" s="146" t="s">
        <v>168</v>
      </c>
      <c r="MX775" s="146" t="s">
        <v>2213</v>
      </c>
      <c r="MY775" s="146" t="s">
        <v>2212</v>
      </c>
      <c r="ND775" s="146" t="s">
        <v>2211</v>
      </c>
      <c r="NE775" s="146" t="s">
        <v>2210</v>
      </c>
      <c r="NF775" s="146" t="s">
        <v>2209</v>
      </c>
      <c r="NG775" s="146" t="s">
        <v>266</v>
      </c>
      <c r="NH775" s="148" t="s">
        <v>1002</v>
      </c>
      <c r="NQ775" s="146" t="s">
        <v>6</v>
      </c>
      <c r="NR775" s="146">
        <v>56</v>
      </c>
      <c r="NS775" s="146" t="s">
        <v>234</v>
      </c>
      <c r="NT775" s="146" t="s">
        <v>234</v>
      </c>
      <c r="NW775" s="146">
        <v>4</v>
      </c>
      <c r="OH775" s="146" t="s">
        <v>2208</v>
      </c>
      <c r="OI775" s="146" t="s">
        <v>2207</v>
      </c>
      <c r="OK775" s="146">
        <v>2011</v>
      </c>
      <c r="OL775" s="146">
        <v>2014</v>
      </c>
      <c r="OO775" s="146" t="s">
        <v>1178</v>
      </c>
      <c r="OP775" s="147">
        <v>46134</v>
      </c>
    </row>
    <row r="776" spans="1:406" s="146" customFormat="1">
      <c r="A776" s="87" t="s">
        <v>248</v>
      </c>
      <c r="B776" s="146" t="s">
        <v>2184</v>
      </c>
      <c r="C776" s="146" t="s">
        <v>2183</v>
      </c>
      <c r="D776" s="146" t="s">
        <v>245</v>
      </c>
      <c r="E776" s="146" t="s">
        <v>2201</v>
      </c>
      <c r="F776" s="146" t="s">
        <v>243</v>
      </c>
      <c r="G776" s="146" t="s">
        <v>2</v>
      </c>
      <c r="H776" s="146" t="s">
        <v>30</v>
      </c>
      <c r="I776" s="146">
        <v>-13.06</v>
      </c>
      <c r="J776" s="146">
        <v>34.299999999999997</v>
      </c>
      <c r="K776" s="146" t="s">
        <v>29</v>
      </c>
      <c r="AV776" s="146" t="s">
        <v>2181</v>
      </c>
      <c r="AW776" s="146">
        <v>1300</v>
      </c>
      <c r="AX776" s="146">
        <v>3900</v>
      </c>
      <c r="AY776" s="146">
        <v>3</v>
      </c>
      <c r="AZ776" s="146" t="s">
        <v>2180</v>
      </c>
      <c r="BA776" s="146">
        <v>2011</v>
      </c>
      <c r="BB776" s="146">
        <v>2014</v>
      </c>
      <c r="BD776" s="146" t="s">
        <v>19</v>
      </c>
      <c r="BE776" s="146" t="s">
        <v>2195</v>
      </c>
      <c r="BF776" s="146" t="s">
        <v>39</v>
      </c>
      <c r="BG776" s="146" t="s">
        <v>1243</v>
      </c>
      <c r="BH776" s="146" t="s">
        <v>23</v>
      </c>
      <c r="BI776" s="146" t="s">
        <v>2176</v>
      </c>
      <c r="BJ776" s="146" t="s">
        <v>22</v>
      </c>
      <c r="BK776" s="146">
        <v>53333</v>
      </c>
      <c r="EJ776" s="150"/>
      <c r="EK776" s="150"/>
      <c r="EL776" s="150"/>
      <c r="EM776" s="150"/>
      <c r="EN776" s="150"/>
      <c r="EO776" s="150"/>
      <c r="EP776" s="150"/>
      <c r="EQ776" s="150"/>
      <c r="ER776" s="150"/>
      <c r="ES776" s="150"/>
      <c r="ET776" s="150"/>
      <c r="EU776" s="150"/>
      <c r="EV776" s="150"/>
      <c r="EW776" s="150"/>
      <c r="EX776" s="150"/>
      <c r="EY776" s="150"/>
      <c r="EZ776" s="150"/>
      <c r="FA776" s="150"/>
      <c r="FB776" s="150"/>
      <c r="FC776" s="150"/>
      <c r="FD776" s="150"/>
      <c r="FE776" s="150"/>
      <c r="FF776" s="150"/>
      <c r="FG776" s="150"/>
      <c r="FH776" s="150"/>
      <c r="FI776" s="150"/>
      <c r="FJ776" s="150"/>
      <c r="FK776" s="150"/>
      <c r="FL776" s="150"/>
      <c r="FM776" s="150"/>
      <c r="FN776" s="150"/>
      <c r="FO776" s="150"/>
      <c r="FP776" s="150"/>
      <c r="FQ776" s="150"/>
      <c r="FR776" s="150"/>
      <c r="FS776" s="150"/>
      <c r="FT776" s="150"/>
      <c r="FU776" s="150"/>
      <c r="FV776" s="150"/>
      <c r="FW776" s="150"/>
      <c r="FX776" s="150"/>
      <c r="FY776" s="150"/>
      <c r="FZ776" s="150"/>
      <c r="GA776" s="150"/>
      <c r="GB776" s="150"/>
      <c r="GC776" s="150"/>
      <c r="GD776" s="150"/>
      <c r="GE776" s="150"/>
      <c r="GF776" s="150"/>
      <c r="GG776" s="150"/>
      <c r="GH776" s="150"/>
      <c r="GI776" s="150"/>
      <c r="GJ776" s="150"/>
      <c r="GK776" s="150"/>
      <c r="GL776" s="150"/>
      <c r="GM776" s="150"/>
      <c r="GN776" s="150"/>
      <c r="GO776" s="150"/>
      <c r="GP776" s="150"/>
      <c r="GQ776" s="150"/>
      <c r="GR776" s="150"/>
      <c r="GS776" s="150"/>
      <c r="GT776" s="150"/>
      <c r="GU776" s="150"/>
      <c r="GV776" s="150"/>
      <c r="GW776" s="150"/>
      <c r="GX776" s="150"/>
      <c r="GY776" s="150"/>
      <c r="GZ776" s="150"/>
      <c r="HA776" s="150"/>
      <c r="HB776" s="150"/>
      <c r="HC776" s="150"/>
      <c r="HD776" s="150"/>
      <c r="HE776" s="150"/>
      <c r="HF776" s="150"/>
      <c r="HG776" s="150"/>
      <c r="HH776" s="150"/>
      <c r="HI776" s="150"/>
      <c r="HJ776" s="150"/>
      <c r="HK776" s="150"/>
      <c r="HL776" s="150" t="s">
        <v>2190</v>
      </c>
      <c r="HM776" s="150" t="s">
        <v>232</v>
      </c>
      <c r="HU776" s="147"/>
      <c r="HV776" s="147"/>
      <c r="HY776" s="147"/>
      <c r="IN776" s="146" t="s">
        <v>2195</v>
      </c>
      <c r="IO776" s="146" t="s">
        <v>19</v>
      </c>
      <c r="IR776" s="146">
        <v>2011</v>
      </c>
      <c r="JI776" s="146" t="s">
        <v>2173</v>
      </c>
      <c r="JK776" s="146" t="s">
        <v>14</v>
      </c>
      <c r="JO776" s="146" t="s">
        <v>13</v>
      </c>
      <c r="JP776" s="146">
        <v>309</v>
      </c>
      <c r="JQ776" s="146">
        <v>93</v>
      </c>
      <c r="KD776" s="146" t="s">
        <v>2172</v>
      </c>
      <c r="KE776" s="146" t="s">
        <v>12</v>
      </c>
      <c r="KF776" s="146" t="s">
        <v>29</v>
      </c>
      <c r="KG776" s="146" t="s">
        <v>29</v>
      </c>
      <c r="KI776" s="146" t="s">
        <v>222</v>
      </c>
      <c r="KJ776" s="146" t="s">
        <v>2187</v>
      </c>
      <c r="KK776" s="146" t="s">
        <v>220</v>
      </c>
      <c r="KL776" s="146">
        <v>7.5</v>
      </c>
      <c r="KM776" s="146" t="s">
        <v>222</v>
      </c>
      <c r="KN776" s="146" t="s">
        <v>2186</v>
      </c>
      <c r="KO776" s="146" t="s">
        <v>220</v>
      </c>
      <c r="KP776" s="146">
        <v>2</v>
      </c>
      <c r="MS776" s="146" t="s">
        <v>2170</v>
      </c>
      <c r="MT776" s="146">
        <v>1300</v>
      </c>
      <c r="MU776" s="146" t="s">
        <v>2194</v>
      </c>
      <c r="MV776" s="146" t="s">
        <v>168</v>
      </c>
      <c r="MW776" s="146" t="s">
        <v>168</v>
      </c>
      <c r="NE776" s="146" t="s">
        <v>2168</v>
      </c>
      <c r="NG776" s="146" t="s">
        <v>8</v>
      </c>
      <c r="NH776" s="146" t="s">
        <v>13</v>
      </c>
      <c r="NP776" s="146" t="s">
        <v>745</v>
      </c>
      <c r="NQ776" s="146" t="s">
        <v>6</v>
      </c>
      <c r="NR776" s="146">
        <v>4320</v>
      </c>
      <c r="NS776" s="146" t="s">
        <v>234</v>
      </c>
      <c r="NT776" s="146" t="s">
        <v>234</v>
      </c>
      <c r="NW776" s="146">
        <v>4</v>
      </c>
      <c r="OH776" s="146" t="s">
        <v>2196</v>
      </c>
      <c r="OJ776" s="146">
        <v>2014</v>
      </c>
      <c r="OO776" s="146" t="s">
        <v>1178</v>
      </c>
      <c r="OP776" s="147">
        <v>46134</v>
      </c>
    </row>
    <row r="777" spans="1:406" s="146" customFormat="1">
      <c r="A777" t="s">
        <v>248</v>
      </c>
      <c r="B777" s="146" t="s">
        <v>2184</v>
      </c>
      <c r="C777" s="146" t="s">
        <v>2183</v>
      </c>
      <c r="D777" s="146" t="s">
        <v>245</v>
      </c>
      <c r="E777" s="146" t="s">
        <v>2201</v>
      </c>
      <c r="F777" s="146" t="s">
        <v>243</v>
      </c>
      <c r="G777" s="146" t="s">
        <v>2</v>
      </c>
      <c r="H777" s="146" t="s">
        <v>30</v>
      </c>
      <c r="I777" s="146">
        <v>-13.06</v>
      </c>
      <c r="J777" s="146">
        <v>34.299999999999997</v>
      </c>
      <c r="K777" s="146" t="s">
        <v>29</v>
      </c>
      <c r="AV777" s="146" t="s">
        <v>2181</v>
      </c>
      <c r="AW777" s="146">
        <v>1300</v>
      </c>
      <c r="AX777" s="146">
        <v>3900</v>
      </c>
      <c r="AY777" s="146">
        <v>3</v>
      </c>
      <c r="AZ777" s="146" t="s">
        <v>2180</v>
      </c>
      <c r="BA777" s="146">
        <v>2011</v>
      </c>
      <c r="BB777" s="146">
        <v>2014</v>
      </c>
      <c r="BD777" s="146" t="s">
        <v>274</v>
      </c>
      <c r="BE777" s="146" t="s">
        <v>2205</v>
      </c>
      <c r="BF777" s="146" t="s">
        <v>64</v>
      </c>
      <c r="BG777" s="146" t="s">
        <v>1243</v>
      </c>
      <c r="BH777" s="146" t="s">
        <v>2024</v>
      </c>
      <c r="BI777" s="146" t="s">
        <v>2200</v>
      </c>
      <c r="BJ777" s="146" t="s">
        <v>22</v>
      </c>
      <c r="BK777" s="146">
        <v>12300</v>
      </c>
      <c r="BL777" s="146" t="s">
        <v>56</v>
      </c>
      <c r="BM777" s="146" t="s">
        <v>2192</v>
      </c>
      <c r="BN777" s="146" t="s">
        <v>2191</v>
      </c>
      <c r="BO777" s="146" t="s">
        <v>22</v>
      </c>
      <c r="BP777" s="146">
        <v>24700</v>
      </c>
      <c r="BQ777" s="146" t="s">
        <v>275</v>
      </c>
      <c r="BR777" s="146" t="s">
        <v>250</v>
      </c>
      <c r="BS777" s="146" t="s">
        <v>2206</v>
      </c>
      <c r="BT777" s="146" t="s">
        <v>22</v>
      </c>
      <c r="BU777" s="146">
        <v>355556</v>
      </c>
      <c r="BV777" s="146" t="s">
        <v>56</v>
      </c>
      <c r="BW777" s="146" t="s">
        <v>2192</v>
      </c>
      <c r="BX777" s="146" t="s">
        <v>2191</v>
      </c>
      <c r="BY777" s="146" t="s">
        <v>22</v>
      </c>
      <c r="BZ777" s="146">
        <v>24700</v>
      </c>
      <c r="CA777" s="146" t="s">
        <v>275</v>
      </c>
      <c r="CB777" s="146" t="s">
        <v>23</v>
      </c>
      <c r="CC777" s="146" t="s">
        <v>2176</v>
      </c>
      <c r="CD777" s="146" t="s">
        <v>22</v>
      </c>
      <c r="CE777" s="146">
        <v>53333</v>
      </c>
      <c r="EJ777" s="150"/>
      <c r="EK777" s="150"/>
      <c r="EL777" s="150"/>
      <c r="EM777" s="150"/>
      <c r="EN777" s="150"/>
      <c r="EO777" s="150"/>
      <c r="EP777" s="150"/>
      <c r="EQ777" s="150"/>
      <c r="ER777" s="150"/>
      <c r="ES777" s="150"/>
      <c r="ET777" s="150"/>
      <c r="EU777" s="150"/>
      <c r="EV777" s="150"/>
      <c r="EW777" s="150"/>
      <c r="EX777" s="150"/>
      <c r="EY777" s="150"/>
      <c r="EZ777" s="150"/>
      <c r="FA777" s="150"/>
      <c r="FB777" s="150"/>
      <c r="FC777" s="150"/>
      <c r="FD777" s="150"/>
      <c r="FE777" s="150"/>
      <c r="FF777" s="150"/>
      <c r="FG777" s="150"/>
      <c r="FH777" s="150"/>
      <c r="FI777" s="150"/>
      <c r="FJ777" s="150"/>
      <c r="FK777" s="150"/>
      <c r="FL777" s="150"/>
      <c r="FM777" s="150"/>
      <c r="FN777" s="150"/>
      <c r="FO777" s="150"/>
      <c r="FP777" s="150"/>
      <c r="FQ777" s="150"/>
      <c r="FR777" s="150"/>
      <c r="FS777" s="150"/>
      <c r="FT777" s="150"/>
      <c r="FU777" s="150"/>
      <c r="FV777" s="150"/>
      <c r="FW777" s="150"/>
      <c r="FX777" s="150"/>
      <c r="FY777" s="150"/>
      <c r="FZ777" s="150"/>
      <c r="GA777" s="150"/>
      <c r="GB777" s="150"/>
      <c r="GC777" s="150"/>
      <c r="GD777" s="150"/>
      <c r="GE777" s="150"/>
      <c r="GF777" s="150"/>
      <c r="GG777" s="150"/>
      <c r="GH777" s="150"/>
      <c r="GI777" s="150"/>
      <c r="GJ777" s="150"/>
      <c r="GK777" s="150"/>
      <c r="GL777" s="150"/>
      <c r="GM777" s="150"/>
      <c r="GN777" s="150"/>
      <c r="GO777" s="150"/>
      <c r="GP777" s="150"/>
      <c r="GQ777" s="150"/>
      <c r="GR777" s="150"/>
      <c r="GS777" s="150"/>
      <c r="GT777" s="150"/>
      <c r="GU777" s="150"/>
      <c r="GV777" s="150"/>
      <c r="GW777" s="150"/>
      <c r="GX777" s="150"/>
      <c r="GY777" s="150"/>
      <c r="GZ777" s="150"/>
      <c r="HA777" s="150"/>
      <c r="HB777" s="150"/>
      <c r="HC777" s="150"/>
      <c r="HD777" s="150"/>
      <c r="HE777" s="150"/>
      <c r="HF777" s="150"/>
      <c r="HG777" s="150"/>
      <c r="HH777" s="150"/>
      <c r="HI777" s="150"/>
      <c r="HJ777" s="150"/>
      <c r="HK777" s="150"/>
      <c r="HL777" s="150" t="s">
        <v>2190</v>
      </c>
      <c r="HM777" s="150" t="s">
        <v>232</v>
      </c>
      <c r="HU777" s="147"/>
      <c r="HV777" s="147"/>
      <c r="HY777" s="147"/>
      <c r="IN777" s="146" t="s">
        <v>2205</v>
      </c>
      <c r="IO777" s="146" t="s">
        <v>273</v>
      </c>
      <c r="IP777" s="146" t="s">
        <v>2188</v>
      </c>
      <c r="IR777" s="146">
        <v>2011</v>
      </c>
      <c r="IT777" s="146" t="s">
        <v>29</v>
      </c>
      <c r="JI777" s="146" t="s">
        <v>2173</v>
      </c>
      <c r="JK777" s="146" t="s">
        <v>14</v>
      </c>
      <c r="JO777" s="146" t="s">
        <v>13</v>
      </c>
      <c r="JP777" s="146">
        <v>103</v>
      </c>
      <c r="JQ777" s="146">
        <v>31</v>
      </c>
      <c r="KD777" s="146" t="s">
        <v>2172</v>
      </c>
      <c r="KE777" s="146" t="s">
        <v>12</v>
      </c>
      <c r="KF777" s="146" t="s">
        <v>29</v>
      </c>
      <c r="KG777" s="146" t="s">
        <v>29</v>
      </c>
      <c r="KI777" s="146" t="s">
        <v>222</v>
      </c>
      <c r="KJ777" s="146" t="s">
        <v>2187</v>
      </c>
      <c r="KK777" s="146" t="s">
        <v>220</v>
      </c>
      <c r="KL777" s="146">
        <v>7.5</v>
      </c>
      <c r="KM777" s="146" t="s">
        <v>222</v>
      </c>
      <c r="KN777" s="146" t="s">
        <v>2186</v>
      </c>
      <c r="KO777" s="146" t="s">
        <v>220</v>
      </c>
      <c r="KP777" s="146">
        <v>1</v>
      </c>
      <c r="KQ777" s="146" t="s">
        <v>219</v>
      </c>
      <c r="KR777" s="146" t="s">
        <v>2204</v>
      </c>
      <c r="KS777" s="146" t="s">
        <v>2203</v>
      </c>
      <c r="KT777" s="146">
        <v>100</v>
      </c>
      <c r="MS777" s="146" t="s">
        <v>2170</v>
      </c>
      <c r="MT777" s="146">
        <v>1300</v>
      </c>
      <c r="MU777" s="146" t="s">
        <v>2202</v>
      </c>
      <c r="MV777" s="146" t="s">
        <v>168</v>
      </c>
      <c r="MW777" s="146" t="s">
        <v>168</v>
      </c>
      <c r="NE777" s="146" t="s">
        <v>2168</v>
      </c>
      <c r="NG777" s="146" t="s">
        <v>8</v>
      </c>
      <c r="NH777" s="146" t="s">
        <v>13</v>
      </c>
      <c r="NQ777" s="146" t="s">
        <v>6</v>
      </c>
      <c r="NR777" s="146">
        <v>5684</v>
      </c>
      <c r="NS777" s="146" t="s">
        <v>234</v>
      </c>
      <c r="NT777" s="146" t="s">
        <v>234</v>
      </c>
      <c r="NW777" s="146">
        <v>4</v>
      </c>
      <c r="OH777" s="146" t="s">
        <v>2196</v>
      </c>
      <c r="OJ777" s="146">
        <v>2014</v>
      </c>
      <c r="OO777" s="146" t="s">
        <v>1178</v>
      </c>
      <c r="OP777" s="147">
        <v>46134</v>
      </c>
    </row>
    <row r="778" spans="1:406" s="146" customFormat="1">
      <c r="A778" t="s">
        <v>248</v>
      </c>
      <c r="B778" s="146" t="s">
        <v>2184</v>
      </c>
      <c r="C778" s="146" t="s">
        <v>2183</v>
      </c>
      <c r="D778" s="146" t="s">
        <v>245</v>
      </c>
      <c r="E778" s="146" t="s">
        <v>2201</v>
      </c>
      <c r="F778" s="146" t="s">
        <v>243</v>
      </c>
      <c r="G778" s="146" t="s">
        <v>2</v>
      </c>
      <c r="H778" s="146" t="s">
        <v>30</v>
      </c>
      <c r="I778" s="146">
        <v>-13.06</v>
      </c>
      <c r="J778" s="146">
        <v>34.299999999999997</v>
      </c>
      <c r="K778" s="146" t="s">
        <v>29</v>
      </c>
      <c r="AV778" s="146" t="s">
        <v>2181</v>
      </c>
      <c r="AW778" s="146">
        <v>1300</v>
      </c>
      <c r="AX778" s="146">
        <v>3900</v>
      </c>
      <c r="AY778" s="146">
        <v>3</v>
      </c>
      <c r="AZ778" s="146" t="s">
        <v>2180</v>
      </c>
      <c r="BA778" s="146">
        <v>2011</v>
      </c>
      <c r="BB778" s="146">
        <v>2014</v>
      </c>
      <c r="BD778" s="146" t="s">
        <v>274</v>
      </c>
      <c r="BE778" s="146" t="s">
        <v>2198</v>
      </c>
      <c r="BF778" s="146" t="s">
        <v>57</v>
      </c>
      <c r="BG778" s="146" t="s">
        <v>1243</v>
      </c>
      <c r="BH778" s="146" t="s">
        <v>2024</v>
      </c>
      <c r="BI778" s="146" t="s">
        <v>2200</v>
      </c>
      <c r="BJ778" s="146" t="s">
        <v>22</v>
      </c>
      <c r="BK778" s="146">
        <v>12300</v>
      </c>
      <c r="BL778" s="146" t="s">
        <v>275</v>
      </c>
      <c r="BM778" s="146" t="s">
        <v>271</v>
      </c>
      <c r="BN778" s="146" t="s">
        <v>2199</v>
      </c>
      <c r="BO778" s="146" t="s">
        <v>22</v>
      </c>
      <c r="BP778" s="146">
        <v>266667</v>
      </c>
      <c r="BQ778" s="146" t="s">
        <v>275</v>
      </c>
      <c r="BR778" s="146" t="s">
        <v>23</v>
      </c>
      <c r="BS778" s="146" t="s">
        <v>2176</v>
      </c>
      <c r="BT778" s="146" t="s">
        <v>22</v>
      </c>
      <c r="BU778" s="146">
        <v>53333</v>
      </c>
      <c r="EJ778" s="150"/>
      <c r="EK778" s="150"/>
      <c r="EL778" s="150"/>
      <c r="EM778" s="150"/>
      <c r="EN778" s="150"/>
      <c r="EO778" s="150"/>
      <c r="EP778" s="150"/>
      <c r="EQ778" s="150"/>
      <c r="ER778" s="150"/>
      <c r="ES778" s="150"/>
      <c r="ET778" s="150"/>
      <c r="EU778" s="150"/>
      <c r="EV778" s="150"/>
      <c r="EW778" s="150"/>
      <c r="EX778" s="150"/>
      <c r="EY778" s="150"/>
      <c r="EZ778" s="150"/>
      <c r="FA778" s="150"/>
      <c r="FB778" s="150"/>
      <c r="FC778" s="150"/>
      <c r="FD778" s="150"/>
      <c r="FE778" s="150"/>
      <c r="FF778" s="150"/>
      <c r="FG778" s="150"/>
      <c r="FH778" s="150"/>
      <c r="FI778" s="150"/>
      <c r="FJ778" s="150"/>
      <c r="FK778" s="150"/>
      <c r="FL778" s="150"/>
      <c r="FM778" s="150"/>
      <c r="FN778" s="150"/>
      <c r="FO778" s="150"/>
      <c r="FP778" s="150"/>
      <c r="FQ778" s="150"/>
      <c r="FR778" s="150"/>
      <c r="FS778" s="150"/>
      <c r="FT778" s="150"/>
      <c r="FU778" s="150"/>
      <c r="FV778" s="150"/>
      <c r="FW778" s="150"/>
      <c r="FX778" s="150"/>
      <c r="FY778" s="150"/>
      <c r="FZ778" s="150"/>
      <c r="GA778" s="150"/>
      <c r="GB778" s="150"/>
      <c r="GC778" s="150"/>
      <c r="GD778" s="150"/>
      <c r="GE778" s="150"/>
      <c r="GF778" s="150"/>
      <c r="GG778" s="150"/>
      <c r="GH778" s="150"/>
      <c r="GI778" s="150"/>
      <c r="GJ778" s="150"/>
      <c r="GK778" s="150"/>
      <c r="GL778" s="150"/>
      <c r="GM778" s="150"/>
      <c r="GN778" s="150"/>
      <c r="GO778" s="150"/>
      <c r="GP778" s="150"/>
      <c r="GQ778" s="150"/>
      <c r="GR778" s="150"/>
      <c r="GS778" s="150"/>
      <c r="GT778" s="150"/>
      <c r="GU778" s="150"/>
      <c r="GV778" s="150"/>
      <c r="GW778" s="150"/>
      <c r="GX778" s="150"/>
      <c r="GY778" s="150"/>
      <c r="GZ778" s="150"/>
      <c r="HA778" s="150"/>
      <c r="HB778" s="150"/>
      <c r="HC778" s="150"/>
      <c r="HD778" s="150"/>
      <c r="HE778" s="150"/>
      <c r="HF778" s="150"/>
      <c r="HG778" s="150"/>
      <c r="HH778" s="150"/>
      <c r="HI778" s="150"/>
      <c r="HJ778" s="150"/>
      <c r="HK778" s="150"/>
      <c r="HL778" s="150" t="s">
        <v>2175</v>
      </c>
      <c r="HM778" s="150" t="s">
        <v>297</v>
      </c>
      <c r="HN778" s="146" t="s">
        <v>29</v>
      </c>
      <c r="HO778" s="146" t="s">
        <v>29</v>
      </c>
      <c r="HP778" s="146" t="s">
        <v>29</v>
      </c>
      <c r="HQ778" s="146" t="s">
        <v>29</v>
      </c>
      <c r="HY778" s="147"/>
      <c r="IN778" s="146" t="s">
        <v>2198</v>
      </c>
      <c r="IO778" s="146" t="s">
        <v>273</v>
      </c>
      <c r="IR778" s="146">
        <v>2011</v>
      </c>
      <c r="IT778" s="146" t="s">
        <v>29</v>
      </c>
      <c r="JI778" s="146" t="s">
        <v>2173</v>
      </c>
      <c r="JK778" s="146" t="s">
        <v>14</v>
      </c>
      <c r="JO778" s="146" t="s">
        <v>13</v>
      </c>
      <c r="JP778" s="146">
        <v>124</v>
      </c>
      <c r="JQ778" s="146">
        <v>50</v>
      </c>
      <c r="KD778" s="146" t="s">
        <v>2172</v>
      </c>
      <c r="KE778" s="146" t="s">
        <v>12</v>
      </c>
      <c r="KF778" s="146" t="s">
        <v>29</v>
      </c>
      <c r="KG778" s="146" t="s">
        <v>29</v>
      </c>
      <c r="KI778" s="146" t="s">
        <v>2171</v>
      </c>
      <c r="MS778" s="146" t="s">
        <v>2170</v>
      </c>
      <c r="MT778" s="146">
        <v>1300</v>
      </c>
      <c r="MU778" s="146" t="s">
        <v>2197</v>
      </c>
      <c r="MV778" s="146" t="s">
        <v>168</v>
      </c>
      <c r="MW778" s="146" t="s">
        <v>168</v>
      </c>
      <c r="NE778" s="146" t="s">
        <v>2168</v>
      </c>
      <c r="NG778" s="146" t="s">
        <v>8</v>
      </c>
      <c r="NH778" s="146" t="s">
        <v>13</v>
      </c>
      <c r="NQ778" s="146" t="s">
        <v>6</v>
      </c>
      <c r="NR778" s="146">
        <v>4789</v>
      </c>
      <c r="NS778" s="146" t="s">
        <v>234</v>
      </c>
      <c r="NT778" s="146" t="s">
        <v>234</v>
      </c>
      <c r="NW778" s="146">
        <v>4</v>
      </c>
      <c r="OH778" s="146" t="s">
        <v>2196</v>
      </c>
      <c r="OJ778" s="146">
        <v>2014</v>
      </c>
      <c r="OO778" s="146" t="s">
        <v>1178</v>
      </c>
      <c r="OP778" s="147">
        <v>46134</v>
      </c>
    </row>
    <row r="779" spans="1:406" s="146" customFormat="1">
      <c r="A779" s="87" t="s">
        <v>248</v>
      </c>
      <c r="B779" s="146" t="s">
        <v>2184</v>
      </c>
      <c r="C779" s="146" t="s">
        <v>2183</v>
      </c>
      <c r="D779" s="146" t="s">
        <v>245</v>
      </c>
      <c r="E779" s="146" t="s">
        <v>2182</v>
      </c>
      <c r="F779" s="146" t="s">
        <v>243</v>
      </c>
      <c r="G779" s="146" t="s">
        <v>2</v>
      </c>
      <c r="H779" s="146" t="s">
        <v>30</v>
      </c>
      <c r="I779" s="146">
        <v>-13.47</v>
      </c>
      <c r="J779" s="146">
        <v>33.71</v>
      </c>
      <c r="K779" s="146" t="s">
        <v>29</v>
      </c>
      <c r="AV779" s="146" t="s">
        <v>2181</v>
      </c>
      <c r="AW779" s="146">
        <v>2500</v>
      </c>
      <c r="AX779" s="146">
        <v>7500</v>
      </c>
      <c r="AY779" s="146">
        <v>3</v>
      </c>
      <c r="AZ779" s="146" t="s">
        <v>2180</v>
      </c>
      <c r="BA779" s="146">
        <v>2011</v>
      </c>
      <c r="BB779" s="146">
        <v>2014</v>
      </c>
      <c r="BD779" s="146" t="s">
        <v>19</v>
      </c>
      <c r="BE779" s="146" t="s">
        <v>2195</v>
      </c>
      <c r="BF779" s="146" t="s">
        <v>24</v>
      </c>
      <c r="BG779" s="146" t="s">
        <v>1243</v>
      </c>
      <c r="BH779" s="146" t="s">
        <v>23</v>
      </c>
      <c r="BI779" s="146" t="s">
        <v>2176</v>
      </c>
      <c r="BJ779" s="146" t="s">
        <v>22</v>
      </c>
      <c r="BK779" s="146">
        <v>53333</v>
      </c>
      <c r="EJ779" s="150"/>
      <c r="EK779" s="150"/>
      <c r="EL779" s="150"/>
      <c r="EM779" s="150"/>
      <c r="EN779" s="150"/>
      <c r="EO779" s="150"/>
      <c r="EP779" s="150"/>
      <c r="EQ779" s="150"/>
      <c r="ER779" s="150"/>
      <c r="ES779" s="150"/>
      <c r="ET779" s="150"/>
      <c r="EU779" s="150"/>
      <c r="EV779" s="150"/>
      <c r="EW779" s="150"/>
      <c r="EX779" s="150"/>
      <c r="EY779" s="150"/>
      <c r="EZ779" s="150"/>
      <c r="FA779" s="150"/>
      <c r="FB779" s="150"/>
      <c r="FC779" s="150"/>
      <c r="FD779" s="150"/>
      <c r="FE779" s="150"/>
      <c r="FF779" s="150"/>
      <c r="FG779" s="150"/>
      <c r="FH779" s="150"/>
      <c r="FI779" s="150"/>
      <c r="FJ779" s="150"/>
      <c r="FK779" s="150"/>
      <c r="FL779" s="150"/>
      <c r="FM779" s="150"/>
      <c r="FN779" s="150"/>
      <c r="FO779" s="150"/>
      <c r="FP779" s="150"/>
      <c r="FQ779" s="150"/>
      <c r="FR779" s="150"/>
      <c r="FS779" s="150"/>
      <c r="FT779" s="150"/>
      <c r="FU779" s="150"/>
      <c r="FV779" s="150"/>
      <c r="FW779" s="150"/>
      <c r="FX779" s="150"/>
      <c r="FY779" s="150"/>
      <c r="FZ779" s="150"/>
      <c r="GA779" s="150"/>
      <c r="GB779" s="150"/>
      <c r="GC779" s="150"/>
      <c r="GD779" s="150"/>
      <c r="GE779" s="150"/>
      <c r="GF779" s="150"/>
      <c r="GG779" s="150"/>
      <c r="GH779" s="150"/>
      <c r="GI779" s="150"/>
      <c r="GJ779" s="150"/>
      <c r="GK779" s="150"/>
      <c r="GL779" s="150"/>
      <c r="GM779" s="150"/>
      <c r="GN779" s="150"/>
      <c r="GO779" s="150"/>
      <c r="GP779" s="150"/>
      <c r="GQ779" s="150"/>
      <c r="GR779" s="150"/>
      <c r="GS779" s="150"/>
      <c r="GT779" s="150"/>
      <c r="GU779" s="150"/>
      <c r="GV779" s="150"/>
      <c r="GW779" s="150"/>
      <c r="GX779" s="150"/>
      <c r="GY779" s="150"/>
      <c r="GZ779" s="150"/>
      <c r="HA779" s="150"/>
      <c r="HB779" s="150"/>
      <c r="HC779" s="150"/>
      <c r="HD779" s="150"/>
      <c r="HE779" s="150"/>
      <c r="HF779" s="150"/>
      <c r="HG779" s="150"/>
      <c r="HH779" s="150"/>
      <c r="HI779" s="150"/>
      <c r="HJ779" s="150"/>
      <c r="HK779" s="150"/>
      <c r="HL779" s="150" t="s">
        <v>2190</v>
      </c>
      <c r="HM779" s="150" t="s">
        <v>232</v>
      </c>
      <c r="HY779" s="147"/>
      <c r="IN779" s="146" t="s">
        <v>2195</v>
      </c>
      <c r="IO779" s="146" t="s">
        <v>19</v>
      </c>
      <c r="IR779" s="146">
        <v>2011</v>
      </c>
      <c r="JI779" s="146" t="s">
        <v>2173</v>
      </c>
      <c r="JK779" s="146" t="s">
        <v>14</v>
      </c>
      <c r="JO779" s="146" t="s">
        <v>13</v>
      </c>
      <c r="JP779" s="146">
        <v>309</v>
      </c>
      <c r="JQ779" s="146">
        <v>93</v>
      </c>
      <c r="KD779" s="146" t="s">
        <v>2172</v>
      </c>
      <c r="KE779" s="146" t="s">
        <v>12</v>
      </c>
      <c r="KF779" s="146" t="s">
        <v>29</v>
      </c>
      <c r="KG779" s="146" t="s">
        <v>29</v>
      </c>
      <c r="KI779" s="146" t="s">
        <v>222</v>
      </c>
      <c r="KJ779" s="146" t="s">
        <v>2187</v>
      </c>
      <c r="KK779" s="146" t="s">
        <v>220</v>
      </c>
      <c r="KL779" s="146">
        <v>7.5</v>
      </c>
      <c r="KM779" s="146" t="s">
        <v>222</v>
      </c>
      <c r="KN779" s="146" t="s">
        <v>2186</v>
      </c>
      <c r="KO779" s="146" t="s">
        <v>220</v>
      </c>
      <c r="KP779" s="146">
        <v>2</v>
      </c>
      <c r="MS779" s="146" t="s">
        <v>2170</v>
      </c>
      <c r="MT779" s="146">
        <v>2500</v>
      </c>
      <c r="MU779" s="146" t="s">
        <v>2194</v>
      </c>
      <c r="MV779" s="146" t="s">
        <v>168</v>
      </c>
      <c r="MW779" s="146" t="s">
        <v>168</v>
      </c>
      <c r="NE779" s="146" t="s">
        <v>2168</v>
      </c>
      <c r="NG779" s="146" t="s">
        <v>8</v>
      </c>
      <c r="NH779" s="146" t="s">
        <v>13</v>
      </c>
      <c r="NP779" s="146" t="s">
        <v>2193</v>
      </c>
      <c r="NQ779" s="146" t="s">
        <v>6</v>
      </c>
      <c r="NR779" s="146">
        <v>4364</v>
      </c>
      <c r="NS779" s="146" t="s">
        <v>234</v>
      </c>
      <c r="NT779" s="146" t="s">
        <v>234</v>
      </c>
      <c r="NW779" s="146">
        <v>4</v>
      </c>
      <c r="OH779" s="146" t="s">
        <v>2167</v>
      </c>
      <c r="OJ779" s="146">
        <v>2014</v>
      </c>
      <c r="OO779" s="146" t="s">
        <v>1178</v>
      </c>
      <c r="OP779" s="147">
        <v>46134</v>
      </c>
    </row>
    <row r="780" spans="1:406" s="146" customFormat="1">
      <c r="A780" t="s">
        <v>248</v>
      </c>
      <c r="B780" s="146" t="s">
        <v>2184</v>
      </c>
      <c r="C780" s="146" t="s">
        <v>2183</v>
      </c>
      <c r="D780" s="146" t="s">
        <v>245</v>
      </c>
      <c r="E780" s="146" t="s">
        <v>2182</v>
      </c>
      <c r="F780" s="146" t="s">
        <v>243</v>
      </c>
      <c r="G780" s="146" t="s">
        <v>2</v>
      </c>
      <c r="H780" s="146" t="s">
        <v>30</v>
      </c>
      <c r="I780" s="146">
        <v>-13.47</v>
      </c>
      <c r="J780" s="146">
        <v>33.71</v>
      </c>
      <c r="K780" s="146" t="s">
        <v>29</v>
      </c>
      <c r="AV780" s="146" t="s">
        <v>2181</v>
      </c>
      <c r="AW780" s="146">
        <v>2500</v>
      </c>
      <c r="AX780" s="146">
        <v>7500</v>
      </c>
      <c r="AY780" s="146">
        <v>3</v>
      </c>
      <c r="AZ780" s="146" t="s">
        <v>2180</v>
      </c>
      <c r="BA780" s="146">
        <v>2011</v>
      </c>
      <c r="BB780" s="146">
        <v>2014</v>
      </c>
      <c r="BD780" s="146" t="s">
        <v>274</v>
      </c>
      <c r="BE780" s="146" t="s">
        <v>2189</v>
      </c>
      <c r="BF780" s="146" t="s">
        <v>48</v>
      </c>
      <c r="BG780" s="146" t="s">
        <v>1243</v>
      </c>
      <c r="BH780" s="146" t="s">
        <v>2179</v>
      </c>
      <c r="BI780" s="146" t="s">
        <v>2178</v>
      </c>
      <c r="BJ780" s="146" t="s">
        <v>22</v>
      </c>
      <c r="BK780" s="146">
        <v>3700</v>
      </c>
      <c r="BL780" s="146" t="s">
        <v>56</v>
      </c>
      <c r="BM780" s="146" t="s">
        <v>2192</v>
      </c>
      <c r="BN780" s="146" t="s">
        <v>2191</v>
      </c>
      <c r="BO780" s="146" t="s">
        <v>22</v>
      </c>
      <c r="BP780" s="146">
        <v>18500</v>
      </c>
      <c r="BQ780" s="146" t="s">
        <v>275</v>
      </c>
      <c r="BR780" s="146" t="s">
        <v>1677</v>
      </c>
      <c r="BS780" s="146" t="s">
        <v>2177</v>
      </c>
      <c r="BT780" s="146" t="s">
        <v>22</v>
      </c>
      <c r="BU780" s="146">
        <v>222200</v>
      </c>
      <c r="BV780" s="146" t="s">
        <v>275</v>
      </c>
      <c r="BW780" s="146" t="s">
        <v>23</v>
      </c>
      <c r="BX780" s="146" t="s">
        <v>2176</v>
      </c>
      <c r="BY780" s="146" t="s">
        <v>22</v>
      </c>
      <c r="BZ780" s="146">
        <v>53333</v>
      </c>
      <c r="EJ780" s="150"/>
      <c r="EK780" s="150"/>
      <c r="EL780" s="150"/>
      <c r="EM780" s="150"/>
      <c r="EN780" s="150"/>
      <c r="EO780" s="150"/>
      <c r="EP780" s="150"/>
      <c r="EQ780" s="150"/>
      <c r="ER780" s="150"/>
      <c r="ES780" s="150"/>
      <c r="ET780" s="150"/>
      <c r="EU780" s="150"/>
      <c r="EV780" s="150"/>
      <c r="EW780" s="150"/>
      <c r="EX780" s="150"/>
      <c r="EY780" s="150"/>
      <c r="EZ780" s="150"/>
      <c r="FA780" s="150"/>
      <c r="FB780" s="150"/>
      <c r="FC780" s="150"/>
      <c r="FD780" s="150"/>
      <c r="FE780" s="150"/>
      <c r="FF780" s="150"/>
      <c r="FG780" s="150"/>
      <c r="FH780" s="150"/>
      <c r="FI780" s="150"/>
      <c r="FJ780" s="150"/>
      <c r="FK780" s="150"/>
      <c r="FL780" s="150"/>
      <c r="FM780" s="150"/>
      <c r="FN780" s="150"/>
      <c r="FO780" s="150"/>
      <c r="FP780" s="150"/>
      <c r="FQ780" s="150"/>
      <c r="FR780" s="150"/>
      <c r="FS780" s="150"/>
      <c r="FT780" s="150"/>
      <c r="FU780" s="150"/>
      <c r="FV780" s="150"/>
      <c r="FW780" s="150"/>
      <c r="FX780" s="150"/>
      <c r="FY780" s="150"/>
      <c r="FZ780" s="150"/>
      <c r="GA780" s="150"/>
      <c r="GB780" s="150"/>
      <c r="GC780" s="150"/>
      <c r="GD780" s="150"/>
      <c r="GE780" s="150"/>
      <c r="GF780" s="150"/>
      <c r="GG780" s="150"/>
      <c r="GH780" s="150"/>
      <c r="GI780" s="150"/>
      <c r="GJ780" s="150"/>
      <c r="GK780" s="150"/>
      <c r="GL780" s="150"/>
      <c r="GM780" s="150"/>
      <c r="GN780" s="150"/>
      <c r="GO780" s="150"/>
      <c r="GP780" s="150"/>
      <c r="GQ780" s="150"/>
      <c r="GR780" s="150"/>
      <c r="GS780" s="150"/>
      <c r="GT780" s="150"/>
      <c r="GU780" s="150"/>
      <c r="GV780" s="150"/>
      <c r="GW780" s="150"/>
      <c r="GX780" s="150"/>
      <c r="GY780" s="150"/>
      <c r="GZ780" s="150"/>
      <c r="HA780" s="150"/>
      <c r="HB780" s="150"/>
      <c r="HC780" s="150"/>
      <c r="HD780" s="150"/>
      <c r="HE780" s="150"/>
      <c r="HF780" s="150"/>
      <c r="HG780" s="150"/>
      <c r="HH780" s="150"/>
      <c r="HI780" s="150"/>
      <c r="HJ780" s="150"/>
      <c r="HK780" s="150"/>
      <c r="HL780" s="150" t="s">
        <v>2190</v>
      </c>
      <c r="HM780" s="150" t="s">
        <v>232</v>
      </c>
      <c r="HY780" s="147"/>
      <c r="IN780" s="146" t="s">
        <v>2189</v>
      </c>
      <c r="IO780" s="146" t="s">
        <v>273</v>
      </c>
      <c r="IP780" s="146" t="s">
        <v>2188</v>
      </c>
      <c r="IR780" s="146">
        <v>2011</v>
      </c>
      <c r="IT780" s="146" t="s">
        <v>29</v>
      </c>
      <c r="JI780" s="146" t="s">
        <v>2173</v>
      </c>
      <c r="JK780" s="146" t="s">
        <v>14</v>
      </c>
      <c r="JO780" s="146" t="s">
        <v>13</v>
      </c>
      <c r="JP780" s="146">
        <v>131</v>
      </c>
      <c r="JQ780" s="146">
        <v>59</v>
      </c>
      <c r="KD780" s="146" t="s">
        <v>2172</v>
      </c>
      <c r="KE780" s="146" t="s">
        <v>12</v>
      </c>
      <c r="KF780" s="146" t="s">
        <v>29</v>
      </c>
      <c r="KG780" s="146" t="s">
        <v>29</v>
      </c>
      <c r="KI780" s="146" t="s">
        <v>222</v>
      </c>
      <c r="KJ780" s="146" t="s">
        <v>2187</v>
      </c>
      <c r="KK780" s="146" t="s">
        <v>220</v>
      </c>
      <c r="KL780" s="146">
        <v>7.5</v>
      </c>
      <c r="KM780" s="146" t="s">
        <v>222</v>
      </c>
      <c r="KN780" s="146" t="s">
        <v>2186</v>
      </c>
      <c r="KO780" s="146" t="s">
        <v>220</v>
      </c>
      <c r="KP780" s="146">
        <v>1</v>
      </c>
      <c r="MS780" s="146" t="s">
        <v>2170</v>
      </c>
      <c r="MT780" s="146">
        <v>2500</v>
      </c>
      <c r="MU780" s="146" t="s">
        <v>2185</v>
      </c>
      <c r="MV780" s="146" t="s">
        <v>168</v>
      </c>
      <c r="MW780" s="146" t="s">
        <v>168</v>
      </c>
      <c r="NE780" s="146" t="s">
        <v>2168</v>
      </c>
      <c r="NG780" s="146" t="s">
        <v>8</v>
      </c>
      <c r="NH780" s="146" t="s">
        <v>13</v>
      </c>
      <c r="NQ780" s="146" t="s">
        <v>6</v>
      </c>
      <c r="NR780" s="146">
        <v>6889</v>
      </c>
      <c r="NS780" s="146" t="s">
        <v>234</v>
      </c>
      <c r="NT780" s="146" t="s">
        <v>234</v>
      </c>
      <c r="NW780" s="146">
        <v>4</v>
      </c>
      <c r="OH780" s="146" t="s">
        <v>2167</v>
      </c>
      <c r="OJ780" s="146">
        <v>2014</v>
      </c>
      <c r="OO780" s="146" t="s">
        <v>1178</v>
      </c>
      <c r="OP780" s="147">
        <v>46134</v>
      </c>
    </row>
    <row r="781" spans="1:406" s="146" customFormat="1" ht="15.75" thickBot="1">
      <c r="A781" t="s">
        <v>248</v>
      </c>
      <c r="B781" s="146" t="s">
        <v>2184</v>
      </c>
      <c r="C781" s="146" t="s">
        <v>2183</v>
      </c>
      <c r="D781" s="146" t="s">
        <v>245</v>
      </c>
      <c r="E781" s="146" t="s">
        <v>2182</v>
      </c>
      <c r="F781" s="146" t="s">
        <v>243</v>
      </c>
      <c r="G781" s="146" t="s">
        <v>2</v>
      </c>
      <c r="H781" s="146" t="s">
        <v>30</v>
      </c>
      <c r="I781" s="146">
        <v>-13.47</v>
      </c>
      <c r="J781" s="146">
        <v>33.71</v>
      </c>
      <c r="K781" s="146" t="s">
        <v>29</v>
      </c>
      <c r="AV781" s="146" t="s">
        <v>2181</v>
      </c>
      <c r="AW781" s="146">
        <v>2500</v>
      </c>
      <c r="AX781" s="146">
        <v>7500</v>
      </c>
      <c r="AY781" s="146">
        <v>3</v>
      </c>
      <c r="AZ781" s="146" t="s">
        <v>2180</v>
      </c>
      <c r="BA781" s="146">
        <v>2011</v>
      </c>
      <c r="BB781" s="146">
        <v>2014</v>
      </c>
      <c r="BD781" s="146" t="s">
        <v>274</v>
      </c>
      <c r="BE781" s="146" t="s">
        <v>2174</v>
      </c>
      <c r="BF781" s="146" t="s">
        <v>43</v>
      </c>
      <c r="BG781" s="146" t="s">
        <v>1243</v>
      </c>
      <c r="BH781" s="146" t="s">
        <v>2179</v>
      </c>
      <c r="BI781" s="146" t="s">
        <v>2178</v>
      </c>
      <c r="BJ781" s="146" t="s">
        <v>22</v>
      </c>
      <c r="BK781" s="146">
        <v>3700</v>
      </c>
      <c r="BL781" s="146" t="s">
        <v>275</v>
      </c>
      <c r="BM781" s="146" t="s">
        <v>1677</v>
      </c>
      <c r="BN781" s="146" t="s">
        <v>2177</v>
      </c>
      <c r="BO781" s="146" t="s">
        <v>22</v>
      </c>
      <c r="BP781" s="146">
        <v>177800</v>
      </c>
      <c r="BQ781" s="146" t="s">
        <v>275</v>
      </c>
      <c r="BR781" s="146" t="s">
        <v>23</v>
      </c>
      <c r="BS781" s="146" t="s">
        <v>2176</v>
      </c>
      <c r="BT781" s="146" t="s">
        <v>22</v>
      </c>
      <c r="BU781" s="146">
        <v>53333</v>
      </c>
      <c r="EJ781" s="150"/>
      <c r="EK781" s="150"/>
      <c r="EL781" s="150"/>
      <c r="EM781" s="150"/>
      <c r="EN781" s="150"/>
      <c r="EO781" s="150"/>
      <c r="EP781" s="150"/>
      <c r="EQ781" s="150"/>
      <c r="ER781" s="150"/>
      <c r="ES781" s="150"/>
      <c r="ET781" s="150"/>
      <c r="EU781" s="150"/>
      <c r="EV781" s="150"/>
      <c r="EW781" s="150"/>
      <c r="EX781" s="150"/>
      <c r="EY781" s="150"/>
      <c r="EZ781" s="150"/>
      <c r="FA781" s="150"/>
      <c r="FB781" s="150"/>
      <c r="FC781" s="150"/>
      <c r="FD781" s="150"/>
      <c r="FE781" s="150"/>
      <c r="FF781" s="150"/>
      <c r="FG781" s="150"/>
      <c r="FH781" s="150"/>
      <c r="FI781" s="150"/>
      <c r="FJ781" s="150"/>
      <c r="FK781" s="150"/>
      <c r="FL781" s="150"/>
      <c r="FM781" s="150"/>
      <c r="FN781" s="150"/>
      <c r="FO781" s="150"/>
      <c r="FP781" s="150"/>
      <c r="FQ781" s="150"/>
      <c r="FR781" s="150"/>
      <c r="FS781" s="150"/>
      <c r="FT781" s="150"/>
      <c r="FU781" s="150"/>
      <c r="FV781" s="150"/>
      <c r="FW781" s="150"/>
      <c r="FX781" s="150"/>
      <c r="FY781" s="150"/>
      <c r="FZ781" s="150"/>
      <c r="GA781" s="150"/>
      <c r="GB781" s="150"/>
      <c r="GC781" s="150"/>
      <c r="GD781" s="150"/>
      <c r="GE781" s="150"/>
      <c r="GF781" s="150"/>
      <c r="GG781" s="150"/>
      <c r="GH781" s="150"/>
      <c r="GI781" s="150"/>
      <c r="GJ781" s="150"/>
      <c r="GK781" s="150"/>
      <c r="GL781" s="150"/>
      <c r="GM781" s="150"/>
      <c r="GN781" s="150"/>
      <c r="GO781" s="150"/>
      <c r="GP781" s="150"/>
      <c r="GQ781" s="150"/>
      <c r="GR781" s="150"/>
      <c r="GS781" s="150"/>
      <c r="GT781" s="150"/>
      <c r="GU781" s="150"/>
      <c r="GV781" s="150"/>
      <c r="GW781" s="150"/>
      <c r="GX781" s="150"/>
      <c r="GY781" s="150"/>
      <c r="GZ781" s="150"/>
      <c r="HA781" s="150"/>
      <c r="HB781" s="150"/>
      <c r="HC781" s="150"/>
      <c r="HD781" s="150"/>
      <c r="HE781" s="150"/>
      <c r="HF781" s="150"/>
      <c r="HG781" s="150"/>
      <c r="HH781" s="150"/>
      <c r="HI781" s="150"/>
      <c r="HJ781" s="150"/>
      <c r="HK781" s="150"/>
      <c r="HL781" s="150" t="s">
        <v>2175</v>
      </c>
      <c r="HM781" s="150" t="s">
        <v>297</v>
      </c>
      <c r="HN781" s="146" t="s">
        <v>29</v>
      </c>
      <c r="HO781" s="146" t="s">
        <v>29</v>
      </c>
      <c r="HP781" s="146" t="s">
        <v>29</v>
      </c>
      <c r="HQ781" s="146" t="s">
        <v>29</v>
      </c>
      <c r="HY781" s="147"/>
      <c r="IN781" s="146" t="s">
        <v>2174</v>
      </c>
      <c r="IO781" s="146" t="s">
        <v>273</v>
      </c>
      <c r="IP781" s="146" t="s">
        <v>838</v>
      </c>
      <c r="IR781" s="146">
        <v>2011</v>
      </c>
      <c r="IT781" s="146" t="s">
        <v>29</v>
      </c>
      <c r="JI781" s="146" t="s">
        <v>2173</v>
      </c>
      <c r="JK781" s="146" t="s">
        <v>14</v>
      </c>
      <c r="JO781" s="146" t="s">
        <v>13</v>
      </c>
      <c r="JP781" s="146">
        <v>131</v>
      </c>
      <c r="JQ781" s="146">
        <v>59</v>
      </c>
      <c r="KD781" s="146" t="s">
        <v>2172</v>
      </c>
      <c r="KE781" s="146" t="s">
        <v>12</v>
      </c>
      <c r="KF781" s="146" t="s">
        <v>29</v>
      </c>
      <c r="KG781" s="146" t="s">
        <v>29</v>
      </c>
      <c r="KI781" s="146" t="s">
        <v>2171</v>
      </c>
      <c r="MS781" s="146" t="s">
        <v>2170</v>
      </c>
      <c r="MT781" s="146">
        <v>2500</v>
      </c>
      <c r="MU781" s="146" t="s">
        <v>2169</v>
      </c>
      <c r="MV781" s="146" t="s">
        <v>168</v>
      </c>
      <c r="MW781" s="146" t="s">
        <v>168</v>
      </c>
      <c r="NE781" s="146" t="s">
        <v>2168</v>
      </c>
      <c r="NG781" s="146" t="s">
        <v>8</v>
      </c>
      <c r="NH781" s="146" t="s">
        <v>13</v>
      </c>
      <c r="NQ781" s="146" t="s">
        <v>6</v>
      </c>
      <c r="NR781" s="146">
        <v>6509</v>
      </c>
      <c r="NS781" s="146" t="s">
        <v>234</v>
      </c>
      <c r="NT781" s="146" t="s">
        <v>234</v>
      </c>
      <c r="NW781" s="146">
        <v>4</v>
      </c>
      <c r="OH781" s="146" t="s">
        <v>2167</v>
      </c>
      <c r="OJ781" s="146">
        <v>2014</v>
      </c>
      <c r="OO781" s="146" t="s">
        <v>1178</v>
      </c>
      <c r="OP781" s="147">
        <v>46134</v>
      </c>
    </row>
    <row r="782" spans="1:406" ht="17.25" thickBot="1">
      <c r="A782" t="s">
        <v>248</v>
      </c>
      <c r="B782" t="s">
        <v>2238</v>
      </c>
      <c r="C782" s="89" t="s">
        <v>34</v>
      </c>
      <c r="D782" s="152" t="s">
        <v>1955</v>
      </c>
      <c r="E782" s="89" t="s">
        <v>1676</v>
      </c>
      <c r="F782" t="s">
        <v>31</v>
      </c>
      <c r="G782" s="89" t="s">
        <v>2</v>
      </c>
      <c r="H782" s="152" t="s">
        <v>30</v>
      </c>
      <c r="I782">
        <v>-0.41666666699999999</v>
      </c>
      <c r="J782">
        <v>34.200000000000003</v>
      </c>
      <c r="K782" s="152" t="s">
        <v>29</v>
      </c>
      <c r="L782" s="89"/>
      <c r="M782" s="152"/>
      <c r="N782" s="89"/>
      <c r="O782" s="89"/>
      <c r="P782" s="89"/>
      <c r="Q782" s="89"/>
      <c r="R782" s="89"/>
      <c r="S782" s="89"/>
      <c r="T782" s="89"/>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89" t="s">
        <v>2239</v>
      </c>
      <c r="AW782" s="89">
        <v>64</v>
      </c>
      <c r="AX782" s="89">
        <v>0.09</v>
      </c>
      <c r="AY782" s="89">
        <v>1</v>
      </c>
      <c r="AZ782" s="153" t="s">
        <v>2240</v>
      </c>
      <c r="BA782" s="153">
        <v>2007</v>
      </c>
      <c r="BB782" s="153">
        <v>2008</v>
      </c>
      <c r="BC782" s="153" t="s">
        <v>62</v>
      </c>
      <c r="BD782" s="153"/>
      <c r="BE782" s="153" t="s">
        <v>2241</v>
      </c>
      <c r="BF782" s="153" t="s">
        <v>39</v>
      </c>
      <c r="BG782" s="153" t="s">
        <v>1243</v>
      </c>
      <c r="BH782" s="153" t="s">
        <v>2242</v>
      </c>
      <c r="BI782" s="153" t="s">
        <v>29</v>
      </c>
      <c r="BJ782" s="154" t="s">
        <v>22</v>
      </c>
      <c r="BK782" s="155">
        <v>111000</v>
      </c>
      <c r="BL782" s="153"/>
      <c r="BM782" s="153"/>
      <c r="BN782" s="153"/>
      <c r="BO782" s="153"/>
      <c r="BP782" s="153"/>
      <c r="BQ782" s="153"/>
      <c r="BR782" s="153"/>
      <c r="BS782" s="153"/>
      <c r="BT782" s="153"/>
      <c r="BU782" s="153"/>
      <c r="BV782" s="153"/>
      <c r="BW782" s="3"/>
      <c r="BX782" s="3"/>
      <c r="BY782" s="3"/>
      <c r="BZ782" s="3"/>
      <c r="CA782" s="3"/>
      <c r="CB782" s="3"/>
      <c r="CC782" s="3"/>
      <c r="CD782" s="3"/>
      <c r="CE782" s="3"/>
      <c r="CF782" s="3"/>
      <c r="CG782" s="3"/>
      <c r="CH782" s="3"/>
      <c r="CI782" s="3"/>
      <c r="CJ782" s="3"/>
      <c r="CK782" s="3"/>
      <c r="CL782" s="3"/>
      <c r="CM782" s="3"/>
      <c r="CN782" s="3"/>
      <c r="CO782" s="3"/>
      <c r="CP782" s="3"/>
      <c r="CQ782" s="3"/>
      <c r="CR782" s="3"/>
      <c r="CS782" s="3"/>
      <c r="CT782" s="3"/>
      <c r="CU782" s="3"/>
      <c r="CV782" s="3"/>
      <c r="CW782" s="3"/>
      <c r="CX782" s="3"/>
      <c r="CY782" s="3"/>
      <c r="CZ782" s="3"/>
      <c r="DA782" s="3"/>
      <c r="DB782" s="3"/>
      <c r="DC782" s="3"/>
      <c r="DD782" s="3"/>
      <c r="DE782" s="3"/>
      <c r="DF782" s="3"/>
      <c r="DG782" s="3"/>
      <c r="DH782" s="3"/>
      <c r="DI782" s="3"/>
      <c r="DJ782" s="3"/>
      <c r="DK782" s="3"/>
      <c r="DL782" s="3"/>
      <c r="DM782" s="3"/>
      <c r="DN782" s="3"/>
      <c r="DO782" s="3"/>
      <c r="DP782" s="3"/>
      <c r="DQ782" s="3"/>
      <c r="DR782" s="3"/>
      <c r="DS782" s="3"/>
      <c r="DT782" s="3"/>
      <c r="DU782" s="3"/>
      <c r="DV782" s="3"/>
      <c r="DW782" s="3"/>
      <c r="DX782" s="3"/>
      <c r="DY782" s="3"/>
      <c r="DZ782" s="3"/>
      <c r="EA782" s="3"/>
      <c r="EB782" s="3"/>
      <c r="EC782" s="3"/>
      <c r="ED782" s="3"/>
      <c r="EE782" s="2"/>
      <c r="EF782" s="153"/>
      <c r="EG782" s="153"/>
      <c r="EH782" s="153"/>
      <c r="EI782" s="153"/>
      <c r="EJ782" s="153"/>
      <c r="EK782" s="153"/>
      <c r="EL782" s="153"/>
      <c r="EM782" s="3"/>
      <c r="EN782" s="3"/>
      <c r="EO782" s="3"/>
      <c r="EP782" s="3"/>
      <c r="EQ782" s="3"/>
      <c r="ER782" s="3"/>
      <c r="ES782" s="3"/>
      <c r="ET782" s="3"/>
      <c r="EU782" s="3"/>
      <c r="EV782" s="3"/>
      <c r="EW782" s="3"/>
      <c r="EX782" s="3"/>
      <c r="EY782" s="3"/>
      <c r="EZ782" s="3"/>
      <c r="FA782" s="3"/>
      <c r="FB782" s="3"/>
      <c r="FC782" s="3"/>
      <c r="FD782" s="3"/>
      <c r="FE782" s="3"/>
      <c r="FF782" s="3"/>
      <c r="FG782" s="3"/>
      <c r="FH782" s="3"/>
      <c r="FI782" s="3"/>
      <c r="FJ782" s="3"/>
      <c r="FK782" s="3"/>
      <c r="FL782" s="3"/>
      <c r="FM782" s="3"/>
      <c r="FN782" s="3"/>
      <c r="FO782" s="3"/>
      <c r="FP782" s="3"/>
      <c r="FQ782" s="3"/>
      <c r="FR782" s="3"/>
      <c r="FS782" s="3"/>
      <c r="FT782" s="3"/>
      <c r="FU782" s="3"/>
      <c r="FV782" s="3"/>
      <c r="FW782" s="3"/>
      <c r="FX782" s="3"/>
      <c r="FY782" s="3"/>
      <c r="FZ782" s="3"/>
      <c r="GA782" s="3"/>
      <c r="GB782" s="3"/>
      <c r="GC782" s="3"/>
      <c r="GD782" s="3"/>
      <c r="GE782" s="3"/>
      <c r="GF782" s="3"/>
      <c r="GG782" s="3"/>
      <c r="GH782" s="3"/>
      <c r="GI782" s="3"/>
      <c r="GJ782" s="3"/>
      <c r="GK782" s="3"/>
      <c r="GL782" s="3"/>
      <c r="GM782" s="3"/>
      <c r="GN782" s="3"/>
      <c r="GO782" s="3"/>
      <c r="GP782" s="3"/>
      <c r="GQ782" s="3"/>
      <c r="GR782" s="3"/>
      <c r="GS782" s="3"/>
      <c r="GT782" s="3"/>
      <c r="GU782" s="3"/>
      <c r="GV782" s="3"/>
      <c r="GW782" s="3"/>
      <c r="GX782" s="3"/>
      <c r="GY782" s="3"/>
      <c r="GZ782" s="3"/>
      <c r="HA782" s="3"/>
      <c r="HB782" s="3"/>
      <c r="HC782" s="3"/>
      <c r="HD782" s="3"/>
      <c r="HE782" s="3"/>
      <c r="HF782" s="3"/>
      <c r="HG782" s="3"/>
      <c r="HH782" s="3"/>
      <c r="HI782" s="3"/>
      <c r="HJ782" s="3"/>
      <c r="HK782" s="3"/>
      <c r="HL782" s="153"/>
      <c r="HM782" s="153"/>
      <c r="HN782" s="153"/>
      <c r="HO782" s="153"/>
      <c r="HP782" s="153"/>
      <c r="HQ782" s="153"/>
      <c r="HR782" s="153"/>
      <c r="HS782" s="153"/>
      <c r="HT782" s="154"/>
      <c r="HU782" s="153"/>
      <c r="HV782" s="153"/>
      <c r="HW782" s="153"/>
      <c r="HX782" s="156"/>
      <c r="HY782" s="153"/>
      <c r="HZ782" s="153"/>
      <c r="IA782" s="153"/>
      <c r="IB782" s="153"/>
      <c r="IC782" s="153"/>
      <c r="ID782" s="153"/>
      <c r="IE782" s="153"/>
      <c r="IF782" s="153"/>
      <c r="IG782" s="153" t="s">
        <v>2243</v>
      </c>
      <c r="IH782" s="157" t="s">
        <v>19</v>
      </c>
      <c r="II782" s="157"/>
      <c r="IJ782" s="158"/>
      <c r="IK782" s="153"/>
      <c r="IL782" s="153"/>
      <c r="IM782" s="153"/>
      <c r="IP782" s="153"/>
      <c r="IQ782" s="153"/>
      <c r="IR782" s="153"/>
      <c r="IS782" s="153"/>
      <c r="IT782" s="153"/>
      <c r="IU782" s="153"/>
      <c r="IV782" s="153"/>
      <c r="IW782" s="153"/>
      <c r="IX782" s="153"/>
      <c r="IY782" s="89"/>
      <c r="IZ782" s="89"/>
      <c r="JA782" s="89"/>
      <c r="JB782" s="89"/>
      <c r="JC782" s="89"/>
      <c r="JD782" s="89"/>
      <c r="JE782" s="89"/>
      <c r="JF782" s="89"/>
      <c r="JG782" s="89"/>
      <c r="JH782" s="89"/>
      <c r="JI782" s="89"/>
      <c r="JJ782" s="89"/>
      <c r="JK782" s="159" t="s">
        <v>14</v>
      </c>
      <c r="JL782" s="160" t="s">
        <v>1682</v>
      </c>
      <c r="JM782" s="154"/>
      <c r="JQ782" s="153"/>
      <c r="JR782" s="153"/>
      <c r="JS782" s="153"/>
      <c r="JT782" s="153"/>
      <c r="JU782" s="153"/>
      <c r="JV782" s="153"/>
      <c r="JW782" s="153"/>
      <c r="JX782" s="161"/>
      <c r="JY782" s="161"/>
      <c r="JZ782" s="154"/>
      <c r="KA782" s="153"/>
      <c r="KB782" s="154"/>
      <c r="KC782" s="153"/>
      <c r="KD782" s="153"/>
      <c r="KE782" s="153"/>
      <c r="KF782" s="154"/>
      <c r="KG782" s="154"/>
      <c r="KH782" s="157"/>
      <c r="KI782" s="162"/>
      <c r="KJ782" s="153"/>
      <c r="KK782" s="153"/>
      <c r="KL782" s="153"/>
      <c r="KM782" s="153"/>
      <c r="KN782" s="154"/>
      <c r="KO782" s="153"/>
      <c r="KP782" s="157"/>
      <c r="KQ782" s="162"/>
      <c r="KR782" s="153"/>
      <c r="KS782" s="153"/>
      <c r="KT782" s="163"/>
      <c r="KU782" s="162"/>
      <c r="KV782" s="153"/>
      <c r="KW782" s="153"/>
      <c r="KX782" s="153"/>
      <c r="KY782" s="3"/>
      <c r="KZ782" s="3"/>
      <c r="LA782" s="3"/>
      <c r="LB782" s="3"/>
      <c r="LC782" s="154"/>
      <c r="LD782" s="154"/>
      <c r="LE782" s="154"/>
      <c r="LF782" s="154"/>
      <c r="LG782" s="154"/>
      <c r="LH782" s="154"/>
      <c r="LI782" s="154"/>
      <c r="LJ782" s="154"/>
      <c r="LK782" s="154"/>
      <c r="LL782" s="153"/>
      <c r="LM782" s="153"/>
      <c r="LN782" s="153"/>
      <c r="LO782" s="153"/>
      <c r="LP782" s="153"/>
      <c r="LQ782" s="153"/>
      <c r="LR782" s="153"/>
      <c r="LS782" s="153"/>
      <c r="LT782" s="89"/>
      <c r="LU782" s="89"/>
      <c r="LV782" s="89"/>
      <c r="LW782" s="89"/>
      <c r="LX782" s="89"/>
      <c r="LY782" s="164"/>
      <c r="LZ782" s="164"/>
      <c r="MA782" s="164"/>
      <c r="MB782" s="2"/>
      <c r="MC782" s="153"/>
      <c r="MD782" s="153"/>
      <c r="ME782" s="153"/>
      <c r="MF782" s="89"/>
      <c r="MG782" s="89"/>
      <c r="MH782" s="89"/>
      <c r="MI782" s="89"/>
      <c r="MJ782" s="89"/>
      <c r="MK782" s="89"/>
      <c r="ML782" s="89"/>
      <c r="MM782" s="89"/>
      <c r="MN782" s="153"/>
      <c r="MO782" s="153"/>
      <c r="MP782" s="153"/>
      <c r="MQ782" s="153"/>
      <c r="MR782" s="153"/>
      <c r="MS782" s="153" t="s">
        <v>2244</v>
      </c>
      <c r="MT782" s="89">
        <v>64</v>
      </c>
      <c r="MU782" s="164"/>
      <c r="MV782" s="164"/>
      <c r="MW782" s="164"/>
      <c r="MX782" s="164"/>
      <c r="MY782" s="164"/>
      <c r="MZ782" s="164"/>
      <c r="NA782" s="164"/>
      <c r="NB782" s="164"/>
      <c r="NC782" s="164"/>
      <c r="ND782" s="153" t="s">
        <v>2245</v>
      </c>
      <c r="NE782" s="153" t="s">
        <v>2246</v>
      </c>
      <c r="NF782" s="153" t="s">
        <v>2247</v>
      </c>
      <c r="NG782" s="153" t="s">
        <v>671</v>
      </c>
      <c r="NH782" s="165" t="s">
        <v>265</v>
      </c>
      <c r="NI782" s="153"/>
      <c r="NJ782" s="153"/>
      <c r="NK782" s="153"/>
      <c r="NL782" s="153"/>
      <c r="NM782" s="153"/>
      <c r="NN782" s="153"/>
      <c r="NO782" s="153"/>
      <c r="NP782" s="153" t="s">
        <v>64</v>
      </c>
      <c r="NQ782" s="166" t="s">
        <v>6</v>
      </c>
      <c r="NR782" s="166">
        <v>195.1</v>
      </c>
      <c r="NS782" s="166" t="s">
        <v>4</v>
      </c>
      <c r="NT782" s="166">
        <v>3.1</v>
      </c>
      <c r="NU782" s="167"/>
      <c r="NV782" s="153"/>
      <c r="NW782" s="153">
        <v>4</v>
      </c>
      <c r="NX782" s="153"/>
      <c r="NY782" s="153"/>
      <c r="NZ782" s="153"/>
      <c r="OA782" s="153"/>
      <c r="OB782" s="153"/>
      <c r="OC782" s="153"/>
      <c r="OD782" s="153"/>
      <c r="OE782" s="153"/>
      <c r="OF782" s="153"/>
      <c r="OG782" s="153"/>
      <c r="OH782" s="153" t="s">
        <v>2248</v>
      </c>
      <c r="OI782" s="153"/>
      <c r="OJ782" s="153">
        <v>2007</v>
      </c>
      <c r="OK782" s="153"/>
      <c r="OL782" s="153"/>
      <c r="OM782" s="153" t="s">
        <v>62</v>
      </c>
      <c r="ON782" s="153"/>
      <c r="OO782" t="s">
        <v>1178</v>
      </c>
      <c r="OP782" s="58">
        <v>46134</v>
      </c>
    </row>
    <row r="783" spans="1:406" ht="15.75" thickBot="1">
      <c r="A783" t="s">
        <v>248</v>
      </c>
      <c r="B783" t="s">
        <v>2238</v>
      </c>
      <c r="C783" s="89" t="s">
        <v>34</v>
      </c>
      <c r="D783" s="152" t="s">
        <v>1955</v>
      </c>
      <c r="E783" s="89" t="s">
        <v>1676</v>
      </c>
      <c r="F783" t="s">
        <v>31</v>
      </c>
      <c r="G783" s="89" t="s">
        <v>2</v>
      </c>
      <c r="H783" s="152" t="s">
        <v>30</v>
      </c>
      <c r="I783">
        <v>-0.41666666699999999</v>
      </c>
      <c r="J783">
        <v>34.200000000000003</v>
      </c>
      <c r="K783" s="152" t="s">
        <v>29</v>
      </c>
      <c r="L783" s="2"/>
      <c r="M783" s="99"/>
      <c r="N783" s="2"/>
      <c r="O783" s="89"/>
      <c r="P783" s="2"/>
      <c r="Q783" s="2"/>
      <c r="R783" s="89"/>
      <c r="S783" s="89"/>
      <c r="T783" s="89"/>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89" t="s">
        <v>2239</v>
      </c>
      <c r="AW783" s="89">
        <v>64</v>
      </c>
      <c r="AX783" s="89">
        <v>0.09</v>
      </c>
      <c r="AY783" s="89">
        <v>1</v>
      </c>
      <c r="AZ783" s="153" t="s">
        <v>2240</v>
      </c>
      <c r="BA783" s="153">
        <v>2007</v>
      </c>
      <c r="BB783" s="153">
        <v>2008</v>
      </c>
      <c r="BC783" s="153" t="s">
        <v>62</v>
      </c>
      <c r="BD783" s="2"/>
      <c r="BE783" s="2" t="s">
        <v>2249</v>
      </c>
      <c r="BF783" s="2" t="s">
        <v>64</v>
      </c>
      <c r="BG783" s="153" t="s">
        <v>1243</v>
      </c>
      <c r="BH783" s="2" t="s">
        <v>2242</v>
      </c>
      <c r="BI783" s="153" t="s">
        <v>29</v>
      </c>
      <c r="BJ783" s="154" t="s">
        <v>22</v>
      </c>
      <c r="BK783" s="155">
        <v>55500</v>
      </c>
      <c r="BL783" s="2" t="s">
        <v>56</v>
      </c>
      <c r="BM783" t="s">
        <v>2250</v>
      </c>
      <c r="BN783" s="153" t="s">
        <v>29</v>
      </c>
      <c r="BO783" s="2" t="s">
        <v>22</v>
      </c>
      <c r="BP783" s="2">
        <v>55000</v>
      </c>
      <c r="BQ783" s="2"/>
      <c r="BR783" s="2"/>
      <c r="BS783" s="2"/>
      <c r="BT783" s="2"/>
      <c r="BU783" s="2"/>
      <c r="BV783" s="2"/>
      <c r="BW783" s="3"/>
      <c r="BX783" s="3"/>
      <c r="BY783" s="3"/>
      <c r="BZ783" s="3"/>
      <c r="CA783" s="3"/>
      <c r="CB783" s="3"/>
      <c r="CC783" s="3"/>
      <c r="CD783" s="3"/>
      <c r="CE783" s="3"/>
      <c r="CF783" s="3"/>
      <c r="CG783" s="3"/>
      <c r="CH783" s="3"/>
      <c r="CI783" s="3"/>
      <c r="CJ783" s="3"/>
      <c r="CK783" s="3"/>
      <c r="CL783" s="3"/>
      <c r="CM783" s="3"/>
      <c r="CN783" s="3"/>
      <c r="CO783" s="3"/>
      <c r="CP783" s="3"/>
      <c r="CQ783" s="3"/>
      <c r="CR783" s="3"/>
      <c r="CS783" s="3"/>
      <c r="CT783" s="3"/>
      <c r="CU783" s="3"/>
      <c r="CV783" s="3"/>
      <c r="CW783" s="3"/>
      <c r="CX783" s="3"/>
      <c r="CY783" s="3"/>
      <c r="CZ783" s="3"/>
      <c r="DA783" s="3"/>
      <c r="DB783" s="3"/>
      <c r="DC783" s="3"/>
      <c r="DD783" s="3"/>
      <c r="DE783" s="3"/>
      <c r="DF783" s="3"/>
      <c r="DG783" s="3"/>
      <c r="DH783" s="3"/>
      <c r="DI783" s="3"/>
      <c r="DJ783" s="3"/>
      <c r="DK783" s="3"/>
      <c r="DL783" s="3"/>
      <c r="DM783" s="3"/>
      <c r="DN783" s="3"/>
      <c r="DO783" s="3"/>
      <c r="DP783" s="3"/>
      <c r="DQ783" s="3"/>
      <c r="DR783" s="3"/>
      <c r="DS783" s="3"/>
      <c r="DT783" s="3"/>
      <c r="DU783" s="3"/>
      <c r="DV783" s="3"/>
      <c r="DW783" s="3"/>
      <c r="DX783" s="3"/>
      <c r="DY783" s="3"/>
      <c r="DZ783" s="3"/>
      <c r="EA783" s="3"/>
      <c r="EB783" s="3"/>
      <c r="EC783" s="3"/>
      <c r="ED783" s="3"/>
      <c r="EE783" s="2"/>
      <c r="EF783" s="2"/>
      <c r="EG783" s="2"/>
      <c r="EH783" s="2"/>
      <c r="EI783" s="2"/>
      <c r="EJ783" s="2"/>
      <c r="EK783" s="2"/>
      <c r="EL783" s="2"/>
      <c r="EM783" s="3"/>
      <c r="EN783" s="3"/>
      <c r="EO783" s="3"/>
      <c r="EP783" s="3"/>
      <c r="EQ783" s="3"/>
      <c r="ER783" s="3"/>
      <c r="ES783" s="3"/>
      <c r="ET783" s="3"/>
      <c r="EU783" s="3"/>
      <c r="EV783" s="3"/>
      <c r="EW783" s="3"/>
      <c r="EX783" s="3"/>
      <c r="EY783" s="3"/>
      <c r="EZ783" s="3"/>
      <c r="FA783" s="3"/>
      <c r="FB783" s="3"/>
      <c r="FC783" s="3"/>
      <c r="FD783" s="3"/>
      <c r="FE783" s="3"/>
      <c r="FF783" s="3"/>
      <c r="FG783" s="3"/>
      <c r="FH783" s="3"/>
      <c r="FI783" s="3"/>
      <c r="FJ783" s="3"/>
      <c r="FK783" s="3"/>
      <c r="FL783" s="3"/>
      <c r="FM783" s="3"/>
      <c r="FN783" s="3"/>
      <c r="FO783" s="3"/>
      <c r="FP783" s="3"/>
      <c r="FQ783" s="3"/>
      <c r="FR783" s="3"/>
      <c r="FS783" s="3"/>
      <c r="FT783" s="3"/>
      <c r="FU783" s="3"/>
      <c r="FV783" s="3"/>
      <c r="FW783" s="3"/>
      <c r="FX783" s="3"/>
      <c r="FY783" s="3"/>
      <c r="FZ783" s="3"/>
      <c r="GA783" s="3"/>
      <c r="GB783" s="3"/>
      <c r="GC783" s="3"/>
      <c r="GD783" s="3"/>
      <c r="GE783" s="3"/>
      <c r="GF783" s="3"/>
      <c r="GG783" s="3"/>
      <c r="GH783" s="3"/>
      <c r="GI783" s="3"/>
      <c r="GJ783" s="3"/>
      <c r="GK783" s="3"/>
      <c r="GL783" s="3"/>
      <c r="GM783" s="3"/>
      <c r="GN783" s="3"/>
      <c r="GO783" s="3"/>
      <c r="GP783" s="3"/>
      <c r="GQ783" s="3"/>
      <c r="GR783" s="3"/>
      <c r="GS783" s="3"/>
      <c r="GT783" s="3"/>
      <c r="GU783" s="3"/>
      <c r="GV783" s="3"/>
      <c r="GW783" s="3"/>
      <c r="GX783" s="3"/>
      <c r="GY783" s="3"/>
      <c r="GZ783" s="3"/>
      <c r="HA783" s="3"/>
      <c r="HB783" s="3"/>
      <c r="HC783" s="3"/>
      <c r="HD783" s="3"/>
      <c r="HE783" s="3"/>
      <c r="HF783" s="3"/>
      <c r="HG783" s="3"/>
      <c r="HH783" s="3"/>
      <c r="HI783" s="3"/>
      <c r="HJ783" s="3"/>
      <c r="HK783" s="3"/>
      <c r="HL783" s="2"/>
      <c r="HM783" s="2"/>
      <c r="HN783" s="2"/>
      <c r="HO783" s="2"/>
      <c r="HP783" s="2"/>
      <c r="HQ783" s="2"/>
      <c r="HR783" s="2"/>
      <c r="HS783" s="2"/>
      <c r="HT783" s="99"/>
      <c r="HU783" s="2"/>
      <c r="HV783" s="2"/>
      <c r="HW783" s="2"/>
      <c r="HX783" s="2"/>
      <c r="HY783" s="2"/>
      <c r="HZ783" s="2"/>
      <c r="IA783" s="2"/>
      <c r="IB783" s="2"/>
      <c r="IC783" s="2"/>
      <c r="ID783" s="2"/>
      <c r="IE783" s="2"/>
      <c r="IF783" s="2"/>
      <c r="IG783" s="153" t="s">
        <v>2243</v>
      </c>
      <c r="IH783" s="168" t="s">
        <v>1453</v>
      </c>
      <c r="II783" s="169" t="s">
        <v>1477</v>
      </c>
      <c r="IJ783" s="170" t="s">
        <v>661</v>
      </c>
      <c r="IK783" s="2">
        <v>2007</v>
      </c>
      <c r="IL783" s="2" t="s">
        <v>62</v>
      </c>
      <c r="IM783" s="2" t="s">
        <v>29</v>
      </c>
      <c r="IP783" s="2"/>
      <c r="IQ783" s="2"/>
      <c r="IR783" s="2"/>
      <c r="IS783" s="2"/>
      <c r="IT783" s="2"/>
      <c r="IU783" s="2"/>
      <c r="IV783" s="2"/>
      <c r="IW783" s="2"/>
      <c r="IX783" s="2"/>
      <c r="IY783" s="2"/>
      <c r="IZ783" s="2"/>
      <c r="JA783" s="2"/>
      <c r="JB783" s="2"/>
      <c r="JC783" s="2"/>
      <c r="JD783" s="2"/>
      <c r="JE783" s="2"/>
      <c r="JF783" s="2"/>
      <c r="JG783" s="2"/>
      <c r="JH783" s="2"/>
      <c r="JI783" s="2"/>
      <c r="JJ783" s="2"/>
      <c r="JK783" s="159" t="s">
        <v>14</v>
      </c>
      <c r="JL783" s="160" t="s">
        <v>1682</v>
      </c>
      <c r="JM783" s="99"/>
      <c r="JQ783" s="2"/>
      <c r="JR783" s="2"/>
      <c r="JS783" s="2"/>
      <c r="JT783" s="2"/>
      <c r="JU783" s="2"/>
      <c r="JV783" s="2"/>
      <c r="JW783" s="2"/>
      <c r="JX783" s="161"/>
      <c r="JY783" s="171"/>
      <c r="JZ783" s="99"/>
      <c r="KA783" s="2"/>
      <c r="KB783" s="99"/>
      <c r="KC783" s="2"/>
      <c r="KD783" s="2"/>
      <c r="KE783" s="2"/>
      <c r="KF783" s="99"/>
      <c r="KG783" s="2"/>
      <c r="KH783" s="168"/>
      <c r="KI783" s="172"/>
      <c r="KJ783" s="2"/>
      <c r="KK783" s="2"/>
      <c r="KL783" s="2"/>
      <c r="KM783" s="2"/>
      <c r="KN783" s="99"/>
      <c r="KO783" s="2"/>
      <c r="KP783" s="168"/>
      <c r="KQ783" s="172"/>
      <c r="KR783" s="2"/>
      <c r="KS783" s="2"/>
      <c r="KT783" s="163"/>
      <c r="KU783" s="172"/>
      <c r="KV783" s="2"/>
      <c r="KW783" s="2"/>
      <c r="KX783" s="2"/>
      <c r="KY783" s="69"/>
      <c r="KZ783" s="3"/>
      <c r="LA783" s="3"/>
      <c r="LB783" s="3"/>
      <c r="LC783" s="99"/>
      <c r="LD783" s="99"/>
      <c r="LE783" s="99"/>
      <c r="LF783" s="99"/>
      <c r="LG783" s="99"/>
      <c r="LH783" s="2"/>
      <c r="LI783" s="99"/>
      <c r="LJ783" s="99"/>
      <c r="LK783" s="99"/>
      <c r="LL783" s="2"/>
      <c r="LM783" s="2"/>
      <c r="LN783" s="2"/>
      <c r="LO783" s="2"/>
      <c r="LP783" s="2"/>
      <c r="LQ783" s="2"/>
      <c r="LR783" s="2"/>
      <c r="LS783" s="2"/>
      <c r="LT783" s="2"/>
      <c r="LU783" s="2"/>
      <c r="LV783" s="2"/>
      <c r="LW783" s="2"/>
      <c r="LX783" s="2"/>
      <c r="LY783" s="2"/>
      <c r="LZ783" s="2"/>
      <c r="MA783" s="2"/>
      <c r="MC783" s="2"/>
      <c r="MD783" s="2"/>
      <c r="ME783" s="2"/>
      <c r="MF783" s="2"/>
      <c r="MG783" s="2"/>
      <c r="MH783" s="2"/>
      <c r="MI783" s="2"/>
      <c r="MJ783" s="2"/>
      <c r="MK783" s="2"/>
      <c r="ML783" s="2"/>
      <c r="MM783" s="2"/>
      <c r="MN783" s="2"/>
      <c r="MO783" s="2"/>
      <c r="MP783" s="2"/>
      <c r="MQ783" s="2"/>
      <c r="MR783" s="2"/>
      <c r="MS783" s="153" t="s">
        <v>2244</v>
      </c>
      <c r="MT783" s="89">
        <v>64</v>
      </c>
      <c r="MU783" s="164"/>
      <c r="MV783" s="164"/>
      <c r="MW783" s="164"/>
      <c r="MX783" s="164"/>
      <c r="MY783" s="164"/>
      <c r="MZ783" s="164"/>
      <c r="NA783" s="164"/>
      <c r="NB783" s="164"/>
      <c r="NC783" s="164"/>
      <c r="ND783" s="153" t="s">
        <v>2245</v>
      </c>
      <c r="NE783" s="153" t="s">
        <v>2246</v>
      </c>
      <c r="NF783" s="153" t="s">
        <v>2247</v>
      </c>
      <c r="NG783" s="153" t="s">
        <v>671</v>
      </c>
      <c r="NH783" s="165" t="s">
        <v>265</v>
      </c>
      <c r="NI783" s="153"/>
      <c r="NJ783" s="153"/>
      <c r="NK783" s="153"/>
      <c r="NL783" s="153"/>
      <c r="NM783" s="153"/>
      <c r="NN783" s="153"/>
      <c r="NO783" s="153"/>
      <c r="NP783" s="153"/>
      <c r="NQ783" s="166" t="s">
        <v>6</v>
      </c>
      <c r="NR783" s="173">
        <v>306.10000000000002</v>
      </c>
      <c r="NS783" s="166" t="s">
        <v>4</v>
      </c>
      <c r="NT783" s="173">
        <v>4.4000000000000004</v>
      </c>
      <c r="NU783" s="174"/>
      <c r="NV783" s="2"/>
      <c r="NW783" s="153">
        <v>4</v>
      </c>
      <c r="NX783" s="2"/>
      <c r="NY783" s="2"/>
      <c r="NZ783" s="2"/>
      <c r="OA783" s="2"/>
      <c r="OB783" s="2"/>
      <c r="OC783" s="2"/>
      <c r="OD783" s="2"/>
      <c r="OE783" s="2"/>
      <c r="OF783" s="2"/>
      <c r="OG783" s="2"/>
      <c r="OH783" s="153" t="s">
        <v>2248</v>
      </c>
      <c r="OI783" s="2"/>
      <c r="OJ783" s="153">
        <v>2007</v>
      </c>
      <c r="OK783" s="153"/>
      <c r="OL783" s="153"/>
      <c r="OM783" s="153" t="s">
        <v>62</v>
      </c>
      <c r="ON783" s="2"/>
      <c r="OO783" t="s">
        <v>1178</v>
      </c>
      <c r="OP783" s="58">
        <v>46134</v>
      </c>
    </row>
    <row r="784" spans="1:406" ht="15.75" thickBot="1">
      <c r="A784" t="s">
        <v>248</v>
      </c>
      <c r="B784" t="s">
        <v>2238</v>
      </c>
      <c r="C784" s="89" t="s">
        <v>34</v>
      </c>
      <c r="D784" s="152" t="s">
        <v>1955</v>
      </c>
      <c r="E784" s="89" t="s">
        <v>1676</v>
      </c>
      <c r="F784" t="s">
        <v>31</v>
      </c>
      <c r="G784" s="89" t="s">
        <v>2</v>
      </c>
      <c r="H784" s="152" t="s">
        <v>30</v>
      </c>
      <c r="I784">
        <v>-0.41666666699999999</v>
      </c>
      <c r="J784">
        <v>34.200000000000003</v>
      </c>
      <c r="K784" s="152" t="s">
        <v>29</v>
      </c>
      <c r="L784" s="89"/>
      <c r="M784" s="152"/>
      <c r="N784" s="89"/>
      <c r="O784" s="89"/>
      <c r="P784" s="89"/>
      <c r="Q784" s="89"/>
      <c r="R784" s="89"/>
      <c r="S784" s="89"/>
      <c r="T784" s="89"/>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89" t="s">
        <v>2239</v>
      </c>
      <c r="AW784" s="89">
        <v>64</v>
      </c>
      <c r="AX784" s="89">
        <v>0.09</v>
      </c>
      <c r="AY784" s="89">
        <v>1</v>
      </c>
      <c r="AZ784" s="153" t="s">
        <v>2240</v>
      </c>
      <c r="BA784" s="153">
        <v>2007</v>
      </c>
      <c r="BB784" s="153">
        <v>2008</v>
      </c>
      <c r="BC784" s="153" t="s">
        <v>1</v>
      </c>
      <c r="BD784" s="89"/>
      <c r="BE784" s="153" t="s">
        <v>2241</v>
      </c>
      <c r="BF784" s="153" t="s">
        <v>39</v>
      </c>
      <c r="BG784" s="153" t="s">
        <v>1243</v>
      </c>
      <c r="BH784" s="153" t="s">
        <v>2242</v>
      </c>
      <c r="BI784" s="153" t="s">
        <v>29</v>
      </c>
      <c r="BJ784" s="154" t="s">
        <v>22</v>
      </c>
      <c r="BK784" s="155">
        <v>111000</v>
      </c>
      <c r="BL784" s="89"/>
      <c r="BM784" s="89"/>
      <c r="BN784" s="89"/>
      <c r="BO784" s="152"/>
      <c r="BP784" s="175"/>
      <c r="BQ784" s="89"/>
      <c r="BR784" s="89"/>
      <c r="BS784" s="89"/>
      <c r="BT784" s="89"/>
      <c r="BU784" s="89"/>
      <c r="BV784" s="89"/>
      <c r="BW784" s="3"/>
      <c r="BX784" s="3"/>
      <c r="BY784" s="3"/>
      <c r="BZ784" s="3"/>
      <c r="CA784" s="3"/>
      <c r="CB784" s="3"/>
      <c r="CC784" s="3"/>
      <c r="CD784" s="3"/>
      <c r="CE784" s="3"/>
      <c r="CF784" s="3"/>
      <c r="CG784" s="3"/>
      <c r="CH784" s="3"/>
      <c r="CI784" s="3"/>
      <c r="CJ784" s="3"/>
      <c r="CK784" s="3"/>
      <c r="CL784" s="3"/>
      <c r="CM784" s="3"/>
      <c r="CN784" s="3"/>
      <c r="CO784" s="3"/>
      <c r="CP784" s="3"/>
      <c r="CQ784" s="3"/>
      <c r="CR784" s="3"/>
      <c r="CS784" s="3"/>
      <c r="CT784" s="3"/>
      <c r="CU784" s="3"/>
      <c r="CV784" s="3"/>
      <c r="CW784" s="3"/>
      <c r="CX784" s="3"/>
      <c r="CY784" s="3"/>
      <c r="CZ784" s="3"/>
      <c r="DA784" s="3"/>
      <c r="DB784" s="3"/>
      <c r="DC784" s="3"/>
      <c r="DD784" s="3"/>
      <c r="DE784" s="3"/>
      <c r="DF784" s="3"/>
      <c r="DG784" s="3"/>
      <c r="DH784" s="3"/>
      <c r="DI784" s="3"/>
      <c r="DJ784" s="3"/>
      <c r="DK784" s="3"/>
      <c r="DL784" s="3"/>
      <c r="DM784" s="3"/>
      <c r="DN784" s="3"/>
      <c r="DO784" s="3"/>
      <c r="DP784" s="3"/>
      <c r="DQ784" s="3"/>
      <c r="DR784" s="3"/>
      <c r="DS784" s="3"/>
      <c r="DT784" s="3"/>
      <c r="DU784" s="3"/>
      <c r="DV784" s="3"/>
      <c r="DW784" s="3"/>
      <c r="DX784" s="3"/>
      <c r="DY784" s="3"/>
      <c r="DZ784" s="3"/>
      <c r="EA784" s="3"/>
      <c r="EB784" s="3"/>
      <c r="EC784" s="3"/>
      <c r="ED784" s="3"/>
      <c r="EE784" s="89"/>
      <c r="EF784" s="89"/>
      <c r="EG784" s="89"/>
      <c r="EH784" s="89"/>
      <c r="EI784" s="89"/>
      <c r="EJ784" s="89"/>
      <c r="EK784" s="89"/>
      <c r="EL784" s="89"/>
      <c r="EM784" s="3"/>
      <c r="EN784" s="3"/>
      <c r="EO784" s="3"/>
      <c r="EP784" s="3"/>
      <c r="EQ784" s="3"/>
      <c r="ER784" s="3"/>
      <c r="ES784" s="3"/>
      <c r="ET784" s="3"/>
      <c r="EU784" s="3"/>
      <c r="EV784" s="3"/>
      <c r="EW784" s="3"/>
      <c r="EX784" s="3"/>
      <c r="EY784" s="3"/>
      <c r="EZ784" s="3"/>
      <c r="FA784" s="3"/>
      <c r="FB784" s="3"/>
      <c r="FC784" s="3"/>
      <c r="FD784" s="3"/>
      <c r="FE784" s="3"/>
      <c r="FF784" s="3"/>
      <c r="FG784" s="3"/>
      <c r="FH784" s="3"/>
      <c r="FI784" s="3"/>
      <c r="FJ784" s="3"/>
      <c r="FK784" s="3"/>
      <c r="FL784" s="3"/>
      <c r="FM784" s="3"/>
      <c r="FN784" s="3"/>
      <c r="FO784" s="3"/>
      <c r="FP784" s="3"/>
      <c r="FQ784" s="3"/>
      <c r="FR784" s="3"/>
      <c r="FS784" s="3"/>
      <c r="FT784" s="3"/>
      <c r="FU784" s="3"/>
      <c r="FV784" s="3"/>
      <c r="FW784" s="3"/>
      <c r="FX784" s="3"/>
      <c r="FY784" s="3"/>
      <c r="FZ784" s="3"/>
      <c r="GA784" s="3"/>
      <c r="GB784" s="3"/>
      <c r="GC784" s="3"/>
      <c r="GD784" s="3"/>
      <c r="GE784" s="3"/>
      <c r="GF784" s="3"/>
      <c r="GG784" s="3"/>
      <c r="GH784" s="3"/>
      <c r="GI784" s="3"/>
      <c r="GJ784" s="3"/>
      <c r="GK784" s="3"/>
      <c r="GL784" s="3"/>
      <c r="GM784" s="3"/>
      <c r="GN784" s="3"/>
      <c r="GO784" s="3"/>
      <c r="GP784" s="3"/>
      <c r="GQ784" s="3"/>
      <c r="GR784" s="3"/>
      <c r="GS784" s="3"/>
      <c r="GT784" s="3"/>
      <c r="GU784" s="3"/>
      <c r="GV784" s="3"/>
      <c r="GW784" s="3"/>
      <c r="GX784" s="3"/>
      <c r="GY784" s="3"/>
      <c r="GZ784" s="3"/>
      <c r="HA784" s="3"/>
      <c r="HB784" s="3"/>
      <c r="HC784" s="3"/>
      <c r="HD784" s="3"/>
      <c r="HE784" s="3"/>
      <c r="HF784" s="3"/>
      <c r="HG784" s="3"/>
      <c r="HH784" s="3"/>
      <c r="HI784" s="3"/>
      <c r="HJ784" s="3"/>
      <c r="HK784" s="3"/>
      <c r="HL784" s="89"/>
      <c r="HM784" s="89"/>
      <c r="HN784" s="89"/>
      <c r="HO784" s="89"/>
      <c r="HP784" s="89"/>
      <c r="HQ784" s="89"/>
      <c r="HR784" s="89"/>
      <c r="HS784" s="89"/>
      <c r="HT784" s="152"/>
      <c r="HU784" s="89"/>
      <c r="HV784" s="89"/>
      <c r="HW784" s="89"/>
      <c r="HX784" s="89"/>
      <c r="HY784" s="89"/>
      <c r="HZ784" s="89"/>
      <c r="IA784" s="89"/>
      <c r="IB784" s="89"/>
      <c r="IC784" s="89"/>
      <c r="ID784" s="89"/>
      <c r="IE784" s="89"/>
      <c r="IF784" s="89"/>
      <c r="IG784" s="153" t="s">
        <v>2243</v>
      </c>
      <c r="IH784" s="157" t="s">
        <v>19</v>
      </c>
      <c r="II784" s="176"/>
      <c r="IJ784" s="177"/>
      <c r="IK784" s="89"/>
      <c r="IL784" s="89"/>
      <c r="IM784" s="152"/>
      <c r="IP784" s="89"/>
      <c r="IQ784" s="89"/>
      <c r="IR784" s="89"/>
      <c r="IS784" s="89"/>
      <c r="IT784" s="89"/>
      <c r="IU784" s="89"/>
      <c r="IV784" s="89"/>
      <c r="IW784" s="89"/>
      <c r="IX784" s="89"/>
      <c r="IY784" s="89"/>
      <c r="IZ784" s="89"/>
      <c r="JA784" s="89"/>
      <c r="JB784" s="89"/>
      <c r="JC784" s="89"/>
      <c r="JD784" s="89"/>
      <c r="JE784" s="89"/>
      <c r="JF784" s="89"/>
      <c r="JG784" s="89"/>
      <c r="JH784" s="89"/>
      <c r="JI784" s="89"/>
      <c r="JJ784" s="89"/>
      <c r="JK784" s="159" t="s">
        <v>14</v>
      </c>
      <c r="JL784" s="160" t="s">
        <v>1682</v>
      </c>
      <c r="JM784" s="152"/>
      <c r="JQ784" s="89"/>
      <c r="JR784" s="89"/>
      <c r="JS784" s="89"/>
      <c r="JT784" s="89"/>
      <c r="JU784" s="89"/>
      <c r="JV784" s="89"/>
      <c r="JW784" s="89"/>
      <c r="JX784" s="161"/>
      <c r="JY784" s="159"/>
      <c r="JZ784" s="152"/>
      <c r="KA784" s="89"/>
      <c r="KB784" s="152"/>
      <c r="KC784" s="89"/>
      <c r="KD784" s="89"/>
      <c r="KE784" s="89"/>
      <c r="KF784" s="152"/>
      <c r="KG784" s="89"/>
      <c r="KH784" s="157"/>
      <c r="KI784" s="178"/>
      <c r="KJ784" s="89"/>
      <c r="KK784" s="89"/>
      <c r="KL784" s="89"/>
      <c r="KM784" s="89"/>
      <c r="KN784" s="152"/>
      <c r="KO784" s="89"/>
      <c r="KP784" s="157"/>
      <c r="KQ784" s="178"/>
      <c r="KR784" s="89"/>
      <c r="KS784" s="89"/>
      <c r="KT784" s="163"/>
      <c r="KU784" s="179"/>
      <c r="KV784" s="89"/>
      <c r="KW784" s="89"/>
      <c r="KX784" s="89"/>
      <c r="KY784" s="3"/>
      <c r="KZ784" s="3"/>
      <c r="LA784" s="3"/>
      <c r="LB784" s="3"/>
      <c r="LC784" s="152"/>
      <c r="LD784" s="152"/>
      <c r="LE784" s="152"/>
      <c r="LF784" s="152"/>
      <c r="LG784" s="152"/>
      <c r="LH784" s="89"/>
      <c r="LI784" s="152"/>
      <c r="LJ784" s="152"/>
      <c r="LK784" s="152"/>
      <c r="LL784" s="89"/>
      <c r="LM784" s="89"/>
      <c r="LN784" s="89"/>
      <c r="LO784" s="89"/>
      <c r="LP784" s="89"/>
      <c r="LQ784" s="89"/>
      <c r="LR784" s="89"/>
      <c r="LS784" s="89"/>
      <c r="LT784" s="89"/>
      <c r="LU784" s="89"/>
      <c r="LV784" s="89"/>
      <c r="LW784" s="89"/>
      <c r="LX784" s="89"/>
      <c r="LY784" s="89"/>
      <c r="LZ784" s="89"/>
      <c r="MA784" s="89"/>
      <c r="MB784" s="89"/>
      <c r="MC784" s="89"/>
      <c r="MD784" s="89"/>
      <c r="ME784" s="89"/>
      <c r="MF784" s="89"/>
      <c r="MG784" s="89"/>
      <c r="MH784" s="89"/>
      <c r="MI784" s="89"/>
      <c r="MJ784" s="89"/>
      <c r="MK784" s="89"/>
      <c r="ML784" s="89"/>
      <c r="MM784" s="89"/>
      <c r="MN784" s="89"/>
      <c r="MO784" s="89"/>
      <c r="MP784" s="89"/>
      <c r="MQ784" s="89"/>
      <c r="MR784" s="89"/>
      <c r="MS784" s="153" t="s">
        <v>2244</v>
      </c>
      <c r="MT784" s="89">
        <v>64</v>
      </c>
      <c r="MU784" s="164"/>
      <c r="MV784" s="164"/>
      <c r="MW784" s="164"/>
      <c r="MX784" s="164"/>
      <c r="MY784" s="164"/>
      <c r="MZ784" s="164"/>
      <c r="NA784" s="164"/>
      <c r="NB784" s="164"/>
      <c r="NC784" s="164"/>
      <c r="ND784" s="153" t="s">
        <v>2245</v>
      </c>
      <c r="NE784" s="153" t="s">
        <v>2246</v>
      </c>
      <c r="NF784" s="153" t="s">
        <v>2247</v>
      </c>
      <c r="NG784" s="153" t="s">
        <v>671</v>
      </c>
      <c r="NH784" s="165" t="s">
        <v>265</v>
      </c>
      <c r="NI784" s="153"/>
      <c r="NJ784" s="153"/>
      <c r="NK784" s="153"/>
      <c r="NL784" s="153"/>
      <c r="NM784" s="153"/>
      <c r="NN784" s="153"/>
      <c r="NO784" s="153"/>
      <c r="NP784" s="153" t="s">
        <v>64</v>
      </c>
      <c r="NQ784" s="166" t="s">
        <v>6</v>
      </c>
      <c r="NR784" s="97">
        <v>194.2</v>
      </c>
      <c r="NS784" s="166" t="s">
        <v>4</v>
      </c>
      <c r="NT784" s="97">
        <v>1.5</v>
      </c>
      <c r="NU784" s="180"/>
      <c r="NV784" s="89"/>
      <c r="NW784" s="153">
        <v>4</v>
      </c>
      <c r="NX784" s="89"/>
      <c r="NY784" s="89"/>
      <c r="NZ784" s="89"/>
      <c r="OA784" s="89"/>
      <c r="OB784" s="89"/>
      <c r="OC784" s="89"/>
      <c r="OD784" s="89"/>
      <c r="OE784" s="89"/>
      <c r="OF784" s="89"/>
      <c r="OG784" s="89"/>
      <c r="OH784" s="153" t="s">
        <v>2248</v>
      </c>
      <c r="OI784" s="89"/>
      <c r="OJ784" s="89">
        <v>2007</v>
      </c>
      <c r="OK784" s="89"/>
      <c r="OL784" s="89"/>
      <c r="OM784" s="89" t="s">
        <v>1</v>
      </c>
      <c r="ON784" s="89"/>
      <c r="OO784" t="s">
        <v>1178</v>
      </c>
      <c r="OP784" s="58">
        <v>46134</v>
      </c>
    </row>
    <row r="785" spans="1:406" ht="15.75" thickBot="1">
      <c r="A785" t="s">
        <v>248</v>
      </c>
      <c r="B785" t="s">
        <v>2238</v>
      </c>
      <c r="C785" s="89" t="s">
        <v>34</v>
      </c>
      <c r="D785" s="152" t="s">
        <v>1955</v>
      </c>
      <c r="E785" s="89" t="s">
        <v>1676</v>
      </c>
      <c r="F785" t="s">
        <v>31</v>
      </c>
      <c r="G785" s="89" t="s">
        <v>2</v>
      </c>
      <c r="H785" s="152" t="s">
        <v>30</v>
      </c>
      <c r="I785">
        <v>-0.41666666699999999</v>
      </c>
      <c r="J785">
        <v>34.200000000000003</v>
      </c>
      <c r="K785" s="152" t="s">
        <v>29</v>
      </c>
      <c r="L785" s="2"/>
      <c r="M785" s="99"/>
      <c r="N785" s="2"/>
      <c r="O785" s="89"/>
      <c r="P785" s="2"/>
      <c r="Q785" s="2"/>
      <c r="R785" s="89"/>
      <c r="S785" s="89"/>
      <c r="T785" s="89"/>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89" t="s">
        <v>2239</v>
      </c>
      <c r="AW785" s="89">
        <v>64</v>
      </c>
      <c r="AX785" s="89">
        <v>0.09</v>
      </c>
      <c r="AY785" s="89">
        <v>1</v>
      </c>
      <c r="AZ785" s="153" t="s">
        <v>2240</v>
      </c>
      <c r="BA785" s="153">
        <v>2007</v>
      </c>
      <c r="BB785" s="153">
        <v>2008</v>
      </c>
      <c r="BC785" s="153" t="s">
        <v>1</v>
      </c>
      <c r="BD785" s="2"/>
      <c r="BE785" s="2" t="s">
        <v>2249</v>
      </c>
      <c r="BF785" s="2" t="s">
        <v>64</v>
      </c>
      <c r="BG785" s="153" t="s">
        <v>1243</v>
      </c>
      <c r="BH785" s="2" t="s">
        <v>2242</v>
      </c>
      <c r="BI785" s="153" t="s">
        <v>29</v>
      </c>
      <c r="BJ785" s="154" t="s">
        <v>22</v>
      </c>
      <c r="BK785" s="155">
        <v>55500</v>
      </c>
      <c r="BL785" s="2" t="s">
        <v>56</v>
      </c>
      <c r="BM785" t="s">
        <v>2250</v>
      </c>
      <c r="BN785" s="153" t="s">
        <v>29</v>
      </c>
      <c r="BO785" s="2" t="s">
        <v>22</v>
      </c>
      <c r="BP785" s="2">
        <v>55000</v>
      </c>
      <c r="BQ785" s="2"/>
      <c r="BR785" s="2"/>
      <c r="BS785" s="2"/>
      <c r="BT785" s="2"/>
      <c r="BU785" s="2"/>
      <c r="BV785" s="2"/>
      <c r="BW785" s="3"/>
      <c r="BX785" s="3"/>
      <c r="BY785" s="3"/>
      <c r="BZ785" s="3"/>
      <c r="CA785" s="3"/>
      <c r="CB785" s="3"/>
      <c r="CC785" s="3"/>
      <c r="CD785" s="3"/>
      <c r="CE785" s="3"/>
      <c r="CF785" s="3"/>
      <c r="CG785" s="3"/>
      <c r="CH785" s="3"/>
      <c r="CI785" s="3"/>
      <c r="CJ785" s="3"/>
      <c r="CK785" s="3"/>
      <c r="CL785" s="3"/>
      <c r="CM785" s="3"/>
      <c r="CN785" s="3"/>
      <c r="CO785" s="3"/>
      <c r="CP785" s="3"/>
      <c r="CQ785" s="3"/>
      <c r="CR785" s="3"/>
      <c r="CS785" s="3"/>
      <c r="CT785" s="3"/>
      <c r="CU785" s="3"/>
      <c r="CV785" s="3"/>
      <c r="CW785" s="3"/>
      <c r="CX785" s="3"/>
      <c r="CY785" s="3"/>
      <c r="CZ785" s="3"/>
      <c r="DA785" s="3"/>
      <c r="DB785" s="3"/>
      <c r="DC785" s="3"/>
      <c r="DD785" s="3"/>
      <c r="DE785" s="3"/>
      <c r="DF785" s="3"/>
      <c r="DG785" s="3"/>
      <c r="DH785" s="3"/>
      <c r="DI785" s="3"/>
      <c r="DJ785" s="3"/>
      <c r="DK785" s="3"/>
      <c r="DL785" s="3"/>
      <c r="DM785" s="3"/>
      <c r="DN785" s="3"/>
      <c r="DO785" s="3"/>
      <c r="DP785" s="3"/>
      <c r="DQ785" s="3"/>
      <c r="DR785" s="3"/>
      <c r="DS785" s="3"/>
      <c r="DT785" s="3"/>
      <c r="DU785" s="3"/>
      <c r="DV785" s="3"/>
      <c r="DW785" s="3"/>
      <c r="DX785" s="3"/>
      <c r="DY785" s="3"/>
      <c r="DZ785" s="3"/>
      <c r="EA785" s="3"/>
      <c r="EB785" s="3"/>
      <c r="EC785" s="3"/>
      <c r="ED785" s="3"/>
      <c r="EE785" s="2"/>
      <c r="EF785" s="2"/>
      <c r="EG785" s="2"/>
      <c r="EH785" s="2"/>
      <c r="EI785" s="2"/>
      <c r="EJ785" s="2"/>
      <c r="EK785" s="2"/>
      <c r="EL785" s="2"/>
      <c r="EM785" s="3"/>
      <c r="EN785" s="3"/>
      <c r="EO785" s="3"/>
      <c r="EP785" s="3"/>
      <c r="EQ785" s="3"/>
      <c r="ER785" s="3"/>
      <c r="ES785" s="3"/>
      <c r="ET785" s="3"/>
      <c r="EU785" s="3"/>
      <c r="EV785" s="3"/>
      <c r="EW785" s="3"/>
      <c r="EX785" s="3"/>
      <c r="EY785" s="3"/>
      <c r="EZ785" s="3"/>
      <c r="FA785" s="3"/>
      <c r="FB785" s="3"/>
      <c r="FC785" s="3"/>
      <c r="FD785" s="3"/>
      <c r="FE785" s="3"/>
      <c r="FF785" s="3"/>
      <c r="FG785" s="3"/>
      <c r="FH785" s="3"/>
      <c r="FI785" s="3"/>
      <c r="FJ785" s="3"/>
      <c r="FK785" s="3"/>
      <c r="FL785" s="3"/>
      <c r="FM785" s="3"/>
      <c r="FN785" s="3"/>
      <c r="FO785" s="3"/>
      <c r="FP785" s="3"/>
      <c r="FQ785" s="3"/>
      <c r="FR785" s="3"/>
      <c r="FS785" s="3"/>
      <c r="FT785" s="3"/>
      <c r="FU785" s="3"/>
      <c r="FV785" s="3"/>
      <c r="FW785" s="3"/>
      <c r="FX785" s="3"/>
      <c r="FY785" s="3"/>
      <c r="FZ785" s="3"/>
      <c r="GA785" s="3"/>
      <c r="GB785" s="3"/>
      <c r="GC785" s="3"/>
      <c r="GD785" s="3"/>
      <c r="GE785" s="3"/>
      <c r="GF785" s="3"/>
      <c r="GG785" s="3"/>
      <c r="GH785" s="3"/>
      <c r="GI785" s="3"/>
      <c r="GJ785" s="3"/>
      <c r="GK785" s="3"/>
      <c r="GL785" s="3"/>
      <c r="GM785" s="3"/>
      <c r="GN785" s="3"/>
      <c r="GO785" s="3"/>
      <c r="GP785" s="3"/>
      <c r="GQ785" s="3"/>
      <c r="GR785" s="3"/>
      <c r="GS785" s="3"/>
      <c r="GT785" s="3"/>
      <c r="GU785" s="3"/>
      <c r="GV785" s="3"/>
      <c r="GW785" s="3"/>
      <c r="GX785" s="3"/>
      <c r="GY785" s="3"/>
      <c r="GZ785" s="3"/>
      <c r="HA785" s="3"/>
      <c r="HB785" s="3"/>
      <c r="HC785" s="3"/>
      <c r="HD785" s="3"/>
      <c r="HE785" s="3"/>
      <c r="HF785" s="3"/>
      <c r="HG785" s="3"/>
      <c r="HH785" s="3"/>
      <c r="HI785" s="3"/>
      <c r="HJ785" s="3"/>
      <c r="HK785" s="3"/>
      <c r="HL785" s="2"/>
      <c r="HM785" s="2"/>
      <c r="HN785" s="2"/>
      <c r="HO785" s="2"/>
      <c r="HP785" s="2"/>
      <c r="HQ785" s="2"/>
      <c r="HR785" s="2"/>
      <c r="HS785" s="2"/>
      <c r="HT785" s="99"/>
      <c r="HU785" s="2"/>
      <c r="HV785" s="2"/>
      <c r="HW785" s="2"/>
      <c r="HX785" s="2"/>
      <c r="HY785" s="2"/>
      <c r="HZ785" s="2"/>
      <c r="IA785" s="2"/>
      <c r="IB785" s="2"/>
      <c r="IC785" s="2"/>
      <c r="ID785" s="2"/>
      <c r="IE785" s="2"/>
      <c r="IF785" s="2"/>
      <c r="IG785" s="153" t="s">
        <v>2243</v>
      </c>
      <c r="IH785" s="168" t="s">
        <v>1453</v>
      </c>
      <c r="II785" s="169" t="s">
        <v>1477</v>
      </c>
      <c r="IJ785" s="170" t="s">
        <v>661</v>
      </c>
      <c r="IK785" s="2">
        <v>2007</v>
      </c>
      <c r="IL785" s="2" t="s">
        <v>62</v>
      </c>
      <c r="IM785" s="2" t="s">
        <v>29</v>
      </c>
      <c r="IP785" s="2"/>
      <c r="IQ785" s="2"/>
      <c r="IR785" s="2"/>
      <c r="IS785" s="2"/>
      <c r="IT785" s="2"/>
      <c r="IU785" s="2"/>
      <c r="IV785" s="2"/>
      <c r="IW785" s="2"/>
      <c r="IX785" s="2"/>
      <c r="IY785" s="2"/>
      <c r="IZ785" s="2"/>
      <c r="JA785" s="2"/>
      <c r="JB785" s="2"/>
      <c r="JC785" s="2"/>
      <c r="JD785" s="2"/>
      <c r="JE785" s="2"/>
      <c r="JF785" s="2"/>
      <c r="JG785" s="2"/>
      <c r="JH785" s="2"/>
      <c r="JI785" s="2"/>
      <c r="JJ785" s="2"/>
      <c r="JK785" s="159" t="s">
        <v>14</v>
      </c>
      <c r="JL785" s="160" t="s">
        <v>1682</v>
      </c>
      <c r="JM785" s="99"/>
      <c r="JQ785" s="2"/>
      <c r="JR785" s="2"/>
      <c r="JS785" s="2"/>
      <c r="JT785" s="2"/>
      <c r="JU785" s="2"/>
      <c r="JV785" s="2"/>
      <c r="JW785" s="2"/>
      <c r="JX785" s="161"/>
      <c r="JY785" s="171"/>
      <c r="JZ785" s="99"/>
      <c r="KA785" s="2"/>
      <c r="KB785" s="99"/>
      <c r="KC785" s="2"/>
      <c r="KD785" s="2"/>
      <c r="KE785" s="2"/>
      <c r="KF785" s="99"/>
      <c r="KG785" s="2"/>
      <c r="KH785" s="168"/>
      <c r="KI785" s="172"/>
      <c r="KJ785" s="2"/>
      <c r="KK785" s="2"/>
      <c r="KL785" s="2"/>
      <c r="KM785" s="2"/>
      <c r="KN785" s="99"/>
      <c r="KO785" s="2"/>
      <c r="KP785" s="168"/>
      <c r="KQ785" s="172"/>
      <c r="KR785" s="2"/>
      <c r="KS785" s="2"/>
      <c r="KT785" s="163"/>
      <c r="KU785" s="181"/>
      <c r="KV785" s="2"/>
      <c r="KW785" s="2"/>
      <c r="KX785" s="2"/>
      <c r="KY785" s="3"/>
      <c r="KZ785" s="3"/>
      <c r="LA785" s="3"/>
      <c r="LB785" s="3"/>
      <c r="LC785" s="99"/>
      <c r="LD785" s="99"/>
      <c r="LE785" s="99"/>
      <c r="LF785" s="99"/>
      <c r="LG785" s="99"/>
      <c r="LH785" s="2"/>
      <c r="LI785" s="99"/>
      <c r="LJ785" s="99"/>
      <c r="LK785" s="99"/>
      <c r="LL785" s="2"/>
      <c r="LM785" s="2"/>
      <c r="LN785" s="2"/>
      <c r="LO785" s="2"/>
      <c r="LP785" s="2"/>
      <c r="LQ785" s="2"/>
      <c r="LR785" s="2"/>
      <c r="LS785" s="2"/>
      <c r="LT785" s="2"/>
      <c r="LU785" s="2"/>
      <c r="LV785" s="2"/>
      <c r="LW785" s="2"/>
      <c r="LX785" s="2"/>
      <c r="LY785" s="2"/>
      <c r="LZ785" s="2"/>
      <c r="MA785" s="2"/>
      <c r="MB785" s="2"/>
      <c r="MC785" s="2"/>
      <c r="MD785" s="2"/>
      <c r="ME785" s="2"/>
      <c r="MF785" s="2"/>
      <c r="MG785" s="2"/>
      <c r="MH785" s="2"/>
      <c r="MI785" s="2"/>
      <c r="MJ785" s="2"/>
      <c r="MK785" s="2"/>
      <c r="ML785" s="2"/>
      <c r="MM785" s="2"/>
      <c r="MN785" s="2"/>
      <c r="MO785" s="2"/>
      <c r="MP785" s="2"/>
      <c r="MQ785" s="2"/>
      <c r="MR785" s="2"/>
      <c r="MS785" s="153" t="s">
        <v>2244</v>
      </c>
      <c r="MT785" s="89">
        <v>64</v>
      </c>
      <c r="MU785" s="164"/>
      <c r="MV785" s="164"/>
      <c r="MW785" s="164"/>
      <c r="MX785" s="164"/>
      <c r="MY785" s="164"/>
      <c r="MZ785" s="164"/>
      <c r="NA785" s="164"/>
      <c r="NB785" s="164"/>
      <c r="NC785" s="164"/>
      <c r="ND785" s="153" t="s">
        <v>2245</v>
      </c>
      <c r="NE785" s="153" t="s">
        <v>2246</v>
      </c>
      <c r="NF785" s="153" t="s">
        <v>2247</v>
      </c>
      <c r="NG785" s="153" t="s">
        <v>671</v>
      </c>
      <c r="NH785" s="165" t="s">
        <v>265</v>
      </c>
      <c r="NI785" s="153"/>
      <c r="NJ785" s="153"/>
      <c r="NK785" s="153"/>
      <c r="NL785" s="153"/>
      <c r="NM785" s="153"/>
      <c r="NN785" s="153"/>
      <c r="NO785" s="153"/>
      <c r="NP785" s="153"/>
      <c r="NQ785" s="166" t="s">
        <v>6</v>
      </c>
      <c r="NR785" s="173">
        <v>288.3</v>
      </c>
      <c r="NS785" s="166" t="s">
        <v>4</v>
      </c>
      <c r="NT785" s="173">
        <v>2.1</v>
      </c>
      <c r="NU785" s="174"/>
      <c r="NV785" s="2"/>
      <c r="NW785" s="153">
        <v>4</v>
      </c>
      <c r="NX785" s="2"/>
      <c r="NY785" s="2"/>
      <c r="NZ785" s="2"/>
      <c r="OA785" s="2"/>
      <c r="OB785" s="2"/>
      <c r="OC785" s="2"/>
      <c r="OD785" s="2"/>
      <c r="OE785" s="2"/>
      <c r="OF785" s="2"/>
      <c r="OG785" s="2"/>
      <c r="OH785" s="153" t="s">
        <v>2248</v>
      </c>
      <c r="OI785" s="2"/>
      <c r="OJ785" s="2">
        <v>2007</v>
      </c>
      <c r="OK785" s="2"/>
      <c r="OL785" s="2"/>
      <c r="OM785" s="2" t="s">
        <v>1</v>
      </c>
      <c r="ON785" s="2"/>
      <c r="OO785" t="s">
        <v>1178</v>
      </c>
      <c r="OP785" s="58">
        <v>46134</v>
      </c>
    </row>
    <row r="786" spans="1:406" ht="15.75" thickBot="1">
      <c r="A786" t="s">
        <v>248</v>
      </c>
      <c r="B786" t="s">
        <v>2238</v>
      </c>
      <c r="C786" s="89" t="s">
        <v>34</v>
      </c>
      <c r="D786" s="152" t="s">
        <v>1955</v>
      </c>
      <c r="E786" s="89" t="s">
        <v>1676</v>
      </c>
      <c r="F786" t="s">
        <v>31</v>
      </c>
      <c r="G786" s="89" t="s">
        <v>2</v>
      </c>
      <c r="H786" s="152" t="s">
        <v>30</v>
      </c>
      <c r="I786">
        <v>-0.41666666699999999</v>
      </c>
      <c r="J786">
        <v>34.200000000000003</v>
      </c>
      <c r="K786" s="152" t="s">
        <v>29</v>
      </c>
      <c r="L786" s="89"/>
      <c r="M786" s="152"/>
      <c r="N786" s="89"/>
      <c r="O786" s="89"/>
      <c r="P786" s="89"/>
      <c r="Q786" s="89"/>
      <c r="R786" s="89"/>
      <c r="S786" s="89"/>
      <c r="T786" s="89"/>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89" t="s">
        <v>2239</v>
      </c>
      <c r="AW786" s="89">
        <v>64</v>
      </c>
      <c r="AX786" s="89">
        <v>0.09</v>
      </c>
      <c r="AY786" s="89">
        <v>1</v>
      </c>
      <c r="AZ786" s="153" t="s">
        <v>2240</v>
      </c>
      <c r="BA786" s="153">
        <v>2007</v>
      </c>
      <c r="BB786" s="153">
        <v>2008</v>
      </c>
      <c r="BC786" s="153" t="s">
        <v>62</v>
      </c>
      <c r="BD786" s="89"/>
      <c r="BE786" s="153" t="s">
        <v>2241</v>
      </c>
      <c r="BF786" s="153" t="s">
        <v>39</v>
      </c>
      <c r="BG786" s="153" t="s">
        <v>1243</v>
      </c>
      <c r="BH786" s="153" t="s">
        <v>2242</v>
      </c>
      <c r="BI786" s="153" t="s">
        <v>29</v>
      </c>
      <c r="BJ786" s="154" t="s">
        <v>22</v>
      </c>
      <c r="BK786" s="155">
        <v>111000</v>
      </c>
      <c r="BL786" s="89"/>
      <c r="BM786" s="89"/>
      <c r="BN786" s="89"/>
      <c r="BO786" s="152"/>
      <c r="BP786" s="175"/>
      <c r="BQ786" s="89"/>
      <c r="BR786" s="89"/>
      <c r="BS786" s="89"/>
      <c r="BT786" s="152"/>
      <c r="BU786" s="175"/>
      <c r="BV786" s="89"/>
      <c r="BW786" s="3"/>
      <c r="BX786" s="3"/>
      <c r="BY786" s="3"/>
      <c r="BZ786" s="3"/>
      <c r="CA786" s="3"/>
      <c r="CB786" s="3"/>
      <c r="CC786" s="3"/>
      <c r="CD786" s="3"/>
      <c r="CE786" s="3"/>
      <c r="CF786" s="3"/>
      <c r="CG786" s="3"/>
      <c r="CH786" s="3"/>
      <c r="CI786" s="3"/>
      <c r="CJ786" s="3"/>
      <c r="CK786" s="3"/>
      <c r="CL786" s="3"/>
      <c r="CM786" s="3"/>
      <c r="CN786" s="3"/>
      <c r="CO786" s="3"/>
      <c r="CP786" s="3"/>
      <c r="CQ786" s="3"/>
      <c r="CR786" s="3"/>
      <c r="CS786" s="3"/>
      <c r="CT786" s="3"/>
      <c r="CU786" s="3"/>
      <c r="CV786" s="3"/>
      <c r="CW786" s="3"/>
      <c r="CX786" s="3"/>
      <c r="CY786" s="3"/>
      <c r="CZ786" s="3"/>
      <c r="DA786" s="3"/>
      <c r="DB786" s="3"/>
      <c r="DC786" s="3"/>
      <c r="DD786" s="3"/>
      <c r="DE786" s="3"/>
      <c r="DF786" s="3"/>
      <c r="DG786" s="3"/>
      <c r="DH786" s="3"/>
      <c r="DI786" s="3"/>
      <c r="DJ786" s="3"/>
      <c r="DK786" s="3"/>
      <c r="DL786" s="3"/>
      <c r="DM786" s="3"/>
      <c r="DN786" s="3"/>
      <c r="DO786" s="3"/>
      <c r="DP786" s="3"/>
      <c r="DQ786" s="3"/>
      <c r="DR786" s="3"/>
      <c r="DS786" s="3"/>
      <c r="DT786" s="3"/>
      <c r="DU786" s="3"/>
      <c r="DV786" s="3"/>
      <c r="DW786" s="3"/>
      <c r="DX786" s="3"/>
      <c r="DY786" s="3"/>
      <c r="DZ786" s="3"/>
      <c r="EA786" s="3"/>
      <c r="EB786" s="3"/>
      <c r="EC786" s="3"/>
      <c r="ED786" s="3"/>
      <c r="EE786" s="89"/>
      <c r="EF786" s="89"/>
      <c r="EG786" s="89"/>
      <c r="EH786" s="89"/>
      <c r="EI786" s="89"/>
      <c r="EJ786" s="89"/>
      <c r="EK786" s="89"/>
      <c r="EL786" s="89"/>
      <c r="EM786" s="3"/>
      <c r="EN786" s="3"/>
      <c r="EO786" s="3"/>
      <c r="EP786" s="3"/>
      <c r="EQ786" s="3"/>
      <c r="ER786" s="3"/>
      <c r="ES786" s="3"/>
      <c r="ET786" s="3"/>
      <c r="EU786" s="3"/>
      <c r="EV786" s="3"/>
      <c r="EW786" s="3"/>
      <c r="EX786" s="3"/>
      <c r="EY786" s="3"/>
      <c r="EZ786" s="3"/>
      <c r="FA786" s="3"/>
      <c r="FB786" s="3"/>
      <c r="FC786" s="3"/>
      <c r="FD786" s="3"/>
      <c r="FE786" s="3"/>
      <c r="FF786" s="3"/>
      <c r="FG786" s="3"/>
      <c r="FH786" s="3"/>
      <c r="FI786" s="3"/>
      <c r="FJ786" s="3"/>
      <c r="FK786" s="3"/>
      <c r="FL786" s="3"/>
      <c r="FM786" s="3"/>
      <c r="FN786" s="3"/>
      <c r="FO786" s="3"/>
      <c r="FP786" s="3"/>
      <c r="FQ786" s="3"/>
      <c r="FR786" s="3"/>
      <c r="FS786" s="3"/>
      <c r="FT786" s="3"/>
      <c r="FU786" s="3"/>
      <c r="FV786" s="3"/>
      <c r="FW786" s="3"/>
      <c r="FX786" s="3"/>
      <c r="FY786" s="3"/>
      <c r="FZ786" s="3"/>
      <c r="GA786" s="3"/>
      <c r="GB786" s="3"/>
      <c r="GC786" s="3"/>
      <c r="GD786" s="3"/>
      <c r="GE786" s="3"/>
      <c r="GF786" s="3"/>
      <c r="GG786" s="3"/>
      <c r="GH786" s="3"/>
      <c r="GI786" s="3"/>
      <c r="GJ786" s="3"/>
      <c r="GK786" s="3"/>
      <c r="GL786" s="3"/>
      <c r="GM786" s="3"/>
      <c r="GN786" s="3"/>
      <c r="GO786" s="3"/>
      <c r="GP786" s="3"/>
      <c r="GQ786" s="3"/>
      <c r="GR786" s="3"/>
      <c r="GS786" s="3"/>
      <c r="GT786" s="3"/>
      <c r="GU786" s="3"/>
      <c r="GV786" s="3"/>
      <c r="GW786" s="3"/>
      <c r="GX786" s="3"/>
      <c r="GY786" s="3"/>
      <c r="GZ786" s="3"/>
      <c r="HA786" s="3"/>
      <c r="HB786" s="3"/>
      <c r="HC786" s="3"/>
      <c r="HD786" s="3"/>
      <c r="HE786" s="3"/>
      <c r="HF786" s="3"/>
      <c r="HG786" s="3"/>
      <c r="HH786" s="3"/>
      <c r="HI786" s="3"/>
      <c r="HJ786" s="3"/>
      <c r="HK786" s="3"/>
      <c r="HL786" s="89"/>
      <c r="HM786" s="89"/>
      <c r="HN786" s="89"/>
      <c r="HO786" s="89"/>
      <c r="HP786" s="89"/>
      <c r="HQ786" s="89"/>
      <c r="HR786" s="89"/>
      <c r="HS786" s="89"/>
      <c r="HT786" s="152"/>
      <c r="HU786" s="89"/>
      <c r="HV786" s="89"/>
      <c r="HW786" s="89"/>
      <c r="HX786" s="89"/>
      <c r="HY786" s="89"/>
      <c r="HZ786" s="89"/>
      <c r="IA786" s="89"/>
      <c r="IB786" s="89"/>
      <c r="IC786" s="89"/>
      <c r="ID786" s="89"/>
      <c r="IE786" s="89"/>
      <c r="IF786" s="89"/>
      <c r="IG786" s="153" t="s">
        <v>2243</v>
      </c>
      <c r="IH786" s="157" t="s">
        <v>19</v>
      </c>
      <c r="II786" s="89"/>
      <c r="IJ786" s="89"/>
      <c r="IK786" s="89"/>
      <c r="IL786" s="89"/>
      <c r="IM786" s="89"/>
      <c r="IP786" s="89"/>
      <c r="IQ786" s="89"/>
      <c r="IR786" s="89"/>
      <c r="IS786" s="89"/>
      <c r="IT786" s="89"/>
      <c r="IU786" s="89"/>
      <c r="IV786" s="152"/>
      <c r="IW786" s="89"/>
      <c r="IX786" s="89"/>
      <c r="IY786" s="89"/>
      <c r="IZ786" s="89"/>
      <c r="JA786" s="89"/>
      <c r="JB786" s="89"/>
      <c r="JC786" s="89"/>
      <c r="JD786" s="89"/>
      <c r="JE786" s="89"/>
      <c r="JF786" s="89"/>
      <c r="JG786" s="89"/>
      <c r="JH786" s="89"/>
      <c r="JI786" s="89"/>
      <c r="JJ786" s="89"/>
      <c r="JK786" s="159" t="s">
        <v>14</v>
      </c>
      <c r="JL786" s="160" t="s">
        <v>1682</v>
      </c>
      <c r="JM786" s="152"/>
      <c r="JQ786" s="89"/>
      <c r="JR786" s="89"/>
      <c r="JS786" s="89"/>
      <c r="JT786" s="89"/>
      <c r="JU786" s="89"/>
      <c r="JV786" s="89"/>
      <c r="JW786" s="89"/>
      <c r="JX786" s="161"/>
      <c r="JY786" s="159"/>
      <c r="JZ786" s="152"/>
      <c r="KA786" s="89"/>
      <c r="KB786" s="152"/>
      <c r="KC786" s="89"/>
      <c r="KD786" s="89"/>
      <c r="KE786" s="89"/>
      <c r="KF786" s="152"/>
      <c r="KG786" s="89"/>
      <c r="KH786" s="157"/>
      <c r="KI786" s="178"/>
      <c r="KJ786" s="89"/>
      <c r="KK786" s="89"/>
      <c r="KL786" s="89"/>
      <c r="KM786" s="89"/>
      <c r="KN786" s="152"/>
      <c r="KO786" s="89"/>
      <c r="KP786" s="182"/>
      <c r="KQ786" s="159"/>
      <c r="KR786" s="89"/>
      <c r="KS786" s="89"/>
      <c r="KT786" s="163"/>
      <c r="KU786" s="178"/>
      <c r="KV786" s="89"/>
      <c r="KW786" s="89"/>
      <c r="KX786" s="89"/>
      <c r="KY786" s="3"/>
      <c r="KZ786" s="3"/>
      <c r="LA786" s="3"/>
      <c r="LB786" s="3"/>
      <c r="LC786" s="152"/>
      <c r="LD786" s="152"/>
      <c r="LE786" s="152"/>
      <c r="LF786" s="152"/>
      <c r="LG786" s="152"/>
      <c r="LH786" s="89"/>
      <c r="LI786" s="152"/>
      <c r="LJ786" s="152"/>
      <c r="LK786" s="152"/>
      <c r="LL786" s="89"/>
      <c r="LM786" s="89"/>
      <c r="LN786" s="89"/>
      <c r="LO786" s="89"/>
      <c r="LP786" s="89"/>
      <c r="LQ786" s="89"/>
      <c r="LR786" s="89"/>
      <c r="LS786" s="89"/>
      <c r="LT786" s="89"/>
      <c r="LU786" s="89"/>
      <c r="LV786" s="89"/>
      <c r="LW786" s="89"/>
      <c r="LX786" s="89"/>
      <c r="LY786" s="89"/>
      <c r="LZ786" s="89"/>
      <c r="MA786" s="89"/>
      <c r="MB786" s="89"/>
      <c r="MC786" s="89"/>
      <c r="MD786" s="89"/>
      <c r="ME786" s="89"/>
      <c r="MF786" s="89"/>
      <c r="MG786" s="89"/>
      <c r="MH786" s="89"/>
      <c r="MI786" s="89"/>
      <c r="MJ786" s="89"/>
      <c r="MK786" s="89"/>
      <c r="ML786" s="89"/>
      <c r="MM786" s="89"/>
      <c r="MN786" s="89"/>
      <c r="MO786" s="89"/>
      <c r="MP786" s="89"/>
      <c r="MQ786" s="89"/>
      <c r="MR786" s="89"/>
      <c r="MS786" s="153" t="s">
        <v>2244</v>
      </c>
      <c r="MT786" s="89">
        <v>64</v>
      </c>
      <c r="MU786" s="164"/>
      <c r="MV786" s="164"/>
      <c r="MW786" s="164"/>
      <c r="MX786" s="164"/>
      <c r="MY786" s="164"/>
      <c r="MZ786" s="164"/>
      <c r="NA786" s="164"/>
      <c r="NB786" s="164"/>
      <c r="NC786" s="164"/>
      <c r="ND786" s="153" t="s">
        <v>2245</v>
      </c>
      <c r="NE786" s="153" t="s">
        <v>2246</v>
      </c>
      <c r="NF786" s="153" t="s">
        <v>2247</v>
      </c>
      <c r="NG786" s="153" t="s">
        <v>671</v>
      </c>
      <c r="NH786" s="165" t="s">
        <v>265</v>
      </c>
      <c r="NI786" s="153"/>
      <c r="NJ786" s="153"/>
      <c r="NK786" s="153"/>
      <c r="NL786" s="153"/>
      <c r="NM786" s="153"/>
      <c r="NN786" s="153"/>
      <c r="NO786" s="153"/>
      <c r="NP786" s="153" t="s">
        <v>64</v>
      </c>
      <c r="NQ786" s="166" t="s">
        <v>6</v>
      </c>
      <c r="NR786" s="97">
        <v>185</v>
      </c>
      <c r="NS786" s="166" t="s">
        <v>4</v>
      </c>
      <c r="NT786" s="97">
        <v>2.1</v>
      </c>
      <c r="NU786" s="180"/>
      <c r="NV786" s="89"/>
      <c r="NW786" s="153">
        <v>4</v>
      </c>
      <c r="NX786" s="89"/>
      <c r="NY786" s="89"/>
      <c r="NZ786" s="89"/>
      <c r="OA786" s="89"/>
      <c r="OB786" s="89"/>
      <c r="OC786" s="89"/>
      <c r="OD786" s="89"/>
      <c r="OE786" s="89"/>
      <c r="OF786" s="89"/>
      <c r="OG786" s="89"/>
      <c r="OH786" s="153" t="s">
        <v>2248</v>
      </c>
      <c r="OI786" s="89"/>
      <c r="OJ786" s="89">
        <v>2008</v>
      </c>
      <c r="OK786" s="89"/>
      <c r="OL786" s="89"/>
      <c r="OM786" s="153" t="s">
        <v>62</v>
      </c>
      <c r="ON786" s="89"/>
      <c r="OO786" t="s">
        <v>1178</v>
      </c>
      <c r="OP786" s="58">
        <v>46134</v>
      </c>
    </row>
    <row r="787" spans="1:406" ht="15.75" thickBot="1">
      <c r="A787" t="s">
        <v>248</v>
      </c>
      <c r="B787" t="s">
        <v>2238</v>
      </c>
      <c r="C787" s="89" t="s">
        <v>34</v>
      </c>
      <c r="D787" s="152" t="s">
        <v>1955</v>
      </c>
      <c r="E787" s="89" t="s">
        <v>1676</v>
      </c>
      <c r="F787" t="s">
        <v>31</v>
      </c>
      <c r="G787" s="89" t="s">
        <v>2</v>
      </c>
      <c r="H787" s="152" t="s">
        <v>30</v>
      </c>
      <c r="I787">
        <v>-0.41666666699999999</v>
      </c>
      <c r="J787">
        <v>34.200000000000003</v>
      </c>
      <c r="K787" s="152" t="s">
        <v>29</v>
      </c>
      <c r="L787" s="2"/>
      <c r="M787" s="99"/>
      <c r="N787" s="2"/>
      <c r="O787" s="89"/>
      <c r="P787" s="2"/>
      <c r="Q787" s="2"/>
      <c r="R787" s="89"/>
      <c r="S787" s="89"/>
      <c r="T787" s="89"/>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89" t="s">
        <v>2239</v>
      </c>
      <c r="AW787" s="89">
        <v>64</v>
      </c>
      <c r="AX787" s="89">
        <v>0.09</v>
      </c>
      <c r="AY787" s="89">
        <v>1</v>
      </c>
      <c r="AZ787" s="153" t="s">
        <v>2240</v>
      </c>
      <c r="BA787" s="153">
        <v>2007</v>
      </c>
      <c r="BB787" s="153">
        <v>2008</v>
      </c>
      <c r="BC787" s="153" t="s">
        <v>62</v>
      </c>
      <c r="BD787" s="2"/>
      <c r="BE787" s="2" t="s">
        <v>2249</v>
      </c>
      <c r="BF787" s="2" t="s">
        <v>64</v>
      </c>
      <c r="BG787" s="153" t="s">
        <v>1243</v>
      </c>
      <c r="BH787" s="2" t="s">
        <v>2242</v>
      </c>
      <c r="BI787" s="153" t="s">
        <v>29</v>
      </c>
      <c r="BJ787" s="154" t="s">
        <v>22</v>
      </c>
      <c r="BK787" s="155">
        <v>55500</v>
      </c>
      <c r="BL787" s="2" t="s">
        <v>56</v>
      </c>
      <c r="BM787" t="s">
        <v>2250</v>
      </c>
      <c r="BN787" s="153" t="s">
        <v>29</v>
      </c>
      <c r="BO787" s="2" t="s">
        <v>22</v>
      </c>
      <c r="BP787" s="2">
        <v>55000</v>
      </c>
      <c r="BQ787" s="2"/>
      <c r="BR787" s="2"/>
      <c r="BS787" s="2"/>
      <c r="BT787" s="99"/>
      <c r="BU787" s="2"/>
      <c r="BV787" s="2"/>
      <c r="BW787" s="3"/>
      <c r="BX787" s="3"/>
      <c r="BY787" s="3"/>
      <c r="BZ787" s="3"/>
      <c r="CA787" s="3"/>
      <c r="CB787" s="3"/>
      <c r="CC787" s="3"/>
      <c r="CD787" s="3"/>
      <c r="CE787" s="3"/>
      <c r="CF787" s="3"/>
      <c r="CG787" s="3"/>
      <c r="CH787" s="3"/>
      <c r="CI787" s="3"/>
      <c r="CJ787" s="3"/>
      <c r="CK787" s="3"/>
      <c r="CL787" s="3"/>
      <c r="CM787" s="3"/>
      <c r="CN787" s="3"/>
      <c r="CO787" s="3"/>
      <c r="CP787" s="3"/>
      <c r="CQ787" s="3"/>
      <c r="CR787" s="3"/>
      <c r="CS787" s="3"/>
      <c r="CT787" s="3"/>
      <c r="CU787" s="3"/>
      <c r="CV787" s="3"/>
      <c r="CW787" s="3"/>
      <c r="CX787" s="3"/>
      <c r="CY787" s="3"/>
      <c r="CZ787" s="3"/>
      <c r="DA787" s="3"/>
      <c r="DB787" s="3"/>
      <c r="DC787" s="3"/>
      <c r="DD787" s="3"/>
      <c r="DE787" s="3"/>
      <c r="DF787" s="3"/>
      <c r="DG787" s="3"/>
      <c r="DH787" s="3"/>
      <c r="DI787" s="3"/>
      <c r="DJ787" s="3"/>
      <c r="DK787" s="3"/>
      <c r="DL787" s="3"/>
      <c r="DM787" s="3"/>
      <c r="DN787" s="3"/>
      <c r="DO787" s="3"/>
      <c r="DP787" s="3"/>
      <c r="DQ787" s="3"/>
      <c r="DR787" s="3"/>
      <c r="DS787" s="3"/>
      <c r="DT787" s="3"/>
      <c r="DU787" s="3"/>
      <c r="DV787" s="3"/>
      <c r="DW787" s="3"/>
      <c r="DX787" s="3"/>
      <c r="DY787" s="3"/>
      <c r="DZ787" s="3"/>
      <c r="EA787" s="3"/>
      <c r="EB787" s="3"/>
      <c r="EC787" s="3"/>
      <c r="ED787" s="3"/>
      <c r="EE787" s="2"/>
      <c r="EF787" s="2"/>
      <c r="EG787" s="2"/>
      <c r="EH787" s="2"/>
      <c r="EI787" s="2"/>
      <c r="EJ787" s="2"/>
      <c r="EK787" s="2"/>
      <c r="EL787" s="2"/>
      <c r="EM787" s="3"/>
      <c r="EN787" s="3"/>
      <c r="EO787" s="3"/>
      <c r="EP787" s="3"/>
      <c r="EQ787" s="3"/>
      <c r="ER787" s="3"/>
      <c r="ES787" s="3"/>
      <c r="ET787" s="3"/>
      <c r="EU787" s="3"/>
      <c r="EV787" s="3"/>
      <c r="EW787" s="3"/>
      <c r="EX787" s="3"/>
      <c r="EY787" s="3"/>
      <c r="EZ787" s="3"/>
      <c r="FA787" s="3"/>
      <c r="FB787" s="3"/>
      <c r="FC787" s="3"/>
      <c r="FD787" s="3"/>
      <c r="FE787" s="3"/>
      <c r="FF787" s="3"/>
      <c r="FG787" s="3"/>
      <c r="FH787" s="3"/>
      <c r="FI787" s="3"/>
      <c r="FJ787" s="3"/>
      <c r="FK787" s="3"/>
      <c r="FL787" s="3"/>
      <c r="FM787" s="3"/>
      <c r="FN787" s="3"/>
      <c r="FO787" s="3"/>
      <c r="FP787" s="3"/>
      <c r="FQ787" s="3"/>
      <c r="FR787" s="3"/>
      <c r="FS787" s="3"/>
      <c r="FT787" s="3"/>
      <c r="FU787" s="3"/>
      <c r="FV787" s="3"/>
      <c r="FW787" s="3"/>
      <c r="FX787" s="3"/>
      <c r="FY787" s="3"/>
      <c r="FZ787" s="3"/>
      <c r="GA787" s="3"/>
      <c r="GB787" s="3"/>
      <c r="GC787" s="3"/>
      <c r="GD787" s="3"/>
      <c r="GE787" s="3"/>
      <c r="GF787" s="3"/>
      <c r="GG787" s="3"/>
      <c r="GH787" s="3"/>
      <c r="GI787" s="3"/>
      <c r="GJ787" s="3"/>
      <c r="GK787" s="3"/>
      <c r="GL787" s="3"/>
      <c r="GM787" s="3"/>
      <c r="GN787" s="3"/>
      <c r="GO787" s="3"/>
      <c r="GP787" s="3"/>
      <c r="GQ787" s="3"/>
      <c r="GR787" s="3"/>
      <c r="GS787" s="3"/>
      <c r="GT787" s="3"/>
      <c r="GU787" s="3"/>
      <c r="GV787" s="3"/>
      <c r="GW787" s="3"/>
      <c r="GX787" s="3"/>
      <c r="GY787" s="3"/>
      <c r="GZ787" s="3"/>
      <c r="HA787" s="3"/>
      <c r="HB787" s="3"/>
      <c r="HC787" s="3"/>
      <c r="HD787" s="3"/>
      <c r="HE787" s="3"/>
      <c r="HF787" s="3"/>
      <c r="HG787" s="3"/>
      <c r="HH787" s="3"/>
      <c r="HI787" s="3"/>
      <c r="HJ787" s="3"/>
      <c r="HK787" s="3"/>
      <c r="HL787" s="2"/>
      <c r="HM787" s="2"/>
      <c r="HN787" s="2"/>
      <c r="HO787" s="2"/>
      <c r="HP787" s="2"/>
      <c r="HQ787" s="2"/>
      <c r="HR787" s="2"/>
      <c r="HS787" s="2"/>
      <c r="HT787" s="99"/>
      <c r="HU787" s="2"/>
      <c r="HV787" s="2"/>
      <c r="HW787" s="2"/>
      <c r="HX787" s="2"/>
      <c r="HY787" s="2"/>
      <c r="HZ787" s="2"/>
      <c r="IA787" s="2"/>
      <c r="IB787" s="2"/>
      <c r="IC787" s="2"/>
      <c r="ID787" s="2"/>
      <c r="IE787" s="2"/>
      <c r="IF787" s="2"/>
      <c r="IG787" s="153" t="s">
        <v>2243</v>
      </c>
      <c r="IH787" s="168" t="s">
        <v>1453</v>
      </c>
      <c r="II787" s="169" t="s">
        <v>1477</v>
      </c>
      <c r="IJ787" s="170" t="s">
        <v>661</v>
      </c>
      <c r="IK787" s="2">
        <v>2007</v>
      </c>
      <c r="IL787" s="2" t="s">
        <v>62</v>
      </c>
      <c r="IM787" s="2" t="s">
        <v>29</v>
      </c>
      <c r="IP787" s="2"/>
      <c r="IQ787" s="2"/>
      <c r="IR787" s="2"/>
      <c r="IS787" s="2"/>
      <c r="IT787" s="2"/>
      <c r="IU787" s="2"/>
      <c r="IV787" s="99"/>
      <c r="IW787" s="2"/>
      <c r="IX787" s="2"/>
      <c r="IY787" s="2"/>
      <c r="IZ787" s="2"/>
      <c r="JA787" s="2"/>
      <c r="JB787" s="2"/>
      <c r="JC787" s="2"/>
      <c r="JD787" s="2"/>
      <c r="JE787" s="2"/>
      <c r="JF787" s="2"/>
      <c r="JG787" s="2"/>
      <c r="JH787" s="2"/>
      <c r="JI787" s="2"/>
      <c r="JJ787" s="2"/>
      <c r="JK787" s="159" t="s">
        <v>14</v>
      </c>
      <c r="JL787" s="160" t="s">
        <v>1682</v>
      </c>
      <c r="JM787" s="99"/>
      <c r="JQ787" s="2"/>
      <c r="JR787" s="2"/>
      <c r="JS787" s="2"/>
      <c r="JT787" s="2"/>
      <c r="JU787" s="2"/>
      <c r="JV787" s="2"/>
      <c r="JW787" s="2"/>
      <c r="JX787" s="161"/>
      <c r="JY787" s="171"/>
      <c r="JZ787" s="99"/>
      <c r="KA787" s="2"/>
      <c r="KB787" s="99"/>
      <c r="KC787" s="2"/>
      <c r="KD787" s="2"/>
      <c r="KE787" s="2"/>
      <c r="KF787" s="99"/>
      <c r="KG787" s="2"/>
      <c r="KH787" s="168"/>
      <c r="KI787" s="172"/>
      <c r="KJ787" s="2"/>
      <c r="KK787" s="2"/>
      <c r="KL787" s="2"/>
      <c r="KM787" s="2"/>
      <c r="KN787" s="99"/>
      <c r="KO787" s="2"/>
      <c r="KP787" s="182"/>
      <c r="KQ787" s="171"/>
      <c r="KR787" s="2"/>
      <c r="KS787" s="2"/>
      <c r="KT787" s="163"/>
      <c r="KU787" s="172"/>
      <c r="KV787" s="2"/>
      <c r="KW787" s="2"/>
      <c r="KX787" s="2"/>
      <c r="KY787" s="3"/>
      <c r="KZ787" s="3"/>
      <c r="LA787" s="3"/>
      <c r="LB787" s="3"/>
      <c r="LC787" s="99"/>
      <c r="LD787" s="99"/>
      <c r="LE787" s="99"/>
      <c r="LF787" s="99"/>
      <c r="LG787" s="99"/>
      <c r="LH787" s="2"/>
      <c r="LI787" s="99"/>
      <c r="LJ787" s="99"/>
      <c r="LK787" s="99"/>
      <c r="LL787" s="2"/>
      <c r="LM787" s="2"/>
      <c r="LN787" s="2"/>
      <c r="LO787" s="2"/>
      <c r="LP787" s="2"/>
      <c r="LQ787" s="2"/>
      <c r="LR787" s="2"/>
      <c r="LS787" s="2"/>
      <c r="LT787" s="2"/>
      <c r="LU787" s="2"/>
      <c r="LV787" s="2"/>
      <c r="LW787" s="2"/>
      <c r="LX787" s="2"/>
      <c r="LY787" s="2"/>
      <c r="LZ787" s="2"/>
      <c r="MA787" s="2"/>
      <c r="MB787" s="2"/>
      <c r="MC787" s="2"/>
      <c r="MD787" s="2"/>
      <c r="ME787" s="2"/>
      <c r="MF787" s="2"/>
      <c r="MG787" s="2"/>
      <c r="MH787" s="2"/>
      <c r="MI787" s="2"/>
      <c r="MJ787" s="2"/>
      <c r="MK787" s="2"/>
      <c r="ML787" s="2"/>
      <c r="MM787" s="2"/>
      <c r="MN787" s="2"/>
      <c r="MO787" s="2"/>
      <c r="MP787" s="2"/>
      <c r="MQ787" s="2"/>
      <c r="MR787" s="2"/>
      <c r="MS787" s="153" t="s">
        <v>2244</v>
      </c>
      <c r="MT787" s="89">
        <v>64</v>
      </c>
      <c r="MU787" s="164"/>
      <c r="MV787" s="164"/>
      <c r="MW787" s="164"/>
      <c r="MX787" s="164"/>
      <c r="MY787" s="164"/>
      <c r="MZ787" s="164"/>
      <c r="NA787" s="164"/>
      <c r="NB787" s="164"/>
      <c r="NC787" s="164"/>
      <c r="ND787" s="153" t="s">
        <v>2245</v>
      </c>
      <c r="NE787" s="153" t="s">
        <v>2246</v>
      </c>
      <c r="NF787" s="153" t="s">
        <v>2247</v>
      </c>
      <c r="NG787" s="153" t="s">
        <v>671</v>
      </c>
      <c r="NH787" s="165" t="s">
        <v>265</v>
      </c>
      <c r="NI787" s="153"/>
      <c r="NJ787" s="153"/>
      <c r="NK787" s="153"/>
      <c r="NL787" s="153"/>
      <c r="NM787" s="153"/>
      <c r="NN787" s="153"/>
      <c r="NO787" s="153"/>
      <c r="NP787" s="153"/>
      <c r="NQ787" s="166" t="s">
        <v>6</v>
      </c>
      <c r="NR787" s="173">
        <v>301.10000000000002</v>
      </c>
      <c r="NS787" s="166" t="s">
        <v>4</v>
      </c>
      <c r="NT787" s="173">
        <v>3.2</v>
      </c>
      <c r="NU787" s="174"/>
      <c r="NV787" s="2"/>
      <c r="NW787" s="153">
        <v>4</v>
      </c>
      <c r="NX787" s="2"/>
      <c r="NY787" s="2"/>
      <c r="NZ787" s="2"/>
      <c r="OA787" s="2"/>
      <c r="OB787" s="2"/>
      <c r="OC787" s="2"/>
      <c r="OD787" s="2"/>
      <c r="OE787" s="2"/>
      <c r="OF787" s="2"/>
      <c r="OG787" s="2"/>
      <c r="OH787" s="153" t="s">
        <v>2248</v>
      </c>
      <c r="OI787" s="2"/>
      <c r="OJ787" s="2">
        <v>2008</v>
      </c>
      <c r="OK787" s="2"/>
      <c r="OL787" s="2"/>
      <c r="OM787" s="153" t="s">
        <v>62</v>
      </c>
      <c r="ON787" s="2"/>
      <c r="OO787" t="s">
        <v>1178</v>
      </c>
      <c r="OP787" s="58">
        <v>46134</v>
      </c>
    </row>
    <row r="788" spans="1:406" ht="17.25" thickBot="1">
      <c r="A788" t="s">
        <v>248</v>
      </c>
      <c r="B788" t="s">
        <v>2238</v>
      </c>
      <c r="C788" s="89" t="s">
        <v>34</v>
      </c>
      <c r="D788" s="152" t="s">
        <v>1955</v>
      </c>
      <c r="E788" s="89" t="s">
        <v>1676</v>
      </c>
      <c r="F788" t="s">
        <v>31</v>
      </c>
      <c r="G788" s="89" t="s">
        <v>2</v>
      </c>
      <c r="H788" s="152" t="s">
        <v>30</v>
      </c>
      <c r="I788">
        <v>-0.41666666699999999</v>
      </c>
      <c r="J788">
        <v>34.200000000000003</v>
      </c>
      <c r="K788" s="152" t="s">
        <v>29</v>
      </c>
      <c r="L788" s="89"/>
      <c r="M788" s="152"/>
      <c r="N788" s="89"/>
      <c r="O788" s="89"/>
      <c r="P788" s="89"/>
      <c r="Q788" s="89"/>
      <c r="R788" s="89"/>
      <c r="S788" s="89"/>
      <c r="T788" s="89"/>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89" t="s">
        <v>2239</v>
      </c>
      <c r="AW788" s="89">
        <v>64</v>
      </c>
      <c r="AX788" s="89">
        <v>0.09</v>
      </c>
      <c r="AY788" s="89">
        <v>1</v>
      </c>
      <c r="AZ788" s="153" t="s">
        <v>2240</v>
      </c>
      <c r="BA788" s="153">
        <v>2007</v>
      </c>
      <c r="BB788" s="153">
        <v>2008</v>
      </c>
      <c r="BC788" s="153" t="s">
        <v>62</v>
      </c>
      <c r="BD788" s="153"/>
      <c r="BE788" s="153" t="s">
        <v>2241</v>
      </c>
      <c r="BF788" s="153" t="s">
        <v>39</v>
      </c>
      <c r="BG788" s="153" t="s">
        <v>1243</v>
      </c>
      <c r="BH788" s="153" t="s">
        <v>2242</v>
      </c>
      <c r="BI788" s="153" t="s">
        <v>29</v>
      </c>
      <c r="BJ788" s="154" t="s">
        <v>22</v>
      </c>
      <c r="BK788" s="155">
        <v>111000</v>
      </c>
      <c r="BL788" s="153"/>
      <c r="BM788" s="153"/>
      <c r="BN788" s="153"/>
      <c r="BO788" s="153"/>
      <c r="BP788" s="153"/>
      <c r="BQ788" s="153"/>
      <c r="BR788" s="153"/>
      <c r="BS788" s="153"/>
      <c r="BT788" s="153"/>
      <c r="BU788" s="153"/>
      <c r="BV788" s="153"/>
      <c r="BW788" s="3"/>
      <c r="BX788" s="3"/>
      <c r="BY788" s="3"/>
      <c r="BZ788" s="3"/>
      <c r="CA788" s="3"/>
      <c r="CB788" s="3"/>
      <c r="CC788" s="3"/>
      <c r="CD788" s="3"/>
      <c r="CE788" s="3"/>
      <c r="CF788" s="3"/>
      <c r="CG788" s="3"/>
      <c r="CH788" s="3"/>
      <c r="CI788" s="3"/>
      <c r="CJ788" s="3"/>
      <c r="CK788" s="3"/>
      <c r="CL788" s="3"/>
      <c r="CM788" s="3"/>
      <c r="CN788" s="3"/>
      <c r="CO788" s="3"/>
      <c r="CP788" s="3"/>
      <c r="CQ788" s="3"/>
      <c r="CR788" s="3"/>
      <c r="CS788" s="3"/>
      <c r="CT788" s="3"/>
      <c r="CU788" s="3"/>
      <c r="CV788" s="3"/>
      <c r="CW788" s="3"/>
      <c r="CX788" s="3"/>
      <c r="CY788" s="3"/>
      <c r="CZ788" s="3"/>
      <c r="DA788" s="3"/>
      <c r="DB788" s="3"/>
      <c r="DC788" s="3"/>
      <c r="DD788" s="3"/>
      <c r="DE788" s="3"/>
      <c r="DF788" s="3"/>
      <c r="DG788" s="3"/>
      <c r="DH788" s="3"/>
      <c r="DI788" s="3"/>
      <c r="DJ788" s="3"/>
      <c r="DK788" s="3"/>
      <c r="DL788" s="3"/>
      <c r="DM788" s="3"/>
      <c r="DN788" s="3"/>
      <c r="DO788" s="3"/>
      <c r="DP788" s="3"/>
      <c r="DQ788" s="3"/>
      <c r="DR788" s="3"/>
      <c r="DS788" s="3"/>
      <c r="DT788" s="3"/>
      <c r="DU788" s="3"/>
      <c r="DV788" s="3"/>
      <c r="DW788" s="3"/>
      <c r="DX788" s="3"/>
      <c r="DY788" s="3"/>
      <c r="DZ788" s="3"/>
      <c r="EA788" s="3"/>
      <c r="EB788" s="3"/>
      <c r="EC788" s="3"/>
      <c r="ED788" s="3"/>
      <c r="EE788" s="2"/>
      <c r="EF788" s="153"/>
      <c r="EG788" s="153"/>
      <c r="EH788" s="153"/>
      <c r="EI788" s="153"/>
      <c r="EJ788" s="153"/>
      <c r="EK788" s="153"/>
      <c r="EL788" s="153"/>
      <c r="EM788" s="3"/>
      <c r="EN788" s="3"/>
      <c r="EO788" s="3"/>
      <c r="EP788" s="3"/>
      <c r="EQ788" s="3"/>
      <c r="ER788" s="3"/>
      <c r="ES788" s="3"/>
      <c r="ET788" s="3"/>
      <c r="EU788" s="3"/>
      <c r="EV788" s="3"/>
      <c r="EW788" s="3"/>
      <c r="EX788" s="3"/>
      <c r="EY788" s="3"/>
      <c r="EZ788" s="3"/>
      <c r="FA788" s="3"/>
      <c r="FB788" s="3"/>
      <c r="FC788" s="3"/>
      <c r="FD788" s="3"/>
      <c r="FE788" s="3"/>
      <c r="FF788" s="3"/>
      <c r="FG788" s="3"/>
      <c r="FH788" s="3"/>
      <c r="FI788" s="3"/>
      <c r="FJ788" s="3"/>
      <c r="FK788" s="3"/>
      <c r="FL788" s="3"/>
      <c r="FM788" s="3"/>
      <c r="FN788" s="3"/>
      <c r="FO788" s="3"/>
      <c r="FP788" s="3"/>
      <c r="FQ788" s="3"/>
      <c r="FR788" s="3"/>
      <c r="FS788" s="3"/>
      <c r="FT788" s="3"/>
      <c r="FU788" s="3"/>
      <c r="FV788" s="3"/>
      <c r="FW788" s="3"/>
      <c r="FX788" s="3"/>
      <c r="FY788" s="3"/>
      <c r="FZ788" s="3"/>
      <c r="GA788" s="3"/>
      <c r="GB788" s="3"/>
      <c r="GC788" s="3"/>
      <c r="GD788" s="3"/>
      <c r="GE788" s="3"/>
      <c r="GF788" s="3"/>
      <c r="GG788" s="3"/>
      <c r="GH788" s="3"/>
      <c r="GI788" s="3"/>
      <c r="GJ788" s="3"/>
      <c r="GK788" s="3"/>
      <c r="GL788" s="3"/>
      <c r="GM788" s="3"/>
      <c r="GN788" s="3"/>
      <c r="GO788" s="3"/>
      <c r="GP788" s="3"/>
      <c r="GQ788" s="3"/>
      <c r="GR788" s="3"/>
      <c r="GS788" s="3"/>
      <c r="GT788" s="3"/>
      <c r="GU788" s="3"/>
      <c r="GV788" s="3"/>
      <c r="GW788" s="3"/>
      <c r="GX788" s="3"/>
      <c r="GY788" s="3"/>
      <c r="GZ788" s="3"/>
      <c r="HA788" s="3"/>
      <c r="HB788" s="3"/>
      <c r="HC788" s="3"/>
      <c r="HD788" s="3"/>
      <c r="HE788" s="3"/>
      <c r="HF788" s="3"/>
      <c r="HG788" s="3"/>
      <c r="HH788" s="3"/>
      <c r="HI788" s="3"/>
      <c r="HJ788" s="3"/>
      <c r="HK788" s="3"/>
      <c r="HL788" s="153"/>
      <c r="HM788" s="153"/>
      <c r="HN788" s="153"/>
      <c r="HO788" s="153"/>
      <c r="HP788" s="153"/>
      <c r="HQ788" s="153"/>
      <c r="HR788" s="153"/>
      <c r="HS788" s="153"/>
      <c r="HT788" s="154"/>
      <c r="HU788" s="153"/>
      <c r="HV788" s="153"/>
      <c r="HW788" s="153"/>
      <c r="HX788" s="156"/>
      <c r="HY788" s="153"/>
      <c r="HZ788" s="153"/>
      <c r="IA788" s="153"/>
      <c r="IB788" s="153"/>
      <c r="IC788" s="153"/>
      <c r="ID788" s="153"/>
      <c r="IE788" s="153"/>
      <c r="IF788" s="153"/>
      <c r="IG788" s="153" t="s">
        <v>2243</v>
      </c>
      <c r="IH788" s="157" t="s">
        <v>19</v>
      </c>
      <c r="II788" s="157"/>
      <c r="IJ788" s="158"/>
      <c r="IK788" s="153"/>
      <c r="IL788" s="153"/>
      <c r="IM788" s="153"/>
      <c r="IP788" s="153"/>
      <c r="IQ788" s="153"/>
      <c r="IR788" s="153"/>
      <c r="IS788" s="153"/>
      <c r="IT788" s="153"/>
      <c r="IU788" s="153"/>
      <c r="IV788" s="153"/>
      <c r="IW788" s="153"/>
      <c r="IX788" s="153"/>
      <c r="IY788" s="89"/>
      <c r="IZ788" s="89"/>
      <c r="JA788" s="89"/>
      <c r="JB788" s="89"/>
      <c r="JC788" s="89"/>
      <c r="JD788" s="89"/>
      <c r="JE788" s="89"/>
      <c r="JF788" s="89"/>
      <c r="JG788" s="89"/>
      <c r="JH788" s="89"/>
      <c r="JI788" s="89"/>
      <c r="JJ788" s="89"/>
      <c r="JK788" s="159" t="s">
        <v>14</v>
      </c>
      <c r="JL788" s="160" t="s">
        <v>1682</v>
      </c>
      <c r="JM788" s="154"/>
      <c r="JQ788" s="153"/>
      <c r="JR788" s="153"/>
      <c r="JS788" s="153"/>
      <c r="JT788" s="153"/>
      <c r="JU788" s="153"/>
      <c r="JV788" s="153"/>
      <c r="JW788" s="153"/>
      <c r="JX788" s="161"/>
      <c r="JY788" s="161"/>
      <c r="JZ788" s="154"/>
      <c r="KA788" s="153"/>
      <c r="KB788" s="154"/>
      <c r="KC788" s="153"/>
      <c r="KD788" s="153"/>
      <c r="KE788" s="153"/>
      <c r="KF788" s="154"/>
      <c r="KG788" s="154"/>
      <c r="KH788" s="157"/>
      <c r="KI788" s="162"/>
      <c r="KJ788" s="153"/>
      <c r="KK788" s="153"/>
      <c r="KL788" s="153"/>
      <c r="KM788" s="153"/>
      <c r="KN788" s="154"/>
      <c r="KO788" s="153"/>
      <c r="KP788" s="157"/>
      <c r="KQ788" s="162"/>
      <c r="KR788" s="153"/>
      <c r="KS788" s="153"/>
      <c r="KT788" s="163"/>
      <c r="KU788" s="162"/>
      <c r="KV788" s="153"/>
      <c r="KW788" s="153"/>
      <c r="KX788" s="153"/>
      <c r="KY788" s="3"/>
      <c r="KZ788" s="3"/>
      <c r="LA788" s="3"/>
      <c r="LB788" s="3"/>
      <c r="LC788" s="154"/>
      <c r="LD788" s="154"/>
      <c r="LE788" s="154"/>
      <c r="LF788" s="154"/>
      <c r="LG788" s="154"/>
      <c r="LH788" s="154"/>
      <c r="LI788" s="154"/>
      <c r="LJ788" s="154"/>
      <c r="LK788" s="154"/>
      <c r="LL788" s="153"/>
      <c r="LM788" s="153"/>
      <c r="LN788" s="153"/>
      <c r="LO788" s="153"/>
      <c r="LP788" s="153"/>
      <c r="LQ788" s="153"/>
      <c r="LR788" s="153"/>
      <c r="LS788" s="153"/>
      <c r="LT788" s="89"/>
      <c r="LU788" s="89"/>
      <c r="LV788" s="89"/>
      <c r="LW788" s="89"/>
      <c r="LX788" s="89"/>
      <c r="LY788" s="164"/>
      <c r="LZ788" s="164"/>
      <c r="MA788" s="164"/>
      <c r="MB788" s="2"/>
      <c r="MC788" s="153"/>
      <c r="MD788" s="153"/>
      <c r="ME788" s="153"/>
      <c r="MF788" s="89"/>
      <c r="MG788" s="89"/>
      <c r="MH788" s="89"/>
      <c r="MI788" s="89"/>
      <c r="MJ788" s="89"/>
      <c r="MK788" s="89"/>
      <c r="ML788" s="89"/>
      <c r="MM788" s="89"/>
      <c r="MN788" s="153"/>
      <c r="MO788" s="153"/>
      <c r="MP788" s="153"/>
      <c r="MQ788" s="153"/>
      <c r="MR788" s="153"/>
      <c r="MS788" s="153" t="s">
        <v>2244</v>
      </c>
      <c r="MT788" s="89">
        <v>64</v>
      </c>
      <c r="MU788" s="164"/>
      <c r="MV788" s="164"/>
      <c r="MW788" s="164"/>
      <c r="MX788" s="164"/>
      <c r="MY788" s="164"/>
      <c r="MZ788" s="164"/>
      <c r="NA788" s="164"/>
      <c r="NB788" s="164"/>
      <c r="NC788" s="164"/>
      <c r="ND788" s="153" t="s">
        <v>2251</v>
      </c>
      <c r="NE788" s="153" t="s">
        <v>2252</v>
      </c>
      <c r="NF788" s="153" t="s">
        <v>2253</v>
      </c>
      <c r="NG788" s="153" t="s">
        <v>1426</v>
      </c>
      <c r="NH788" s="165" t="s">
        <v>265</v>
      </c>
      <c r="NI788" s="153"/>
      <c r="NJ788" s="153"/>
      <c r="NK788" s="153"/>
      <c r="NL788" s="153"/>
      <c r="NM788" s="153"/>
      <c r="NN788" s="153"/>
      <c r="NO788" s="153"/>
      <c r="NP788" s="153" t="s">
        <v>64</v>
      </c>
      <c r="NQ788" s="166" t="s">
        <v>6</v>
      </c>
      <c r="NR788" s="166">
        <v>713.8</v>
      </c>
      <c r="NS788" s="166" t="s">
        <v>4</v>
      </c>
      <c r="NT788" s="166">
        <v>3.1</v>
      </c>
      <c r="NU788" s="167"/>
      <c r="NV788" s="153"/>
      <c r="NW788" s="153">
        <v>4</v>
      </c>
      <c r="NX788" s="153"/>
      <c r="NY788" s="153"/>
      <c r="NZ788" s="153"/>
      <c r="OA788" s="153"/>
      <c r="OB788" s="153"/>
      <c r="OC788" s="153"/>
      <c r="OD788" s="153"/>
      <c r="OE788" s="153"/>
      <c r="OF788" s="153"/>
      <c r="OG788" s="153"/>
      <c r="OH788" s="153" t="s">
        <v>2248</v>
      </c>
      <c r="OI788" s="153"/>
      <c r="OJ788" s="153">
        <v>2007</v>
      </c>
      <c r="OK788" s="153"/>
      <c r="OL788" s="153"/>
      <c r="OM788" s="153" t="s">
        <v>62</v>
      </c>
      <c r="ON788" s="153"/>
      <c r="OO788" t="s">
        <v>1178</v>
      </c>
      <c r="OP788" s="58">
        <v>46134</v>
      </c>
    </row>
    <row r="789" spans="1:406" ht="15.75" thickBot="1">
      <c r="A789" t="s">
        <v>248</v>
      </c>
      <c r="B789" t="s">
        <v>2238</v>
      </c>
      <c r="C789" s="89" t="s">
        <v>34</v>
      </c>
      <c r="D789" s="152" t="s">
        <v>1955</v>
      </c>
      <c r="E789" s="89" t="s">
        <v>1676</v>
      </c>
      <c r="F789" t="s">
        <v>31</v>
      </c>
      <c r="G789" s="89" t="s">
        <v>2</v>
      </c>
      <c r="H789" s="152" t="s">
        <v>30</v>
      </c>
      <c r="I789">
        <v>-0.41666666699999999</v>
      </c>
      <c r="J789">
        <v>34.200000000000003</v>
      </c>
      <c r="K789" s="152" t="s">
        <v>29</v>
      </c>
      <c r="L789" s="2"/>
      <c r="M789" s="99"/>
      <c r="N789" s="2"/>
      <c r="O789" s="89"/>
      <c r="P789" s="2"/>
      <c r="Q789" s="2"/>
      <c r="R789" s="89"/>
      <c r="S789" s="89"/>
      <c r="T789" s="89"/>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89" t="s">
        <v>2239</v>
      </c>
      <c r="AW789" s="89">
        <v>64</v>
      </c>
      <c r="AX789" s="89">
        <v>0.09</v>
      </c>
      <c r="AY789" s="89">
        <v>1</v>
      </c>
      <c r="AZ789" s="153" t="s">
        <v>2240</v>
      </c>
      <c r="BA789" s="153">
        <v>2007</v>
      </c>
      <c r="BB789" s="153">
        <v>2008</v>
      </c>
      <c r="BC789" s="153" t="s">
        <v>62</v>
      </c>
      <c r="BD789" s="2"/>
      <c r="BE789" s="2" t="s">
        <v>2249</v>
      </c>
      <c r="BF789" s="2" t="s">
        <v>64</v>
      </c>
      <c r="BG789" s="153" t="s">
        <v>1243</v>
      </c>
      <c r="BH789" s="2" t="s">
        <v>2242</v>
      </c>
      <c r="BI789" s="153" t="s">
        <v>29</v>
      </c>
      <c r="BJ789" s="154" t="s">
        <v>22</v>
      </c>
      <c r="BK789" s="155">
        <v>55500</v>
      </c>
      <c r="BL789" s="2" t="s">
        <v>56</v>
      </c>
      <c r="BM789" t="s">
        <v>2250</v>
      </c>
      <c r="BN789" s="153" t="s">
        <v>29</v>
      </c>
      <c r="BO789" s="2" t="s">
        <v>22</v>
      </c>
      <c r="BP789" s="2">
        <v>55000</v>
      </c>
      <c r="BQ789" s="2"/>
      <c r="BR789" s="2"/>
      <c r="BS789" s="2"/>
      <c r="BT789" s="2"/>
      <c r="BU789" s="2"/>
      <c r="BV789" s="2"/>
      <c r="BW789" s="3"/>
      <c r="BX789" s="3"/>
      <c r="BY789" s="3"/>
      <c r="BZ789" s="3"/>
      <c r="CA789" s="3"/>
      <c r="CB789" s="3"/>
      <c r="CC789" s="3"/>
      <c r="CD789" s="3"/>
      <c r="CE789" s="3"/>
      <c r="CF789" s="3"/>
      <c r="CG789" s="3"/>
      <c r="CH789" s="3"/>
      <c r="CI789" s="3"/>
      <c r="CJ789" s="3"/>
      <c r="CK789" s="3"/>
      <c r="CL789" s="3"/>
      <c r="CM789" s="3"/>
      <c r="CN789" s="3"/>
      <c r="CO789" s="3"/>
      <c r="CP789" s="3"/>
      <c r="CQ789" s="3"/>
      <c r="CR789" s="3"/>
      <c r="CS789" s="3"/>
      <c r="CT789" s="3"/>
      <c r="CU789" s="3"/>
      <c r="CV789" s="3"/>
      <c r="CW789" s="3"/>
      <c r="CX789" s="3"/>
      <c r="CY789" s="3"/>
      <c r="CZ789" s="3"/>
      <c r="DA789" s="3"/>
      <c r="DB789" s="3"/>
      <c r="DC789" s="3"/>
      <c r="DD789" s="3"/>
      <c r="DE789" s="3"/>
      <c r="DF789" s="3"/>
      <c r="DG789" s="3"/>
      <c r="DH789" s="3"/>
      <c r="DI789" s="3"/>
      <c r="DJ789" s="3"/>
      <c r="DK789" s="3"/>
      <c r="DL789" s="3"/>
      <c r="DM789" s="3"/>
      <c r="DN789" s="3"/>
      <c r="DO789" s="3"/>
      <c r="DP789" s="3"/>
      <c r="DQ789" s="3"/>
      <c r="DR789" s="3"/>
      <c r="DS789" s="3"/>
      <c r="DT789" s="3"/>
      <c r="DU789" s="3"/>
      <c r="DV789" s="3"/>
      <c r="DW789" s="3"/>
      <c r="DX789" s="3"/>
      <c r="DY789" s="3"/>
      <c r="DZ789" s="3"/>
      <c r="EA789" s="3"/>
      <c r="EB789" s="3"/>
      <c r="EC789" s="3"/>
      <c r="ED789" s="3"/>
      <c r="EE789" s="2"/>
      <c r="EF789" s="2"/>
      <c r="EG789" s="2"/>
      <c r="EH789" s="2"/>
      <c r="EI789" s="2"/>
      <c r="EJ789" s="2"/>
      <c r="EK789" s="2"/>
      <c r="EL789" s="2"/>
      <c r="EM789" s="3"/>
      <c r="EN789" s="3"/>
      <c r="EO789" s="3"/>
      <c r="EP789" s="3"/>
      <c r="EQ789" s="3"/>
      <c r="ER789" s="3"/>
      <c r="ES789" s="3"/>
      <c r="ET789" s="3"/>
      <c r="EU789" s="3"/>
      <c r="EV789" s="3"/>
      <c r="EW789" s="3"/>
      <c r="EX789" s="3"/>
      <c r="EY789" s="3"/>
      <c r="EZ789" s="3"/>
      <c r="FA789" s="3"/>
      <c r="FB789" s="3"/>
      <c r="FC789" s="3"/>
      <c r="FD789" s="3"/>
      <c r="FE789" s="3"/>
      <c r="FF789" s="3"/>
      <c r="FG789" s="3"/>
      <c r="FH789" s="3"/>
      <c r="FI789" s="3"/>
      <c r="FJ789" s="3"/>
      <c r="FK789" s="3"/>
      <c r="FL789" s="3"/>
      <c r="FM789" s="3"/>
      <c r="FN789" s="3"/>
      <c r="FO789" s="3"/>
      <c r="FP789" s="3"/>
      <c r="FQ789" s="3"/>
      <c r="FR789" s="3"/>
      <c r="FS789" s="3"/>
      <c r="FT789" s="3"/>
      <c r="FU789" s="3"/>
      <c r="FV789" s="3"/>
      <c r="FW789" s="3"/>
      <c r="FX789" s="3"/>
      <c r="FY789" s="3"/>
      <c r="FZ789" s="3"/>
      <c r="GA789" s="3"/>
      <c r="GB789" s="3"/>
      <c r="GC789" s="3"/>
      <c r="GD789" s="3"/>
      <c r="GE789" s="3"/>
      <c r="GF789" s="3"/>
      <c r="GG789" s="3"/>
      <c r="GH789" s="3"/>
      <c r="GI789" s="3"/>
      <c r="GJ789" s="3"/>
      <c r="GK789" s="3"/>
      <c r="GL789" s="3"/>
      <c r="GM789" s="3"/>
      <c r="GN789" s="3"/>
      <c r="GO789" s="3"/>
      <c r="GP789" s="3"/>
      <c r="GQ789" s="3"/>
      <c r="GR789" s="3"/>
      <c r="GS789" s="3"/>
      <c r="GT789" s="3"/>
      <c r="GU789" s="3"/>
      <c r="GV789" s="3"/>
      <c r="GW789" s="3"/>
      <c r="GX789" s="3"/>
      <c r="GY789" s="3"/>
      <c r="GZ789" s="3"/>
      <c r="HA789" s="3"/>
      <c r="HB789" s="3"/>
      <c r="HC789" s="3"/>
      <c r="HD789" s="3"/>
      <c r="HE789" s="3"/>
      <c r="HF789" s="3"/>
      <c r="HG789" s="3"/>
      <c r="HH789" s="3"/>
      <c r="HI789" s="3"/>
      <c r="HJ789" s="3"/>
      <c r="HK789" s="3"/>
      <c r="HL789" s="2"/>
      <c r="HM789" s="2"/>
      <c r="HN789" s="2"/>
      <c r="HO789" s="2"/>
      <c r="HP789" s="2"/>
      <c r="HQ789" s="2"/>
      <c r="HR789" s="2"/>
      <c r="HS789" s="2"/>
      <c r="HT789" s="99"/>
      <c r="HU789" s="2"/>
      <c r="HV789" s="2"/>
      <c r="HW789" s="2"/>
      <c r="HX789" s="2"/>
      <c r="HY789" s="2"/>
      <c r="HZ789" s="2"/>
      <c r="IA789" s="2"/>
      <c r="IB789" s="2"/>
      <c r="IC789" s="2"/>
      <c r="ID789" s="2"/>
      <c r="IE789" s="2"/>
      <c r="IF789" s="2"/>
      <c r="IG789" s="153" t="s">
        <v>2243</v>
      </c>
      <c r="IH789" s="168" t="s">
        <v>1453</v>
      </c>
      <c r="II789" s="169" t="s">
        <v>1477</v>
      </c>
      <c r="IJ789" s="170" t="s">
        <v>661</v>
      </c>
      <c r="IK789" s="2">
        <v>2007</v>
      </c>
      <c r="IL789" s="2" t="s">
        <v>62</v>
      </c>
      <c r="IM789" s="2" t="s">
        <v>29</v>
      </c>
      <c r="IP789" s="2"/>
      <c r="IQ789" s="2"/>
      <c r="IR789" s="2"/>
      <c r="IS789" s="2"/>
      <c r="IT789" s="2"/>
      <c r="IU789" s="2"/>
      <c r="IV789" s="2"/>
      <c r="IW789" s="2"/>
      <c r="IX789" s="2"/>
      <c r="IY789" s="2"/>
      <c r="IZ789" s="2"/>
      <c r="JA789" s="2"/>
      <c r="JB789" s="2"/>
      <c r="JC789" s="2"/>
      <c r="JD789" s="2"/>
      <c r="JE789" s="2"/>
      <c r="JF789" s="2"/>
      <c r="JG789" s="2"/>
      <c r="JH789" s="2"/>
      <c r="JI789" s="2"/>
      <c r="JJ789" s="2"/>
      <c r="JK789" s="159" t="s">
        <v>14</v>
      </c>
      <c r="JL789" s="160" t="s">
        <v>1682</v>
      </c>
      <c r="JM789" s="99"/>
      <c r="JQ789" s="2"/>
      <c r="JR789" s="2"/>
      <c r="JS789" s="2"/>
      <c r="JT789" s="2"/>
      <c r="JU789" s="2"/>
      <c r="JV789" s="2"/>
      <c r="JW789" s="2"/>
      <c r="JX789" s="161"/>
      <c r="JY789" s="171"/>
      <c r="JZ789" s="99"/>
      <c r="KA789" s="2"/>
      <c r="KB789" s="99"/>
      <c r="KC789" s="2"/>
      <c r="KD789" s="2"/>
      <c r="KE789" s="2"/>
      <c r="KF789" s="99"/>
      <c r="KG789" s="2"/>
      <c r="KH789" s="168"/>
      <c r="KI789" s="172"/>
      <c r="KJ789" s="2"/>
      <c r="KK789" s="2"/>
      <c r="KL789" s="2"/>
      <c r="KM789" s="2"/>
      <c r="KN789" s="99"/>
      <c r="KO789" s="2"/>
      <c r="KP789" s="168"/>
      <c r="KQ789" s="172"/>
      <c r="KR789" s="2"/>
      <c r="KS789" s="2"/>
      <c r="KT789" s="163"/>
      <c r="KU789" s="172"/>
      <c r="KV789" s="2"/>
      <c r="KW789" s="2"/>
      <c r="KX789" s="2"/>
      <c r="KY789" s="69"/>
      <c r="KZ789" s="3"/>
      <c r="LA789" s="3"/>
      <c r="LB789" s="3"/>
      <c r="LC789" s="99"/>
      <c r="LD789" s="99"/>
      <c r="LE789" s="99"/>
      <c r="LF789" s="99"/>
      <c r="LG789" s="99"/>
      <c r="LH789" s="2"/>
      <c r="LI789" s="99"/>
      <c r="LJ789" s="99"/>
      <c r="LK789" s="99"/>
      <c r="LL789" s="2"/>
      <c r="LM789" s="2"/>
      <c r="LN789" s="2"/>
      <c r="LO789" s="2"/>
      <c r="LP789" s="2"/>
      <c r="LQ789" s="2"/>
      <c r="LR789" s="2"/>
      <c r="LS789" s="2"/>
      <c r="LT789" s="2"/>
      <c r="LU789" s="2"/>
      <c r="LV789" s="2"/>
      <c r="LW789" s="2"/>
      <c r="LX789" s="2"/>
      <c r="LY789" s="2"/>
      <c r="LZ789" s="2"/>
      <c r="MA789" s="2"/>
      <c r="MC789" s="2"/>
      <c r="MD789" s="2"/>
      <c r="ME789" s="2"/>
      <c r="MF789" s="2"/>
      <c r="MG789" s="2"/>
      <c r="MH789" s="2"/>
      <c r="MI789" s="2"/>
      <c r="MJ789" s="2"/>
      <c r="MK789" s="2"/>
      <c r="ML789" s="2"/>
      <c r="MM789" s="2"/>
      <c r="MN789" s="2"/>
      <c r="MO789" s="2"/>
      <c r="MP789" s="2"/>
      <c r="MQ789" s="2"/>
      <c r="MR789" s="2"/>
      <c r="MS789" s="153" t="s">
        <v>2244</v>
      </c>
      <c r="MT789" s="89">
        <v>64</v>
      </c>
      <c r="MU789" s="164"/>
      <c r="MV789" s="164"/>
      <c r="MW789" s="164"/>
      <c r="MX789" s="164"/>
      <c r="MY789" s="164"/>
      <c r="MZ789" s="164"/>
      <c r="NA789" s="164"/>
      <c r="NB789" s="164"/>
      <c r="NC789" s="164"/>
      <c r="ND789" s="153" t="s">
        <v>2251</v>
      </c>
      <c r="NE789" s="153" t="s">
        <v>2252</v>
      </c>
      <c r="NF789" s="153" t="s">
        <v>2253</v>
      </c>
      <c r="NG789" s="153" t="s">
        <v>1426</v>
      </c>
      <c r="NH789" s="165" t="s">
        <v>265</v>
      </c>
      <c r="NI789" s="153"/>
      <c r="NJ789" s="153"/>
      <c r="NK789" s="153"/>
      <c r="NL789" s="153"/>
      <c r="NM789" s="153"/>
      <c r="NN789" s="153"/>
      <c r="NO789" s="153"/>
      <c r="NP789" s="153"/>
      <c r="NQ789" s="166" t="s">
        <v>6</v>
      </c>
      <c r="NR789" s="173">
        <v>866.8</v>
      </c>
      <c r="NS789" s="166" t="s">
        <v>4</v>
      </c>
      <c r="NT789" s="173">
        <v>4.4000000000000004</v>
      </c>
      <c r="NU789" s="174"/>
      <c r="NV789" s="2"/>
      <c r="NW789" s="153">
        <v>4</v>
      </c>
      <c r="NX789" s="2"/>
      <c r="NY789" s="2"/>
      <c r="NZ789" s="2"/>
      <c r="OA789" s="2"/>
      <c r="OB789" s="2"/>
      <c r="OC789" s="2"/>
      <c r="OD789" s="2"/>
      <c r="OE789" s="2"/>
      <c r="OF789" s="2"/>
      <c r="OG789" s="2"/>
      <c r="OH789" s="153" t="s">
        <v>2248</v>
      </c>
      <c r="OI789" s="2"/>
      <c r="OJ789" s="153">
        <v>2007</v>
      </c>
      <c r="OK789" s="153"/>
      <c r="OL789" s="153"/>
      <c r="OM789" s="153" t="s">
        <v>62</v>
      </c>
      <c r="ON789" s="2"/>
      <c r="OO789" t="s">
        <v>1178</v>
      </c>
      <c r="OP789" s="58">
        <v>46134</v>
      </c>
    </row>
    <row r="790" spans="1:406" ht="15.75" thickBot="1">
      <c r="A790" t="s">
        <v>248</v>
      </c>
      <c r="B790" t="s">
        <v>2238</v>
      </c>
      <c r="C790" s="89" t="s">
        <v>34</v>
      </c>
      <c r="D790" s="152" t="s">
        <v>1955</v>
      </c>
      <c r="E790" s="89" t="s">
        <v>1676</v>
      </c>
      <c r="F790" t="s">
        <v>31</v>
      </c>
      <c r="G790" s="89" t="s">
        <v>2</v>
      </c>
      <c r="H790" s="152" t="s">
        <v>30</v>
      </c>
      <c r="I790">
        <v>-0.41666666699999999</v>
      </c>
      <c r="J790">
        <v>34.200000000000003</v>
      </c>
      <c r="K790" s="152" t="s">
        <v>29</v>
      </c>
      <c r="L790" s="89"/>
      <c r="M790" s="152"/>
      <c r="N790" s="89"/>
      <c r="O790" s="89"/>
      <c r="P790" s="89"/>
      <c r="Q790" s="89"/>
      <c r="R790" s="89"/>
      <c r="S790" s="89"/>
      <c r="T790" s="89"/>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89" t="s">
        <v>2239</v>
      </c>
      <c r="AW790" s="89">
        <v>64</v>
      </c>
      <c r="AX790" s="89">
        <v>0.09</v>
      </c>
      <c r="AY790" s="89">
        <v>1</v>
      </c>
      <c r="AZ790" s="153" t="s">
        <v>2240</v>
      </c>
      <c r="BA790" s="153">
        <v>2007</v>
      </c>
      <c r="BB790" s="153">
        <v>2008</v>
      </c>
      <c r="BC790" s="153" t="s">
        <v>1</v>
      </c>
      <c r="BD790" s="89"/>
      <c r="BE790" s="153" t="s">
        <v>2241</v>
      </c>
      <c r="BF790" s="153" t="s">
        <v>39</v>
      </c>
      <c r="BG790" s="153" t="s">
        <v>1243</v>
      </c>
      <c r="BH790" s="153" t="s">
        <v>2242</v>
      </c>
      <c r="BI790" s="153" t="s">
        <v>29</v>
      </c>
      <c r="BJ790" s="154" t="s">
        <v>22</v>
      </c>
      <c r="BK790" s="155">
        <v>111000</v>
      </c>
      <c r="BL790" s="89"/>
      <c r="BM790" s="89"/>
      <c r="BN790" s="89"/>
      <c r="BO790" s="152"/>
      <c r="BP790" s="175"/>
      <c r="BQ790" s="89"/>
      <c r="BR790" s="89"/>
      <c r="BS790" s="89"/>
      <c r="BT790" s="89"/>
      <c r="BU790" s="89"/>
      <c r="BV790" s="89"/>
      <c r="BW790" s="3"/>
      <c r="BX790" s="3"/>
      <c r="BY790" s="3"/>
      <c r="BZ790" s="3"/>
      <c r="CA790" s="3"/>
      <c r="CB790" s="3"/>
      <c r="CC790" s="3"/>
      <c r="CD790" s="3"/>
      <c r="CE790" s="3"/>
      <c r="CF790" s="3"/>
      <c r="CG790" s="3"/>
      <c r="CH790" s="3"/>
      <c r="CI790" s="3"/>
      <c r="CJ790" s="3"/>
      <c r="CK790" s="3"/>
      <c r="CL790" s="3"/>
      <c r="CM790" s="3"/>
      <c r="CN790" s="3"/>
      <c r="CO790" s="3"/>
      <c r="CP790" s="3"/>
      <c r="CQ790" s="3"/>
      <c r="CR790" s="3"/>
      <c r="CS790" s="3"/>
      <c r="CT790" s="3"/>
      <c r="CU790" s="3"/>
      <c r="CV790" s="3"/>
      <c r="CW790" s="3"/>
      <c r="CX790" s="3"/>
      <c r="CY790" s="3"/>
      <c r="CZ790" s="3"/>
      <c r="DA790" s="3"/>
      <c r="DB790" s="3"/>
      <c r="DC790" s="3"/>
      <c r="DD790" s="3"/>
      <c r="DE790" s="3"/>
      <c r="DF790" s="3"/>
      <c r="DG790" s="3"/>
      <c r="DH790" s="3"/>
      <c r="DI790" s="3"/>
      <c r="DJ790" s="3"/>
      <c r="DK790" s="3"/>
      <c r="DL790" s="3"/>
      <c r="DM790" s="3"/>
      <c r="DN790" s="3"/>
      <c r="DO790" s="3"/>
      <c r="DP790" s="3"/>
      <c r="DQ790" s="3"/>
      <c r="DR790" s="3"/>
      <c r="DS790" s="3"/>
      <c r="DT790" s="3"/>
      <c r="DU790" s="3"/>
      <c r="DV790" s="3"/>
      <c r="DW790" s="3"/>
      <c r="DX790" s="3"/>
      <c r="DY790" s="3"/>
      <c r="DZ790" s="3"/>
      <c r="EA790" s="3"/>
      <c r="EB790" s="3"/>
      <c r="EC790" s="3"/>
      <c r="ED790" s="3"/>
      <c r="EE790" s="89"/>
      <c r="EF790" s="89"/>
      <c r="EG790" s="89"/>
      <c r="EH790" s="89"/>
      <c r="EI790" s="89"/>
      <c r="EJ790" s="89"/>
      <c r="EK790" s="89"/>
      <c r="EL790" s="89"/>
      <c r="EM790" s="3"/>
      <c r="EN790" s="3"/>
      <c r="EO790" s="3"/>
      <c r="EP790" s="3"/>
      <c r="EQ790" s="3"/>
      <c r="ER790" s="3"/>
      <c r="ES790" s="3"/>
      <c r="ET790" s="3"/>
      <c r="EU790" s="3"/>
      <c r="EV790" s="3"/>
      <c r="EW790" s="3"/>
      <c r="EX790" s="3"/>
      <c r="EY790" s="3"/>
      <c r="EZ790" s="3"/>
      <c r="FA790" s="3"/>
      <c r="FB790" s="3"/>
      <c r="FC790" s="3"/>
      <c r="FD790" s="3"/>
      <c r="FE790" s="3"/>
      <c r="FF790" s="3"/>
      <c r="FG790" s="3"/>
      <c r="FH790" s="3"/>
      <c r="FI790" s="3"/>
      <c r="FJ790" s="3"/>
      <c r="FK790" s="3"/>
      <c r="FL790" s="3"/>
      <c r="FM790" s="3"/>
      <c r="FN790" s="3"/>
      <c r="FO790" s="3"/>
      <c r="FP790" s="3"/>
      <c r="FQ790" s="3"/>
      <c r="FR790" s="3"/>
      <c r="FS790" s="3"/>
      <c r="FT790" s="3"/>
      <c r="FU790" s="3"/>
      <c r="FV790" s="3"/>
      <c r="FW790" s="3"/>
      <c r="FX790" s="3"/>
      <c r="FY790" s="3"/>
      <c r="FZ790" s="3"/>
      <c r="GA790" s="3"/>
      <c r="GB790" s="3"/>
      <c r="GC790" s="3"/>
      <c r="GD790" s="3"/>
      <c r="GE790" s="3"/>
      <c r="GF790" s="3"/>
      <c r="GG790" s="3"/>
      <c r="GH790" s="3"/>
      <c r="GI790" s="3"/>
      <c r="GJ790" s="3"/>
      <c r="GK790" s="3"/>
      <c r="GL790" s="3"/>
      <c r="GM790" s="3"/>
      <c r="GN790" s="3"/>
      <c r="GO790" s="3"/>
      <c r="GP790" s="3"/>
      <c r="GQ790" s="3"/>
      <c r="GR790" s="3"/>
      <c r="GS790" s="3"/>
      <c r="GT790" s="3"/>
      <c r="GU790" s="3"/>
      <c r="GV790" s="3"/>
      <c r="GW790" s="3"/>
      <c r="GX790" s="3"/>
      <c r="GY790" s="3"/>
      <c r="GZ790" s="3"/>
      <c r="HA790" s="3"/>
      <c r="HB790" s="3"/>
      <c r="HC790" s="3"/>
      <c r="HD790" s="3"/>
      <c r="HE790" s="3"/>
      <c r="HF790" s="3"/>
      <c r="HG790" s="3"/>
      <c r="HH790" s="3"/>
      <c r="HI790" s="3"/>
      <c r="HJ790" s="3"/>
      <c r="HK790" s="3"/>
      <c r="HL790" s="89"/>
      <c r="HM790" s="89"/>
      <c r="HN790" s="89"/>
      <c r="HO790" s="89"/>
      <c r="HP790" s="89"/>
      <c r="HQ790" s="89"/>
      <c r="HR790" s="89"/>
      <c r="HS790" s="89"/>
      <c r="HT790" s="152"/>
      <c r="HU790" s="89"/>
      <c r="HV790" s="89"/>
      <c r="HW790" s="89"/>
      <c r="HX790" s="89"/>
      <c r="HY790" s="89"/>
      <c r="HZ790" s="89"/>
      <c r="IA790" s="89"/>
      <c r="IB790" s="89"/>
      <c r="IC790" s="89"/>
      <c r="ID790" s="89"/>
      <c r="IE790" s="89"/>
      <c r="IF790" s="89"/>
      <c r="IG790" s="153" t="s">
        <v>2243</v>
      </c>
      <c r="IH790" s="157" t="s">
        <v>19</v>
      </c>
      <c r="II790" s="176"/>
      <c r="IJ790" s="177"/>
      <c r="IK790" s="89"/>
      <c r="IL790" s="89"/>
      <c r="IM790" s="152"/>
      <c r="IP790" s="89"/>
      <c r="IQ790" s="89"/>
      <c r="IR790" s="89"/>
      <c r="IS790" s="89"/>
      <c r="IT790" s="89"/>
      <c r="IU790" s="89"/>
      <c r="IV790" s="89"/>
      <c r="IW790" s="89"/>
      <c r="IX790" s="89"/>
      <c r="IY790" s="89"/>
      <c r="IZ790" s="89"/>
      <c r="JA790" s="89"/>
      <c r="JB790" s="89"/>
      <c r="JC790" s="89"/>
      <c r="JD790" s="89"/>
      <c r="JE790" s="89"/>
      <c r="JF790" s="89"/>
      <c r="JG790" s="89"/>
      <c r="JH790" s="89"/>
      <c r="JI790" s="89"/>
      <c r="JJ790" s="89"/>
      <c r="JK790" s="159" t="s">
        <v>14</v>
      </c>
      <c r="JL790" s="160" t="s">
        <v>1682</v>
      </c>
      <c r="JM790" s="152"/>
      <c r="JQ790" s="89"/>
      <c r="JR790" s="89"/>
      <c r="JS790" s="89"/>
      <c r="JT790" s="89"/>
      <c r="JU790" s="89"/>
      <c r="JV790" s="89"/>
      <c r="JW790" s="89"/>
      <c r="JX790" s="161"/>
      <c r="JY790" s="159"/>
      <c r="JZ790" s="152"/>
      <c r="KA790" s="89"/>
      <c r="KB790" s="152"/>
      <c r="KC790" s="89"/>
      <c r="KD790" s="89"/>
      <c r="KE790" s="89"/>
      <c r="KF790" s="152"/>
      <c r="KG790" s="89"/>
      <c r="KH790" s="157"/>
      <c r="KI790" s="178"/>
      <c r="KJ790" s="89"/>
      <c r="KK790" s="89"/>
      <c r="KL790" s="89"/>
      <c r="KM790" s="89"/>
      <c r="KN790" s="152"/>
      <c r="KO790" s="89"/>
      <c r="KP790" s="157"/>
      <c r="KQ790" s="178"/>
      <c r="KR790" s="89"/>
      <c r="KS790" s="89"/>
      <c r="KT790" s="163"/>
      <c r="KU790" s="179"/>
      <c r="KV790" s="89"/>
      <c r="KW790" s="89"/>
      <c r="KX790" s="89"/>
      <c r="KY790" s="3"/>
      <c r="KZ790" s="3"/>
      <c r="LA790" s="3"/>
      <c r="LB790" s="3"/>
      <c r="LC790" s="152"/>
      <c r="LD790" s="152"/>
      <c r="LE790" s="152"/>
      <c r="LF790" s="152"/>
      <c r="LG790" s="152"/>
      <c r="LH790" s="89"/>
      <c r="LI790" s="152"/>
      <c r="LJ790" s="152"/>
      <c r="LK790" s="152"/>
      <c r="LL790" s="89"/>
      <c r="LM790" s="89"/>
      <c r="LN790" s="89"/>
      <c r="LO790" s="89"/>
      <c r="LP790" s="89"/>
      <c r="LQ790" s="89"/>
      <c r="LR790" s="89"/>
      <c r="LS790" s="89"/>
      <c r="LT790" s="89"/>
      <c r="LU790" s="89"/>
      <c r="LV790" s="89"/>
      <c r="LW790" s="89"/>
      <c r="LX790" s="89"/>
      <c r="LY790" s="89"/>
      <c r="LZ790" s="89"/>
      <c r="MA790" s="89"/>
      <c r="MB790" s="89"/>
      <c r="MC790" s="89"/>
      <c r="MD790" s="89"/>
      <c r="ME790" s="89"/>
      <c r="MF790" s="89"/>
      <c r="MG790" s="89"/>
      <c r="MH790" s="89"/>
      <c r="MI790" s="89"/>
      <c r="MJ790" s="89"/>
      <c r="MK790" s="89"/>
      <c r="ML790" s="89"/>
      <c r="MM790" s="89"/>
      <c r="MN790" s="89"/>
      <c r="MO790" s="89"/>
      <c r="MP790" s="89"/>
      <c r="MQ790" s="89"/>
      <c r="MR790" s="89"/>
      <c r="MS790" s="153" t="s">
        <v>2244</v>
      </c>
      <c r="MT790" s="89">
        <v>64</v>
      </c>
      <c r="MU790" s="164"/>
      <c r="MV790" s="164"/>
      <c r="MW790" s="164"/>
      <c r="MX790" s="164"/>
      <c r="MY790" s="164"/>
      <c r="MZ790" s="164"/>
      <c r="NA790" s="164"/>
      <c r="NB790" s="164"/>
      <c r="NC790" s="164"/>
      <c r="ND790" s="153" t="s">
        <v>2251</v>
      </c>
      <c r="NE790" s="153" t="s">
        <v>2252</v>
      </c>
      <c r="NF790" s="153" t="s">
        <v>2253</v>
      </c>
      <c r="NG790" s="153" t="s">
        <v>1426</v>
      </c>
      <c r="NH790" s="165" t="s">
        <v>265</v>
      </c>
      <c r="NI790" s="153"/>
      <c r="NJ790" s="153"/>
      <c r="NK790" s="153"/>
      <c r="NL790" s="153"/>
      <c r="NM790" s="153"/>
      <c r="NN790" s="153"/>
      <c r="NO790" s="153"/>
      <c r="NP790" s="153" t="s">
        <v>64</v>
      </c>
      <c r="NQ790" s="166" t="s">
        <v>6</v>
      </c>
      <c r="NR790" s="97">
        <v>712.9</v>
      </c>
      <c r="NS790" s="166" t="s">
        <v>4</v>
      </c>
      <c r="NT790" s="97">
        <v>1.5</v>
      </c>
      <c r="NU790" s="180"/>
      <c r="NV790" s="89"/>
      <c r="NW790" s="153">
        <v>4</v>
      </c>
      <c r="NX790" s="89"/>
      <c r="NY790" s="89"/>
      <c r="NZ790" s="89"/>
      <c r="OA790" s="89"/>
      <c r="OB790" s="89"/>
      <c r="OC790" s="89"/>
      <c r="OD790" s="89"/>
      <c r="OE790" s="89"/>
      <c r="OF790" s="89"/>
      <c r="OG790" s="89"/>
      <c r="OH790" s="153" t="s">
        <v>2248</v>
      </c>
      <c r="OI790" s="89"/>
      <c r="OJ790" s="89">
        <v>2007</v>
      </c>
      <c r="OK790" s="89"/>
      <c r="OL790" s="89"/>
      <c r="OM790" s="89" t="s">
        <v>1</v>
      </c>
      <c r="ON790" s="89"/>
      <c r="OO790" t="s">
        <v>1178</v>
      </c>
      <c r="OP790" s="58">
        <v>46134</v>
      </c>
    </row>
    <row r="791" spans="1:406" ht="15.75" thickBot="1">
      <c r="A791" t="s">
        <v>248</v>
      </c>
      <c r="B791" t="s">
        <v>2238</v>
      </c>
      <c r="C791" s="89" t="s">
        <v>34</v>
      </c>
      <c r="D791" s="152" t="s">
        <v>1955</v>
      </c>
      <c r="E791" s="89" t="s">
        <v>1676</v>
      </c>
      <c r="F791" t="s">
        <v>31</v>
      </c>
      <c r="G791" s="89" t="s">
        <v>2</v>
      </c>
      <c r="H791" s="152" t="s">
        <v>30</v>
      </c>
      <c r="I791">
        <v>-0.41666666699999999</v>
      </c>
      <c r="J791">
        <v>34.200000000000003</v>
      </c>
      <c r="K791" s="152" t="s">
        <v>29</v>
      </c>
      <c r="L791" s="2"/>
      <c r="M791" s="99"/>
      <c r="N791" s="2"/>
      <c r="O791" s="89"/>
      <c r="P791" s="2"/>
      <c r="Q791" s="2"/>
      <c r="R791" s="89"/>
      <c r="S791" s="89"/>
      <c r="T791" s="89"/>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89" t="s">
        <v>2239</v>
      </c>
      <c r="AW791" s="89">
        <v>64</v>
      </c>
      <c r="AX791" s="89">
        <v>0.09</v>
      </c>
      <c r="AY791" s="89">
        <v>1</v>
      </c>
      <c r="AZ791" s="153" t="s">
        <v>2240</v>
      </c>
      <c r="BA791" s="153">
        <v>2007</v>
      </c>
      <c r="BB791" s="153">
        <v>2008</v>
      </c>
      <c r="BC791" s="153" t="s">
        <v>1</v>
      </c>
      <c r="BD791" s="2"/>
      <c r="BE791" s="2" t="s">
        <v>2249</v>
      </c>
      <c r="BF791" s="2" t="s">
        <v>64</v>
      </c>
      <c r="BG791" s="153" t="s">
        <v>1243</v>
      </c>
      <c r="BH791" s="2" t="s">
        <v>2242</v>
      </c>
      <c r="BI791" s="153" t="s">
        <v>29</v>
      </c>
      <c r="BJ791" s="154" t="s">
        <v>22</v>
      </c>
      <c r="BK791" s="155">
        <v>55500</v>
      </c>
      <c r="BL791" s="2" t="s">
        <v>56</v>
      </c>
      <c r="BM791" t="s">
        <v>2250</v>
      </c>
      <c r="BN791" s="153" t="s">
        <v>29</v>
      </c>
      <c r="BO791" s="2" t="s">
        <v>22</v>
      </c>
      <c r="BP791" s="2">
        <v>55000</v>
      </c>
      <c r="BQ791" s="2"/>
      <c r="BR791" s="2"/>
      <c r="BS791" s="2"/>
      <c r="BT791" s="2"/>
      <c r="BU791" s="2"/>
      <c r="BV791" s="2"/>
      <c r="BW791" s="3"/>
      <c r="BX791" s="3"/>
      <c r="BY791" s="3"/>
      <c r="BZ791" s="3"/>
      <c r="CA791" s="3"/>
      <c r="CB791" s="3"/>
      <c r="CC791" s="3"/>
      <c r="CD791" s="3"/>
      <c r="CE791" s="3"/>
      <c r="CF791" s="3"/>
      <c r="CG791" s="3"/>
      <c r="CH791" s="3"/>
      <c r="CI791" s="3"/>
      <c r="CJ791" s="3"/>
      <c r="CK791" s="3"/>
      <c r="CL791" s="3"/>
      <c r="CM791" s="3"/>
      <c r="CN791" s="3"/>
      <c r="CO791" s="3"/>
      <c r="CP791" s="3"/>
      <c r="CQ791" s="3"/>
      <c r="CR791" s="3"/>
      <c r="CS791" s="3"/>
      <c r="CT791" s="3"/>
      <c r="CU791" s="3"/>
      <c r="CV791" s="3"/>
      <c r="CW791" s="3"/>
      <c r="CX791" s="3"/>
      <c r="CY791" s="3"/>
      <c r="CZ791" s="3"/>
      <c r="DA791" s="3"/>
      <c r="DB791" s="3"/>
      <c r="DC791" s="3"/>
      <c r="DD791" s="3"/>
      <c r="DE791" s="3"/>
      <c r="DF791" s="3"/>
      <c r="DG791" s="3"/>
      <c r="DH791" s="3"/>
      <c r="DI791" s="3"/>
      <c r="DJ791" s="3"/>
      <c r="DK791" s="3"/>
      <c r="DL791" s="3"/>
      <c r="DM791" s="3"/>
      <c r="DN791" s="3"/>
      <c r="DO791" s="3"/>
      <c r="DP791" s="3"/>
      <c r="DQ791" s="3"/>
      <c r="DR791" s="3"/>
      <c r="DS791" s="3"/>
      <c r="DT791" s="3"/>
      <c r="DU791" s="3"/>
      <c r="DV791" s="3"/>
      <c r="DW791" s="3"/>
      <c r="DX791" s="3"/>
      <c r="DY791" s="3"/>
      <c r="DZ791" s="3"/>
      <c r="EA791" s="3"/>
      <c r="EB791" s="3"/>
      <c r="EC791" s="3"/>
      <c r="ED791" s="3"/>
      <c r="EE791" s="2"/>
      <c r="EF791" s="2"/>
      <c r="EG791" s="2"/>
      <c r="EH791" s="2"/>
      <c r="EI791" s="2"/>
      <c r="EJ791" s="2"/>
      <c r="EK791" s="2"/>
      <c r="EL791" s="2"/>
      <c r="EM791" s="3"/>
      <c r="EN791" s="3"/>
      <c r="EO791" s="3"/>
      <c r="EP791" s="3"/>
      <c r="EQ791" s="3"/>
      <c r="ER791" s="3"/>
      <c r="ES791" s="3"/>
      <c r="ET791" s="3"/>
      <c r="EU791" s="3"/>
      <c r="EV791" s="3"/>
      <c r="EW791" s="3"/>
      <c r="EX791" s="3"/>
      <c r="EY791" s="3"/>
      <c r="EZ791" s="3"/>
      <c r="FA791" s="3"/>
      <c r="FB791" s="3"/>
      <c r="FC791" s="3"/>
      <c r="FD791" s="3"/>
      <c r="FE791" s="3"/>
      <c r="FF791" s="3"/>
      <c r="FG791" s="3"/>
      <c r="FH791" s="3"/>
      <c r="FI791" s="3"/>
      <c r="FJ791" s="3"/>
      <c r="FK791" s="3"/>
      <c r="FL791" s="3"/>
      <c r="FM791" s="3"/>
      <c r="FN791" s="3"/>
      <c r="FO791" s="3"/>
      <c r="FP791" s="3"/>
      <c r="FQ791" s="3"/>
      <c r="FR791" s="3"/>
      <c r="FS791" s="3"/>
      <c r="FT791" s="3"/>
      <c r="FU791" s="3"/>
      <c r="FV791" s="3"/>
      <c r="FW791" s="3"/>
      <c r="FX791" s="3"/>
      <c r="FY791" s="3"/>
      <c r="FZ791" s="3"/>
      <c r="GA791" s="3"/>
      <c r="GB791" s="3"/>
      <c r="GC791" s="3"/>
      <c r="GD791" s="3"/>
      <c r="GE791" s="3"/>
      <c r="GF791" s="3"/>
      <c r="GG791" s="3"/>
      <c r="GH791" s="3"/>
      <c r="GI791" s="3"/>
      <c r="GJ791" s="3"/>
      <c r="GK791" s="3"/>
      <c r="GL791" s="3"/>
      <c r="GM791" s="3"/>
      <c r="GN791" s="3"/>
      <c r="GO791" s="3"/>
      <c r="GP791" s="3"/>
      <c r="GQ791" s="3"/>
      <c r="GR791" s="3"/>
      <c r="GS791" s="3"/>
      <c r="GT791" s="3"/>
      <c r="GU791" s="3"/>
      <c r="GV791" s="3"/>
      <c r="GW791" s="3"/>
      <c r="GX791" s="3"/>
      <c r="GY791" s="3"/>
      <c r="GZ791" s="3"/>
      <c r="HA791" s="3"/>
      <c r="HB791" s="3"/>
      <c r="HC791" s="3"/>
      <c r="HD791" s="3"/>
      <c r="HE791" s="3"/>
      <c r="HF791" s="3"/>
      <c r="HG791" s="3"/>
      <c r="HH791" s="3"/>
      <c r="HI791" s="3"/>
      <c r="HJ791" s="3"/>
      <c r="HK791" s="3"/>
      <c r="HL791" s="2"/>
      <c r="HM791" s="2"/>
      <c r="HN791" s="2"/>
      <c r="HO791" s="2"/>
      <c r="HP791" s="2"/>
      <c r="HQ791" s="2"/>
      <c r="HR791" s="2"/>
      <c r="HS791" s="2"/>
      <c r="HT791" s="99"/>
      <c r="HU791" s="2"/>
      <c r="HV791" s="2"/>
      <c r="HW791" s="2"/>
      <c r="HX791" s="2"/>
      <c r="HY791" s="2"/>
      <c r="HZ791" s="2"/>
      <c r="IA791" s="2"/>
      <c r="IB791" s="2"/>
      <c r="IC791" s="2"/>
      <c r="ID791" s="2"/>
      <c r="IE791" s="2"/>
      <c r="IF791" s="2"/>
      <c r="IG791" s="153" t="s">
        <v>2243</v>
      </c>
      <c r="IH791" s="168" t="s">
        <v>1453</v>
      </c>
      <c r="II791" s="169" t="s">
        <v>1477</v>
      </c>
      <c r="IJ791" s="170" t="s">
        <v>661</v>
      </c>
      <c r="IK791" s="2">
        <v>2007</v>
      </c>
      <c r="IL791" s="2" t="s">
        <v>62</v>
      </c>
      <c r="IM791" s="2" t="s">
        <v>29</v>
      </c>
      <c r="IP791" s="2"/>
      <c r="IQ791" s="2"/>
      <c r="IR791" s="2"/>
      <c r="IS791" s="2"/>
      <c r="IT791" s="2"/>
      <c r="IU791" s="2"/>
      <c r="IV791" s="2"/>
      <c r="IW791" s="2"/>
      <c r="IX791" s="2"/>
      <c r="IY791" s="2"/>
      <c r="IZ791" s="2"/>
      <c r="JA791" s="2"/>
      <c r="JB791" s="2"/>
      <c r="JC791" s="2"/>
      <c r="JD791" s="2"/>
      <c r="JE791" s="2"/>
      <c r="JF791" s="2"/>
      <c r="JG791" s="2"/>
      <c r="JH791" s="2"/>
      <c r="JI791" s="2"/>
      <c r="JJ791" s="2"/>
      <c r="JK791" s="159" t="s">
        <v>14</v>
      </c>
      <c r="JL791" s="160" t="s">
        <v>1682</v>
      </c>
      <c r="JM791" s="99"/>
      <c r="JQ791" s="2"/>
      <c r="JR791" s="2"/>
      <c r="JS791" s="2"/>
      <c r="JT791" s="2"/>
      <c r="JU791" s="2"/>
      <c r="JV791" s="2"/>
      <c r="JW791" s="2"/>
      <c r="JX791" s="161"/>
      <c r="JY791" s="171"/>
      <c r="JZ791" s="99"/>
      <c r="KA791" s="2"/>
      <c r="KB791" s="99"/>
      <c r="KC791" s="2"/>
      <c r="KD791" s="2"/>
      <c r="KE791" s="2"/>
      <c r="KF791" s="99"/>
      <c r="KG791" s="2"/>
      <c r="KH791" s="168"/>
      <c r="KI791" s="172"/>
      <c r="KJ791" s="2"/>
      <c r="KK791" s="2"/>
      <c r="KL791" s="2"/>
      <c r="KM791" s="2"/>
      <c r="KN791" s="99"/>
      <c r="KO791" s="2"/>
      <c r="KP791" s="168"/>
      <c r="KQ791" s="172"/>
      <c r="KR791" s="2"/>
      <c r="KS791" s="2"/>
      <c r="KT791" s="163"/>
      <c r="KU791" s="181"/>
      <c r="KV791" s="2"/>
      <c r="KW791" s="2"/>
      <c r="KX791" s="2"/>
      <c r="KY791" s="3"/>
      <c r="KZ791" s="3"/>
      <c r="LA791" s="3"/>
      <c r="LB791" s="3"/>
      <c r="LC791" s="99"/>
      <c r="LD791" s="99"/>
      <c r="LE791" s="99"/>
      <c r="LF791" s="99"/>
      <c r="LG791" s="99"/>
      <c r="LH791" s="2"/>
      <c r="LI791" s="99"/>
      <c r="LJ791" s="99"/>
      <c r="LK791" s="99"/>
      <c r="LL791" s="2"/>
      <c r="LM791" s="2"/>
      <c r="LN791" s="2"/>
      <c r="LO791" s="2"/>
      <c r="LP791" s="2"/>
      <c r="LQ791" s="2"/>
      <c r="LR791" s="2"/>
      <c r="LS791" s="2"/>
      <c r="LT791" s="2"/>
      <c r="LU791" s="2"/>
      <c r="LV791" s="2"/>
      <c r="LW791" s="2"/>
      <c r="LX791" s="2"/>
      <c r="LY791" s="2"/>
      <c r="LZ791" s="2"/>
      <c r="MA791" s="2"/>
      <c r="MB791" s="2"/>
      <c r="MC791" s="2"/>
      <c r="MD791" s="2"/>
      <c r="ME791" s="2"/>
      <c r="MF791" s="2"/>
      <c r="MG791" s="2"/>
      <c r="MH791" s="2"/>
      <c r="MI791" s="2"/>
      <c r="MJ791" s="2"/>
      <c r="MK791" s="2"/>
      <c r="ML791" s="2"/>
      <c r="MM791" s="2"/>
      <c r="MN791" s="2"/>
      <c r="MO791" s="2"/>
      <c r="MP791" s="2"/>
      <c r="MQ791" s="2"/>
      <c r="MR791" s="2"/>
      <c r="MS791" s="153" t="s">
        <v>2244</v>
      </c>
      <c r="MT791" s="89">
        <v>64</v>
      </c>
      <c r="MU791" s="164"/>
      <c r="MV791" s="164"/>
      <c r="MW791" s="164"/>
      <c r="MX791" s="164"/>
      <c r="MY791" s="164"/>
      <c r="MZ791" s="164"/>
      <c r="NA791" s="164"/>
      <c r="NB791" s="164"/>
      <c r="NC791" s="164"/>
      <c r="ND791" s="153" t="s">
        <v>2251</v>
      </c>
      <c r="NE791" s="153" t="s">
        <v>2252</v>
      </c>
      <c r="NF791" s="153" t="s">
        <v>2253</v>
      </c>
      <c r="NG791" s="153" t="s">
        <v>1426</v>
      </c>
      <c r="NH791" s="165" t="s">
        <v>265</v>
      </c>
      <c r="NI791" s="153"/>
      <c r="NJ791" s="153"/>
      <c r="NK791" s="153"/>
      <c r="NL791" s="153"/>
      <c r="NM791" s="153"/>
      <c r="NN791" s="153"/>
      <c r="NO791" s="153"/>
      <c r="NP791" s="153"/>
      <c r="NQ791" s="166" t="s">
        <v>6</v>
      </c>
      <c r="NR791" s="173">
        <v>806.9</v>
      </c>
      <c r="NS791" s="166" t="s">
        <v>4</v>
      </c>
      <c r="NT791" s="173">
        <v>2.1</v>
      </c>
      <c r="NU791" s="174"/>
      <c r="NV791" s="2"/>
      <c r="NW791" s="153">
        <v>4</v>
      </c>
      <c r="NX791" s="2"/>
      <c r="NY791" s="2"/>
      <c r="NZ791" s="2"/>
      <c r="OA791" s="2"/>
      <c r="OB791" s="2"/>
      <c r="OC791" s="2"/>
      <c r="OD791" s="2"/>
      <c r="OE791" s="2"/>
      <c r="OF791" s="2"/>
      <c r="OG791" s="2"/>
      <c r="OH791" s="153" t="s">
        <v>2248</v>
      </c>
      <c r="OI791" s="2"/>
      <c r="OJ791" s="2">
        <v>2007</v>
      </c>
      <c r="OK791" s="2"/>
      <c r="OL791" s="2"/>
      <c r="OM791" s="2" t="s">
        <v>1</v>
      </c>
      <c r="ON791" s="2"/>
      <c r="OO791" t="s">
        <v>1178</v>
      </c>
      <c r="OP791" s="58">
        <v>46134</v>
      </c>
    </row>
    <row r="792" spans="1:406" ht="15.75" thickBot="1">
      <c r="A792" t="s">
        <v>248</v>
      </c>
      <c r="B792" t="s">
        <v>2238</v>
      </c>
      <c r="C792" s="89" t="s">
        <v>34</v>
      </c>
      <c r="D792" s="152" t="s">
        <v>1955</v>
      </c>
      <c r="E792" s="89" t="s">
        <v>1676</v>
      </c>
      <c r="F792" t="s">
        <v>31</v>
      </c>
      <c r="G792" s="89" t="s">
        <v>2</v>
      </c>
      <c r="H792" s="152" t="s">
        <v>30</v>
      </c>
      <c r="I792">
        <v>-0.41666666699999999</v>
      </c>
      <c r="J792">
        <v>34.200000000000003</v>
      </c>
      <c r="K792" s="152" t="s">
        <v>29</v>
      </c>
      <c r="L792" s="89"/>
      <c r="M792" s="152"/>
      <c r="N792" s="89"/>
      <c r="O792" s="89"/>
      <c r="P792" s="89"/>
      <c r="Q792" s="89"/>
      <c r="R792" s="89"/>
      <c r="S792" s="89"/>
      <c r="T792" s="89"/>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89" t="s">
        <v>2239</v>
      </c>
      <c r="AW792" s="89">
        <v>64</v>
      </c>
      <c r="AX792" s="89">
        <v>0.09</v>
      </c>
      <c r="AY792" s="89">
        <v>1</v>
      </c>
      <c r="AZ792" s="153" t="s">
        <v>2240</v>
      </c>
      <c r="BA792" s="153">
        <v>2007</v>
      </c>
      <c r="BB792" s="153">
        <v>2008</v>
      </c>
      <c r="BC792" s="153" t="s">
        <v>62</v>
      </c>
      <c r="BD792" s="89"/>
      <c r="BE792" s="153" t="s">
        <v>2241</v>
      </c>
      <c r="BF792" s="153" t="s">
        <v>39</v>
      </c>
      <c r="BG792" s="153" t="s">
        <v>1243</v>
      </c>
      <c r="BH792" s="153" t="s">
        <v>2242</v>
      </c>
      <c r="BI792" s="153" t="s">
        <v>29</v>
      </c>
      <c r="BJ792" s="154" t="s">
        <v>22</v>
      </c>
      <c r="BK792" s="155">
        <v>111000</v>
      </c>
      <c r="BL792" s="89"/>
      <c r="BM792" s="89"/>
      <c r="BN792" s="89"/>
      <c r="BO792" s="152"/>
      <c r="BP792" s="175"/>
      <c r="BQ792" s="89"/>
      <c r="BR792" s="89"/>
      <c r="BS792" s="89"/>
      <c r="BT792" s="152"/>
      <c r="BU792" s="175"/>
      <c r="BV792" s="89"/>
      <c r="BW792" s="3"/>
      <c r="BX792" s="3"/>
      <c r="BY792" s="3"/>
      <c r="BZ792" s="3"/>
      <c r="CA792" s="3"/>
      <c r="CB792" s="3"/>
      <c r="CC792" s="3"/>
      <c r="CD792" s="3"/>
      <c r="CE792" s="3"/>
      <c r="CF792" s="3"/>
      <c r="CG792" s="3"/>
      <c r="CH792" s="3"/>
      <c r="CI792" s="3"/>
      <c r="CJ792" s="3"/>
      <c r="CK792" s="3"/>
      <c r="CL792" s="3"/>
      <c r="CM792" s="3"/>
      <c r="CN792" s="3"/>
      <c r="CO792" s="3"/>
      <c r="CP792" s="3"/>
      <c r="CQ792" s="3"/>
      <c r="CR792" s="3"/>
      <c r="CS792" s="3"/>
      <c r="CT792" s="3"/>
      <c r="CU792" s="3"/>
      <c r="CV792" s="3"/>
      <c r="CW792" s="3"/>
      <c r="CX792" s="3"/>
      <c r="CY792" s="3"/>
      <c r="CZ792" s="3"/>
      <c r="DA792" s="3"/>
      <c r="DB792" s="3"/>
      <c r="DC792" s="3"/>
      <c r="DD792" s="3"/>
      <c r="DE792" s="3"/>
      <c r="DF792" s="3"/>
      <c r="DG792" s="3"/>
      <c r="DH792" s="3"/>
      <c r="DI792" s="3"/>
      <c r="DJ792" s="3"/>
      <c r="DK792" s="3"/>
      <c r="DL792" s="3"/>
      <c r="DM792" s="3"/>
      <c r="DN792" s="3"/>
      <c r="DO792" s="3"/>
      <c r="DP792" s="3"/>
      <c r="DQ792" s="3"/>
      <c r="DR792" s="3"/>
      <c r="DS792" s="3"/>
      <c r="DT792" s="3"/>
      <c r="DU792" s="3"/>
      <c r="DV792" s="3"/>
      <c r="DW792" s="3"/>
      <c r="DX792" s="3"/>
      <c r="DY792" s="3"/>
      <c r="DZ792" s="3"/>
      <c r="EA792" s="3"/>
      <c r="EB792" s="3"/>
      <c r="EC792" s="3"/>
      <c r="ED792" s="3"/>
      <c r="EE792" s="89"/>
      <c r="EF792" s="89"/>
      <c r="EG792" s="89"/>
      <c r="EH792" s="89"/>
      <c r="EI792" s="89"/>
      <c r="EJ792" s="89"/>
      <c r="EK792" s="89"/>
      <c r="EL792" s="89"/>
      <c r="EM792" s="3"/>
      <c r="EN792" s="3"/>
      <c r="EO792" s="3"/>
      <c r="EP792" s="3"/>
      <c r="EQ792" s="3"/>
      <c r="ER792" s="3"/>
      <c r="ES792" s="3"/>
      <c r="ET792" s="3"/>
      <c r="EU792" s="3"/>
      <c r="EV792" s="3"/>
      <c r="EW792" s="3"/>
      <c r="EX792" s="3"/>
      <c r="EY792" s="3"/>
      <c r="EZ792" s="3"/>
      <c r="FA792" s="3"/>
      <c r="FB792" s="3"/>
      <c r="FC792" s="3"/>
      <c r="FD792" s="3"/>
      <c r="FE792" s="3"/>
      <c r="FF792" s="3"/>
      <c r="FG792" s="3"/>
      <c r="FH792" s="3"/>
      <c r="FI792" s="3"/>
      <c r="FJ792" s="3"/>
      <c r="FK792" s="3"/>
      <c r="FL792" s="3"/>
      <c r="FM792" s="3"/>
      <c r="FN792" s="3"/>
      <c r="FO792" s="3"/>
      <c r="FP792" s="3"/>
      <c r="FQ792" s="3"/>
      <c r="FR792" s="3"/>
      <c r="FS792" s="3"/>
      <c r="FT792" s="3"/>
      <c r="FU792" s="3"/>
      <c r="FV792" s="3"/>
      <c r="FW792" s="3"/>
      <c r="FX792" s="3"/>
      <c r="FY792" s="3"/>
      <c r="FZ792" s="3"/>
      <c r="GA792" s="3"/>
      <c r="GB792" s="3"/>
      <c r="GC792" s="3"/>
      <c r="GD792" s="3"/>
      <c r="GE792" s="3"/>
      <c r="GF792" s="3"/>
      <c r="GG792" s="3"/>
      <c r="GH792" s="3"/>
      <c r="GI792" s="3"/>
      <c r="GJ792" s="3"/>
      <c r="GK792" s="3"/>
      <c r="GL792" s="3"/>
      <c r="GM792" s="3"/>
      <c r="GN792" s="3"/>
      <c r="GO792" s="3"/>
      <c r="GP792" s="3"/>
      <c r="GQ792" s="3"/>
      <c r="GR792" s="3"/>
      <c r="GS792" s="3"/>
      <c r="GT792" s="3"/>
      <c r="GU792" s="3"/>
      <c r="GV792" s="3"/>
      <c r="GW792" s="3"/>
      <c r="GX792" s="3"/>
      <c r="GY792" s="3"/>
      <c r="GZ792" s="3"/>
      <c r="HA792" s="3"/>
      <c r="HB792" s="3"/>
      <c r="HC792" s="3"/>
      <c r="HD792" s="3"/>
      <c r="HE792" s="3"/>
      <c r="HF792" s="3"/>
      <c r="HG792" s="3"/>
      <c r="HH792" s="3"/>
      <c r="HI792" s="3"/>
      <c r="HJ792" s="3"/>
      <c r="HK792" s="3"/>
      <c r="HL792" s="89"/>
      <c r="HM792" s="89"/>
      <c r="HN792" s="89"/>
      <c r="HO792" s="89"/>
      <c r="HP792" s="89"/>
      <c r="HQ792" s="89"/>
      <c r="HR792" s="89"/>
      <c r="HS792" s="89"/>
      <c r="HT792" s="152"/>
      <c r="HU792" s="89"/>
      <c r="HV792" s="89"/>
      <c r="HW792" s="89"/>
      <c r="HX792" s="89"/>
      <c r="HY792" s="89"/>
      <c r="HZ792" s="89"/>
      <c r="IA792" s="89"/>
      <c r="IB792" s="89"/>
      <c r="IC792" s="89"/>
      <c r="ID792" s="89"/>
      <c r="IE792" s="89"/>
      <c r="IF792" s="89"/>
      <c r="IG792" s="153" t="s">
        <v>2243</v>
      </c>
      <c r="IH792" s="157" t="s">
        <v>19</v>
      </c>
      <c r="II792" s="89"/>
      <c r="IJ792" s="89"/>
      <c r="IK792" s="89"/>
      <c r="IL792" s="89"/>
      <c r="IM792" s="89"/>
      <c r="IP792" s="89"/>
      <c r="IQ792" s="89"/>
      <c r="IR792" s="89"/>
      <c r="IS792" s="89"/>
      <c r="IT792" s="89"/>
      <c r="IU792" s="89"/>
      <c r="IV792" s="152"/>
      <c r="IW792" s="89"/>
      <c r="IX792" s="89"/>
      <c r="IY792" s="89"/>
      <c r="IZ792" s="89"/>
      <c r="JA792" s="89"/>
      <c r="JB792" s="89"/>
      <c r="JC792" s="89"/>
      <c r="JD792" s="89"/>
      <c r="JE792" s="89"/>
      <c r="JF792" s="89"/>
      <c r="JG792" s="89"/>
      <c r="JH792" s="89"/>
      <c r="JI792" s="89"/>
      <c r="JJ792" s="89"/>
      <c r="JK792" s="159" t="s">
        <v>14</v>
      </c>
      <c r="JL792" s="160" t="s">
        <v>1682</v>
      </c>
      <c r="JM792" s="152"/>
      <c r="JQ792" s="89"/>
      <c r="JR792" s="89"/>
      <c r="JS792" s="89"/>
      <c r="JT792" s="89"/>
      <c r="JU792" s="89"/>
      <c r="JV792" s="89"/>
      <c r="JW792" s="89"/>
      <c r="JX792" s="161"/>
      <c r="JY792" s="159"/>
      <c r="JZ792" s="152"/>
      <c r="KA792" s="89"/>
      <c r="KB792" s="152"/>
      <c r="KC792" s="89"/>
      <c r="KD792" s="89"/>
      <c r="KE792" s="89"/>
      <c r="KF792" s="152"/>
      <c r="KG792" s="89"/>
      <c r="KH792" s="157"/>
      <c r="KI792" s="178"/>
      <c r="KJ792" s="89"/>
      <c r="KK792" s="89"/>
      <c r="KL792" s="89"/>
      <c r="KM792" s="89"/>
      <c r="KN792" s="152"/>
      <c r="KO792" s="89"/>
      <c r="KP792" s="182"/>
      <c r="KQ792" s="159"/>
      <c r="KR792" s="89"/>
      <c r="KS792" s="89"/>
      <c r="KT792" s="163"/>
      <c r="KU792" s="178"/>
      <c r="KV792" s="89"/>
      <c r="KW792" s="89"/>
      <c r="KX792" s="89"/>
      <c r="KY792" s="3"/>
      <c r="KZ792" s="3"/>
      <c r="LA792" s="3"/>
      <c r="LB792" s="3"/>
      <c r="LC792" s="152"/>
      <c r="LD792" s="152"/>
      <c r="LE792" s="152"/>
      <c r="LF792" s="152"/>
      <c r="LG792" s="152"/>
      <c r="LH792" s="89"/>
      <c r="LI792" s="152"/>
      <c r="LJ792" s="152"/>
      <c r="LK792" s="152"/>
      <c r="LL792" s="89"/>
      <c r="LM792" s="89"/>
      <c r="LN792" s="89"/>
      <c r="LO792" s="89"/>
      <c r="LP792" s="89"/>
      <c r="LQ792" s="89"/>
      <c r="LR792" s="89"/>
      <c r="LS792" s="89"/>
      <c r="LT792" s="89"/>
      <c r="LU792" s="89"/>
      <c r="LV792" s="89"/>
      <c r="LW792" s="89"/>
      <c r="LX792" s="89"/>
      <c r="LY792" s="89"/>
      <c r="LZ792" s="89"/>
      <c r="MA792" s="89"/>
      <c r="MB792" s="89"/>
      <c r="MC792" s="89"/>
      <c r="MD792" s="89"/>
      <c r="ME792" s="89"/>
      <c r="MF792" s="89"/>
      <c r="MG792" s="89"/>
      <c r="MH792" s="89"/>
      <c r="MI792" s="89"/>
      <c r="MJ792" s="89"/>
      <c r="MK792" s="89"/>
      <c r="ML792" s="89"/>
      <c r="MM792" s="89"/>
      <c r="MN792" s="89"/>
      <c r="MO792" s="89"/>
      <c r="MP792" s="89"/>
      <c r="MQ792" s="89"/>
      <c r="MR792" s="89"/>
      <c r="MS792" s="153" t="s">
        <v>2244</v>
      </c>
      <c r="MT792" s="89">
        <v>64</v>
      </c>
      <c r="MU792" s="164"/>
      <c r="MV792" s="164"/>
      <c r="MW792" s="164"/>
      <c r="MX792" s="164"/>
      <c r="MY792" s="164"/>
      <c r="MZ792" s="164"/>
      <c r="NA792" s="164"/>
      <c r="NB792" s="164"/>
      <c r="NC792" s="164"/>
      <c r="ND792" s="153" t="s">
        <v>2251</v>
      </c>
      <c r="NE792" s="153" t="s">
        <v>2252</v>
      </c>
      <c r="NF792" s="153" t="s">
        <v>2253</v>
      </c>
      <c r="NG792" s="153" t="s">
        <v>1426</v>
      </c>
      <c r="NH792" s="165" t="s">
        <v>265</v>
      </c>
      <c r="NI792" s="153"/>
      <c r="NJ792" s="153"/>
      <c r="NK792" s="153"/>
      <c r="NL792" s="153"/>
      <c r="NM792" s="153"/>
      <c r="NN792" s="153"/>
      <c r="NO792" s="153"/>
      <c r="NP792" s="153" t="s">
        <v>64</v>
      </c>
      <c r="NQ792" s="166" t="s">
        <v>6</v>
      </c>
      <c r="NR792" s="97">
        <v>703.7</v>
      </c>
      <c r="NS792" s="166" t="s">
        <v>4</v>
      </c>
      <c r="NT792" s="97">
        <v>2.1</v>
      </c>
      <c r="NU792" s="180"/>
      <c r="NV792" s="89"/>
      <c r="NW792" s="153">
        <v>4</v>
      </c>
      <c r="NX792" s="89"/>
      <c r="NY792" s="89"/>
      <c r="NZ792" s="89"/>
      <c r="OA792" s="89"/>
      <c r="OB792" s="89"/>
      <c r="OC792" s="89"/>
      <c r="OD792" s="89"/>
      <c r="OE792" s="89"/>
      <c r="OF792" s="89"/>
      <c r="OG792" s="89"/>
      <c r="OH792" s="153" t="s">
        <v>2248</v>
      </c>
      <c r="OI792" s="89"/>
      <c r="OJ792" s="89">
        <v>2008</v>
      </c>
      <c r="OK792" s="89"/>
      <c r="OL792" s="89"/>
      <c r="OM792" s="153" t="s">
        <v>62</v>
      </c>
      <c r="ON792" s="89"/>
      <c r="OO792" t="s">
        <v>1178</v>
      </c>
      <c r="OP792" s="58">
        <v>46134</v>
      </c>
    </row>
    <row r="793" spans="1:406" ht="15.75" thickBot="1">
      <c r="A793" t="s">
        <v>248</v>
      </c>
      <c r="B793" t="s">
        <v>2238</v>
      </c>
      <c r="C793" s="89" t="s">
        <v>34</v>
      </c>
      <c r="D793" s="152" t="s">
        <v>1955</v>
      </c>
      <c r="E793" s="89" t="s">
        <v>1676</v>
      </c>
      <c r="F793" t="s">
        <v>31</v>
      </c>
      <c r="G793" s="89" t="s">
        <v>2</v>
      </c>
      <c r="H793" s="152" t="s">
        <v>30</v>
      </c>
      <c r="I793">
        <v>-0.41666666699999999</v>
      </c>
      <c r="J793">
        <v>34.200000000000003</v>
      </c>
      <c r="K793" s="152" t="s">
        <v>29</v>
      </c>
      <c r="L793" s="2"/>
      <c r="M793" s="99"/>
      <c r="N793" s="2"/>
      <c r="O793" s="89"/>
      <c r="P793" s="2"/>
      <c r="Q793" s="2"/>
      <c r="R793" s="89"/>
      <c r="S793" s="89"/>
      <c r="T793" s="89"/>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89" t="s">
        <v>2239</v>
      </c>
      <c r="AW793" s="89">
        <v>64</v>
      </c>
      <c r="AX793" s="89">
        <v>0.09</v>
      </c>
      <c r="AY793" s="89">
        <v>1</v>
      </c>
      <c r="AZ793" s="153" t="s">
        <v>2240</v>
      </c>
      <c r="BA793" s="153">
        <v>2007</v>
      </c>
      <c r="BB793" s="153">
        <v>2008</v>
      </c>
      <c r="BC793" s="153" t="s">
        <v>62</v>
      </c>
      <c r="BD793" s="2"/>
      <c r="BE793" s="2" t="s">
        <v>2249</v>
      </c>
      <c r="BF793" s="2" t="s">
        <v>64</v>
      </c>
      <c r="BG793" s="153" t="s">
        <v>1243</v>
      </c>
      <c r="BH793" s="2" t="s">
        <v>2242</v>
      </c>
      <c r="BI793" s="153" t="s">
        <v>29</v>
      </c>
      <c r="BJ793" s="154" t="s">
        <v>22</v>
      </c>
      <c r="BK793" s="155">
        <v>55500</v>
      </c>
      <c r="BL793" s="2" t="s">
        <v>56</v>
      </c>
      <c r="BM793" t="s">
        <v>2250</v>
      </c>
      <c r="BN793" s="153" t="s">
        <v>29</v>
      </c>
      <c r="BO793" s="2" t="s">
        <v>22</v>
      </c>
      <c r="BP793" s="2">
        <v>55000</v>
      </c>
      <c r="BQ793" s="2"/>
      <c r="BR793" s="2"/>
      <c r="BS793" s="2"/>
      <c r="BT793" s="99"/>
      <c r="BU793" s="2"/>
      <c r="BV793" s="2"/>
      <c r="BW793" s="3"/>
      <c r="BX793" s="3"/>
      <c r="BY793" s="3"/>
      <c r="BZ793" s="3"/>
      <c r="CA793" s="3"/>
      <c r="CB793" s="3"/>
      <c r="CC793" s="3"/>
      <c r="CD793" s="3"/>
      <c r="CE793" s="3"/>
      <c r="CF793" s="3"/>
      <c r="CG793" s="3"/>
      <c r="CH793" s="3"/>
      <c r="CI793" s="3"/>
      <c r="CJ793" s="3"/>
      <c r="CK793" s="3"/>
      <c r="CL793" s="3"/>
      <c r="CM793" s="3"/>
      <c r="CN793" s="3"/>
      <c r="CO793" s="3"/>
      <c r="CP793" s="3"/>
      <c r="CQ793" s="3"/>
      <c r="CR793" s="3"/>
      <c r="CS793" s="3"/>
      <c r="CT793" s="3"/>
      <c r="CU793" s="3"/>
      <c r="CV793" s="3"/>
      <c r="CW793" s="3"/>
      <c r="CX793" s="3"/>
      <c r="CY793" s="3"/>
      <c r="CZ793" s="3"/>
      <c r="DA793" s="3"/>
      <c r="DB793" s="3"/>
      <c r="DC793" s="3"/>
      <c r="DD793" s="3"/>
      <c r="DE793" s="3"/>
      <c r="DF793" s="3"/>
      <c r="DG793" s="3"/>
      <c r="DH793" s="3"/>
      <c r="DI793" s="3"/>
      <c r="DJ793" s="3"/>
      <c r="DK793" s="3"/>
      <c r="DL793" s="3"/>
      <c r="DM793" s="3"/>
      <c r="DN793" s="3"/>
      <c r="DO793" s="3"/>
      <c r="DP793" s="3"/>
      <c r="DQ793" s="3"/>
      <c r="DR793" s="3"/>
      <c r="DS793" s="3"/>
      <c r="DT793" s="3"/>
      <c r="DU793" s="3"/>
      <c r="DV793" s="3"/>
      <c r="DW793" s="3"/>
      <c r="DX793" s="3"/>
      <c r="DY793" s="3"/>
      <c r="DZ793" s="3"/>
      <c r="EA793" s="3"/>
      <c r="EB793" s="3"/>
      <c r="EC793" s="3"/>
      <c r="ED793" s="3"/>
      <c r="EE793" s="2"/>
      <c r="EF793" s="2"/>
      <c r="EG793" s="2"/>
      <c r="EH793" s="2"/>
      <c r="EI793" s="2"/>
      <c r="EJ793" s="2"/>
      <c r="EK793" s="2"/>
      <c r="EL793" s="2"/>
      <c r="EM793" s="3"/>
      <c r="EN793" s="3"/>
      <c r="EO793" s="3"/>
      <c r="EP793" s="3"/>
      <c r="EQ793" s="3"/>
      <c r="ER793" s="3"/>
      <c r="ES793" s="3"/>
      <c r="ET793" s="3"/>
      <c r="EU793" s="3"/>
      <c r="EV793" s="3"/>
      <c r="EW793" s="3"/>
      <c r="EX793" s="3"/>
      <c r="EY793" s="3"/>
      <c r="EZ793" s="3"/>
      <c r="FA793" s="3"/>
      <c r="FB793" s="3"/>
      <c r="FC793" s="3"/>
      <c r="FD793" s="3"/>
      <c r="FE793" s="3"/>
      <c r="FF793" s="3"/>
      <c r="FG793" s="3"/>
      <c r="FH793" s="3"/>
      <c r="FI793" s="3"/>
      <c r="FJ793" s="3"/>
      <c r="FK793" s="3"/>
      <c r="FL793" s="3"/>
      <c r="FM793" s="3"/>
      <c r="FN793" s="3"/>
      <c r="FO793" s="3"/>
      <c r="FP793" s="3"/>
      <c r="FQ793" s="3"/>
      <c r="FR793" s="3"/>
      <c r="FS793" s="3"/>
      <c r="FT793" s="3"/>
      <c r="FU793" s="3"/>
      <c r="FV793" s="3"/>
      <c r="FW793" s="3"/>
      <c r="FX793" s="3"/>
      <c r="FY793" s="3"/>
      <c r="FZ793" s="3"/>
      <c r="GA793" s="3"/>
      <c r="GB793" s="3"/>
      <c r="GC793" s="3"/>
      <c r="GD793" s="3"/>
      <c r="GE793" s="3"/>
      <c r="GF793" s="3"/>
      <c r="GG793" s="3"/>
      <c r="GH793" s="3"/>
      <c r="GI793" s="3"/>
      <c r="GJ793" s="3"/>
      <c r="GK793" s="3"/>
      <c r="GL793" s="3"/>
      <c r="GM793" s="3"/>
      <c r="GN793" s="3"/>
      <c r="GO793" s="3"/>
      <c r="GP793" s="3"/>
      <c r="GQ793" s="3"/>
      <c r="GR793" s="3"/>
      <c r="GS793" s="3"/>
      <c r="GT793" s="3"/>
      <c r="GU793" s="3"/>
      <c r="GV793" s="3"/>
      <c r="GW793" s="3"/>
      <c r="GX793" s="3"/>
      <c r="GY793" s="3"/>
      <c r="GZ793" s="3"/>
      <c r="HA793" s="3"/>
      <c r="HB793" s="3"/>
      <c r="HC793" s="3"/>
      <c r="HD793" s="3"/>
      <c r="HE793" s="3"/>
      <c r="HF793" s="3"/>
      <c r="HG793" s="3"/>
      <c r="HH793" s="3"/>
      <c r="HI793" s="3"/>
      <c r="HJ793" s="3"/>
      <c r="HK793" s="3"/>
      <c r="HL793" s="2"/>
      <c r="HM793" s="2"/>
      <c r="HN793" s="2"/>
      <c r="HO793" s="2"/>
      <c r="HP793" s="2"/>
      <c r="HQ793" s="2"/>
      <c r="HR793" s="2"/>
      <c r="HS793" s="2"/>
      <c r="HT793" s="99"/>
      <c r="HU793" s="2"/>
      <c r="HV793" s="2"/>
      <c r="HW793" s="2"/>
      <c r="HX793" s="2"/>
      <c r="HY793" s="2"/>
      <c r="HZ793" s="2"/>
      <c r="IA793" s="2"/>
      <c r="IB793" s="2"/>
      <c r="IC793" s="2"/>
      <c r="ID793" s="2"/>
      <c r="IE793" s="2"/>
      <c r="IF793" s="2"/>
      <c r="IG793" s="153" t="s">
        <v>2243</v>
      </c>
      <c r="IH793" s="168" t="s">
        <v>1453</v>
      </c>
      <c r="II793" s="169" t="s">
        <v>1477</v>
      </c>
      <c r="IJ793" s="170" t="s">
        <v>661</v>
      </c>
      <c r="IK793" s="2">
        <v>2007</v>
      </c>
      <c r="IL793" s="2" t="s">
        <v>62</v>
      </c>
      <c r="IM793" s="2" t="s">
        <v>29</v>
      </c>
      <c r="IP793" s="2"/>
      <c r="IQ793" s="2"/>
      <c r="IR793" s="2"/>
      <c r="IS793" s="2"/>
      <c r="IT793" s="2"/>
      <c r="IU793" s="2"/>
      <c r="IV793" s="99"/>
      <c r="IW793" s="2"/>
      <c r="IX793" s="2"/>
      <c r="IY793" s="2"/>
      <c r="IZ793" s="2"/>
      <c r="JA793" s="2"/>
      <c r="JB793" s="2"/>
      <c r="JC793" s="2"/>
      <c r="JD793" s="2"/>
      <c r="JE793" s="2"/>
      <c r="JF793" s="2"/>
      <c r="JG793" s="2"/>
      <c r="JH793" s="2"/>
      <c r="JI793" s="2"/>
      <c r="JJ793" s="2"/>
      <c r="JK793" s="159" t="s">
        <v>14</v>
      </c>
      <c r="JL793" s="160" t="s">
        <v>1682</v>
      </c>
      <c r="JM793" s="99"/>
      <c r="JQ793" s="2"/>
      <c r="JR793" s="2"/>
      <c r="JS793" s="2"/>
      <c r="JT793" s="2"/>
      <c r="JU793" s="2"/>
      <c r="JV793" s="2"/>
      <c r="JW793" s="2"/>
      <c r="JX793" s="161"/>
      <c r="JY793" s="171"/>
      <c r="JZ793" s="99"/>
      <c r="KA793" s="2"/>
      <c r="KB793" s="99"/>
      <c r="KC793" s="2"/>
      <c r="KD793" s="2"/>
      <c r="KE793" s="2"/>
      <c r="KF793" s="99"/>
      <c r="KG793" s="2"/>
      <c r="KH793" s="168"/>
      <c r="KI793" s="172"/>
      <c r="KJ793" s="2"/>
      <c r="KK793" s="2"/>
      <c r="KL793" s="2"/>
      <c r="KM793" s="2"/>
      <c r="KN793" s="99"/>
      <c r="KO793" s="2"/>
      <c r="KP793" s="182"/>
      <c r="KQ793" s="171"/>
      <c r="KR793" s="2"/>
      <c r="KS793" s="2"/>
      <c r="KT793" s="163"/>
      <c r="KU793" s="172"/>
      <c r="KV793" s="2"/>
      <c r="KW793" s="2"/>
      <c r="KX793" s="2"/>
      <c r="KY793" s="3"/>
      <c r="KZ793" s="3"/>
      <c r="LA793" s="3"/>
      <c r="LB793" s="3"/>
      <c r="LC793" s="99"/>
      <c r="LD793" s="99"/>
      <c r="LE793" s="99"/>
      <c r="LF793" s="99"/>
      <c r="LG793" s="99"/>
      <c r="LH793" s="2"/>
      <c r="LI793" s="99"/>
      <c r="LJ793" s="99"/>
      <c r="LK793" s="99"/>
      <c r="LL793" s="2"/>
      <c r="LM793" s="2"/>
      <c r="LN793" s="2"/>
      <c r="LO793" s="2"/>
      <c r="LP793" s="2"/>
      <c r="LQ793" s="2"/>
      <c r="LR793" s="2"/>
      <c r="LS793" s="2"/>
      <c r="LT793" s="2"/>
      <c r="LU793" s="2"/>
      <c r="LV793" s="2"/>
      <c r="LW793" s="2"/>
      <c r="LX793" s="2"/>
      <c r="LY793" s="2"/>
      <c r="LZ793" s="2"/>
      <c r="MA793" s="2"/>
      <c r="MB793" s="2"/>
      <c r="MC793" s="2"/>
      <c r="MD793" s="2"/>
      <c r="ME793" s="2"/>
      <c r="MF793" s="2"/>
      <c r="MG793" s="2"/>
      <c r="MH793" s="2"/>
      <c r="MI793" s="2"/>
      <c r="MJ793" s="2"/>
      <c r="MK793" s="2"/>
      <c r="ML793" s="2"/>
      <c r="MM793" s="2"/>
      <c r="MN793" s="2"/>
      <c r="MO793" s="2"/>
      <c r="MP793" s="2"/>
      <c r="MQ793" s="2"/>
      <c r="MR793" s="2"/>
      <c r="MS793" s="153" t="s">
        <v>2244</v>
      </c>
      <c r="MT793" s="89">
        <v>64</v>
      </c>
      <c r="MU793" s="164"/>
      <c r="MV793" s="164"/>
      <c r="MW793" s="164"/>
      <c r="MX793" s="164"/>
      <c r="MY793" s="164"/>
      <c r="MZ793" s="164"/>
      <c r="NA793" s="164"/>
      <c r="NB793" s="164"/>
      <c r="NC793" s="164"/>
      <c r="ND793" s="153" t="s">
        <v>2251</v>
      </c>
      <c r="NE793" s="153" t="s">
        <v>2252</v>
      </c>
      <c r="NF793" s="153" t="s">
        <v>2253</v>
      </c>
      <c r="NG793" s="153" t="s">
        <v>1426</v>
      </c>
      <c r="NH793" s="165" t="s">
        <v>265</v>
      </c>
      <c r="NI793" s="153"/>
      <c r="NJ793" s="153"/>
      <c r="NK793" s="153"/>
      <c r="NL793" s="153"/>
      <c r="NM793" s="153"/>
      <c r="NN793" s="153"/>
      <c r="NO793" s="153"/>
      <c r="NP793" s="153"/>
      <c r="NQ793" s="166" t="s">
        <v>6</v>
      </c>
      <c r="NR793" s="173">
        <v>819.8</v>
      </c>
      <c r="NS793" s="166" t="s">
        <v>4</v>
      </c>
      <c r="NT793" s="173">
        <v>3.2</v>
      </c>
      <c r="NU793" s="174"/>
      <c r="NV793" s="2"/>
      <c r="NW793" s="153">
        <v>4</v>
      </c>
      <c r="NX793" s="2"/>
      <c r="NY793" s="2"/>
      <c r="NZ793" s="2"/>
      <c r="OA793" s="2"/>
      <c r="OB793" s="2"/>
      <c r="OC793" s="2"/>
      <c r="OD793" s="2"/>
      <c r="OE793" s="2"/>
      <c r="OF793" s="2"/>
      <c r="OG793" s="2"/>
      <c r="OH793" s="153" t="s">
        <v>2248</v>
      </c>
      <c r="OI793" s="2"/>
      <c r="OJ793" s="2">
        <v>2008</v>
      </c>
      <c r="OK793" s="2"/>
      <c r="OL793" s="2"/>
      <c r="OM793" s="153" t="s">
        <v>62</v>
      </c>
      <c r="ON793" s="2"/>
      <c r="OO793" t="s">
        <v>1178</v>
      </c>
      <c r="OP793" s="58">
        <v>46134</v>
      </c>
    </row>
    <row r="794" spans="1:406" ht="17.25" thickBot="1">
      <c r="A794" t="s">
        <v>248</v>
      </c>
      <c r="B794" t="s">
        <v>2238</v>
      </c>
      <c r="C794" s="89" t="s">
        <v>34</v>
      </c>
      <c r="D794" s="152" t="s">
        <v>1955</v>
      </c>
      <c r="E794" s="89" t="s">
        <v>1676</v>
      </c>
      <c r="F794" t="s">
        <v>31</v>
      </c>
      <c r="G794" s="89" t="s">
        <v>2</v>
      </c>
      <c r="H794" s="152" t="s">
        <v>30</v>
      </c>
      <c r="I794">
        <v>-0.41666666699999999</v>
      </c>
      <c r="J794">
        <v>34.200000000000003</v>
      </c>
      <c r="K794" s="152" t="s">
        <v>29</v>
      </c>
      <c r="L794" s="89"/>
      <c r="M794" s="152"/>
      <c r="N794" s="89"/>
      <c r="O794" s="89"/>
      <c r="P794" s="89"/>
      <c r="Q794" s="89"/>
      <c r="R794" s="89"/>
      <c r="S794" s="89"/>
      <c r="T794" s="89"/>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89" t="s">
        <v>2239</v>
      </c>
      <c r="AW794" s="89">
        <v>64</v>
      </c>
      <c r="AX794" s="89">
        <v>0.09</v>
      </c>
      <c r="AY794" s="89">
        <v>1</v>
      </c>
      <c r="AZ794" s="153" t="s">
        <v>2240</v>
      </c>
      <c r="BA794" s="153">
        <v>2007</v>
      </c>
      <c r="BB794" s="153">
        <v>2008</v>
      </c>
      <c r="BC794" s="153" t="s">
        <v>62</v>
      </c>
      <c r="BD794" s="153"/>
      <c r="BE794" s="153" t="s">
        <v>2241</v>
      </c>
      <c r="BF794" s="153" t="s">
        <v>39</v>
      </c>
      <c r="BG794" s="153" t="s">
        <v>1243</v>
      </c>
      <c r="BH794" s="153" t="s">
        <v>2242</v>
      </c>
      <c r="BI794" s="153" t="s">
        <v>29</v>
      </c>
      <c r="BJ794" s="154" t="s">
        <v>22</v>
      </c>
      <c r="BK794" s="155">
        <v>111000</v>
      </c>
      <c r="BL794" s="153"/>
      <c r="BM794" s="153"/>
      <c r="BN794" s="153"/>
      <c r="BO794" s="153"/>
      <c r="BP794" s="153"/>
      <c r="BQ794" s="153"/>
      <c r="BR794" s="153"/>
      <c r="BS794" s="153"/>
      <c r="BT794" s="153"/>
      <c r="BU794" s="153"/>
      <c r="BV794" s="153"/>
      <c r="BW794" s="3"/>
      <c r="BX794" s="3"/>
      <c r="BY794" s="3"/>
      <c r="BZ794" s="3"/>
      <c r="CA794" s="3"/>
      <c r="CB794" s="3"/>
      <c r="CC794" s="3"/>
      <c r="CD794" s="3"/>
      <c r="CE794" s="3"/>
      <c r="CF794" s="3"/>
      <c r="CG794" s="3"/>
      <c r="CH794" s="3"/>
      <c r="CI794" s="3"/>
      <c r="CJ794" s="3"/>
      <c r="CK794" s="3"/>
      <c r="CL794" s="3"/>
      <c r="CM794" s="3"/>
      <c r="CN794" s="3"/>
      <c r="CO794" s="3"/>
      <c r="CP794" s="3"/>
      <c r="CQ794" s="3"/>
      <c r="CR794" s="3"/>
      <c r="CS794" s="3"/>
      <c r="CT794" s="3"/>
      <c r="CU794" s="3"/>
      <c r="CV794" s="3"/>
      <c r="CW794" s="3"/>
      <c r="CX794" s="3"/>
      <c r="CY794" s="3"/>
      <c r="CZ794" s="3"/>
      <c r="DA794" s="3"/>
      <c r="DB794" s="3"/>
      <c r="DC794" s="3"/>
      <c r="DD794" s="3"/>
      <c r="DE794" s="3"/>
      <c r="DF794" s="3"/>
      <c r="DG794" s="3"/>
      <c r="DH794" s="3"/>
      <c r="DI794" s="3"/>
      <c r="DJ794" s="3"/>
      <c r="DK794" s="3"/>
      <c r="DL794" s="3"/>
      <c r="DM794" s="3"/>
      <c r="DN794" s="3"/>
      <c r="DO794" s="3"/>
      <c r="DP794" s="3"/>
      <c r="DQ794" s="3"/>
      <c r="DR794" s="3"/>
      <c r="DS794" s="3"/>
      <c r="DT794" s="3"/>
      <c r="DU794" s="3"/>
      <c r="DV794" s="3"/>
      <c r="DW794" s="3"/>
      <c r="DX794" s="3"/>
      <c r="DY794" s="3"/>
      <c r="DZ794" s="3"/>
      <c r="EA794" s="3"/>
      <c r="EB794" s="3"/>
      <c r="EC794" s="3"/>
      <c r="ED794" s="3"/>
      <c r="EE794" s="2"/>
      <c r="EF794" s="153"/>
      <c r="EG794" s="153"/>
      <c r="EH794" s="153"/>
      <c r="EI794" s="153"/>
      <c r="EJ794" s="153"/>
      <c r="EK794" s="153"/>
      <c r="EL794" s="153"/>
      <c r="EM794" s="3"/>
      <c r="EN794" s="3"/>
      <c r="EO794" s="3"/>
      <c r="EP794" s="3"/>
      <c r="EQ794" s="3"/>
      <c r="ER794" s="3"/>
      <c r="ES794" s="3"/>
      <c r="ET794" s="3"/>
      <c r="EU794" s="3"/>
      <c r="EV794" s="3"/>
      <c r="EW794" s="3"/>
      <c r="EX794" s="3"/>
      <c r="EY794" s="3"/>
      <c r="EZ794" s="3"/>
      <c r="FA794" s="3"/>
      <c r="FB794" s="3"/>
      <c r="FC794" s="3"/>
      <c r="FD794" s="3"/>
      <c r="FE794" s="3"/>
      <c r="FF794" s="3"/>
      <c r="FG794" s="3"/>
      <c r="FH794" s="3"/>
      <c r="FI794" s="3"/>
      <c r="FJ794" s="3"/>
      <c r="FK794" s="3"/>
      <c r="FL794" s="3"/>
      <c r="FM794" s="3"/>
      <c r="FN794" s="3"/>
      <c r="FO794" s="3"/>
      <c r="FP794" s="3"/>
      <c r="FQ794" s="3"/>
      <c r="FR794" s="3"/>
      <c r="FS794" s="3"/>
      <c r="FT794" s="3"/>
      <c r="FU794" s="3"/>
      <c r="FV794" s="3"/>
      <c r="FW794" s="3"/>
      <c r="FX794" s="3"/>
      <c r="FY794" s="3"/>
      <c r="FZ794" s="3"/>
      <c r="GA794" s="3"/>
      <c r="GB794" s="3"/>
      <c r="GC794" s="3"/>
      <c r="GD794" s="3"/>
      <c r="GE794" s="3"/>
      <c r="GF794" s="3"/>
      <c r="GG794" s="3"/>
      <c r="GH794" s="3"/>
      <c r="GI794" s="3"/>
      <c r="GJ794" s="3"/>
      <c r="GK794" s="3"/>
      <c r="GL794" s="3"/>
      <c r="GM794" s="3"/>
      <c r="GN794" s="3"/>
      <c r="GO794" s="3"/>
      <c r="GP794" s="3"/>
      <c r="GQ794" s="3"/>
      <c r="GR794" s="3"/>
      <c r="GS794" s="3"/>
      <c r="GT794" s="3"/>
      <c r="GU794" s="3"/>
      <c r="GV794" s="3"/>
      <c r="GW794" s="3"/>
      <c r="GX794" s="3"/>
      <c r="GY794" s="3"/>
      <c r="GZ794" s="3"/>
      <c r="HA794" s="3"/>
      <c r="HB794" s="3"/>
      <c r="HC794" s="3"/>
      <c r="HD794" s="3"/>
      <c r="HE794" s="3"/>
      <c r="HF794" s="3"/>
      <c r="HG794" s="3"/>
      <c r="HH794" s="3"/>
      <c r="HI794" s="3"/>
      <c r="HJ794" s="3"/>
      <c r="HK794" s="3"/>
      <c r="HL794" s="153"/>
      <c r="HM794" s="153"/>
      <c r="HN794" s="153"/>
      <c r="HO794" s="153"/>
      <c r="HP794" s="153"/>
      <c r="HQ794" s="153"/>
      <c r="HR794" s="153"/>
      <c r="HS794" s="153"/>
      <c r="HT794" s="154"/>
      <c r="HU794" s="153"/>
      <c r="HV794" s="153"/>
      <c r="HW794" s="153"/>
      <c r="HX794" s="156"/>
      <c r="HY794" s="153"/>
      <c r="HZ794" s="153"/>
      <c r="IA794" s="153"/>
      <c r="IB794" s="153"/>
      <c r="IC794" s="153"/>
      <c r="ID794" s="153"/>
      <c r="IE794" s="153"/>
      <c r="IF794" s="153"/>
      <c r="IG794" s="153" t="s">
        <v>2243</v>
      </c>
      <c r="IH794" s="157" t="s">
        <v>19</v>
      </c>
      <c r="II794" s="157"/>
      <c r="IJ794" s="158"/>
      <c r="IK794" s="153"/>
      <c r="IL794" s="153"/>
      <c r="IM794" s="153"/>
      <c r="IP794" s="153"/>
      <c r="IQ794" s="153"/>
      <c r="IR794" s="153"/>
      <c r="IS794" s="153"/>
      <c r="IT794" s="153"/>
      <c r="IU794" s="153"/>
      <c r="IV794" s="153"/>
      <c r="IW794" s="153"/>
      <c r="IX794" s="153"/>
      <c r="IY794" s="89"/>
      <c r="IZ794" s="89"/>
      <c r="JA794" s="89"/>
      <c r="JB794" s="89"/>
      <c r="JC794" s="89"/>
      <c r="JD794" s="89"/>
      <c r="JE794" s="89"/>
      <c r="JF794" s="89"/>
      <c r="JG794" s="89"/>
      <c r="JH794" s="89"/>
      <c r="JI794" s="89"/>
      <c r="JJ794" s="89"/>
      <c r="JK794" s="159" t="s">
        <v>14</v>
      </c>
      <c r="JL794" s="160" t="s">
        <v>1682</v>
      </c>
      <c r="JM794" s="154"/>
      <c r="JQ794" s="153"/>
      <c r="JR794" s="153"/>
      <c r="JS794" s="153"/>
      <c r="JT794" s="153"/>
      <c r="JU794" s="153"/>
      <c r="JV794" s="153"/>
      <c r="JW794" s="153"/>
      <c r="JX794" s="161"/>
      <c r="JY794" s="161"/>
      <c r="JZ794" s="154"/>
      <c r="KA794" s="153"/>
      <c r="KB794" s="154"/>
      <c r="KC794" s="153"/>
      <c r="KD794" s="153"/>
      <c r="KE794" s="153"/>
      <c r="KF794" s="154"/>
      <c r="KG794" s="154"/>
      <c r="KH794" s="157"/>
      <c r="KI794" s="162"/>
      <c r="KJ794" s="153"/>
      <c r="KK794" s="153"/>
      <c r="KL794" s="153"/>
      <c r="KM794" s="153"/>
      <c r="KN794" s="154"/>
      <c r="KO794" s="153"/>
      <c r="KP794" s="157"/>
      <c r="KQ794" s="162"/>
      <c r="KR794" s="153"/>
      <c r="KS794" s="153"/>
      <c r="KT794" s="163"/>
      <c r="KU794" s="162"/>
      <c r="KV794" s="153"/>
      <c r="KW794" s="153"/>
      <c r="KX794" s="153"/>
      <c r="KY794" s="3"/>
      <c r="KZ794" s="3"/>
      <c r="LA794" s="3"/>
      <c r="LB794" s="3"/>
      <c r="LC794" s="154"/>
      <c r="LD794" s="154"/>
      <c r="LE794" s="154"/>
      <c r="LF794" s="154"/>
      <c r="LG794" s="154"/>
      <c r="LH794" s="154"/>
      <c r="LI794" s="154"/>
      <c r="LJ794" s="154"/>
      <c r="LK794" s="154"/>
      <c r="LL794" s="153"/>
      <c r="LM794" s="153"/>
      <c r="LN794" s="153"/>
      <c r="LO794" s="153"/>
      <c r="LP794" s="153"/>
      <c r="LQ794" s="153"/>
      <c r="LR794" s="153"/>
      <c r="LS794" s="153"/>
      <c r="LT794" s="89"/>
      <c r="LU794" s="89"/>
      <c r="LV794" s="89"/>
      <c r="LW794" s="89"/>
      <c r="LX794" s="89"/>
      <c r="LY794" s="164"/>
      <c r="LZ794" s="164"/>
      <c r="MA794" s="164"/>
      <c r="MB794" s="2"/>
      <c r="MC794" s="153"/>
      <c r="MD794" s="153"/>
      <c r="ME794" s="153"/>
      <c r="MF794" s="89"/>
      <c r="MG794" s="89"/>
      <c r="MH794" s="89"/>
      <c r="MI794" s="89"/>
      <c r="MJ794" s="89"/>
      <c r="MK794" s="89"/>
      <c r="ML794" s="89"/>
      <c r="MM794" s="89"/>
      <c r="MN794" s="153"/>
      <c r="MO794" s="153"/>
      <c r="MP794" s="153"/>
      <c r="MQ794" s="153"/>
      <c r="MR794" s="153"/>
      <c r="MS794" s="153" t="s">
        <v>2244</v>
      </c>
      <c r="MT794" s="89">
        <v>64</v>
      </c>
      <c r="MU794" s="153" t="s">
        <v>2254</v>
      </c>
      <c r="MV794" s="164"/>
      <c r="MW794" s="164" t="s">
        <v>2255</v>
      </c>
      <c r="MX794" s="164" t="s">
        <v>2256</v>
      </c>
      <c r="MY794" s="164"/>
      <c r="MZ794" s="164"/>
      <c r="NA794" s="164"/>
      <c r="NB794" s="164"/>
      <c r="NC794" s="164"/>
      <c r="ND794" s="153"/>
      <c r="NE794" s="153" t="s">
        <v>1697</v>
      </c>
      <c r="NF794" s="153" t="s">
        <v>2254</v>
      </c>
      <c r="NG794" t="s">
        <v>1531</v>
      </c>
      <c r="NH794" s="165" t="s">
        <v>265</v>
      </c>
      <c r="NI794" s="153"/>
      <c r="NJ794" s="153"/>
      <c r="NK794" s="153"/>
      <c r="NL794" s="153"/>
      <c r="NM794" s="153"/>
      <c r="NN794" s="153"/>
      <c r="NO794" s="153"/>
      <c r="NP794" s="153" t="s">
        <v>64</v>
      </c>
      <c r="NQ794" s="166" t="s">
        <v>6</v>
      </c>
      <c r="NR794" s="166">
        <v>235.4</v>
      </c>
      <c r="NS794" s="166" t="s">
        <v>4</v>
      </c>
      <c r="NT794" s="166">
        <v>23.6</v>
      </c>
      <c r="NU794" s="167"/>
      <c r="NV794" s="153"/>
      <c r="NW794" s="153">
        <v>4</v>
      </c>
      <c r="NX794" s="153"/>
      <c r="NY794" s="153"/>
      <c r="NZ794" s="153"/>
      <c r="OA794" s="153"/>
      <c r="OB794" s="153"/>
      <c r="OC794" s="153"/>
      <c r="OD794" s="153"/>
      <c r="OE794" s="153"/>
      <c r="OF794" s="153"/>
      <c r="OG794" s="153"/>
      <c r="OH794" s="153" t="s">
        <v>2248</v>
      </c>
      <c r="OI794" s="153"/>
      <c r="OJ794" s="153">
        <v>2007</v>
      </c>
      <c r="OK794" s="153"/>
      <c r="OL794" s="153"/>
      <c r="OM794" s="153" t="s">
        <v>62</v>
      </c>
      <c r="ON794" s="153"/>
      <c r="OO794" t="s">
        <v>1178</v>
      </c>
      <c r="OP794" s="58">
        <v>46134</v>
      </c>
    </row>
    <row r="795" spans="1:406" ht="15.75" thickBot="1">
      <c r="A795" t="s">
        <v>248</v>
      </c>
      <c r="B795" t="s">
        <v>2238</v>
      </c>
      <c r="C795" s="89" t="s">
        <v>34</v>
      </c>
      <c r="D795" s="152" t="s">
        <v>1955</v>
      </c>
      <c r="E795" s="89" t="s">
        <v>1676</v>
      </c>
      <c r="F795" t="s">
        <v>31</v>
      </c>
      <c r="G795" s="89" t="s">
        <v>2</v>
      </c>
      <c r="H795" s="152" t="s">
        <v>30</v>
      </c>
      <c r="I795">
        <v>-0.41666666699999999</v>
      </c>
      <c r="J795">
        <v>34.200000000000003</v>
      </c>
      <c r="K795" s="152" t="s">
        <v>29</v>
      </c>
      <c r="L795" s="2"/>
      <c r="M795" s="99"/>
      <c r="N795" s="2"/>
      <c r="O795" s="89"/>
      <c r="P795" s="2"/>
      <c r="Q795" s="2"/>
      <c r="R795" s="89"/>
      <c r="S795" s="89"/>
      <c r="T795" s="89"/>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89" t="s">
        <v>2239</v>
      </c>
      <c r="AW795" s="89">
        <v>64</v>
      </c>
      <c r="AX795" s="89">
        <v>0.09</v>
      </c>
      <c r="AY795" s="89">
        <v>1</v>
      </c>
      <c r="AZ795" s="153" t="s">
        <v>2240</v>
      </c>
      <c r="BA795" s="153">
        <v>2007</v>
      </c>
      <c r="BB795" s="153">
        <v>2008</v>
      </c>
      <c r="BC795" s="153" t="s">
        <v>62</v>
      </c>
      <c r="BD795" s="2"/>
      <c r="BE795" s="2" t="s">
        <v>2249</v>
      </c>
      <c r="BF795" s="2" t="s">
        <v>64</v>
      </c>
      <c r="BG795" s="153" t="s">
        <v>1243</v>
      </c>
      <c r="BH795" s="2" t="s">
        <v>2242</v>
      </c>
      <c r="BI795" s="153" t="s">
        <v>29</v>
      </c>
      <c r="BJ795" s="154" t="s">
        <v>22</v>
      </c>
      <c r="BK795" s="155">
        <v>55500</v>
      </c>
      <c r="BL795" s="2" t="s">
        <v>56</v>
      </c>
      <c r="BM795" t="s">
        <v>2250</v>
      </c>
      <c r="BN795" s="153" t="s">
        <v>29</v>
      </c>
      <c r="BO795" s="2" t="s">
        <v>22</v>
      </c>
      <c r="BP795" s="2">
        <v>55000</v>
      </c>
      <c r="BQ795" s="2"/>
      <c r="BR795" s="2"/>
      <c r="BS795" s="2"/>
      <c r="BT795" s="2"/>
      <c r="BU795" s="2"/>
      <c r="BV795" s="2"/>
      <c r="BW795" s="3"/>
      <c r="BX795" s="3"/>
      <c r="BY795" s="3"/>
      <c r="BZ795" s="3"/>
      <c r="CA795" s="3"/>
      <c r="CB795" s="3"/>
      <c r="CC795" s="3"/>
      <c r="CD795" s="3"/>
      <c r="CE795" s="3"/>
      <c r="CF795" s="3"/>
      <c r="CG795" s="3"/>
      <c r="CH795" s="3"/>
      <c r="CI795" s="3"/>
      <c r="CJ795" s="3"/>
      <c r="CK795" s="3"/>
      <c r="CL795" s="3"/>
      <c r="CM795" s="3"/>
      <c r="CN795" s="3"/>
      <c r="CO795" s="3"/>
      <c r="CP795" s="3"/>
      <c r="CQ795" s="3"/>
      <c r="CR795" s="3"/>
      <c r="CS795" s="3"/>
      <c r="CT795" s="3"/>
      <c r="CU795" s="3"/>
      <c r="CV795" s="3"/>
      <c r="CW795" s="3"/>
      <c r="CX795" s="3"/>
      <c r="CY795" s="3"/>
      <c r="CZ795" s="3"/>
      <c r="DA795" s="3"/>
      <c r="DB795" s="3"/>
      <c r="DC795" s="3"/>
      <c r="DD795" s="3"/>
      <c r="DE795" s="3"/>
      <c r="DF795" s="3"/>
      <c r="DG795" s="3"/>
      <c r="DH795" s="3"/>
      <c r="DI795" s="3"/>
      <c r="DJ795" s="3"/>
      <c r="DK795" s="3"/>
      <c r="DL795" s="3"/>
      <c r="DM795" s="3"/>
      <c r="DN795" s="3"/>
      <c r="DO795" s="3"/>
      <c r="DP795" s="3"/>
      <c r="DQ795" s="3"/>
      <c r="DR795" s="3"/>
      <c r="DS795" s="3"/>
      <c r="DT795" s="3"/>
      <c r="DU795" s="3"/>
      <c r="DV795" s="3"/>
      <c r="DW795" s="3"/>
      <c r="DX795" s="3"/>
      <c r="DY795" s="3"/>
      <c r="DZ795" s="3"/>
      <c r="EA795" s="3"/>
      <c r="EB795" s="3"/>
      <c r="EC795" s="3"/>
      <c r="ED795" s="3"/>
      <c r="EE795" s="2"/>
      <c r="EF795" s="2"/>
      <c r="EG795" s="2"/>
      <c r="EH795" s="2"/>
      <c r="EI795" s="2"/>
      <c r="EJ795" s="2"/>
      <c r="EK795" s="2"/>
      <c r="EL795" s="2"/>
      <c r="EM795" s="3"/>
      <c r="EN795" s="3"/>
      <c r="EO795" s="3"/>
      <c r="EP795" s="3"/>
      <c r="EQ795" s="3"/>
      <c r="ER795" s="3"/>
      <c r="ES795" s="3"/>
      <c r="ET795" s="3"/>
      <c r="EU795" s="3"/>
      <c r="EV795" s="3"/>
      <c r="EW795" s="3"/>
      <c r="EX795" s="3"/>
      <c r="EY795" s="3"/>
      <c r="EZ795" s="3"/>
      <c r="FA795" s="3"/>
      <c r="FB795" s="3"/>
      <c r="FC795" s="3"/>
      <c r="FD795" s="3"/>
      <c r="FE795" s="3"/>
      <c r="FF795" s="3"/>
      <c r="FG795" s="3"/>
      <c r="FH795" s="3"/>
      <c r="FI795" s="3"/>
      <c r="FJ795" s="3"/>
      <c r="FK795" s="3"/>
      <c r="FL795" s="3"/>
      <c r="FM795" s="3"/>
      <c r="FN795" s="3"/>
      <c r="FO795" s="3"/>
      <c r="FP795" s="3"/>
      <c r="FQ795" s="3"/>
      <c r="FR795" s="3"/>
      <c r="FS795" s="3"/>
      <c r="FT795" s="3"/>
      <c r="FU795" s="3"/>
      <c r="FV795" s="3"/>
      <c r="FW795" s="3"/>
      <c r="FX795" s="3"/>
      <c r="FY795" s="3"/>
      <c r="FZ795" s="3"/>
      <c r="GA795" s="3"/>
      <c r="GB795" s="3"/>
      <c r="GC795" s="3"/>
      <c r="GD795" s="3"/>
      <c r="GE795" s="3"/>
      <c r="GF795" s="3"/>
      <c r="GG795" s="3"/>
      <c r="GH795" s="3"/>
      <c r="GI795" s="3"/>
      <c r="GJ795" s="3"/>
      <c r="GK795" s="3"/>
      <c r="GL795" s="3"/>
      <c r="GM795" s="3"/>
      <c r="GN795" s="3"/>
      <c r="GO795" s="3"/>
      <c r="GP795" s="3"/>
      <c r="GQ795" s="3"/>
      <c r="GR795" s="3"/>
      <c r="GS795" s="3"/>
      <c r="GT795" s="3"/>
      <c r="GU795" s="3"/>
      <c r="GV795" s="3"/>
      <c r="GW795" s="3"/>
      <c r="GX795" s="3"/>
      <c r="GY795" s="3"/>
      <c r="GZ795" s="3"/>
      <c r="HA795" s="3"/>
      <c r="HB795" s="3"/>
      <c r="HC795" s="3"/>
      <c r="HD795" s="3"/>
      <c r="HE795" s="3"/>
      <c r="HF795" s="3"/>
      <c r="HG795" s="3"/>
      <c r="HH795" s="3"/>
      <c r="HI795" s="3"/>
      <c r="HJ795" s="3"/>
      <c r="HK795" s="3"/>
      <c r="HL795" s="2"/>
      <c r="HM795" s="2"/>
      <c r="HN795" s="2"/>
      <c r="HO795" s="2"/>
      <c r="HP795" s="2"/>
      <c r="HQ795" s="2"/>
      <c r="HR795" s="2"/>
      <c r="HS795" s="2"/>
      <c r="HT795" s="99"/>
      <c r="HU795" s="2"/>
      <c r="HV795" s="2"/>
      <c r="HW795" s="2"/>
      <c r="HX795" s="2"/>
      <c r="HY795" s="2"/>
      <c r="HZ795" s="2"/>
      <c r="IA795" s="2"/>
      <c r="IB795" s="2"/>
      <c r="IC795" s="2"/>
      <c r="ID795" s="2"/>
      <c r="IE795" s="2"/>
      <c r="IF795" s="2"/>
      <c r="IG795" s="153" t="s">
        <v>2243</v>
      </c>
      <c r="IH795" s="168" t="s">
        <v>1453</v>
      </c>
      <c r="II795" s="169" t="s">
        <v>1477</v>
      </c>
      <c r="IJ795" s="170" t="s">
        <v>661</v>
      </c>
      <c r="IK795" s="2">
        <v>2007</v>
      </c>
      <c r="IL795" s="2" t="s">
        <v>62</v>
      </c>
      <c r="IM795" s="2" t="s">
        <v>29</v>
      </c>
      <c r="IP795" s="2"/>
      <c r="IQ795" s="2"/>
      <c r="IR795" s="2"/>
      <c r="IS795" s="2"/>
      <c r="IT795" s="2"/>
      <c r="IU795" s="2"/>
      <c r="IV795" s="2"/>
      <c r="IW795" s="2"/>
      <c r="IX795" s="2"/>
      <c r="IY795" s="2"/>
      <c r="IZ795" s="2"/>
      <c r="JA795" s="2"/>
      <c r="JB795" s="2"/>
      <c r="JC795" s="2"/>
      <c r="JD795" s="2"/>
      <c r="JE795" s="2"/>
      <c r="JF795" s="2"/>
      <c r="JG795" s="2"/>
      <c r="JH795" s="2"/>
      <c r="JI795" s="2"/>
      <c r="JJ795" s="2"/>
      <c r="JK795" s="159" t="s">
        <v>14</v>
      </c>
      <c r="JL795" s="160" t="s">
        <v>1682</v>
      </c>
      <c r="JM795" s="99"/>
      <c r="JQ795" s="2"/>
      <c r="JR795" s="2"/>
      <c r="JS795" s="2"/>
      <c r="JT795" s="2"/>
      <c r="JU795" s="2"/>
      <c r="JV795" s="2"/>
      <c r="JW795" s="2"/>
      <c r="JX795" s="161"/>
      <c r="JY795" s="171"/>
      <c r="JZ795" s="99"/>
      <c r="KA795" s="2"/>
      <c r="KB795" s="99"/>
      <c r="KC795" s="2"/>
      <c r="KD795" s="2"/>
      <c r="KE795" s="2"/>
      <c r="KF795" s="99"/>
      <c r="KG795" s="2"/>
      <c r="KH795" s="168"/>
      <c r="KI795" s="172"/>
      <c r="KJ795" s="2"/>
      <c r="KK795" s="2"/>
      <c r="KL795" s="2"/>
      <c r="KM795" s="2"/>
      <c r="KN795" s="99"/>
      <c r="KO795" s="2"/>
      <c r="KP795" s="168"/>
      <c r="KQ795" s="172"/>
      <c r="KR795" s="2"/>
      <c r="KS795" s="2"/>
      <c r="KT795" s="163"/>
      <c r="KU795" s="172"/>
      <c r="KV795" s="2"/>
      <c r="KW795" s="2"/>
      <c r="KX795" s="2"/>
      <c r="KY795" s="69"/>
      <c r="KZ795" s="3"/>
      <c r="LA795" s="3"/>
      <c r="LB795" s="3"/>
      <c r="LC795" s="99"/>
      <c r="LD795" s="99"/>
      <c r="LE795" s="99"/>
      <c r="LF795" s="99"/>
      <c r="LG795" s="99"/>
      <c r="LH795" s="2"/>
      <c r="LI795" s="99"/>
      <c r="LJ795" s="99"/>
      <c r="LK795" s="99"/>
      <c r="LL795" s="2"/>
      <c r="LM795" s="2"/>
      <c r="LN795" s="2"/>
      <c r="LO795" s="2"/>
      <c r="LP795" s="2"/>
      <c r="LQ795" s="2"/>
      <c r="LR795" s="2"/>
      <c r="LS795" s="2"/>
      <c r="LT795" s="2"/>
      <c r="LU795" s="2"/>
      <c r="LV795" s="2"/>
      <c r="LW795" s="2"/>
      <c r="LX795" s="2"/>
      <c r="LY795" s="2"/>
      <c r="LZ795" s="2"/>
      <c r="MA795" s="2"/>
      <c r="MC795" s="2"/>
      <c r="MD795" s="2"/>
      <c r="ME795" s="2"/>
      <c r="MF795" s="2"/>
      <c r="MG795" s="2"/>
      <c r="MH795" s="2"/>
      <c r="MI795" s="2"/>
      <c r="MJ795" s="2"/>
      <c r="MK795" s="2"/>
      <c r="ML795" s="2"/>
      <c r="MM795" s="2"/>
      <c r="MN795" s="2"/>
      <c r="MO795" s="2"/>
      <c r="MP795" s="2"/>
      <c r="MQ795" s="2"/>
      <c r="MR795" s="2"/>
      <c r="MS795" s="153" t="s">
        <v>2244</v>
      </c>
      <c r="MT795" s="89">
        <v>64</v>
      </c>
      <c r="MU795" s="153" t="s">
        <v>2254</v>
      </c>
      <c r="MV795" s="164"/>
      <c r="MW795" s="164" t="s">
        <v>2255</v>
      </c>
      <c r="MX795" s="164" t="s">
        <v>2256</v>
      </c>
      <c r="MY795" s="164" t="s">
        <v>2257</v>
      </c>
      <c r="MZ795" s="164"/>
      <c r="NA795" s="164"/>
      <c r="NB795" s="164"/>
      <c r="NC795" s="164"/>
      <c r="ND795" s="153"/>
      <c r="NE795" s="153" t="s">
        <v>1697</v>
      </c>
      <c r="NF795" s="153" t="s">
        <v>2254</v>
      </c>
      <c r="NG795" t="s">
        <v>1531</v>
      </c>
      <c r="NH795" s="165" t="s">
        <v>265</v>
      </c>
      <c r="NI795" s="153"/>
      <c r="NJ795" s="153"/>
      <c r="NK795" s="153"/>
      <c r="NL795" s="153"/>
      <c r="NM795" s="153"/>
      <c r="NN795" s="153"/>
      <c r="NO795" s="153"/>
      <c r="NP795" s="153"/>
      <c r="NQ795" s="166" t="s">
        <v>6</v>
      </c>
      <c r="NR795" s="173">
        <v>1084.4000000000001</v>
      </c>
      <c r="NS795" s="166" t="s">
        <v>4</v>
      </c>
      <c r="NT795" s="173">
        <v>80</v>
      </c>
      <c r="NU795" s="174"/>
      <c r="NV795" s="2"/>
      <c r="NW795" s="153">
        <v>4</v>
      </c>
      <c r="NX795" s="2"/>
      <c r="NY795" s="2"/>
      <c r="NZ795" s="2"/>
      <c r="OA795" s="2"/>
      <c r="OB795" s="2"/>
      <c r="OC795" s="2"/>
      <c r="OD795" s="2"/>
      <c r="OE795" s="2"/>
      <c r="OF795" s="2"/>
      <c r="OG795" s="2"/>
      <c r="OH795" s="153" t="s">
        <v>2248</v>
      </c>
      <c r="OI795" s="2"/>
      <c r="OJ795" s="153">
        <v>2007</v>
      </c>
      <c r="OK795" s="153"/>
      <c r="OL795" s="153"/>
      <c r="OM795" s="153" t="s">
        <v>62</v>
      </c>
      <c r="ON795" s="2"/>
      <c r="OO795" t="s">
        <v>1178</v>
      </c>
      <c r="OP795" s="58">
        <v>46134</v>
      </c>
    </row>
    <row r="796" spans="1:406" ht="15.75" thickBot="1">
      <c r="A796" t="s">
        <v>248</v>
      </c>
      <c r="B796" t="s">
        <v>2238</v>
      </c>
      <c r="C796" s="89" t="s">
        <v>34</v>
      </c>
      <c r="D796" s="152" t="s">
        <v>1955</v>
      </c>
      <c r="E796" s="89" t="s">
        <v>1676</v>
      </c>
      <c r="F796" t="s">
        <v>31</v>
      </c>
      <c r="G796" s="89" t="s">
        <v>2</v>
      </c>
      <c r="H796" s="152" t="s">
        <v>30</v>
      </c>
      <c r="I796">
        <v>-0.41666666699999999</v>
      </c>
      <c r="J796">
        <v>34.200000000000003</v>
      </c>
      <c r="K796" s="152" t="s">
        <v>29</v>
      </c>
      <c r="L796" s="89"/>
      <c r="M796" s="152"/>
      <c r="N796" s="89"/>
      <c r="O796" s="89"/>
      <c r="P796" s="89"/>
      <c r="Q796" s="89"/>
      <c r="R796" s="89"/>
      <c r="S796" s="89"/>
      <c r="T796" s="89"/>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89" t="s">
        <v>2239</v>
      </c>
      <c r="AW796" s="89">
        <v>64</v>
      </c>
      <c r="AX796" s="89">
        <v>0.09</v>
      </c>
      <c r="AY796" s="89">
        <v>1</v>
      </c>
      <c r="AZ796" s="153" t="s">
        <v>2240</v>
      </c>
      <c r="BA796" s="153">
        <v>2007</v>
      </c>
      <c r="BB796" s="153">
        <v>2008</v>
      </c>
      <c r="BC796" s="153" t="s">
        <v>1</v>
      </c>
      <c r="BD796" s="89"/>
      <c r="BE796" s="153" t="s">
        <v>2241</v>
      </c>
      <c r="BF796" s="153" t="s">
        <v>39</v>
      </c>
      <c r="BG796" s="153" t="s">
        <v>1243</v>
      </c>
      <c r="BH796" s="153" t="s">
        <v>2242</v>
      </c>
      <c r="BI796" s="153" t="s">
        <v>29</v>
      </c>
      <c r="BJ796" s="154" t="s">
        <v>22</v>
      </c>
      <c r="BK796" s="155">
        <v>111000</v>
      </c>
      <c r="BL796" s="89"/>
      <c r="BM796" s="89"/>
      <c r="BN796" s="89"/>
      <c r="BO796" s="152"/>
      <c r="BP796" s="175"/>
      <c r="BQ796" s="89"/>
      <c r="BR796" s="89"/>
      <c r="BS796" s="89"/>
      <c r="BT796" s="89"/>
      <c r="BU796" s="89"/>
      <c r="BV796" s="89"/>
      <c r="BW796" s="3"/>
      <c r="BX796" s="3"/>
      <c r="BY796" s="3"/>
      <c r="BZ796" s="3"/>
      <c r="CA796" s="3"/>
      <c r="CB796" s="3"/>
      <c r="CC796" s="3"/>
      <c r="CD796" s="3"/>
      <c r="CE796" s="3"/>
      <c r="CF796" s="3"/>
      <c r="CG796" s="3"/>
      <c r="CH796" s="3"/>
      <c r="CI796" s="3"/>
      <c r="CJ796" s="3"/>
      <c r="CK796" s="3"/>
      <c r="CL796" s="3"/>
      <c r="CM796" s="3"/>
      <c r="CN796" s="3"/>
      <c r="CO796" s="3"/>
      <c r="CP796" s="3"/>
      <c r="CQ796" s="3"/>
      <c r="CR796" s="3"/>
      <c r="CS796" s="3"/>
      <c r="CT796" s="3"/>
      <c r="CU796" s="3"/>
      <c r="CV796" s="3"/>
      <c r="CW796" s="3"/>
      <c r="CX796" s="3"/>
      <c r="CY796" s="3"/>
      <c r="CZ796" s="3"/>
      <c r="DA796" s="3"/>
      <c r="DB796" s="3"/>
      <c r="DC796" s="3"/>
      <c r="DD796" s="3"/>
      <c r="DE796" s="3"/>
      <c r="DF796" s="3"/>
      <c r="DG796" s="3"/>
      <c r="DH796" s="3"/>
      <c r="DI796" s="3"/>
      <c r="DJ796" s="3"/>
      <c r="DK796" s="3"/>
      <c r="DL796" s="3"/>
      <c r="DM796" s="3"/>
      <c r="DN796" s="3"/>
      <c r="DO796" s="3"/>
      <c r="DP796" s="3"/>
      <c r="DQ796" s="3"/>
      <c r="DR796" s="3"/>
      <c r="DS796" s="3"/>
      <c r="DT796" s="3"/>
      <c r="DU796" s="3"/>
      <c r="DV796" s="3"/>
      <c r="DW796" s="3"/>
      <c r="DX796" s="3"/>
      <c r="DY796" s="3"/>
      <c r="DZ796" s="3"/>
      <c r="EA796" s="3"/>
      <c r="EB796" s="3"/>
      <c r="EC796" s="3"/>
      <c r="ED796" s="3"/>
      <c r="EE796" s="89"/>
      <c r="EF796" s="89"/>
      <c r="EG796" s="89"/>
      <c r="EH796" s="89"/>
      <c r="EI796" s="89"/>
      <c r="EJ796" s="89"/>
      <c r="EK796" s="89"/>
      <c r="EL796" s="89"/>
      <c r="EM796" s="3"/>
      <c r="EN796" s="3"/>
      <c r="EO796" s="3"/>
      <c r="EP796" s="3"/>
      <c r="EQ796" s="3"/>
      <c r="ER796" s="3"/>
      <c r="ES796" s="3"/>
      <c r="ET796" s="3"/>
      <c r="EU796" s="3"/>
      <c r="EV796" s="3"/>
      <c r="EW796" s="3"/>
      <c r="EX796" s="3"/>
      <c r="EY796" s="3"/>
      <c r="EZ796" s="3"/>
      <c r="FA796" s="3"/>
      <c r="FB796" s="3"/>
      <c r="FC796" s="3"/>
      <c r="FD796" s="3"/>
      <c r="FE796" s="3"/>
      <c r="FF796" s="3"/>
      <c r="FG796" s="3"/>
      <c r="FH796" s="3"/>
      <c r="FI796" s="3"/>
      <c r="FJ796" s="3"/>
      <c r="FK796" s="3"/>
      <c r="FL796" s="3"/>
      <c r="FM796" s="3"/>
      <c r="FN796" s="3"/>
      <c r="FO796" s="3"/>
      <c r="FP796" s="3"/>
      <c r="FQ796" s="3"/>
      <c r="FR796" s="3"/>
      <c r="FS796" s="3"/>
      <c r="FT796" s="3"/>
      <c r="FU796" s="3"/>
      <c r="FV796" s="3"/>
      <c r="FW796" s="3"/>
      <c r="FX796" s="3"/>
      <c r="FY796" s="3"/>
      <c r="FZ796" s="3"/>
      <c r="GA796" s="3"/>
      <c r="GB796" s="3"/>
      <c r="GC796" s="3"/>
      <c r="GD796" s="3"/>
      <c r="GE796" s="3"/>
      <c r="GF796" s="3"/>
      <c r="GG796" s="3"/>
      <c r="GH796" s="3"/>
      <c r="GI796" s="3"/>
      <c r="GJ796" s="3"/>
      <c r="GK796" s="3"/>
      <c r="GL796" s="3"/>
      <c r="GM796" s="3"/>
      <c r="GN796" s="3"/>
      <c r="GO796" s="3"/>
      <c r="GP796" s="3"/>
      <c r="GQ796" s="3"/>
      <c r="GR796" s="3"/>
      <c r="GS796" s="3"/>
      <c r="GT796" s="3"/>
      <c r="GU796" s="3"/>
      <c r="GV796" s="3"/>
      <c r="GW796" s="3"/>
      <c r="GX796" s="3"/>
      <c r="GY796" s="3"/>
      <c r="GZ796" s="3"/>
      <c r="HA796" s="3"/>
      <c r="HB796" s="3"/>
      <c r="HC796" s="3"/>
      <c r="HD796" s="3"/>
      <c r="HE796" s="3"/>
      <c r="HF796" s="3"/>
      <c r="HG796" s="3"/>
      <c r="HH796" s="3"/>
      <c r="HI796" s="3"/>
      <c r="HJ796" s="3"/>
      <c r="HK796" s="3"/>
      <c r="HL796" s="89"/>
      <c r="HM796" s="89"/>
      <c r="HN796" s="89"/>
      <c r="HO796" s="89"/>
      <c r="HP796" s="89"/>
      <c r="HQ796" s="89"/>
      <c r="HR796" s="89"/>
      <c r="HS796" s="89"/>
      <c r="HT796" s="152"/>
      <c r="HU796" s="89"/>
      <c r="HV796" s="89"/>
      <c r="HW796" s="89"/>
      <c r="HX796" s="89"/>
      <c r="HY796" s="89"/>
      <c r="HZ796" s="89"/>
      <c r="IA796" s="89"/>
      <c r="IB796" s="89"/>
      <c r="IC796" s="89"/>
      <c r="ID796" s="89"/>
      <c r="IE796" s="89"/>
      <c r="IF796" s="89"/>
      <c r="IG796" s="153" t="s">
        <v>2243</v>
      </c>
      <c r="IH796" s="157" t="s">
        <v>19</v>
      </c>
      <c r="II796" s="176"/>
      <c r="IJ796" s="177"/>
      <c r="IK796" s="89"/>
      <c r="IL796" s="89"/>
      <c r="IM796" s="152"/>
      <c r="IP796" s="89"/>
      <c r="IQ796" s="89"/>
      <c r="IR796" s="89"/>
      <c r="IS796" s="89"/>
      <c r="IT796" s="89"/>
      <c r="IU796" s="89"/>
      <c r="IV796" s="89"/>
      <c r="IW796" s="89"/>
      <c r="IX796" s="89"/>
      <c r="IY796" s="89"/>
      <c r="IZ796" s="89"/>
      <c r="JA796" s="89"/>
      <c r="JB796" s="89"/>
      <c r="JC796" s="89"/>
      <c r="JD796" s="89"/>
      <c r="JE796" s="89"/>
      <c r="JF796" s="89"/>
      <c r="JG796" s="89"/>
      <c r="JH796" s="89"/>
      <c r="JI796" s="89"/>
      <c r="JJ796" s="89"/>
      <c r="JK796" s="159" t="s">
        <v>14</v>
      </c>
      <c r="JL796" s="160" t="s">
        <v>1682</v>
      </c>
      <c r="JM796" s="152"/>
      <c r="JQ796" s="89"/>
      <c r="JR796" s="89"/>
      <c r="JS796" s="89"/>
      <c r="JT796" s="89"/>
      <c r="JU796" s="89"/>
      <c r="JV796" s="89"/>
      <c r="JW796" s="89"/>
      <c r="JX796" s="161"/>
      <c r="JY796" s="159"/>
      <c r="JZ796" s="152"/>
      <c r="KA796" s="89"/>
      <c r="KB796" s="152"/>
      <c r="KC796" s="89"/>
      <c r="KD796" s="89"/>
      <c r="KE796" s="89"/>
      <c r="KF796" s="152"/>
      <c r="KG796" s="89"/>
      <c r="KH796" s="157"/>
      <c r="KI796" s="178"/>
      <c r="KJ796" s="89"/>
      <c r="KK796" s="89"/>
      <c r="KL796" s="89"/>
      <c r="KM796" s="89"/>
      <c r="KN796" s="152"/>
      <c r="KO796" s="89"/>
      <c r="KP796" s="157"/>
      <c r="KQ796" s="178"/>
      <c r="KR796" s="89"/>
      <c r="KS796" s="89"/>
      <c r="KT796" s="163"/>
      <c r="KU796" s="179"/>
      <c r="KV796" s="89"/>
      <c r="KW796" s="89"/>
      <c r="KX796" s="89"/>
      <c r="KY796" s="3"/>
      <c r="KZ796" s="3"/>
      <c r="LA796" s="3"/>
      <c r="LB796" s="3"/>
      <c r="LC796" s="152"/>
      <c r="LD796" s="152"/>
      <c r="LE796" s="152"/>
      <c r="LF796" s="152"/>
      <c r="LG796" s="152"/>
      <c r="LH796" s="89"/>
      <c r="LI796" s="152"/>
      <c r="LJ796" s="152"/>
      <c r="LK796" s="152"/>
      <c r="LL796" s="89"/>
      <c r="LM796" s="89"/>
      <c r="LN796" s="89"/>
      <c r="LO796" s="89"/>
      <c r="LP796" s="89"/>
      <c r="LQ796" s="89"/>
      <c r="LR796" s="89"/>
      <c r="LS796" s="89"/>
      <c r="LT796" s="89"/>
      <c r="LU796" s="89"/>
      <c r="LV796" s="89"/>
      <c r="LW796" s="89"/>
      <c r="LX796" s="89"/>
      <c r="LY796" s="89"/>
      <c r="LZ796" s="89"/>
      <c r="MA796" s="89"/>
      <c r="MB796" s="89"/>
      <c r="MC796" s="89"/>
      <c r="MD796" s="89"/>
      <c r="ME796" s="89"/>
      <c r="MF796" s="89"/>
      <c r="MG796" s="89"/>
      <c r="MH796" s="89"/>
      <c r="MI796" s="89"/>
      <c r="MJ796" s="89"/>
      <c r="MK796" s="89"/>
      <c r="ML796" s="89"/>
      <c r="MM796" s="89"/>
      <c r="MN796" s="89"/>
      <c r="MO796" s="89"/>
      <c r="MP796" s="89"/>
      <c r="MQ796" s="89"/>
      <c r="MR796" s="89"/>
      <c r="MS796" s="153" t="s">
        <v>2244</v>
      </c>
      <c r="MT796" s="89">
        <v>64</v>
      </c>
      <c r="MU796" s="153" t="s">
        <v>2254</v>
      </c>
      <c r="MV796" s="164"/>
      <c r="MW796" s="164" t="s">
        <v>2255</v>
      </c>
      <c r="MX796" s="164" t="s">
        <v>2256</v>
      </c>
      <c r="MY796" s="164"/>
      <c r="MZ796" s="164"/>
      <c r="NA796" s="164"/>
      <c r="NB796" s="164"/>
      <c r="NC796" s="164"/>
      <c r="ND796" s="153"/>
      <c r="NE796" s="153" t="s">
        <v>1697</v>
      </c>
      <c r="NF796" s="153" t="s">
        <v>2254</v>
      </c>
      <c r="NG796" t="s">
        <v>1531</v>
      </c>
      <c r="NH796" s="165" t="s">
        <v>265</v>
      </c>
      <c r="NI796" s="153"/>
      <c r="NJ796" s="153"/>
      <c r="NK796" s="153"/>
      <c r="NL796" s="153"/>
      <c r="NM796" s="153"/>
      <c r="NN796" s="153"/>
      <c r="NO796" s="153"/>
      <c r="NP796" s="153" t="s">
        <v>64</v>
      </c>
      <c r="NQ796" s="166" t="s">
        <v>6</v>
      </c>
      <c r="NR796" s="97">
        <v>306.60000000000002</v>
      </c>
      <c r="NS796" s="166" t="s">
        <v>4</v>
      </c>
      <c r="NT796" s="97">
        <v>49.2</v>
      </c>
      <c r="NU796" s="180"/>
      <c r="NV796" s="89"/>
      <c r="NW796" s="153">
        <v>4</v>
      </c>
      <c r="NX796" s="89"/>
      <c r="NY796" s="89"/>
      <c r="NZ796" s="89"/>
      <c r="OA796" s="89"/>
      <c r="OB796" s="89"/>
      <c r="OC796" s="89"/>
      <c r="OD796" s="89"/>
      <c r="OE796" s="89"/>
      <c r="OF796" s="89"/>
      <c r="OG796" s="89"/>
      <c r="OH796" s="153" t="s">
        <v>2248</v>
      </c>
      <c r="OI796" s="89"/>
      <c r="OJ796" s="89">
        <v>2007</v>
      </c>
      <c r="OK796" s="89"/>
      <c r="OL796" s="89"/>
      <c r="OM796" s="89" t="s">
        <v>1</v>
      </c>
      <c r="ON796" s="89"/>
      <c r="OO796" t="s">
        <v>1178</v>
      </c>
      <c r="OP796" s="58">
        <v>46134</v>
      </c>
    </row>
    <row r="797" spans="1:406" ht="15.75" thickBot="1">
      <c r="A797" t="s">
        <v>248</v>
      </c>
      <c r="B797" t="s">
        <v>2238</v>
      </c>
      <c r="C797" s="89" t="s">
        <v>34</v>
      </c>
      <c r="D797" s="152" t="s">
        <v>1955</v>
      </c>
      <c r="E797" s="89" t="s">
        <v>1676</v>
      </c>
      <c r="F797" t="s">
        <v>31</v>
      </c>
      <c r="G797" s="89" t="s">
        <v>2</v>
      </c>
      <c r="H797" s="152" t="s">
        <v>30</v>
      </c>
      <c r="I797">
        <v>-0.41666666699999999</v>
      </c>
      <c r="J797">
        <v>34.200000000000003</v>
      </c>
      <c r="K797" s="152" t="s">
        <v>29</v>
      </c>
      <c r="L797" s="2"/>
      <c r="M797" s="99"/>
      <c r="N797" s="2"/>
      <c r="O797" s="89"/>
      <c r="P797" s="2"/>
      <c r="Q797" s="2"/>
      <c r="R797" s="89"/>
      <c r="S797" s="89"/>
      <c r="T797" s="89"/>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89" t="s">
        <v>2239</v>
      </c>
      <c r="AW797" s="89">
        <v>64</v>
      </c>
      <c r="AX797" s="89">
        <v>0.09</v>
      </c>
      <c r="AY797" s="89">
        <v>1</v>
      </c>
      <c r="AZ797" s="153" t="s">
        <v>2240</v>
      </c>
      <c r="BA797" s="153">
        <v>2007</v>
      </c>
      <c r="BB797" s="153">
        <v>2008</v>
      </c>
      <c r="BC797" s="153" t="s">
        <v>1</v>
      </c>
      <c r="BD797" s="2"/>
      <c r="BE797" s="2" t="s">
        <v>2249</v>
      </c>
      <c r="BF797" s="2" t="s">
        <v>64</v>
      </c>
      <c r="BG797" s="153" t="s">
        <v>1243</v>
      </c>
      <c r="BH797" s="2" t="s">
        <v>2242</v>
      </c>
      <c r="BI797" s="153" t="s">
        <v>29</v>
      </c>
      <c r="BJ797" s="154" t="s">
        <v>22</v>
      </c>
      <c r="BK797" s="155">
        <v>55500</v>
      </c>
      <c r="BL797" s="2" t="s">
        <v>56</v>
      </c>
      <c r="BM797" t="s">
        <v>2250</v>
      </c>
      <c r="BN797" s="153" t="s">
        <v>29</v>
      </c>
      <c r="BO797" s="2" t="s">
        <v>22</v>
      </c>
      <c r="BP797" s="2">
        <v>55000</v>
      </c>
      <c r="BQ797" s="2"/>
      <c r="BR797" s="2"/>
      <c r="BS797" s="2"/>
      <c r="BT797" s="2"/>
      <c r="BU797" s="2"/>
      <c r="BV797" s="2"/>
      <c r="BW797" s="3"/>
      <c r="BX797" s="3"/>
      <c r="BY797" s="3"/>
      <c r="BZ797" s="3"/>
      <c r="CA797" s="3"/>
      <c r="CB797" s="3"/>
      <c r="CC797" s="3"/>
      <c r="CD797" s="3"/>
      <c r="CE797" s="3"/>
      <c r="CF797" s="3"/>
      <c r="CG797" s="3"/>
      <c r="CH797" s="3"/>
      <c r="CI797" s="3"/>
      <c r="CJ797" s="3"/>
      <c r="CK797" s="3"/>
      <c r="CL797" s="3"/>
      <c r="CM797" s="3"/>
      <c r="CN797" s="3"/>
      <c r="CO797" s="3"/>
      <c r="CP797" s="3"/>
      <c r="CQ797" s="3"/>
      <c r="CR797" s="3"/>
      <c r="CS797" s="3"/>
      <c r="CT797" s="3"/>
      <c r="CU797" s="3"/>
      <c r="CV797" s="3"/>
      <c r="CW797" s="3"/>
      <c r="CX797" s="3"/>
      <c r="CY797" s="3"/>
      <c r="CZ797" s="3"/>
      <c r="DA797" s="3"/>
      <c r="DB797" s="3"/>
      <c r="DC797" s="3"/>
      <c r="DD797" s="3"/>
      <c r="DE797" s="3"/>
      <c r="DF797" s="3"/>
      <c r="DG797" s="3"/>
      <c r="DH797" s="3"/>
      <c r="DI797" s="3"/>
      <c r="DJ797" s="3"/>
      <c r="DK797" s="3"/>
      <c r="DL797" s="3"/>
      <c r="DM797" s="3"/>
      <c r="DN797" s="3"/>
      <c r="DO797" s="3"/>
      <c r="DP797" s="3"/>
      <c r="DQ797" s="3"/>
      <c r="DR797" s="3"/>
      <c r="DS797" s="3"/>
      <c r="DT797" s="3"/>
      <c r="DU797" s="3"/>
      <c r="DV797" s="3"/>
      <c r="DW797" s="3"/>
      <c r="DX797" s="3"/>
      <c r="DY797" s="3"/>
      <c r="DZ797" s="3"/>
      <c r="EA797" s="3"/>
      <c r="EB797" s="3"/>
      <c r="EC797" s="3"/>
      <c r="ED797" s="3"/>
      <c r="EE797" s="2"/>
      <c r="EF797" s="2"/>
      <c r="EG797" s="2"/>
      <c r="EH797" s="2"/>
      <c r="EI797" s="2"/>
      <c r="EJ797" s="2"/>
      <c r="EK797" s="2"/>
      <c r="EL797" s="2"/>
      <c r="EM797" s="3"/>
      <c r="EN797" s="3"/>
      <c r="EO797" s="3"/>
      <c r="EP797" s="3"/>
      <c r="EQ797" s="3"/>
      <c r="ER797" s="3"/>
      <c r="ES797" s="3"/>
      <c r="ET797" s="3"/>
      <c r="EU797" s="3"/>
      <c r="EV797" s="3"/>
      <c r="EW797" s="3"/>
      <c r="EX797" s="3"/>
      <c r="EY797" s="3"/>
      <c r="EZ797" s="3"/>
      <c r="FA797" s="3"/>
      <c r="FB797" s="3"/>
      <c r="FC797" s="3"/>
      <c r="FD797" s="3"/>
      <c r="FE797" s="3"/>
      <c r="FF797" s="3"/>
      <c r="FG797" s="3"/>
      <c r="FH797" s="3"/>
      <c r="FI797" s="3"/>
      <c r="FJ797" s="3"/>
      <c r="FK797" s="3"/>
      <c r="FL797" s="3"/>
      <c r="FM797" s="3"/>
      <c r="FN797" s="3"/>
      <c r="FO797" s="3"/>
      <c r="FP797" s="3"/>
      <c r="FQ797" s="3"/>
      <c r="FR797" s="3"/>
      <c r="FS797" s="3"/>
      <c r="FT797" s="3"/>
      <c r="FU797" s="3"/>
      <c r="FV797" s="3"/>
      <c r="FW797" s="3"/>
      <c r="FX797" s="3"/>
      <c r="FY797" s="3"/>
      <c r="FZ797" s="3"/>
      <c r="GA797" s="3"/>
      <c r="GB797" s="3"/>
      <c r="GC797" s="3"/>
      <c r="GD797" s="3"/>
      <c r="GE797" s="3"/>
      <c r="GF797" s="3"/>
      <c r="GG797" s="3"/>
      <c r="GH797" s="3"/>
      <c r="GI797" s="3"/>
      <c r="GJ797" s="3"/>
      <c r="GK797" s="3"/>
      <c r="GL797" s="3"/>
      <c r="GM797" s="3"/>
      <c r="GN797" s="3"/>
      <c r="GO797" s="3"/>
      <c r="GP797" s="3"/>
      <c r="GQ797" s="3"/>
      <c r="GR797" s="3"/>
      <c r="GS797" s="3"/>
      <c r="GT797" s="3"/>
      <c r="GU797" s="3"/>
      <c r="GV797" s="3"/>
      <c r="GW797" s="3"/>
      <c r="GX797" s="3"/>
      <c r="GY797" s="3"/>
      <c r="GZ797" s="3"/>
      <c r="HA797" s="3"/>
      <c r="HB797" s="3"/>
      <c r="HC797" s="3"/>
      <c r="HD797" s="3"/>
      <c r="HE797" s="3"/>
      <c r="HF797" s="3"/>
      <c r="HG797" s="3"/>
      <c r="HH797" s="3"/>
      <c r="HI797" s="3"/>
      <c r="HJ797" s="3"/>
      <c r="HK797" s="3"/>
      <c r="HL797" s="2"/>
      <c r="HM797" s="2"/>
      <c r="HN797" s="2"/>
      <c r="HO797" s="2"/>
      <c r="HP797" s="2"/>
      <c r="HQ797" s="2"/>
      <c r="HR797" s="2"/>
      <c r="HS797" s="2"/>
      <c r="HT797" s="99"/>
      <c r="HU797" s="2"/>
      <c r="HV797" s="2"/>
      <c r="HW797" s="2"/>
      <c r="HX797" s="2"/>
      <c r="HY797" s="2"/>
      <c r="HZ797" s="2"/>
      <c r="IA797" s="2"/>
      <c r="IB797" s="2"/>
      <c r="IC797" s="2"/>
      <c r="ID797" s="2"/>
      <c r="IE797" s="2"/>
      <c r="IF797" s="2"/>
      <c r="IG797" s="153" t="s">
        <v>2243</v>
      </c>
      <c r="IH797" s="168" t="s">
        <v>1453</v>
      </c>
      <c r="II797" s="169" t="s">
        <v>1477</v>
      </c>
      <c r="IJ797" s="170" t="s">
        <v>661</v>
      </c>
      <c r="IK797" s="2">
        <v>2007</v>
      </c>
      <c r="IL797" s="2" t="s">
        <v>62</v>
      </c>
      <c r="IM797" s="2" t="s">
        <v>29</v>
      </c>
      <c r="IP797" s="2"/>
      <c r="IQ797" s="2"/>
      <c r="IR797" s="2"/>
      <c r="IS797" s="2"/>
      <c r="IT797" s="2"/>
      <c r="IU797" s="2"/>
      <c r="IV797" s="2"/>
      <c r="IW797" s="2"/>
      <c r="IX797" s="2"/>
      <c r="IY797" s="2"/>
      <c r="IZ797" s="2"/>
      <c r="JA797" s="2"/>
      <c r="JB797" s="2"/>
      <c r="JC797" s="2"/>
      <c r="JD797" s="2"/>
      <c r="JE797" s="2"/>
      <c r="JF797" s="2"/>
      <c r="JG797" s="2"/>
      <c r="JH797" s="2"/>
      <c r="JI797" s="2"/>
      <c r="JJ797" s="2"/>
      <c r="JK797" s="159" t="s">
        <v>14</v>
      </c>
      <c r="JL797" s="160" t="s">
        <v>1682</v>
      </c>
      <c r="JM797" s="99"/>
      <c r="JQ797" s="2"/>
      <c r="JR797" s="2"/>
      <c r="JS797" s="2"/>
      <c r="JT797" s="2"/>
      <c r="JU797" s="2"/>
      <c r="JV797" s="2"/>
      <c r="JW797" s="2"/>
      <c r="JX797" s="161"/>
      <c r="JY797" s="171"/>
      <c r="JZ797" s="99"/>
      <c r="KA797" s="2"/>
      <c r="KB797" s="99"/>
      <c r="KC797" s="2"/>
      <c r="KD797" s="2"/>
      <c r="KE797" s="2"/>
      <c r="KF797" s="99"/>
      <c r="KG797" s="2"/>
      <c r="KH797" s="168"/>
      <c r="KI797" s="172"/>
      <c r="KJ797" s="2"/>
      <c r="KK797" s="2"/>
      <c r="KL797" s="2"/>
      <c r="KM797" s="2"/>
      <c r="KN797" s="99"/>
      <c r="KO797" s="2"/>
      <c r="KP797" s="168"/>
      <c r="KQ797" s="172"/>
      <c r="KR797" s="2"/>
      <c r="KS797" s="2"/>
      <c r="KT797" s="163"/>
      <c r="KU797" s="181"/>
      <c r="KV797" s="2"/>
      <c r="KW797" s="2"/>
      <c r="KX797" s="2"/>
      <c r="KY797" s="3"/>
      <c r="KZ797" s="3"/>
      <c r="LA797" s="3"/>
      <c r="LB797" s="3"/>
      <c r="LC797" s="99"/>
      <c r="LD797" s="99"/>
      <c r="LE797" s="99"/>
      <c r="LF797" s="99"/>
      <c r="LG797" s="99"/>
      <c r="LH797" s="2"/>
      <c r="LI797" s="99"/>
      <c r="LJ797" s="99"/>
      <c r="LK797" s="99"/>
      <c r="LL797" s="2"/>
      <c r="LM797" s="2"/>
      <c r="LN797" s="2"/>
      <c r="LO797" s="2"/>
      <c r="LP797" s="2"/>
      <c r="LQ797" s="2"/>
      <c r="LR797" s="2"/>
      <c r="LS797" s="2"/>
      <c r="LT797" s="2"/>
      <c r="LU797" s="2"/>
      <c r="LV797" s="2"/>
      <c r="LW797" s="2"/>
      <c r="LX797" s="2"/>
      <c r="LY797" s="2"/>
      <c r="LZ797" s="2"/>
      <c r="MA797" s="2"/>
      <c r="MB797" s="2"/>
      <c r="MC797" s="2"/>
      <c r="MD797" s="2"/>
      <c r="ME797" s="2"/>
      <c r="MF797" s="2"/>
      <c r="MG797" s="2"/>
      <c r="MH797" s="2"/>
      <c r="MI797" s="2"/>
      <c r="MJ797" s="2"/>
      <c r="MK797" s="2"/>
      <c r="ML797" s="2"/>
      <c r="MM797" s="2"/>
      <c r="MN797" s="2"/>
      <c r="MO797" s="2"/>
      <c r="MP797" s="2"/>
      <c r="MQ797" s="2"/>
      <c r="MR797" s="2"/>
      <c r="MS797" s="153" t="s">
        <v>2244</v>
      </c>
      <c r="MT797" s="89">
        <v>64</v>
      </c>
      <c r="MU797" s="153" t="s">
        <v>2254</v>
      </c>
      <c r="MV797" s="164"/>
      <c r="MW797" s="164" t="s">
        <v>2255</v>
      </c>
      <c r="MX797" s="164" t="s">
        <v>2256</v>
      </c>
      <c r="MY797" s="164" t="s">
        <v>2257</v>
      </c>
      <c r="MZ797" s="164"/>
      <c r="NA797" s="164"/>
      <c r="NB797" s="164"/>
      <c r="NC797" s="164"/>
      <c r="ND797" s="153"/>
      <c r="NE797" s="153" t="s">
        <v>1697</v>
      </c>
      <c r="NF797" s="153" t="s">
        <v>2254</v>
      </c>
      <c r="NG797" t="s">
        <v>1531</v>
      </c>
      <c r="NH797" s="165" t="s">
        <v>265</v>
      </c>
      <c r="NI797" s="153"/>
      <c r="NJ797" s="153"/>
      <c r="NK797" s="153"/>
      <c r="NL797" s="153"/>
      <c r="NM797" s="153"/>
      <c r="NN797" s="153"/>
      <c r="NO797" s="153"/>
      <c r="NP797" s="153"/>
      <c r="NQ797" s="166" t="s">
        <v>6</v>
      </c>
      <c r="NR797" s="173">
        <v>1324.7</v>
      </c>
      <c r="NS797" s="166" t="s">
        <v>4</v>
      </c>
      <c r="NT797" s="173">
        <v>77.400000000000006</v>
      </c>
      <c r="NU797" s="174"/>
      <c r="NV797" s="2"/>
      <c r="NW797" s="153">
        <v>4</v>
      </c>
      <c r="NX797" s="2"/>
      <c r="NY797" s="2"/>
      <c r="NZ797" s="2"/>
      <c r="OA797" s="2"/>
      <c r="OB797" s="2"/>
      <c r="OC797" s="2"/>
      <c r="OD797" s="2"/>
      <c r="OE797" s="2"/>
      <c r="OF797" s="2"/>
      <c r="OG797" s="2"/>
      <c r="OH797" s="153" t="s">
        <v>2248</v>
      </c>
      <c r="OI797" s="2"/>
      <c r="OJ797" s="2">
        <v>2007</v>
      </c>
      <c r="OK797" s="2"/>
      <c r="OL797" s="2"/>
      <c r="OM797" s="2" t="s">
        <v>1</v>
      </c>
      <c r="ON797" s="2"/>
      <c r="OO797" t="s">
        <v>1178</v>
      </c>
      <c r="OP797" s="58">
        <v>46134</v>
      </c>
    </row>
    <row r="798" spans="1:406" ht="15.75" thickBot="1">
      <c r="A798" t="s">
        <v>248</v>
      </c>
      <c r="B798" t="s">
        <v>2238</v>
      </c>
      <c r="C798" s="89" t="s">
        <v>34</v>
      </c>
      <c r="D798" s="152" t="s">
        <v>1955</v>
      </c>
      <c r="E798" s="89" t="s">
        <v>1676</v>
      </c>
      <c r="F798" t="s">
        <v>31</v>
      </c>
      <c r="G798" s="89" t="s">
        <v>2</v>
      </c>
      <c r="H798" s="152" t="s">
        <v>30</v>
      </c>
      <c r="I798">
        <v>-0.41666666699999999</v>
      </c>
      <c r="J798">
        <v>34.200000000000003</v>
      </c>
      <c r="K798" s="152" t="s">
        <v>29</v>
      </c>
      <c r="L798" s="89"/>
      <c r="M798" s="152"/>
      <c r="N798" s="89"/>
      <c r="O798" s="89"/>
      <c r="P798" s="89"/>
      <c r="Q798" s="89"/>
      <c r="R798" s="89"/>
      <c r="S798" s="89"/>
      <c r="T798" s="89"/>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89" t="s">
        <v>2239</v>
      </c>
      <c r="AW798" s="89">
        <v>64</v>
      </c>
      <c r="AX798" s="89">
        <v>0.09</v>
      </c>
      <c r="AY798" s="89">
        <v>1</v>
      </c>
      <c r="AZ798" s="153" t="s">
        <v>2240</v>
      </c>
      <c r="BA798" s="153">
        <v>2007</v>
      </c>
      <c r="BB798" s="153">
        <v>2008</v>
      </c>
      <c r="BC798" s="153" t="s">
        <v>62</v>
      </c>
      <c r="BD798" s="89"/>
      <c r="BE798" s="153" t="s">
        <v>2241</v>
      </c>
      <c r="BF798" s="153" t="s">
        <v>39</v>
      </c>
      <c r="BG798" s="153" t="s">
        <v>1243</v>
      </c>
      <c r="BH798" s="153" t="s">
        <v>2242</v>
      </c>
      <c r="BI798" s="153" t="s">
        <v>29</v>
      </c>
      <c r="BJ798" s="154" t="s">
        <v>22</v>
      </c>
      <c r="BK798" s="155">
        <v>111000</v>
      </c>
      <c r="BL798" s="89"/>
      <c r="BM798" s="89"/>
      <c r="BN798" s="89"/>
      <c r="BO798" s="152"/>
      <c r="BP798" s="175"/>
      <c r="BQ798" s="89"/>
      <c r="BR798" s="89"/>
      <c r="BS798" s="89"/>
      <c r="BT798" s="152"/>
      <c r="BU798" s="175"/>
      <c r="BV798" s="89"/>
      <c r="BW798" s="3"/>
      <c r="BX798" s="3"/>
      <c r="BY798" s="3"/>
      <c r="BZ798" s="3"/>
      <c r="CA798" s="3"/>
      <c r="CB798" s="3"/>
      <c r="CC798" s="3"/>
      <c r="CD798" s="3"/>
      <c r="CE798" s="3"/>
      <c r="CF798" s="3"/>
      <c r="CG798" s="3"/>
      <c r="CH798" s="3"/>
      <c r="CI798" s="3"/>
      <c r="CJ798" s="3"/>
      <c r="CK798" s="3"/>
      <c r="CL798" s="3"/>
      <c r="CM798" s="3"/>
      <c r="CN798" s="3"/>
      <c r="CO798" s="3"/>
      <c r="CP798" s="3"/>
      <c r="CQ798" s="3"/>
      <c r="CR798" s="3"/>
      <c r="CS798" s="3"/>
      <c r="CT798" s="3"/>
      <c r="CU798" s="3"/>
      <c r="CV798" s="3"/>
      <c r="CW798" s="3"/>
      <c r="CX798" s="3"/>
      <c r="CY798" s="3"/>
      <c r="CZ798" s="3"/>
      <c r="DA798" s="3"/>
      <c r="DB798" s="3"/>
      <c r="DC798" s="3"/>
      <c r="DD798" s="3"/>
      <c r="DE798" s="3"/>
      <c r="DF798" s="3"/>
      <c r="DG798" s="3"/>
      <c r="DH798" s="3"/>
      <c r="DI798" s="3"/>
      <c r="DJ798" s="3"/>
      <c r="DK798" s="3"/>
      <c r="DL798" s="3"/>
      <c r="DM798" s="3"/>
      <c r="DN798" s="3"/>
      <c r="DO798" s="3"/>
      <c r="DP798" s="3"/>
      <c r="DQ798" s="3"/>
      <c r="DR798" s="3"/>
      <c r="DS798" s="3"/>
      <c r="DT798" s="3"/>
      <c r="DU798" s="3"/>
      <c r="DV798" s="3"/>
      <c r="DW798" s="3"/>
      <c r="DX798" s="3"/>
      <c r="DY798" s="3"/>
      <c r="DZ798" s="3"/>
      <c r="EA798" s="3"/>
      <c r="EB798" s="3"/>
      <c r="EC798" s="3"/>
      <c r="ED798" s="3"/>
      <c r="EE798" s="89"/>
      <c r="EF798" s="89"/>
      <c r="EG798" s="89"/>
      <c r="EH798" s="89"/>
      <c r="EI798" s="89"/>
      <c r="EJ798" s="89"/>
      <c r="EK798" s="89"/>
      <c r="EL798" s="89"/>
      <c r="EM798" s="3"/>
      <c r="EN798" s="3"/>
      <c r="EO798" s="3"/>
      <c r="EP798" s="3"/>
      <c r="EQ798" s="3"/>
      <c r="ER798" s="3"/>
      <c r="ES798" s="3"/>
      <c r="ET798" s="3"/>
      <c r="EU798" s="3"/>
      <c r="EV798" s="3"/>
      <c r="EW798" s="3"/>
      <c r="EX798" s="3"/>
      <c r="EY798" s="3"/>
      <c r="EZ798" s="3"/>
      <c r="FA798" s="3"/>
      <c r="FB798" s="3"/>
      <c r="FC798" s="3"/>
      <c r="FD798" s="3"/>
      <c r="FE798" s="3"/>
      <c r="FF798" s="3"/>
      <c r="FG798" s="3"/>
      <c r="FH798" s="3"/>
      <c r="FI798" s="3"/>
      <c r="FJ798" s="3"/>
      <c r="FK798" s="3"/>
      <c r="FL798" s="3"/>
      <c r="FM798" s="3"/>
      <c r="FN798" s="3"/>
      <c r="FO798" s="3"/>
      <c r="FP798" s="3"/>
      <c r="FQ798" s="3"/>
      <c r="FR798" s="3"/>
      <c r="FS798" s="3"/>
      <c r="FT798" s="3"/>
      <c r="FU798" s="3"/>
      <c r="FV798" s="3"/>
      <c r="FW798" s="3"/>
      <c r="FX798" s="3"/>
      <c r="FY798" s="3"/>
      <c r="FZ798" s="3"/>
      <c r="GA798" s="3"/>
      <c r="GB798" s="3"/>
      <c r="GC798" s="3"/>
      <c r="GD798" s="3"/>
      <c r="GE798" s="3"/>
      <c r="GF798" s="3"/>
      <c r="GG798" s="3"/>
      <c r="GH798" s="3"/>
      <c r="GI798" s="3"/>
      <c r="GJ798" s="3"/>
      <c r="GK798" s="3"/>
      <c r="GL798" s="3"/>
      <c r="GM798" s="3"/>
      <c r="GN798" s="3"/>
      <c r="GO798" s="3"/>
      <c r="GP798" s="3"/>
      <c r="GQ798" s="3"/>
      <c r="GR798" s="3"/>
      <c r="GS798" s="3"/>
      <c r="GT798" s="3"/>
      <c r="GU798" s="3"/>
      <c r="GV798" s="3"/>
      <c r="GW798" s="3"/>
      <c r="GX798" s="3"/>
      <c r="GY798" s="3"/>
      <c r="GZ798" s="3"/>
      <c r="HA798" s="3"/>
      <c r="HB798" s="3"/>
      <c r="HC798" s="3"/>
      <c r="HD798" s="3"/>
      <c r="HE798" s="3"/>
      <c r="HF798" s="3"/>
      <c r="HG798" s="3"/>
      <c r="HH798" s="3"/>
      <c r="HI798" s="3"/>
      <c r="HJ798" s="3"/>
      <c r="HK798" s="3"/>
      <c r="HL798" s="89"/>
      <c r="HM798" s="89"/>
      <c r="HN798" s="89"/>
      <c r="HO798" s="89"/>
      <c r="HP798" s="89"/>
      <c r="HQ798" s="89"/>
      <c r="HR798" s="89"/>
      <c r="HS798" s="89"/>
      <c r="HT798" s="152"/>
      <c r="HU798" s="89"/>
      <c r="HV798" s="89"/>
      <c r="HW798" s="89"/>
      <c r="HX798" s="89"/>
      <c r="HY798" s="89"/>
      <c r="HZ798" s="89"/>
      <c r="IA798" s="89"/>
      <c r="IB798" s="89"/>
      <c r="IC798" s="89"/>
      <c r="ID798" s="89"/>
      <c r="IE798" s="89"/>
      <c r="IF798" s="89"/>
      <c r="IG798" s="153" t="s">
        <v>2243</v>
      </c>
      <c r="IH798" s="157" t="s">
        <v>19</v>
      </c>
      <c r="II798" s="89"/>
      <c r="IJ798" s="89"/>
      <c r="IK798" s="89"/>
      <c r="IL798" s="89"/>
      <c r="IM798" s="89"/>
      <c r="IP798" s="89"/>
      <c r="IQ798" s="89"/>
      <c r="IR798" s="89"/>
      <c r="IS798" s="89"/>
      <c r="IT798" s="89"/>
      <c r="IU798" s="89"/>
      <c r="IV798" s="152"/>
      <c r="IW798" s="89"/>
      <c r="IX798" s="89"/>
      <c r="IY798" s="89"/>
      <c r="IZ798" s="89"/>
      <c r="JA798" s="89"/>
      <c r="JB798" s="89"/>
      <c r="JC798" s="89"/>
      <c r="JD798" s="89"/>
      <c r="JE798" s="89"/>
      <c r="JF798" s="89"/>
      <c r="JG798" s="89"/>
      <c r="JH798" s="89"/>
      <c r="JI798" s="89"/>
      <c r="JJ798" s="89"/>
      <c r="JK798" s="159" t="s">
        <v>14</v>
      </c>
      <c r="JL798" s="160" t="s">
        <v>1682</v>
      </c>
      <c r="JM798" s="152"/>
      <c r="JQ798" s="89"/>
      <c r="JR798" s="89"/>
      <c r="JS798" s="89"/>
      <c r="JT798" s="89"/>
      <c r="JU798" s="89"/>
      <c r="JV798" s="89"/>
      <c r="JW798" s="89"/>
      <c r="JX798" s="161"/>
      <c r="JY798" s="159"/>
      <c r="JZ798" s="152"/>
      <c r="KA798" s="89"/>
      <c r="KB798" s="152"/>
      <c r="KC798" s="89"/>
      <c r="KD798" s="89"/>
      <c r="KE798" s="89"/>
      <c r="KF798" s="152"/>
      <c r="KG798" s="89"/>
      <c r="KH798" s="157"/>
      <c r="KI798" s="178"/>
      <c r="KJ798" s="89"/>
      <c r="KK798" s="89"/>
      <c r="KL798" s="89"/>
      <c r="KM798" s="89"/>
      <c r="KN798" s="152"/>
      <c r="KO798" s="89"/>
      <c r="KP798" s="182"/>
      <c r="KQ798" s="159"/>
      <c r="KR798" s="89"/>
      <c r="KS798" s="89"/>
      <c r="KT798" s="163"/>
      <c r="KU798" s="178"/>
      <c r="KV798" s="89"/>
      <c r="KW798" s="89"/>
      <c r="KX798" s="89"/>
      <c r="KY798" s="3"/>
      <c r="KZ798" s="3"/>
      <c r="LA798" s="3"/>
      <c r="LB798" s="3"/>
      <c r="LC798" s="152"/>
      <c r="LD798" s="152"/>
      <c r="LE798" s="152"/>
      <c r="LF798" s="152"/>
      <c r="LG798" s="152"/>
      <c r="LH798" s="89"/>
      <c r="LI798" s="152"/>
      <c r="LJ798" s="152"/>
      <c r="LK798" s="152"/>
      <c r="LL798" s="89"/>
      <c r="LM798" s="89"/>
      <c r="LN798" s="89"/>
      <c r="LO798" s="89"/>
      <c r="LP798" s="89"/>
      <c r="LQ798" s="89"/>
      <c r="LR798" s="89"/>
      <c r="LS798" s="89"/>
      <c r="LT798" s="89"/>
      <c r="LU798" s="89"/>
      <c r="LV798" s="89"/>
      <c r="LW798" s="89"/>
      <c r="LX798" s="89"/>
      <c r="LY798" s="89"/>
      <c r="LZ798" s="89"/>
      <c r="MA798" s="89"/>
      <c r="MB798" s="89"/>
      <c r="MC798" s="89"/>
      <c r="MD798" s="89"/>
      <c r="ME798" s="89"/>
      <c r="MF798" s="89"/>
      <c r="MG798" s="89"/>
      <c r="MH798" s="89"/>
      <c r="MI798" s="89"/>
      <c r="MJ798" s="89"/>
      <c r="MK798" s="89"/>
      <c r="ML798" s="89"/>
      <c r="MM798" s="89"/>
      <c r="MN798" s="89"/>
      <c r="MO798" s="89"/>
      <c r="MP798" s="89"/>
      <c r="MQ798" s="89"/>
      <c r="MR798" s="89"/>
      <c r="MS798" s="153" t="s">
        <v>2244</v>
      </c>
      <c r="MT798" s="89">
        <v>64</v>
      </c>
      <c r="MU798" s="153" t="s">
        <v>2254</v>
      </c>
      <c r="MV798" s="164"/>
      <c r="MW798" s="164" t="s">
        <v>2255</v>
      </c>
      <c r="MX798" s="164" t="s">
        <v>2256</v>
      </c>
      <c r="MY798" s="164"/>
      <c r="MZ798" s="164"/>
      <c r="NA798" s="164"/>
      <c r="NB798" s="164"/>
      <c r="NC798" s="164"/>
      <c r="ND798" s="153"/>
      <c r="NE798" s="153" t="s">
        <v>1697</v>
      </c>
      <c r="NF798" s="153" t="s">
        <v>2254</v>
      </c>
      <c r="NG798" t="s">
        <v>1531</v>
      </c>
      <c r="NH798" s="165" t="s">
        <v>265</v>
      </c>
      <c r="NI798" s="153"/>
      <c r="NJ798" s="153"/>
      <c r="NK798" s="153"/>
      <c r="NL798" s="153"/>
      <c r="NM798" s="153"/>
      <c r="NN798" s="153"/>
      <c r="NO798" s="153"/>
      <c r="NP798" s="153" t="s">
        <v>64</v>
      </c>
      <c r="NQ798" s="166" t="s">
        <v>6</v>
      </c>
      <c r="NR798" s="97">
        <v>467.9</v>
      </c>
      <c r="NS798" s="166" t="s">
        <v>4</v>
      </c>
      <c r="NT798" s="97">
        <v>70.7</v>
      </c>
      <c r="NU798" s="180"/>
      <c r="NV798" s="89"/>
      <c r="NW798" s="153">
        <v>4</v>
      </c>
      <c r="NX798" s="89"/>
      <c r="NY798" s="89"/>
      <c r="NZ798" s="89"/>
      <c r="OA798" s="89"/>
      <c r="OB798" s="89"/>
      <c r="OC798" s="89"/>
      <c r="OD798" s="89"/>
      <c r="OE798" s="89"/>
      <c r="OF798" s="89"/>
      <c r="OG798" s="89"/>
      <c r="OH798" s="153" t="s">
        <v>2248</v>
      </c>
      <c r="OI798" s="89"/>
      <c r="OJ798" s="89">
        <v>2008</v>
      </c>
      <c r="OK798" s="89"/>
      <c r="OL798" s="89"/>
      <c r="OM798" s="153" t="s">
        <v>62</v>
      </c>
      <c r="ON798" s="89"/>
      <c r="OO798" t="s">
        <v>1178</v>
      </c>
      <c r="OP798" s="58">
        <v>46134</v>
      </c>
    </row>
    <row r="799" spans="1:406" ht="15.75" thickBot="1">
      <c r="A799" t="s">
        <v>248</v>
      </c>
      <c r="B799" t="s">
        <v>2238</v>
      </c>
      <c r="C799" s="89" t="s">
        <v>34</v>
      </c>
      <c r="D799" s="152" t="s">
        <v>1955</v>
      </c>
      <c r="E799" s="89" t="s">
        <v>1676</v>
      </c>
      <c r="F799" t="s">
        <v>31</v>
      </c>
      <c r="G799" s="89" t="s">
        <v>2</v>
      </c>
      <c r="H799" s="152" t="s">
        <v>30</v>
      </c>
      <c r="I799">
        <v>-0.41666666699999999</v>
      </c>
      <c r="J799">
        <v>34.200000000000003</v>
      </c>
      <c r="K799" s="152" t="s">
        <v>29</v>
      </c>
      <c r="L799" s="2"/>
      <c r="M799" s="99"/>
      <c r="N799" s="2"/>
      <c r="O799" s="89"/>
      <c r="P799" s="2"/>
      <c r="Q799" s="2"/>
      <c r="R799" s="89"/>
      <c r="S799" s="89"/>
      <c r="T799" s="89"/>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89" t="s">
        <v>2239</v>
      </c>
      <c r="AW799" s="89">
        <v>64</v>
      </c>
      <c r="AX799" s="89">
        <v>0.09</v>
      </c>
      <c r="AY799" s="89">
        <v>1</v>
      </c>
      <c r="AZ799" s="153" t="s">
        <v>2240</v>
      </c>
      <c r="BA799" s="153">
        <v>2007</v>
      </c>
      <c r="BB799" s="153">
        <v>2008</v>
      </c>
      <c r="BC799" s="153" t="s">
        <v>62</v>
      </c>
      <c r="BD799" s="2"/>
      <c r="BE799" s="2" t="s">
        <v>2249</v>
      </c>
      <c r="BF799" s="2" t="s">
        <v>64</v>
      </c>
      <c r="BG799" s="153" t="s">
        <v>1243</v>
      </c>
      <c r="BH799" s="2" t="s">
        <v>2242</v>
      </c>
      <c r="BI799" s="153" t="s">
        <v>29</v>
      </c>
      <c r="BJ799" s="154" t="s">
        <v>22</v>
      </c>
      <c r="BK799" s="155">
        <v>55500</v>
      </c>
      <c r="BL799" s="2" t="s">
        <v>56</v>
      </c>
      <c r="BM799" t="s">
        <v>2250</v>
      </c>
      <c r="BN799" s="153" t="s">
        <v>29</v>
      </c>
      <c r="BO799" s="2" t="s">
        <v>22</v>
      </c>
      <c r="BP799" s="2">
        <v>55000</v>
      </c>
      <c r="BQ799" s="2"/>
      <c r="BR799" s="2"/>
      <c r="BS799" s="2"/>
      <c r="BT799" s="99"/>
      <c r="BU799" s="2"/>
      <c r="BV799" s="2"/>
      <c r="BW799" s="3"/>
      <c r="BX799" s="3"/>
      <c r="BY799" s="3"/>
      <c r="BZ799" s="3"/>
      <c r="CA799" s="3"/>
      <c r="CB799" s="3"/>
      <c r="CC799" s="3"/>
      <c r="CD799" s="3"/>
      <c r="CE799" s="3"/>
      <c r="CF799" s="3"/>
      <c r="CG799" s="3"/>
      <c r="CH799" s="3"/>
      <c r="CI799" s="3"/>
      <c r="CJ799" s="3"/>
      <c r="CK799" s="3"/>
      <c r="CL799" s="3"/>
      <c r="CM799" s="3"/>
      <c r="CN799" s="3"/>
      <c r="CO799" s="3"/>
      <c r="CP799" s="3"/>
      <c r="CQ799" s="3"/>
      <c r="CR799" s="3"/>
      <c r="CS799" s="3"/>
      <c r="CT799" s="3"/>
      <c r="CU799" s="3"/>
      <c r="CV799" s="3"/>
      <c r="CW799" s="3"/>
      <c r="CX799" s="3"/>
      <c r="CY799" s="3"/>
      <c r="CZ799" s="3"/>
      <c r="DA799" s="3"/>
      <c r="DB799" s="3"/>
      <c r="DC799" s="3"/>
      <c r="DD799" s="3"/>
      <c r="DE799" s="3"/>
      <c r="DF799" s="3"/>
      <c r="DG799" s="3"/>
      <c r="DH799" s="3"/>
      <c r="DI799" s="3"/>
      <c r="DJ799" s="3"/>
      <c r="DK799" s="3"/>
      <c r="DL799" s="3"/>
      <c r="DM799" s="3"/>
      <c r="DN799" s="3"/>
      <c r="DO799" s="3"/>
      <c r="DP799" s="3"/>
      <c r="DQ799" s="3"/>
      <c r="DR799" s="3"/>
      <c r="DS799" s="3"/>
      <c r="DT799" s="3"/>
      <c r="DU799" s="3"/>
      <c r="DV799" s="3"/>
      <c r="DW799" s="3"/>
      <c r="DX799" s="3"/>
      <c r="DY799" s="3"/>
      <c r="DZ799" s="3"/>
      <c r="EA799" s="3"/>
      <c r="EB799" s="3"/>
      <c r="EC799" s="3"/>
      <c r="ED799" s="3"/>
      <c r="EE799" s="2"/>
      <c r="EF799" s="2"/>
      <c r="EG799" s="2"/>
      <c r="EH799" s="2"/>
      <c r="EI799" s="2"/>
      <c r="EJ799" s="2"/>
      <c r="EK799" s="2"/>
      <c r="EL799" s="2"/>
      <c r="EM799" s="3"/>
      <c r="EN799" s="3"/>
      <c r="EO799" s="3"/>
      <c r="EP799" s="3"/>
      <c r="EQ799" s="3"/>
      <c r="ER799" s="3"/>
      <c r="ES799" s="3"/>
      <c r="ET799" s="3"/>
      <c r="EU799" s="3"/>
      <c r="EV799" s="3"/>
      <c r="EW799" s="3"/>
      <c r="EX799" s="3"/>
      <c r="EY799" s="3"/>
      <c r="EZ799" s="3"/>
      <c r="FA799" s="3"/>
      <c r="FB799" s="3"/>
      <c r="FC799" s="3"/>
      <c r="FD799" s="3"/>
      <c r="FE799" s="3"/>
      <c r="FF799" s="3"/>
      <c r="FG799" s="3"/>
      <c r="FH799" s="3"/>
      <c r="FI799" s="3"/>
      <c r="FJ799" s="3"/>
      <c r="FK799" s="3"/>
      <c r="FL799" s="3"/>
      <c r="FM799" s="3"/>
      <c r="FN799" s="3"/>
      <c r="FO799" s="3"/>
      <c r="FP799" s="3"/>
      <c r="FQ799" s="3"/>
      <c r="FR799" s="3"/>
      <c r="FS799" s="3"/>
      <c r="FT799" s="3"/>
      <c r="FU799" s="3"/>
      <c r="FV799" s="3"/>
      <c r="FW799" s="3"/>
      <c r="FX799" s="3"/>
      <c r="FY799" s="3"/>
      <c r="FZ799" s="3"/>
      <c r="GA799" s="3"/>
      <c r="GB799" s="3"/>
      <c r="GC799" s="3"/>
      <c r="GD799" s="3"/>
      <c r="GE799" s="3"/>
      <c r="GF799" s="3"/>
      <c r="GG799" s="3"/>
      <c r="GH799" s="3"/>
      <c r="GI799" s="3"/>
      <c r="GJ799" s="3"/>
      <c r="GK799" s="3"/>
      <c r="GL799" s="3"/>
      <c r="GM799" s="3"/>
      <c r="GN799" s="3"/>
      <c r="GO799" s="3"/>
      <c r="GP799" s="3"/>
      <c r="GQ799" s="3"/>
      <c r="GR799" s="3"/>
      <c r="GS799" s="3"/>
      <c r="GT799" s="3"/>
      <c r="GU799" s="3"/>
      <c r="GV799" s="3"/>
      <c r="GW799" s="3"/>
      <c r="GX799" s="3"/>
      <c r="GY799" s="3"/>
      <c r="GZ799" s="3"/>
      <c r="HA799" s="3"/>
      <c r="HB799" s="3"/>
      <c r="HC799" s="3"/>
      <c r="HD799" s="3"/>
      <c r="HE799" s="3"/>
      <c r="HF799" s="3"/>
      <c r="HG799" s="3"/>
      <c r="HH799" s="3"/>
      <c r="HI799" s="3"/>
      <c r="HJ799" s="3"/>
      <c r="HK799" s="3"/>
      <c r="HL799" s="2"/>
      <c r="HM799" s="2"/>
      <c r="HN799" s="2"/>
      <c r="HO799" s="2"/>
      <c r="HP799" s="2"/>
      <c r="HQ799" s="2"/>
      <c r="HR799" s="2"/>
      <c r="HS799" s="2"/>
      <c r="HT799" s="99"/>
      <c r="HU799" s="2"/>
      <c r="HV799" s="2"/>
      <c r="HW799" s="2"/>
      <c r="HX799" s="2"/>
      <c r="HY799" s="2"/>
      <c r="HZ799" s="2"/>
      <c r="IA799" s="2"/>
      <c r="IB799" s="2"/>
      <c r="IC799" s="2"/>
      <c r="ID799" s="2"/>
      <c r="IE799" s="2"/>
      <c r="IF799" s="2"/>
      <c r="IG799" s="153" t="s">
        <v>2243</v>
      </c>
      <c r="IH799" s="168" t="s">
        <v>1453</v>
      </c>
      <c r="II799" s="169" t="s">
        <v>1477</v>
      </c>
      <c r="IJ799" s="170" t="s">
        <v>661</v>
      </c>
      <c r="IK799" s="2">
        <v>2007</v>
      </c>
      <c r="IL799" s="2" t="s">
        <v>62</v>
      </c>
      <c r="IM799" s="2" t="s">
        <v>29</v>
      </c>
      <c r="IP799" s="2"/>
      <c r="IQ799" s="2"/>
      <c r="IR799" s="2"/>
      <c r="IS799" s="2"/>
      <c r="IT799" s="2"/>
      <c r="IU799" s="2"/>
      <c r="IV799" s="99"/>
      <c r="IW799" s="2"/>
      <c r="IX799" s="2"/>
      <c r="IY799" s="2"/>
      <c r="IZ799" s="2"/>
      <c r="JA799" s="2"/>
      <c r="JB799" s="2"/>
      <c r="JC799" s="2"/>
      <c r="JD799" s="2"/>
      <c r="JE799" s="2"/>
      <c r="JF799" s="2"/>
      <c r="JG799" s="2"/>
      <c r="JH799" s="2"/>
      <c r="JI799" s="2"/>
      <c r="JJ799" s="2"/>
      <c r="JK799" s="159" t="s">
        <v>14</v>
      </c>
      <c r="JL799" s="160" t="s">
        <v>1682</v>
      </c>
      <c r="JM799" s="99"/>
      <c r="JQ799" s="2"/>
      <c r="JR799" s="2"/>
      <c r="JS799" s="2"/>
      <c r="JT799" s="2"/>
      <c r="JU799" s="2"/>
      <c r="JV799" s="2"/>
      <c r="JW799" s="2"/>
      <c r="JX799" s="161"/>
      <c r="JY799" s="171"/>
      <c r="JZ799" s="99"/>
      <c r="KA799" s="2"/>
      <c r="KB799" s="99"/>
      <c r="KC799" s="2"/>
      <c r="KD799" s="2"/>
      <c r="KE799" s="2"/>
      <c r="KF799" s="99"/>
      <c r="KG799" s="2"/>
      <c r="KH799" s="168"/>
      <c r="KI799" s="172"/>
      <c r="KJ799" s="2"/>
      <c r="KK799" s="2"/>
      <c r="KL799" s="2"/>
      <c r="KM799" s="2"/>
      <c r="KN799" s="99"/>
      <c r="KO799" s="2"/>
      <c r="KP799" s="182"/>
      <c r="KQ799" s="171"/>
      <c r="KR799" s="2"/>
      <c r="KS799" s="2"/>
      <c r="KT799" s="163"/>
      <c r="KU799" s="172"/>
      <c r="KV799" s="2"/>
      <c r="KW799" s="2"/>
      <c r="KX799" s="2"/>
      <c r="KY799" s="3"/>
      <c r="KZ799" s="3"/>
      <c r="LA799" s="3"/>
      <c r="LB799" s="3"/>
      <c r="LC799" s="99"/>
      <c r="LD799" s="99"/>
      <c r="LE799" s="99"/>
      <c r="LF799" s="99"/>
      <c r="LG799" s="99"/>
      <c r="LH799" s="2"/>
      <c r="LI799" s="99"/>
      <c r="LJ799" s="99"/>
      <c r="LK799" s="99"/>
      <c r="LL799" s="2"/>
      <c r="LM799" s="2"/>
      <c r="LN799" s="2"/>
      <c r="LO799" s="2"/>
      <c r="LP799" s="2"/>
      <c r="LQ799" s="2"/>
      <c r="LR799" s="2"/>
      <c r="LS799" s="2"/>
      <c r="LT799" s="2"/>
      <c r="LU799" s="2"/>
      <c r="LV799" s="2"/>
      <c r="LW799" s="2"/>
      <c r="LX799" s="2"/>
      <c r="LY799" s="2"/>
      <c r="LZ799" s="2"/>
      <c r="MA799" s="2"/>
      <c r="MB799" s="2"/>
      <c r="MC799" s="2"/>
      <c r="MD799" s="2"/>
      <c r="ME799" s="2"/>
      <c r="MF799" s="2"/>
      <c r="MG799" s="2"/>
      <c r="MH799" s="2"/>
      <c r="MI799" s="2"/>
      <c r="MJ799" s="2"/>
      <c r="MK799" s="2"/>
      <c r="ML799" s="2"/>
      <c r="MM799" s="2"/>
      <c r="MN799" s="2"/>
      <c r="MO799" s="2"/>
      <c r="MP799" s="2"/>
      <c r="MQ799" s="2"/>
      <c r="MR799" s="2"/>
      <c r="MS799" s="153" t="s">
        <v>2244</v>
      </c>
      <c r="MT799" s="89">
        <v>64</v>
      </c>
      <c r="MU799" s="153" t="s">
        <v>2254</v>
      </c>
      <c r="MV799" s="164"/>
      <c r="MW799" s="164" t="s">
        <v>2255</v>
      </c>
      <c r="MX799" s="164" t="s">
        <v>2256</v>
      </c>
      <c r="MY799" s="164" t="s">
        <v>2257</v>
      </c>
      <c r="MZ799" s="164"/>
      <c r="NA799" s="164"/>
      <c r="NB799" s="164"/>
      <c r="NC799" s="164"/>
      <c r="ND799" s="153"/>
      <c r="NE799" s="153" t="s">
        <v>1697</v>
      </c>
      <c r="NF799" s="153" t="s">
        <v>2254</v>
      </c>
      <c r="NG799" t="s">
        <v>1531</v>
      </c>
      <c r="NH799" s="165" t="s">
        <v>265</v>
      </c>
      <c r="NI799" s="153"/>
      <c r="NJ799" s="153"/>
      <c r="NK799" s="153"/>
      <c r="NL799" s="153"/>
      <c r="NM799" s="153"/>
      <c r="NN799" s="153"/>
      <c r="NO799" s="153"/>
      <c r="NP799" s="153"/>
      <c r="NQ799" s="166" t="s">
        <v>6</v>
      </c>
      <c r="NR799" s="173">
        <v>1297.3</v>
      </c>
      <c r="NS799" s="166" t="s">
        <v>4</v>
      </c>
      <c r="NT799" s="173">
        <v>46.3</v>
      </c>
      <c r="NU799" s="174"/>
      <c r="NV799" s="2"/>
      <c r="NW799" s="153">
        <v>4</v>
      </c>
      <c r="NX799" s="2"/>
      <c r="NY799" s="2"/>
      <c r="NZ799" s="2"/>
      <c r="OA799" s="2"/>
      <c r="OB799" s="2"/>
      <c r="OC799" s="2"/>
      <c r="OD799" s="2"/>
      <c r="OE799" s="2"/>
      <c r="OF799" s="2"/>
      <c r="OG799" s="2"/>
      <c r="OH799" s="153" t="s">
        <v>2248</v>
      </c>
      <c r="OI799" s="2"/>
      <c r="OJ799" s="2">
        <v>2008</v>
      </c>
      <c r="OK799" s="2"/>
      <c r="OL799" s="2"/>
      <c r="OM799" s="153" t="s">
        <v>62</v>
      </c>
      <c r="ON799" s="2"/>
      <c r="OO799" t="s">
        <v>1178</v>
      </c>
      <c r="OP799" s="58">
        <v>46134</v>
      </c>
    </row>
    <row r="800" spans="1:406" ht="17.25" thickBot="1">
      <c r="A800" t="s">
        <v>248</v>
      </c>
      <c r="B800" t="s">
        <v>2238</v>
      </c>
      <c r="C800" s="89" t="s">
        <v>34</v>
      </c>
      <c r="D800" s="152" t="s">
        <v>1955</v>
      </c>
      <c r="E800" s="89" t="s">
        <v>1676</v>
      </c>
      <c r="F800" t="s">
        <v>31</v>
      </c>
      <c r="G800" s="89" t="s">
        <v>2</v>
      </c>
      <c r="H800" s="152" t="s">
        <v>30</v>
      </c>
      <c r="I800">
        <v>-0.41666666699999999</v>
      </c>
      <c r="J800">
        <v>34.200000000000003</v>
      </c>
      <c r="K800" s="152" t="s">
        <v>29</v>
      </c>
      <c r="L800" s="89"/>
      <c r="M800" s="152"/>
      <c r="N800" s="89"/>
      <c r="O800" s="89"/>
      <c r="P800" s="89"/>
      <c r="Q800" s="89"/>
      <c r="R800" s="89"/>
      <c r="S800" s="89"/>
      <c r="T800" s="89"/>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89" t="s">
        <v>2239</v>
      </c>
      <c r="AW800" s="89">
        <v>64</v>
      </c>
      <c r="AX800" s="89">
        <v>0.09</v>
      </c>
      <c r="AY800" s="89">
        <v>1</v>
      </c>
      <c r="AZ800" s="153" t="s">
        <v>2240</v>
      </c>
      <c r="BA800" s="153">
        <v>2007</v>
      </c>
      <c r="BB800" s="153">
        <v>2008</v>
      </c>
      <c r="BC800" s="153" t="s">
        <v>62</v>
      </c>
      <c r="BD800" s="153"/>
      <c r="BE800" s="153" t="s">
        <v>2241</v>
      </c>
      <c r="BF800" s="153" t="s">
        <v>39</v>
      </c>
      <c r="BG800" s="153" t="s">
        <v>1243</v>
      </c>
      <c r="BH800" s="153" t="s">
        <v>2242</v>
      </c>
      <c r="BI800" s="153" t="s">
        <v>29</v>
      </c>
      <c r="BJ800" s="154" t="s">
        <v>22</v>
      </c>
      <c r="BK800" s="155">
        <v>111000</v>
      </c>
      <c r="BL800" s="153"/>
      <c r="BM800" s="153"/>
      <c r="BN800" s="153"/>
      <c r="BO800" s="153"/>
      <c r="BP800" s="153"/>
      <c r="BQ800" s="153"/>
      <c r="BR800" s="153"/>
      <c r="BS800" s="153"/>
      <c r="BT800" s="153"/>
      <c r="BU800" s="153"/>
      <c r="BV800" s="153"/>
      <c r="BW800" s="3"/>
      <c r="BX800" s="3"/>
      <c r="BY800" s="3"/>
      <c r="BZ800" s="3"/>
      <c r="CA800" s="3"/>
      <c r="CB800" s="3"/>
      <c r="CC800" s="3"/>
      <c r="CD800" s="3"/>
      <c r="CE800" s="3"/>
      <c r="CF800" s="3"/>
      <c r="CG800" s="3"/>
      <c r="CH800" s="3"/>
      <c r="CI800" s="3"/>
      <c r="CJ800" s="3"/>
      <c r="CK800" s="3"/>
      <c r="CL800" s="3"/>
      <c r="CM800" s="3"/>
      <c r="CN800" s="3"/>
      <c r="CO800" s="3"/>
      <c r="CP800" s="3"/>
      <c r="CQ800" s="3"/>
      <c r="CR800" s="3"/>
      <c r="CS800" s="3"/>
      <c r="CT800" s="3"/>
      <c r="CU800" s="3"/>
      <c r="CV800" s="3"/>
      <c r="CW800" s="3"/>
      <c r="CX800" s="3"/>
      <c r="CY800" s="3"/>
      <c r="CZ800" s="3"/>
      <c r="DA800" s="3"/>
      <c r="DB800" s="3"/>
      <c r="DC800" s="3"/>
      <c r="DD800" s="3"/>
      <c r="DE800" s="3"/>
      <c r="DF800" s="3"/>
      <c r="DG800" s="3"/>
      <c r="DH800" s="3"/>
      <c r="DI800" s="3"/>
      <c r="DJ800" s="3"/>
      <c r="DK800" s="3"/>
      <c r="DL800" s="3"/>
      <c r="DM800" s="3"/>
      <c r="DN800" s="3"/>
      <c r="DO800" s="3"/>
      <c r="DP800" s="3"/>
      <c r="DQ800" s="3"/>
      <c r="DR800" s="3"/>
      <c r="DS800" s="3"/>
      <c r="DT800" s="3"/>
      <c r="DU800" s="3"/>
      <c r="DV800" s="3"/>
      <c r="DW800" s="3"/>
      <c r="DX800" s="3"/>
      <c r="DY800" s="3"/>
      <c r="DZ800" s="3"/>
      <c r="EA800" s="3"/>
      <c r="EB800" s="3"/>
      <c r="EC800" s="3"/>
      <c r="ED800" s="3"/>
      <c r="EE800" s="2"/>
      <c r="EF800" s="153"/>
      <c r="EG800" s="153"/>
      <c r="EH800" s="153"/>
      <c r="EI800" s="153"/>
      <c r="EJ800" s="153"/>
      <c r="EK800" s="153"/>
      <c r="EL800" s="153"/>
      <c r="EM800" s="3"/>
      <c r="EN800" s="3"/>
      <c r="EO800" s="3"/>
      <c r="EP800" s="3"/>
      <c r="EQ800" s="3"/>
      <c r="ER800" s="3"/>
      <c r="ES800" s="3"/>
      <c r="ET800" s="3"/>
      <c r="EU800" s="3"/>
      <c r="EV800" s="3"/>
      <c r="EW800" s="3"/>
      <c r="EX800" s="3"/>
      <c r="EY800" s="3"/>
      <c r="EZ800" s="3"/>
      <c r="FA800" s="3"/>
      <c r="FB800" s="3"/>
      <c r="FC800" s="3"/>
      <c r="FD800" s="3"/>
      <c r="FE800" s="3"/>
      <c r="FF800" s="3"/>
      <c r="FG800" s="3"/>
      <c r="FH800" s="3"/>
      <c r="FI800" s="3"/>
      <c r="FJ800" s="3"/>
      <c r="FK800" s="3"/>
      <c r="FL800" s="3"/>
      <c r="FM800" s="3"/>
      <c r="FN800" s="3"/>
      <c r="FO800" s="3"/>
      <c r="FP800" s="3"/>
      <c r="FQ800" s="3"/>
      <c r="FR800" s="3"/>
      <c r="FS800" s="3"/>
      <c r="FT800" s="3"/>
      <c r="FU800" s="3"/>
      <c r="FV800" s="3"/>
      <c r="FW800" s="3"/>
      <c r="FX800" s="3"/>
      <c r="FY800" s="3"/>
      <c r="FZ800" s="3"/>
      <c r="GA800" s="3"/>
      <c r="GB800" s="3"/>
      <c r="GC800" s="3"/>
      <c r="GD800" s="3"/>
      <c r="GE800" s="3"/>
      <c r="GF800" s="3"/>
      <c r="GG800" s="3"/>
      <c r="GH800" s="3"/>
      <c r="GI800" s="3"/>
      <c r="GJ800" s="3"/>
      <c r="GK800" s="3"/>
      <c r="GL800" s="3"/>
      <c r="GM800" s="3"/>
      <c r="GN800" s="3"/>
      <c r="GO800" s="3"/>
      <c r="GP800" s="3"/>
      <c r="GQ800" s="3"/>
      <c r="GR800" s="3"/>
      <c r="GS800" s="3"/>
      <c r="GT800" s="3"/>
      <c r="GU800" s="3"/>
      <c r="GV800" s="3"/>
      <c r="GW800" s="3"/>
      <c r="GX800" s="3"/>
      <c r="GY800" s="3"/>
      <c r="GZ800" s="3"/>
      <c r="HA800" s="3"/>
      <c r="HB800" s="3"/>
      <c r="HC800" s="3"/>
      <c r="HD800" s="3"/>
      <c r="HE800" s="3"/>
      <c r="HF800" s="3"/>
      <c r="HG800" s="3"/>
      <c r="HH800" s="3"/>
      <c r="HI800" s="3"/>
      <c r="HJ800" s="3"/>
      <c r="HK800" s="3"/>
      <c r="HL800" s="153"/>
      <c r="HM800" s="153"/>
      <c r="HN800" s="153"/>
      <c r="HO800" s="153"/>
      <c r="HP800" s="153"/>
      <c r="HQ800" s="153"/>
      <c r="HR800" s="153"/>
      <c r="HS800" s="153"/>
      <c r="HT800" s="154"/>
      <c r="HU800" s="153"/>
      <c r="HV800" s="153"/>
      <c r="HW800" s="153"/>
      <c r="HX800" s="156"/>
      <c r="HY800" s="153"/>
      <c r="HZ800" s="153"/>
      <c r="IA800" s="153"/>
      <c r="IB800" s="153"/>
      <c r="IC800" s="153"/>
      <c r="ID800" s="153"/>
      <c r="IE800" s="153"/>
      <c r="IF800" s="153"/>
      <c r="IG800" s="153" t="s">
        <v>2243</v>
      </c>
      <c r="IH800" s="157" t="s">
        <v>19</v>
      </c>
      <c r="II800" s="157"/>
      <c r="IJ800" s="158"/>
      <c r="IK800" s="153"/>
      <c r="IL800" s="153"/>
      <c r="IM800" s="153"/>
      <c r="IP800" s="153"/>
      <c r="IQ800" s="153"/>
      <c r="IR800" s="153"/>
      <c r="IS800" s="153"/>
      <c r="IT800" s="153"/>
      <c r="IU800" s="153"/>
      <c r="IV800" s="153"/>
      <c r="IW800" s="153"/>
      <c r="IX800" s="153"/>
      <c r="IY800" s="89"/>
      <c r="IZ800" s="89"/>
      <c r="JA800" s="89"/>
      <c r="JB800" s="89"/>
      <c r="JC800" s="89"/>
      <c r="JD800" s="89"/>
      <c r="JE800" s="89"/>
      <c r="JF800" s="89"/>
      <c r="JG800" s="89"/>
      <c r="JH800" s="89"/>
      <c r="JI800" s="89"/>
      <c r="JJ800" s="89"/>
      <c r="JK800" s="159" t="s">
        <v>14</v>
      </c>
      <c r="JL800" s="160" t="s">
        <v>1682</v>
      </c>
      <c r="JM800" s="154"/>
      <c r="JQ800" s="153"/>
      <c r="JR800" s="153"/>
      <c r="JS800" s="153"/>
      <c r="JT800" s="153"/>
      <c r="JU800" s="153"/>
      <c r="JV800" s="153"/>
      <c r="JW800" s="153"/>
      <c r="JX800" s="161"/>
      <c r="JY800" s="161"/>
      <c r="JZ800" s="154"/>
      <c r="KA800" s="153"/>
      <c r="KB800" s="154"/>
      <c r="KC800" s="153"/>
      <c r="KD800" s="153"/>
      <c r="KE800" s="153"/>
      <c r="KF800" s="154"/>
      <c r="KG800" s="154"/>
      <c r="KH800" s="157"/>
      <c r="KI800" s="162"/>
      <c r="KJ800" s="153"/>
      <c r="KK800" s="153"/>
      <c r="KL800" s="153"/>
      <c r="KM800" s="153"/>
      <c r="KN800" s="154"/>
      <c r="KO800" s="153"/>
      <c r="KP800" s="157"/>
      <c r="KQ800" s="162"/>
      <c r="KR800" s="153"/>
      <c r="KS800" s="153"/>
      <c r="KT800" s="163"/>
      <c r="KU800" s="162"/>
      <c r="KV800" s="153"/>
      <c r="KW800" s="153"/>
      <c r="KX800" s="153"/>
      <c r="KY800" s="3"/>
      <c r="KZ800" s="3"/>
      <c r="LA800" s="3"/>
      <c r="LB800" s="3"/>
      <c r="LC800" s="154"/>
      <c r="LD800" s="154"/>
      <c r="LE800" s="154"/>
      <c r="LF800" s="154"/>
      <c r="LG800" s="154"/>
      <c r="LH800" s="154"/>
      <c r="LI800" s="154"/>
      <c r="LJ800" s="154"/>
      <c r="LK800" s="154"/>
      <c r="LL800" s="153"/>
      <c r="LM800" s="153"/>
      <c r="LN800" s="153"/>
      <c r="LO800" s="153"/>
      <c r="LP800" s="153"/>
      <c r="LQ800" s="153"/>
      <c r="LR800" s="153"/>
      <c r="LS800" s="153"/>
      <c r="LT800" s="89"/>
      <c r="LU800" s="89"/>
      <c r="LV800" s="89"/>
      <c r="LW800" s="89"/>
      <c r="LX800" s="89"/>
      <c r="LY800" s="164"/>
      <c r="LZ800" s="164"/>
      <c r="MA800" s="164"/>
      <c r="MB800" s="2"/>
      <c r="MC800" s="153"/>
      <c r="MD800" s="153"/>
      <c r="ME800" s="153"/>
      <c r="MF800" s="89"/>
      <c r="MG800" s="89"/>
      <c r="MH800" s="89"/>
      <c r="MI800" s="89"/>
      <c r="MJ800" s="89"/>
      <c r="MK800" s="89"/>
      <c r="ML800" s="89"/>
      <c r="MM800" s="89"/>
      <c r="MN800" s="153"/>
      <c r="MO800" s="153"/>
      <c r="MP800" s="153"/>
      <c r="MQ800" s="153"/>
      <c r="MR800" s="153"/>
      <c r="MS800" s="153" t="s">
        <v>2244</v>
      </c>
      <c r="MT800" s="89">
        <v>64</v>
      </c>
      <c r="MU800" s="153" t="s">
        <v>2254</v>
      </c>
      <c r="MV800" s="164"/>
      <c r="MW800" s="164" t="s">
        <v>2255</v>
      </c>
      <c r="MX800" s="164" t="s">
        <v>2256</v>
      </c>
      <c r="MY800" s="164"/>
      <c r="MZ800" s="164"/>
      <c r="NA800" s="164"/>
      <c r="NB800" s="164"/>
      <c r="NC800" s="164"/>
      <c r="ND800" s="153" t="s">
        <v>2251</v>
      </c>
      <c r="NE800" s="153" t="s">
        <v>1697</v>
      </c>
      <c r="NF800" s="153" t="s">
        <v>2258</v>
      </c>
      <c r="NG800" t="s">
        <v>266</v>
      </c>
      <c r="NH800" s="165" t="s">
        <v>265</v>
      </c>
      <c r="NI800" s="153"/>
      <c r="NJ800" s="153"/>
      <c r="NK800" s="153"/>
      <c r="NL800" s="153"/>
      <c r="NM800" s="153"/>
      <c r="NN800" s="153"/>
      <c r="NO800" s="153"/>
      <c r="NP800" s="153" t="s">
        <v>64</v>
      </c>
      <c r="NQ800" s="166" t="s">
        <v>6</v>
      </c>
      <c r="NR800" s="166">
        <v>-478.3</v>
      </c>
      <c r="NS800" s="166" t="s">
        <v>4</v>
      </c>
      <c r="NT800" s="166">
        <v>23.3</v>
      </c>
      <c r="NU800" s="167"/>
      <c r="NV800" s="153"/>
      <c r="NW800" s="153">
        <v>4</v>
      </c>
      <c r="NX800" s="153"/>
      <c r="NY800" s="153"/>
      <c r="NZ800" s="153"/>
      <c r="OA800" s="153"/>
      <c r="OB800" s="153"/>
      <c r="OC800" s="153"/>
      <c r="OD800" s="153"/>
      <c r="OE800" s="153"/>
      <c r="OF800" s="153"/>
      <c r="OG800" s="153"/>
      <c r="OH800" s="153" t="s">
        <v>2248</v>
      </c>
      <c r="OI800" s="153"/>
      <c r="OJ800" s="153">
        <v>2007</v>
      </c>
      <c r="OK800" s="153"/>
      <c r="OL800" s="153"/>
      <c r="OM800" s="153" t="s">
        <v>62</v>
      </c>
      <c r="ON800" s="153"/>
      <c r="OO800" t="s">
        <v>1178</v>
      </c>
      <c r="OP800" s="58">
        <v>46134</v>
      </c>
    </row>
    <row r="801" spans="1:406" ht="15.75" thickBot="1">
      <c r="A801" t="s">
        <v>248</v>
      </c>
      <c r="B801" t="s">
        <v>2238</v>
      </c>
      <c r="C801" s="89" t="s">
        <v>34</v>
      </c>
      <c r="D801" s="152" t="s">
        <v>1955</v>
      </c>
      <c r="E801" s="89" t="s">
        <v>1676</v>
      </c>
      <c r="F801" t="s">
        <v>31</v>
      </c>
      <c r="G801" s="89" t="s">
        <v>2</v>
      </c>
      <c r="H801" s="152" t="s">
        <v>30</v>
      </c>
      <c r="I801">
        <v>-0.41666666699999999</v>
      </c>
      <c r="J801">
        <v>34.200000000000003</v>
      </c>
      <c r="K801" s="152" t="s">
        <v>29</v>
      </c>
      <c r="L801" s="2"/>
      <c r="M801" s="99"/>
      <c r="N801" s="2"/>
      <c r="O801" s="89"/>
      <c r="P801" s="2"/>
      <c r="Q801" s="2"/>
      <c r="R801" s="89"/>
      <c r="S801" s="89"/>
      <c r="T801" s="89"/>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89" t="s">
        <v>2239</v>
      </c>
      <c r="AW801" s="89">
        <v>64</v>
      </c>
      <c r="AX801" s="89">
        <v>0.09</v>
      </c>
      <c r="AY801" s="89">
        <v>1</v>
      </c>
      <c r="AZ801" s="153" t="s">
        <v>2240</v>
      </c>
      <c r="BA801" s="153">
        <v>2007</v>
      </c>
      <c r="BB801" s="153">
        <v>2008</v>
      </c>
      <c r="BC801" s="153" t="s">
        <v>62</v>
      </c>
      <c r="BD801" s="2"/>
      <c r="BE801" s="2" t="s">
        <v>2249</v>
      </c>
      <c r="BF801" s="2" t="s">
        <v>64</v>
      </c>
      <c r="BG801" s="153" t="s">
        <v>1243</v>
      </c>
      <c r="BH801" s="2" t="s">
        <v>2242</v>
      </c>
      <c r="BI801" s="153" t="s">
        <v>29</v>
      </c>
      <c r="BJ801" s="154" t="s">
        <v>22</v>
      </c>
      <c r="BK801" s="155">
        <v>55500</v>
      </c>
      <c r="BL801" s="2" t="s">
        <v>56</v>
      </c>
      <c r="BM801" t="s">
        <v>2250</v>
      </c>
      <c r="BN801" s="153" t="s">
        <v>29</v>
      </c>
      <c r="BO801" s="2" t="s">
        <v>22</v>
      </c>
      <c r="BP801" s="2">
        <v>55000</v>
      </c>
      <c r="BQ801" s="2"/>
      <c r="BR801" s="2"/>
      <c r="BS801" s="2"/>
      <c r="BT801" s="2"/>
      <c r="BU801" s="2"/>
      <c r="BV801" s="2"/>
      <c r="BW801" s="3"/>
      <c r="BX801" s="3"/>
      <c r="BY801" s="3"/>
      <c r="BZ801" s="3"/>
      <c r="CA801" s="3"/>
      <c r="CB801" s="3"/>
      <c r="CC801" s="3"/>
      <c r="CD801" s="3"/>
      <c r="CE801" s="3"/>
      <c r="CF801" s="3"/>
      <c r="CG801" s="3"/>
      <c r="CH801" s="3"/>
      <c r="CI801" s="3"/>
      <c r="CJ801" s="3"/>
      <c r="CK801" s="3"/>
      <c r="CL801" s="3"/>
      <c r="CM801" s="3"/>
      <c r="CN801" s="3"/>
      <c r="CO801" s="3"/>
      <c r="CP801" s="3"/>
      <c r="CQ801" s="3"/>
      <c r="CR801" s="3"/>
      <c r="CS801" s="3"/>
      <c r="CT801" s="3"/>
      <c r="CU801" s="3"/>
      <c r="CV801" s="3"/>
      <c r="CW801" s="3"/>
      <c r="CX801" s="3"/>
      <c r="CY801" s="3"/>
      <c r="CZ801" s="3"/>
      <c r="DA801" s="3"/>
      <c r="DB801" s="3"/>
      <c r="DC801" s="3"/>
      <c r="DD801" s="3"/>
      <c r="DE801" s="3"/>
      <c r="DF801" s="3"/>
      <c r="DG801" s="3"/>
      <c r="DH801" s="3"/>
      <c r="DI801" s="3"/>
      <c r="DJ801" s="3"/>
      <c r="DK801" s="3"/>
      <c r="DL801" s="3"/>
      <c r="DM801" s="3"/>
      <c r="DN801" s="3"/>
      <c r="DO801" s="3"/>
      <c r="DP801" s="3"/>
      <c r="DQ801" s="3"/>
      <c r="DR801" s="3"/>
      <c r="DS801" s="3"/>
      <c r="DT801" s="3"/>
      <c r="DU801" s="3"/>
      <c r="DV801" s="3"/>
      <c r="DW801" s="3"/>
      <c r="DX801" s="3"/>
      <c r="DY801" s="3"/>
      <c r="DZ801" s="3"/>
      <c r="EA801" s="3"/>
      <c r="EB801" s="3"/>
      <c r="EC801" s="3"/>
      <c r="ED801" s="3"/>
      <c r="EE801" s="2"/>
      <c r="EF801" s="2"/>
      <c r="EG801" s="2"/>
      <c r="EH801" s="2"/>
      <c r="EI801" s="2"/>
      <c r="EJ801" s="2"/>
      <c r="EK801" s="2"/>
      <c r="EL801" s="2"/>
      <c r="EM801" s="3"/>
      <c r="EN801" s="3"/>
      <c r="EO801" s="3"/>
      <c r="EP801" s="3"/>
      <c r="EQ801" s="3"/>
      <c r="ER801" s="3"/>
      <c r="ES801" s="3"/>
      <c r="ET801" s="3"/>
      <c r="EU801" s="3"/>
      <c r="EV801" s="3"/>
      <c r="EW801" s="3"/>
      <c r="EX801" s="3"/>
      <c r="EY801" s="3"/>
      <c r="EZ801" s="3"/>
      <c r="FA801" s="3"/>
      <c r="FB801" s="3"/>
      <c r="FC801" s="3"/>
      <c r="FD801" s="3"/>
      <c r="FE801" s="3"/>
      <c r="FF801" s="3"/>
      <c r="FG801" s="3"/>
      <c r="FH801" s="3"/>
      <c r="FI801" s="3"/>
      <c r="FJ801" s="3"/>
      <c r="FK801" s="3"/>
      <c r="FL801" s="3"/>
      <c r="FM801" s="3"/>
      <c r="FN801" s="3"/>
      <c r="FO801" s="3"/>
      <c r="FP801" s="3"/>
      <c r="FQ801" s="3"/>
      <c r="FR801" s="3"/>
      <c r="FS801" s="3"/>
      <c r="FT801" s="3"/>
      <c r="FU801" s="3"/>
      <c r="FV801" s="3"/>
      <c r="FW801" s="3"/>
      <c r="FX801" s="3"/>
      <c r="FY801" s="3"/>
      <c r="FZ801" s="3"/>
      <c r="GA801" s="3"/>
      <c r="GB801" s="3"/>
      <c r="GC801" s="3"/>
      <c r="GD801" s="3"/>
      <c r="GE801" s="3"/>
      <c r="GF801" s="3"/>
      <c r="GG801" s="3"/>
      <c r="GH801" s="3"/>
      <c r="GI801" s="3"/>
      <c r="GJ801" s="3"/>
      <c r="GK801" s="3"/>
      <c r="GL801" s="3"/>
      <c r="GM801" s="3"/>
      <c r="GN801" s="3"/>
      <c r="GO801" s="3"/>
      <c r="GP801" s="3"/>
      <c r="GQ801" s="3"/>
      <c r="GR801" s="3"/>
      <c r="GS801" s="3"/>
      <c r="GT801" s="3"/>
      <c r="GU801" s="3"/>
      <c r="GV801" s="3"/>
      <c r="GW801" s="3"/>
      <c r="GX801" s="3"/>
      <c r="GY801" s="3"/>
      <c r="GZ801" s="3"/>
      <c r="HA801" s="3"/>
      <c r="HB801" s="3"/>
      <c r="HC801" s="3"/>
      <c r="HD801" s="3"/>
      <c r="HE801" s="3"/>
      <c r="HF801" s="3"/>
      <c r="HG801" s="3"/>
      <c r="HH801" s="3"/>
      <c r="HI801" s="3"/>
      <c r="HJ801" s="3"/>
      <c r="HK801" s="3"/>
      <c r="HL801" s="2"/>
      <c r="HM801" s="2"/>
      <c r="HN801" s="2"/>
      <c r="HO801" s="2"/>
      <c r="HP801" s="2"/>
      <c r="HQ801" s="2"/>
      <c r="HR801" s="2"/>
      <c r="HS801" s="2"/>
      <c r="HT801" s="99"/>
      <c r="HU801" s="2"/>
      <c r="HV801" s="2"/>
      <c r="HW801" s="2"/>
      <c r="HX801" s="2"/>
      <c r="HY801" s="2"/>
      <c r="HZ801" s="2"/>
      <c r="IA801" s="2"/>
      <c r="IB801" s="2"/>
      <c r="IC801" s="2"/>
      <c r="ID801" s="2"/>
      <c r="IE801" s="2"/>
      <c r="IF801" s="2"/>
      <c r="IG801" s="153" t="s">
        <v>2243</v>
      </c>
      <c r="IH801" s="168" t="s">
        <v>1453</v>
      </c>
      <c r="II801" s="169" t="s">
        <v>1477</v>
      </c>
      <c r="IJ801" s="170" t="s">
        <v>661</v>
      </c>
      <c r="IK801" s="2">
        <v>2007</v>
      </c>
      <c r="IL801" s="2" t="s">
        <v>62</v>
      </c>
      <c r="IM801" s="2" t="s">
        <v>29</v>
      </c>
      <c r="IP801" s="2"/>
      <c r="IQ801" s="2"/>
      <c r="IR801" s="2"/>
      <c r="IS801" s="2"/>
      <c r="IT801" s="2"/>
      <c r="IU801" s="2"/>
      <c r="IV801" s="2"/>
      <c r="IW801" s="2"/>
      <c r="IX801" s="2"/>
      <c r="IY801" s="2"/>
      <c r="IZ801" s="2"/>
      <c r="JA801" s="2"/>
      <c r="JB801" s="2"/>
      <c r="JC801" s="2"/>
      <c r="JD801" s="2"/>
      <c r="JE801" s="2"/>
      <c r="JF801" s="2"/>
      <c r="JG801" s="2"/>
      <c r="JH801" s="2"/>
      <c r="JI801" s="2"/>
      <c r="JJ801" s="2"/>
      <c r="JK801" s="159" t="s">
        <v>14</v>
      </c>
      <c r="JL801" s="160" t="s">
        <v>1682</v>
      </c>
      <c r="JM801" s="99"/>
      <c r="JQ801" s="2"/>
      <c r="JR801" s="2"/>
      <c r="JS801" s="2"/>
      <c r="JT801" s="2"/>
      <c r="JU801" s="2"/>
      <c r="JV801" s="2"/>
      <c r="JW801" s="2"/>
      <c r="JX801" s="161"/>
      <c r="JY801" s="171"/>
      <c r="JZ801" s="99"/>
      <c r="KA801" s="2"/>
      <c r="KB801" s="99"/>
      <c r="KC801" s="2"/>
      <c r="KD801" s="2"/>
      <c r="KE801" s="2"/>
      <c r="KF801" s="99"/>
      <c r="KG801" s="2"/>
      <c r="KH801" s="168"/>
      <c r="KI801" s="172"/>
      <c r="KJ801" s="2"/>
      <c r="KK801" s="2"/>
      <c r="KL801" s="2"/>
      <c r="KM801" s="2"/>
      <c r="KN801" s="99"/>
      <c r="KO801" s="2"/>
      <c r="KP801" s="168"/>
      <c r="KQ801" s="172"/>
      <c r="KR801" s="2"/>
      <c r="KS801" s="2"/>
      <c r="KT801" s="163"/>
      <c r="KU801" s="172"/>
      <c r="KV801" s="2"/>
      <c r="KW801" s="2"/>
      <c r="KX801" s="2"/>
      <c r="KY801" s="69"/>
      <c r="KZ801" s="3"/>
      <c r="LA801" s="3"/>
      <c r="LB801" s="3"/>
      <c r="LC801" s="99"/>
      <c r="LD801" s="99"/>
      <c r="LE801" s="99"/>
      <c r="LF801" s="99"/>
      <c r="LG801" s="99"/>
      <c r="LH801" s="2"/>
      <c r="LI801" s="99"/>
      <c r="LJ801" s="99"/>
      <c r="LK801" s="99"/>
      <c r="LL801" s="2"/>
      <c r="LM801" s="2"/>
      <c r="LN801" s="2"/>
      <c r="LO801" s="2"/>
      <c r="LP801" s="2"/>
      <c r="LQ801" s="2"/>
      <c r="LR801" s="2"/>
      <c r="LS801" s="2"/>
      <c r="LT801" s="2"/>
      <c r="LU801" s="2"/>
      <c r="LV801" s="2"/>
      <c r="LW801" s="2"/>
      <c r="LX801" s="2"/>
      <c r="LY801" s="2"/>
      <c r="LZ801" s="2"/>
      <c r="MA801" s="2"/>
      <c r="MC801" s="2"/>
      <c r="MD801" s="2"/>
      <c r="ME801" s="2"/>
      <c r="MF801" s="2"/>
      <c r="MG801" s="2"/>
      <c r="MH801" s="2"/>
      <c r="MI801" s="2"/>
      <c r="MJ801" s="2"/>
      <c r="MK801" s="2"/>
      <c r="ML801" s="2"/>
      <c r="MM801" s="2"/>
      <c r="MN801" s="2"/>
      <c r="MO801" s="2"/>
      <c r="MP801" s="2"/>
      <c r="MQ801" s="2"/>
      <c r="MR801" s="2"/>
      <c r="MS801" s="153" t="s">
        <v>2244</v>
      </c>
      <c r="MT801" s="89">
        <v>64</v>
      </c>
      <c r="MU801" s="153" t="s">
        <v>2254</v>
      </c>
      <c r="MV801" s="164"/>
      <c r="MW801" s="164" t="s">
        <v>2255</v>
      </c>
      <c r="MX801" s="164" t="s">
        <v>2256</v>
      </c>
      <c r="MY801" s="164" t="s">
        <v>2257</v>
      </c>
      <c r="MZ801" s="164"/>
      <c r="NA801" s="164"/>
      <c r="NB801" s="164"/>
      <c r="NC801" s="164"/>
      <c r="ND801" s="153" t="s">
        <v>2251</v>
      </c>
      <c r="NE801" s="153" t="s">
        <v>1697</v>
      </c>
      <c r="NF801" s="153" t="s">
        <v>2258</v>
      </c>
      <c r="NG801" t="s">
        <v>266</v>
      </c>
      <c r="NH801" s="165" t="s">
        <v>265</v>
      </c>
      <c r="NI801" s="153"/>
      <c r="NJ801" s="153"/>
      <c r="NK801" s="153"/>
      <c r="NL801" s="153"/>
      <c r="NM801" s="153"/>
      <c r="NN801" s="153"/>
      <c r="NO801" s="153"/>
      <c r="NP801" s="153"/>
      <c r="NQ801" s="166" t="s">
        <v>6</v>
      </c>
      <c r="NR801" s="173">
        <v>217.5</v>
      </c>
      <c r="NS801" s="166" t="s">
        <v>4</v>
      </c>
      <c r="NT801" s="173">
        <v>83.1</v>
      </c>
      <c r="NU801" s="174"/>
      <c r="NV801" s="2"/>
      <c r="NW801" s="153">
        <v>4</v>
      </c>
      <c r="NX801" s="2"/>
      <c r="NY801" s="2"/>
      <c r="NZ801" s="2"/>
      <c r="OA801" s="2"/>
      <c r="OB801" s="2"/>
      <c r="OC801" s="2"/>
      <c r="OD801" s="2"/>
      <c r="OE801" s="2"/>
      <c r="OF801" s="2"/>
      <c r="OG801" s="2"/>
      <c r="OH801" s="153" t="s">
        <v>2248</v>
      </c>
      <c r="OI801" s="2"/>
      <c r="OJ801" s="153">
        <v>2007</v>
      </c>
      <c r="OK801" s="153"/>
      <c r="OL801" s="153"/>
      <c r="OM801" s="153" t="s">
        <v>62</v>
      </c>
      <c r="ON801" s="2"/>
      <c r="OO801" t="s">
        <v>1178</v>
      </c>
      <c r="OP801" s="58">
        <v>46134</v>
      </c>
    </row>
    <row r="802" spans="1:406" ht="15.75" thickBot="1">
      <c r="A802" t="s">
        <v>248</v>
      </c>
      <c r="B802" t="s">
        <v>2238</v>
      </c>
      <c r="C802" s="89" t="s">
        <v>34</v>
      </c>
      <c r="D802" s="152" t="s">
        <v>1955</v>
      </c>
      <c r="E802" s="89" t="s">
        <v>1676</v>
      </c>
      <c r="F802" t="s">
        <v>31</v>
      </c>
      <c r="G802" s="89" t="s">
        <v>2</v>
      </c>
      <c r="H802" s="152" t="s">
        <v>30</v>
      </c>
      <c r="I802">
        <v>-0.41666666699999999</v>
      </c>
      <c r="J802">
        <v>34.200000000000003</v>
      </c>
      <c r="K802" s="152" t="s">
        <v>29</v>
      </c>
      <c r="L802" s="89"/>
      <c r="M802" s="152"/>
      <c r="N802" s="89"/>
      <c r="O802" s="89"/>
      <c r="P802" s="89"/>
      <c r="Q802" s="89"/>
      <c r="R802" s="89"/>
      <c r="S802" s="89"/>
      <c r="T802" s="89"/>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89" t="s">
        <v>2239</v>
      </c>
      <c r="AW802" s="89">
        <v>64</v>
      </c>
      <c r="AX802" s="89">
        <v>0.09</v>
      </c>
      <c r="AY802" s="89">
        <v>1</v>
      </c>
      <c r="AZ802" s="153" t="s">
        <v>2240</v>
      </c>
      <c r="BA802" s="153">
        <v>2007</v>
      </c>
      <c r="BB802" s="153">
        <v>2008</v>
      </c>
      <c r="BC802" s="153" t="s">
        <v>1</v>
      </c>
      <c r="BD802" s="89"/>
      <c r="BE802" s="153" t="s">
        <v>2241</v>
      </c>
      <c r="BF802" s="153" t="s">
        <v>39</v>
      </c>
      <c r="BG802" s="153" t="s">
        <v>1243</v>
      </c>
      <c r="BH802" s="153" t="s">
        <v>2242</v>
      </c>
      <c r="BI802" s="153" t="s">
        <v>29</v>
      </c>
      <c r="BJ802" s="154" t="s">
        <v>22</v>
      </c>
      <c r="BK802" s="155">
        <v>111000</v>
      </c>
      <c r="BL802" s="89"/>
      <c r="BM802" s="89"/>
      <c r="BN802" s="89"/>
      <c r="BO802" s="152"/>
      <c r="BP802" s="175"/>
      <c r="BQ802" s="89"/>
      <c r="BR802" s="89"/>
      <c r="BS802" s="89"/>
      <c r="BT802" s="89"/>
      <c r="BU802" s="89"/>
      <c r="BV802" s="89"/>
      <c r="BW802" s="3"/>
      <c r="BX802" s="3"/>
      <c r="BY802" s="3"/>
      <c r="BZ802" s="3"/>
      <c r="CA802" s="3"/>
      <c r="CB802" s="3"/>
      <c r="CC802" s="3"/>
      <c r="CD802" s="3"/>
      <c r="CE802" s="3"/>
      <c r="CF802" s="3"/>
      <c r="CG802" s="3"/>
      <c r="CH802" s="3"/>
      <c r="CI802" s="3"/>
      <c r="CJ802" s="3"/>
      <c r="CK802" s="3"/>
      <c r="CL802" s="3"/>
      <c r="CM802" s="3"/>
      <c r="CN802" s="3"/>
      <c r="CO802" s="3"/>
      <c r="CP802" s="3"/>
      <c r="CQ802" s="3"/>
      <c r="CR802" s="3"/>
      <c r="CS802" s="3"/>
      <c r="CT802" s="3"/>
      <c r="CU802" s="3"/>
      <c r="CV802" s="3"/>
      <c r="CW802" s="3"/>
      <c r="CX802" s="3"/>
      <c r="CY802" s="3"/>
      <c r="CZ802" s="3"/>
      <c r="DA802" s="3"/>
      <c r="DB802" s="3"/>
      <c r="DC802" s="3"/>
      <c r="DD802" s="3"/>
      <c r="DE802" s="3"/>
      <c r="DF802" s="3"/>
      <c r="DG802" s="3"/>
      <c r="DH802" s="3"/>
      <c r="DI802" s="3"/>
      <c r="DJ802" s="3"/>
      <c r="DK802" s="3"/>
      <c r="DL802" s="3"/>
      <c r="DM802" s="3"/>
      <c r="DN802" s="3"/>
      <c r="DO802" s="3"/>
      <c r="DP802" s="3"/>
      <c r="DQ802" s="3"/>
      <c r="DR802" s="3"/>
      <c r="DS802" s="3"/>
      <c r="DT802" s="3"/>
      <c r="DU802" s="3"/>
      <c r="DV802" s="3"/>
      <c r="DW802" s="3"/>
      <c r="DX802" s="3"/>
      <c r="DY802" s="3"/>
      <c r="DZ802" s="3"/>
      <c r="EA802" s="3"/>
      <c r="EB802" s="3"/>
      <c r="EC802" s="3"/>
      <c r="ED802" s="3"/>
      <c r="EE802" s="89"/>
      <c r="EF802" s="89"/>
      <c r="EG802" s="89"/>
      <c r="EH802" s="89"/>
      <c r="EI802" s="89"/>
      <c r="EJ802" s="89"/>
      <c r="EK802" s="89"/>
      <c r="EL802" s="89"/>
      <c r="EM802" s="3"/>
      <c r="EN802" s="3"/>
      <c r="EO802" s="3"/>
      <c r="EP802" s="3"/>
      <c r="EQ802" s="3"/>
      <c r="ER802" s="3"/>
      <c r="ES802" s="3"/>
      <c r="ET802" s="3"/>
      <c r="EU802" s="3"/>
      <c r="EV802" s="3"/>
      <c r="EW802" s="3"/>
      <c r="EX802" s="3"/>
      <c r="EY802" s="3"/>
      <c r="EZ802" s="3"/>
      <c r="FA802" s="3"/>
      <c r="FB802" s="3"/>
      <c r="FC802" s="3"/>
      <c r="FD802" s="3"/>
      <c r="FE802" s="3"/>
      <c r="FF802" s="3"/>
      <c r="FG802" s="3"/>
      <c r="FH802" s="3"/>
      <c r="FI802" s="3"/>
      <c r="FJ802" s="3"/>
      <c r="FK802" s="3"/>
      <c r="FL802" s="3"/>
      <c r="FM802" s="3"/>
      <c r="FN802" s="3"/>
      <c r="FO802" s="3"/>
      <c r="FP802" s="3"/>
      <c r="FQ802" s="3"/>
      <c r="FR802" s="3"/>
      <c r="FS802" s="3"/>
      <c r="FT802" s="3"/>
      <c r="FU802" s="3"/>
      <c r="FV802" s="3"/>
      <c r="FW802" s="3"/>
      <c r="FX802" s="3"/>
      <c r="FY802" s="3"/>
      <c r="FZ802" s="3"/>
      <c r="GA802" s="3"/>
      <c r="GB802" s="3"/>
      <c r="GC802" s="3"/>
      <c r="GD802" s="3"/>
      <c r="GE802" s="3"/>
      <c r="GF802" s="3"/>
      <c r="GG802" s="3"/>
      <c r="GH802" s="3"/>
      <c r="GI802" s="3"/>
      <c r="GJ802" s="3"/>
      <c r="GK802" s="3"/>
      <c r="GL802" s="3"/>
      <c r="GM802" s="3"/>
      <c r="GN802" s="3"/>
      <c r="GO802" s="3"/>
      <c r="GP802" s="3"/>
      <c r="GQ802" s="3"/>
      <c r="GR802" s="3"/>
      <c r="GS802" s="3"/>
      <c r="GT802" s="3"/>
      <c r="GU802" s="3"/>
      <c r="GV802" s="3"/>
      <c r="GW802" s="3"/>
      <c r="GX802" s="3"/>
      <c r="GY802" s="3"/>
      <c r="GZ802" s="3"/>
      <c r="HA802" s="3"/>
      <c r="HB802" s="3"/>
      <c r="HC802" s="3"/>
      <c r="HD802" s="3"/>
      <c r="HE802" s="3"/>
      <c r="HF802" s="3"/>
      <c r="HG802" s="3"/>
      <c r="HH802" s="3"/>
      <c r="HI802" s="3"/>
      <c r="HJ802" s="3"/>
      <c r="HK802" s="3"/>
      <c r="HL802" s="89"/>
      <c r="HM802" s="89"/>
      <c r="HN802" s="89"/>
      <c r="HO802" s="89"/>
      <c r="HP802" s="89"/>
      <c r="HQ802" s="89"/>
      <c r="HR802" s="89"/>
      <c r="HS802" s="89"/>
      <c r="HT802" s="152"/>
      <c r="HU802" s="89"/>
      <c r="HV802" s="89"/>
      <c r="HW802" s="89"/>
      <c r="HX802" s="89"/>
      <c r="HY802" s="89"/>
      <c r="HZ802" s="89"/>
      <c r="IA802" s="89"/>
      <c r="IB802" s="89"/>
      <c r="IC802" s="89"/>
      <c r="ID802" s="89"/>
      <c r="IE802" s="89"/>
      <c r="IF802" s="89"/>
      <c r="IG802" s="153" t="s">
        <v>2243</v>
      </c>
      <c r="IH802" s="157" t="s">
        <v>19</v>
      </c>
      <c r="II802" s="176"/>
      <c r="IJ802" s="177"/>
      <c r="IK802" s="89"/>
      <c r="IL802" s="89"/>
      <c r="IM802" s="152"/>
      <c r="IP802" s="89"/>
      <c r="IQ802" s="89"/>
      <c r="IR802" s="89"/>
      <c r="IS802" s="89"/>
      <c r="IT802" s="89"/>
      <c r="IU802" s="89"/>
      <c r="IV802" s="89"/>
      <c r="IW802" s="89"/>
      <c r="IX802" s="89"/>
      <c r="IY802" s="89"/>
      <c r="IZ802" s="89"/>
      <c r="JA802" s="89"/>
      <c r="JB802" s="89"/>
      <c r="JC802" s="89"/>
      <c r="JD802" s="89"/>
      <c r="JE802" s="89"/>
      <c r="JF802" s="89"/>
      <c r="JG802" s="89"/>
      <c r="JH802" s="89"/>
      <c r="JI802" s="89"/>
      <c r="JJ802" s="89"/>
      <c r="JK802" s="159" t="s">
        <v>14</v>
      </c>
      <c r="JL802" s="160" t="s">
        <v>1682</v>
      </c>
      <c r="JM802" s="152"/>
      <c r="JQ802" s="89"/>
      <c r="JR802" s="89"/>
      <c r="JS802" s="89"/>
      <c r="JT802" s="89"/>
      <c r="JU802" s="89"/>
      <c r="JV802" s="89"/>
      <c r="JW802" s="89"/>
      <c r="JX802" s="161"/>
      <c r="JY802" s="159"/>
      <c r="JZ802" s="152"/>
      <c r="KA802" s="89"/>
      <c r="KB802" s="152"/>
      <c r="KC802" s="89"/>
      <c r="KD802" s="89"/>
      <c r="KE802" s="89"/>
      <c r="KF802" s="152"/>
      <c r="KG802" s="89"/>
      <c r="KH802" s="157"/>
      <c r="KI802" s="178"/>
      <c r="KJ802" s="89"/>
      <c r="KK802" s="89"/>
      <c r="KL802" s="89"/>
      <c r="KM802" s="89"/>
      <c r="KN802" s="152"/>
      <c r="KO802" s="89"/>
      <c r="KP802" s="157"/>
      <c r="KQ802" s="178"/>
      <c r="KR802" s="89"/>
      <c r="KS802" s="89"/>
      <c r="KT802" s="163"/>
      <c r="KU802" s="179"/>
      <c r="KV802" s="89"/>
      <c r="KW802" s="89"/>
      <c r="KX802" s="89"/>
      <c r="KY802" s="3"/>
      <c r="KZ802" s="3"/>
      <c r="LA802" s="3"/>
      <c r="LB802" s="3"/>
      <c r="LC802" s="152"/>
      <c r="LD802" s="152"/>
      <c r="LE802" s="152"/>
      <c r="LF802" s="152"/>
      <c r="LG802" s="152"/>
      <c r="LH802" s="89"/>
      <c r="LI802" s="152"/>
      <c r="LJ802" s="152"/>
      <c r="LK802" s="152"/>
      <c r="LL802" s="89"/>
      <c r="LM802" s="89"/>
      <c r="LN802" s="89"/>
      <c r="LO802" s="89"/>
      <c r="LP802" s="89"/>
      <c r="LQ802" s="89"/>
      <c r="LR802" s="89"/>
      <c r="LS802" s="89"/>
      <c r="LT802" s="89"/>
      <c r="LU802" s="89"/>
      <c r="LV802" s="89"/>
      <c r="LW802" s="89"/>
      <c r="LX802" s="89"/>
      <c r="LY802" s="89"/>
      <c r="LZ802" s="89"/>
      <c r="MA802" s="89"/>
      <c r="MB802" s="89"/>
      <c r="MC802" s="89"/>
      <c r="MD802" s="89"/>
      <c r="ME802" s="89"/>
      <c r="MF802" s="89"/>
      <c r="MG802" s="89"/>
      <c r="MH802" s="89"/>
      <c r="MI802" s="89"/>
      <c r="MJ802" s="89"/>
      <c r="MK802" s="89"/>
      <c r="ML802" s="89"/>
      <c r="MM802" s="89"/>
      <c r="MN802" s="89"/>
      <c r="MO802" s="89"/>
      <c r="MP802" s="89"/>
      <c r="MQ802" s="89"/>
      <c r="MR802" s="89"/>
      <c r="MS802" s="153" t="s">
        <v>2244</v>
      </c>
      <c r="MT802" s="89">
        <v>64</v>
      </c>
      <c r="MU802" s="153" t="s">
        <v>2254</v>
      </c>
      <c r="MV802" s="164"/>
      <c r="MW802" s="164" t="s">
        <v>2255</v>
      </c>
      <c r="MX802" s="164" t="s">
        <v>2256</v>
      </c>
      <c r="MY802" s="164"/>
      <c r="MZ802" s="164"/>
      <c r="NA802" s="164"/>
      <c r="NB802" s="164"/>
      <c r="NC802" s="164"/>
      <c r="ND802" s="153" t="s">
        <v>2251</v>
      </c>
      <c r="NE802" s="153" t="s">
        <v>1697</v>
      </c>
      <c r="NF802" s="153" t="s">
        <v>2258</v>
      </c>
      <c r="NG802" t="s">
        <v>266</v>
      </c>
      <c r="NH802" s="165" t="s">
        <v>265</v>
      </c>
      <c r="NI802" s="153"/>
      <c r="NJ802" s="153"/>
      <c r="NK802" s="153"/>
      <c r="NL802" s="153"/>
      <c r="NM802" s="153"/>
      <c r="NN802" s="153"/>
      <c r="NO802" s="153"/>
      <c r="NP802" s="153" t="s">
        <v>64</v>
      </c>
      <c r="NQ802" s="166" t="s">
        <v>6</v>
      </c>
      <c r="NR802" s="97">
        <v>-406.3</v>
      </c>
      <c r="NS802" s="166" t="s">
        <v>4</v>
      </c>
      <c r="NT802" s="97">
        <v>49.2</v>
      </c>
      <c r="NU802" s="180"/>
      <c r="NV802" s="89"/>
      <c r="NW802" s="153">
        <v>4</v>
      </c>
      <c r="NX802" s="89"/>
      <c r="NY802" s="89"/>
      <c r="NZ802" s="89"/>
      <c r="OA802" s="89"/>
      <c r="OB802" s="89"/>
      <c r="OC802" s="89"/>
      <c r="OD802" s="89"/>
      <c r="OE802" s="89"/>
      <c r="OF802" s="89"/>
      <c r="OG802" s="89"/>
      <c r="OH802" s="153" t="s">
        <v>2248</v>
      </c>
      <c r="OI802" s="89"/>
      <c r="OJ802" s="89">
        <v>2007</v>
      </c>
      <c r="OK802" s="89"/>
      <c r="OL802" s="89"/>
      <c r="OM802" s="89" t="s">
        <v>1</v>
      </c>
      <c r="ON802" s="89"/>
      <c r="OO802" t="s">
        <v>1178</v>
      </c>
      <c r="OP802" s="58">
        <v>46134</v>
      </c>
    </row>
    <row r="803" spans="1:406" ht="15.75" thickBot="1">
      <c r="A803" t="s">
        <v>248</v>
      </c>
      <c r="B803" t="s">
        <v>2238</v>
      </c>
      <c r="C803" s="89" t="s">
        <v>34</v>
      </c>
      <c r="D803" s="152" t="s">
        <v>1955</v>
      </c>
      <c r="E803" s="89" t="s">
        <v>1676</v>
      </c>
      <c r="F803" t="s">
        <v>31</v>
      </c>
      <c r="G803" s="89" t="s">
        <v>2</v>
      </c>
      <c r="H803" s="152" t="s">
        <v>30</v>
      </c>
      <c r="I803">
        <v>-0.41666666699999999</v>
      </c>
      <c r="J803">
        <v>34.200000000000003</v>
      </c>
      <c r="K803" s="152" t="s">
        <v>29</v>
      </c>
      <c r="L803" s="2"/>
      <c r="M803" s="99"/>
      <c r="N803" s="2"/>
      <c r="O803" s="89"/>
      <c r="P803" s="2"/>
      <c r="Q803" s="2"/>
      <c r="R803" s="89"/>
      <c r="S803" s="89"/>
      <c r="T803" s="89"/>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89" t="s">
        <v>2239</v>
      </c>
      <c r="AW803" s="89">
        <v>64</v>
      </c>
      <c r="AX803" s="89">
        <v>0.09</v>
      </c>
      <c r="AY803" s="89">
        <v>1</v>
      </c>
      <c r="AZ803" s="153" t="s">
        <v>2240</v>
      </c>
      <c r="BA803" s="153">
        <v>2007</v>
      </c>
      <c r="BB803" s="153">
        <v>2008</v>
      </c>
      <c r="BC803" s="153" t="s">
        <v>1</v>
      </c>
      <c r="BD803" s="2"/>
      <c r="BE803" s="2" t="s">
        <v>2249</v>
      </c>
      <c r="BF803" s="2" t="s">
        <v>64</v>
      </c>
      <c r="BG803" s="153" t="s">
        <v>1243</v>
      </c>
      <c r="BH803" s="2" t="s">
        <v>2242</v>
      </c>
      <c r="BI803" s="153" t="s">
        <v>29</v>
      </c>
      <c r="BJ803" s="154" t="s">
        <v>22</v>
      </c>
      <c r="BK803" s="155">
        <v>55500</v>
      </c>
      <c r="BL803" s="2" t="s">
        <v>56</v>
      </c>
      <c r="BM803" t="s">
        <v>2250</v>
      </c>
      <c r="BN803" s="153" t="s">
        <v>29</v>
      </c>
      <c r="BO803" s="2" t="s">
        <v>22</v>
      </c>
      <c r="BP803" s="2">
        <v>55000</v>
      </c>
      <c r="BQ803" s="2"/>
      <c r="BR803" s="2"/>
      <c r="BS803" s="2"/>
      <c r="BT803" s="2"/>
      <c r="BU803" s="2"/>
      <c r="BV803" s="2"/>
      <c r="BW803" s="3"/>
      <c r="BX803" s="3"/>
      <c r="BY803" s="3"/>
      <c r="BZ803" s="3"/>
      <c r="CA803" s="3"/>
      <c r="CB803" s="3"/>
      <c r="CC803" s="3"/>
      <c r="CD803" s="3"/>
      <c r="CE803" s="3"/>
      <c r="CF803" s="3"/>
      <c r="CG803" s="3"/>
      <c r="CH803" s="3"/>
      <c r="CI803" s="3"/>
      <c r="CJ803" s="3"/>
      <c r="CK803" s="3"/>
      <c r="CL803" s="3"/>
      <c r="CM803" s="3"/>
      <c r="CN803" s="3"/>
      <c r="CO803" s="3"/>
      <c r="CP803" s="3"/>
      <c r="CQ803" s="3"/>
      <c r="CR803" s="3"/>
      <c r="CS803" s="3"/>
      <c r="CT803" s="3"/>
      <c r="CU803" s="3"/>
      <c r="CV803" s="3"/>
      <c r="CW803" s="3"/>
      <c r="CX803" s="3"/>
      <c r="CY803" s="3"/>
      <c r="CZ803" s="3"/>
      <c r="DA803" s="3"/>
      <c r="DB803" s="3"/>
      <c r="DC803" s="3"/>
      <c r="DD803" s="3"/>
      <c r="DE803" s="3"/>
      <c r="DF803" s="3"/>
      <c r="DG803" s="3"/>
      <c r="DH803" s="3"/>
      <c r="DI803" s="3"/>
      <c r="DJ803" s="3"/>
      <c r="DK803" s="3"/>
      <c r="DL803" s="3"/>
      <c r="DM803" s="3"/>
      <c r="DN803" s="3"/>
      <c r="DO803" s="3"/>
      <c r="DP803" s="3"/>
      <c r="DQ803" s="3"/>
      <c r="DR803" s="3"/>
      <c r="DS803" s="3"/>
      <c r="DT803" s="3"/>
      <c r="DU803" s="3"/>
      <c r="DV803" s="3"/>
      <c r="DW803" s="3"/>
      <c r="DX803" s="3"/>
      <c r="DY803" s="3"/>
      <c r="DZ803" s="3"/>
      <c r="EA803" s="3"/>
      <c r="EB803" s="3"/>
      <c r="EC803" s="3"/>
      <c r="ED803" s="3"/>
      <c r="EE803" s="2"/>
      <c r="EF803" s="2"/>
      <c r="EG803" s="2"/>
      <c r="EH803" s="2"/>
      <c r="EI803" s="2"/>
      <c r="EJ803" s="2"/>
      <c r="EK803" s="2"/>
      <c r="EL803" s="2"/>
      <c r="EM803" s="3"/>
      <c r="EN803" s="3"/>
      <c r="EO803" s="3"/>
      <c r="EP803" s="3"/>
      <c r="EQ803" s="3"/>
      <c r="ER803" s="3"/>
      <c r="ES803" s="3"/>
      <c r="ET803" s="3"/>
      <c r="EU803" s="3"/>
      <c r="EV803" s="3"/>
      <c r="EW803" s="3"/>
      <c r="EX803" s="3"/>
      <c r="EY803" s="3"/>
      <c r="EZ803" s="3"/>
      <c r="FA803" s="3"/>
      <c r="FB803" s="3"/>
      <c r="FC803" s="3"/>
      <c r="FD803" s="3"/>
      <c r="FE803" s="3"/>
      <c r="FF803" s="3"/>
      <c r="FG803" s="3"/>
      <c r="FH803" s="3"/>
      <c r="FI803" s="3"/>
      <c r="FJ803" s="3"/>
      <c r="FK803" s="3"/>
      <c r="FL803" s="3"/>
      <c r="FM803" s="3"/>
      <c r="FN803" s="3"/>
      <c r="FO803" s="3"/>
      <c r="FP803" s="3"/>
      <c r="FQ803" s="3"/>
      <c r="FR803" s="3"/>
      <c r="FS803" s="3"/>
      <c r="FT803" s="3"/>
      <c r="FU803" s="3"/>
      <c r="FV803" s="3"/>
      <c r="FW803" s="3"/>
      <c r="FX803" s="3"/>
      <c r="FY803" s="3"/>
      <c r="FZ803" s="3"/>
      <c r="GA803" s="3"/>
      <c r="GB803" s="3"/>
      <c r="GC803" s="3"/>
      <c r="GD803" s="3"/>
      <c r="GE803" s="3"/>
      <c r="GF803" s="3"/>
      <c r="GG803" s="3"/>
      <c r="GH803" s="3"/>
      <c r="GI803" s="3"/>
      <c r="GJ803" s="3"/>
      <c r="GK803" s="3"/>
      <c r="GL803" s="3"/>
      <c r="GM803" s="3"/>
      <c r="GN803" s="3"/>
      <c r="GO803" s="3"/>
      <c r="GP803" s="3"/>
      <c r="GQ803" s="3"/>
      <c r="GR803" s="3"/>
      <c r="GS803" s="3"/>
      <c r="GT803" s="3"/>
      <c r="GU803" s="3"/>
      <c r="GV803" s="3"/>
      <c r="GW803" s="3"/>
      <c r="GX803" s="3"/>
      <c r="GY803" s="3"/>
      <c r="GZ803" s="3"/>
      <c r="HA803" s="3"/>
      <c r="HB803" s="3"/>
      <c r="HC803" s="3"/>
      <c r="HD803" s="3"/>
      <c r="HE803" s="3"/>
      <c r="HF803" s="3"/>
      <c r="HG803" s="3"/>
      <c r="HH803" s="3"/>
      <c r="HI803" s="3"/>
      <c r="HJ803" s="3"/>
      <c r="HK803" s="3"/>
      <c r="HL803" s="2"/>
      <c r="HM803" s="2"/>
      <c r="HN803" s="2"/>
      <c r="HO803" s="2"/>
      <c r="HP803" s="2"/>
      <c r="HQ803" s="2"/>
      <c r="HR803" s="2"/>
      <c r="HS803" s="2"/>
      <c r="HT803" s="99"/>
      <c r="HU803" s="2"/>
      <c r="HV803" s="2"/>
      <c r="HW803" s="2"/>
      <c r="HX803" s="2"/>
      <c r="HY803" s="2"/>
      <c r="HZ803" s="2"/>
      <c r="IA803" s="2"/>
      <c r="IB803" s="2"/>
      <c r="IC803" s="2"/>
      <c r="ID803" s="2"/>
      <c r="IE803" s="2"/>
      <c r="IF803" s="2"/>
      <c r="IG803" s="153" t="s">
        <v>2243</v>
      </c>
      <c r="IH803" s="168" t="s">
        <v>1453</v>
      </c>
      <c r="II803" s="169" t="s">
        <v>1477</v>
      </c>
      <c r="IJ803" s="170" t="s">
        <v>661</v>
      </c>
      <c r="IK803" s="2">
        <v>2007</v>
      </c>
      <c r="IL803" s="2" t="s">
        <v>62</v>
      </c>
      <c r="IM803" s="2" t="s">
        <v>29</v>
      </c>
      <c r="IP803" s="2"/>
      <c r="IQ803" s="2"/>
      <c r="IR803" s="2"/>
      <c r="IS803" s="2"/>
      <c r="IT803" s="2"/>
      <c r="IU803" s="2"/>
      <c r="IV803" s="2"/>
      <c r="IW803" s="2"/>
      <c r="IX803" s="2"/>
      <c r="IY803" s="2"/>
      <c r="IZ803" s="2"/>
      <c r="JA803" s="2"/>
      <c r="JB803" s="2"/>
      <c r="JC803" s="2"/>
      <c r="JD803" s="2"/>
      <c r="JE803" s="2"/>
      <c r="JF803" s="2"/>
      <c r="JG803" s="2"/>
      <c r="JH803" s="2"/>
      <c r="JI803" s="2"/>
      <c r="JJ803" s="2"/>
      <c r="JK803" s="159" t="s">
        <v>14</v>
      </c>
      <c r="JL803" s="160" t="s">
        <v>1682</v>
      </c>
      <c r="JM803" s="99"/>
      <c r="JQ803" s="2"/>
      <c r="JR803" s="2"/>
      <c r="JS803" s="2"/>
      <c r="JT803" s="2"/>
      <c r="JU803" s="2"/>
      <c r="JV803" s="2"/>
      <c r="JW803" s="2"/>
      <c r="JX803" s="161"/>
      <c r="JY803" s="171"/>
      <c r="JZ803" s="99"/>
      <c r="KA803" s="2"/>
      <c r="KB803" s="99"/>
      <c r="KC803" s="2"/>
      <c r="KD803" s="2"/>
      <c r="KE803" s="2"/>
      <c r="KF803" s="99"/>
      <c r="KG803" s="2"/>
      <c r="KH803" s="168"/>
      <c r="KI803" s="172"/>
      <c r="KJ803" s="2"/>
      <c r="KK803" s="2"/>
      <c r="KL803" s="2"/>
      <c r="KM803" s="2"/>
      <c r="KN803" s="99"/>
      <c r="KO803" s="2"/>
      <c r="KP803" s="168"/>
      <c r="KQ803" s="172"/>
      <c r="KR803" s="2"/>
      <c r="KS803" s="2"/>
      <c r="KT803" s="163"/>
      <c r="KU803" s="181"/>
      <c r="KV803" s="2"/>
      <c r="KW803" s="2"/>
      <c r="KX803" s="2"/>
      <c r="KY803" s="3"/>
      <c r="KZ803" s="3"/>
      <c r="LA803" s="3"/>
      <c r="LB803" s="3"/>
      <c r="LC803" s="99"/>
      <c r="LD803" s="99"/>
      <c r="LE803" s="99"/>
      <c r="LF803" s="99"/>
      <c r="LG803" s="99"/>
      <c r="LH803" s="2"/>
      <c r="LI803" s="99"/>
      <c r="LJ803" s="99"/>
      <c r="LK803" s="99"/>
      <c r="LL803" s="2"/>
      <c r="LM803" s="2"/>
      <c r="LN803" s="2"/>
      <c r="LO803" s="2"/>
      <c r="LP803" s="2"/>
      <c r="LQ803" s="2"/>
      <c r="LR803" s="2"/>
      <c r="LS803" s="2"/>
      <c r="LT803" s="2"/>
      <c r="LU803" s="2"/>
      <c r="LV803" s="2"/>
      <c r="LW803" s="2"/>
      <c r="LX803" s="2"/>
      <c r="LY803" s="2"/>
      <c r="LZ803" s="2"/>
      <c r="MA803" s="2"/>
      <c r="MB803" s="2"/>
      <c r="MC803" s="2"/>
      <c r="MD803" s="2"/>
      <c r="ME803" s="2"/>
      <c r="MF803" s="2"/>
      <c r="MG803" s="2"/>
      <c r="MH803" s="2"/>
      <c r="MI803" s="2"/>
      <c r="MJ803" s="2"/>
      <c r="MK803" s="2"/>
      <c r="ML803" s="2"/>
      <c r="MM803" s="2"/>
      <c r="MN803" s="2"/>
      <c r="MO803" s="2"/>
      <c r="MP803" s="2"/>
      <c r="MQ803" s="2"/>
      <c r="MR803" s="2"/>
      <c r="MS803" s="153" t="s">
        <v>2244</v>
      </c>
      <c r="MT803" s="89">
        <v>64</v>
      </c>
      <c r="MU803" s="153" t="s">
        <v>2254</v>
      </c>
      <c r="MV803" s="164"/>
      <c r="MW803" s="164" t="s">
        <v>2255</v>
      </c>
      <c r="MX803" s="164" t="s">
        <v>2256</v>
      </c>
      <c r="MY803" s="164" t="s">
        <v>2257</v>
      </c>
      <c r="MZ803" s="164"/>
      <c r="NA803" s="164"/>
      <c r="NB803" s="164"/>
      <c r="NC803" s="164"/>
      <c r="ND803" s="153" t="s">
        <v>2251</v>
      </c>
      <c r="NE803" s="153" t="s">
        <v>1697</v>
      </c>
      <c r="NF803" s="153" t="s">
        <v>2258</v>
      </c>
      <c r="NG803" t="s">
        <v>266</v>
      </c>
      <c r="NH803" s="165" t="s">
        <v>265</v>
      </c>
      <c r="NI803" s="153"/>
      <c r="NJ803" s="153"/>
      <c r="NK803" s="153"/>
      <c r="NL803" s="153"/>
      <c r="NM803" s="153"/>
      <c r="NN803" s="153"/>
      <c r="NO803" s="153"/>
      <c r="NP803" s="153"/>
      <c r="NQ803" s="166" t="s">
        <v>6</v>
      </c>
      <c r="NR803" s="173">
        <v>517.79999999999995</v>
      </c>
      <c r="NS803" s="166" t="s">
        <v>4</v>
      </c>
      <c r="NT803" s="173">
        <v>77.7</v>
      </c>
      <c r="NU803" s="174"/>
      <c r="NV803" s="2"/>
      <c r="NW803" s="153">
        <v>4</v>
      </c>
      <c r="NX803" s="2"/>
      <c r="NY803" s="2"/>
      <c r="NZ803" s="2"/>
      <c r="OA803" s="2"/>
      <c r="OB803" s="2"/>
      <c r="OC803" s="2"/>
      <c r="OD803" s="2"/>
      <c r="OE803" s="2"/>
      <c r="OF803" s="2"/>
      <c r="OG803" s="2"/>
      <c r="OH803" s="153" t="s">
        <v>2248</v>
      </c>
      <c r="OI803" s="2"/>
      <c r="OJ803" s="2">
        <v>2007</v>
      </c>
      <c r="OK803" s="2"/>
      <c r="OL803" s="2"/>
      <c r="OM803" s="2" t="s">
        <v>1</v>
      </c>
      <c r="ON803" s="2"/>
      <c r="OO803" t="s">
        <v>1178</v>
      </c>
      <c r="OP803" s="58">
        <v>46134</v>
      </c>
    </row>
    <row r="804" spans="1:406" ht="15.75" thickBot="1">
      <c r="A804" t="s">
        <v>248</v>
      </c>
      <c r="B804" t="s">
        <v>2238</v>
      </c>
      <c r="C804" s="89" t="s">
        <v>34</v>
      </c>
      <c r="D804" s="152" t="s">
        <v>1955</v>
      </c>
      <c r="E804" s="89" t="s">
        <v>1676</v>
      </c>
      <c r="F804" t="s">
        <v>31</v>
      </c>
      <c r="G804" s="89" t="s">
        <v>2</v>
      </c>
      <c r="H804" s="152" t="s">
        <v>30</v>
      </c>
      <c r="I804">
        <v>-0.41666666699999999</v>
      </c>
      <c r="J804">
        <v>34.200000000000003</v>
      </c>
      <c r="K804" s="152" t="s">
        <v>29</v>
      </c>
      <c r="L804" s="89"/>
      <c r="M804" s="152"/>
      <c r="N804" s="89"/>
      <c r="O804" s="89"/>
      <c r="P804" s="89"/>
      <c r="Q804" s="89"/>
      <c r="R804" s="89"/>
      <c r="S804" s="89"/>
      <c r="T804" s="89"/>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89" t="s">
        <v>2239</v>
      </c>
      <c r="AW804" s="89">
        <v>64</v>
      </c>
      <c r="AX804" s="89">
        <v>0.09</v>
      </c>
      <c r="AY804" s="89">
        <v>1</v>
      </c>
      <c r="AZ804" s="153" t="s">
        <v>2240</v>
      </c>
      <c r="BA804" s="153">
        <v>2007</v>
      </c>
      <c r="BB804" s="153">
        <v>2008</v>
      </c>
      <c r="BC804" s="153" t="s">
        <v>62</v>
      </c>
      <c r="BD804" s="89"/>
      <c r="BE804" s="153" t="s">
        <v>2241</v>
      </c>
      <c r="BF804" s="153" t="s">
        <v>39</v>
      </c>
      <c r="BG804" s="153" t="s">
        <v>1243</v>
      </c>
      <c r="BH804" s="153" t="s">
        <v>2242</v>
      </c>
      <c r="BI804" s="153" t="s">
        <v>29</v>
      </c>
      <c r="BJ804" s="154" t="s">
        <v>22</v>
      </c>
      <c r="BK804" s="155">
        <v>111000</v>
      </c>
      <c r="BL804" s="89"/>
      <c r="BM804" s="89"/>
      <c r="BN804" s="89"/>
      <c r="BO804" s="152"/>
      <c r="BP804" s="175"/>
      <c r="BQ804" s="89"/>
      <c r="BR804" s="89"/>
      <c r="BS804" s="89"/>
      <c r="BT804" s="152"/>
      <c r="BU804" s="175"/>
      <c r="BV804" s="89"/>
      <c r="BW804" s="3"/>
      <c r="BX804" s="3"/>
      <c r="BY804" s="3"/>
      <c r="BZ804" s="3"/>
      <c r="CA804" s="3"/>
      <c r="CB804" s="3"/>
      <c r="CC804" s="3"/>
      <c r="CD804" s="3"/>
      <c r="CE804" s="3"/>
      <c r="CF804" s="3"/>
      <c r="CG804" s="3"/>
      <c r="CH804" s="3"/>
      <c r="CI804" s="3"/>
      <c r="CJ804" s="3"/>
      <c r="CK804" s="3"/>
      <c r="CL804" s="3"/>
      <c r="CM804" s="3"/>
      <c r="CN804" s="3"/>
      <c r="CO804" s="3"/>
      <c r="CP804" s="3"/>
      <c r="CQ804" s="3"/>
      <c r="CR804" s="3"/>
      <c r="CS804" s="3"/>
      <c r="CT804" s="3"/>
      <c r="CU804" s="3"/>
      <c r="CV804" s="3"/>
      <c r="CW804" s="3"/>
      <c r="CX804" s="3"/>
      <c r="CY804" s="3"/>
      <c r="CZ804" s="3"/>
      <c r="DA804" s="3"/>
      <c r="DB804" s="3"/>
      <c r="DC804" s="3"/>
      <c r="DD804" s="3"/>
      <c r="DE804" s="3"/>
      <c r="DF804" s="3"/>
      <c r="DG804" s="3"/>
      <c r="DH804" s="3"/>
      <c r="DI804" s="3"/>
      <c r="DJ804" s="3"/>
      <c r="DK804" s="3"/>
      <c r="DL804" s="3"/>
      <c r="DM804" s="3"/>
      <c r="DN804" s="3"/>
      <c r="DO804" s="3"/>
      <c r="DP804" s="3"/>
      <c r="DQ804" s="3"/>
      <c r="DR804" s="3"/>
      <c r="DS804" s="3"/>
      <c r="DT804" s="3"/>
      <c r="DU804" s="3"/>
      <c r="DV804" s="3"/>
      <c r="DW804" s="3"/>
      <c r="DX804" s="3"/>
      <c r="DY804" s="3"/>
      <c r="DZ804" s="3"/>
      <c r="EA804" s="3"/>
      <c r="EB804" s="3"/>
      <c r="EC804" s="3"/>
      <c r="ED804" s="3"/>
      <c r="EE804" s="89"/>
      <c r="EF804" s="89"/>
      <c r="EG804" s="89"/>
      <c r="EH804" s="89"/>
      <c r="EI804" s="89"/>
      <c r="EJ804" s="89"/>
      <c r="EK804" s="89"/>
      <c r="EL804" s="89"/>
      <c r="EM804" s="3"/>
      <c r="EN804" s="3"/>
      <c r="EO804" s="3"/>
      <c r="EP804" s="3"/>
      <c r="EQ804" s="3"/>
      <c r="ER804" s="3"/>
      <c r="ES804" s="3"/>
      <c r="ET804" s="3"/>
      <c r="EU804" s="3"/>
      <c r="EV804" s="3"/>
      <c r="EW804" s="3"/>
      <c r="EX804" s="3"/>
      <c r="EY804" s="3"/>
      <c r="EZ804" s="3"/>
      <c r="FA804" s="3"/>
      <c r="FB804" s="3"/>
      <c r="FC804" s="3"/>
      <c r="FD804" s="3"/>
      <c r="FE804" s="3"/>
      <c r="FF804" s="3"/>
      <c r="FG804" s="3"/>
      <c r="FH804" s="3"/>
      <c r="FI804" s="3"/>
      <c r="FJ804" s="3"/>
      <c r="FK804" s="3"/>
      <c r="FL804" s="3"/>
      <c r="FM804" s="3"/>
      <c r="FN804" s="3"/>
      <c r="FO804" s="3"/>
      <c r="FP804" s="3"/>
      <c r="FQ804" s="3"/>
      <c r="FR804" s="3"/>
      <c r="FS804" s="3"/>
      <c r="FT804" s="3"/>
      <c r="FU804" s="3"/>
      <c r="FV804" s="3"/>
      <c r="FW804" s="3"/>
      <c r="FX804" s="3"/>
      <c r="FY804" s="3"/>
      <c r="FZ804" s="3"/>
      <c r="GA804" s="3"/>
      <c r="GB804" s="3"/>
      <c r="GC804" s="3"/>
      <c r="GD804" s="3"/>
      <c r="GE804" s="3"/>
      <c r="GF804" s="3"/>
      <c r="GG804" s="3"/>
      <c r="GH804" s="3"/>
      <c r="GI804" s="3"/>
      <c r="GJ804" s="3"/>
      <c r="GK804" s="3"/>
      <c r="GL804" s="3"/>
      <c r="GM804" s="3"/>
      <c r="GN804" s="3"/>
      <c r="GO804" s="3"/>
      <c r="GP804" s="3"/>
      <c r="GQ804" s="3"/>
      <c r="GR804" s="3"/>
      <c r="GS804" s="3"/>
      <c r="GT804" s="3"/>
      <c r="GU804" s="3"/>
      <c r="GV804" s="3"/>
      <c r="GW804" s="3"/>
      <c r="GX804" s="3"/>
      <c r="GY804" s="3"/>
      <c r="GZ804" s="3"/>
      <c r="HA804" s="3"/>
      <c r="HB804" s="3"/>
      <c r="HC804" s="3"/>
      <c r="HD804" s="3"/>
      <c r="HE804" s="3"/>
      <c r="HF804" s="3"/>
      <c r="HG804" s="3"/>
      <c r="HH804" s="3"/>
      <c r="HI804" s="3"/>
      <c r="HJ804" s="3"/>
      <c r="HK804" s="3"/>
      <c r="HL804" s="89"/>
      <c r="HM804" s="89"/>
      <c r="HN804" s="89"/>
      <c r="HO804" s="89"/>
      <c r="HP804" s="89"/>
      <c r="HQ804" s="89"/>
      <c r="HR804" s="89"/>
      <c r="HS804" s="89"/>
      <c r="HT804" s="152"/>
      <c r="HU804" s="89"/>
      <c r="HV804" s="89"/>
      <c r="HW804" s="89"/>
      <c r="HX804" s="89"/>
      <c r="HY804" s="89"/>
      <c r="HZ804" s="89"/>
      <c r="IA804" s="89"/>
      <c r="IB804" s="89"/>
      <c r="IC804" s="89"/>
      <c r="ID804" s="89"/>
      <c r="IE804" s="89"/>
      <c r="IF804" s="89"/>
      <c r="IG804" s="153" t="s">
        <v>2243</v>
      </c>
      <c r="IH804" s="157" t="s">
        <v>19</v>
      </c>
      <c r="II804" s="89"/>
      <c r="IJ804" s="89"/>
      <c r="IK804" s="89"/>
      <c r="IL804" s="89"/>
      <c r="IM804" s="89"/>
      <c r="IP804" s="89"/>
      <c r="IQ804" s="89"/>
      <c r="IR804" s="89"/>
      <c r="IS804" s="89"/>
      <c r="IT804" s="89"/>
      <c r="IU804" s="89"/>
      <c r="IV804" s="152"/>
      <c r="IW804" s="89"/>
      <c r="IX804" s="89"/>
      <c r="IY804" s="89"/>
      <c r="IZ804" s="89"/>
      <c r="JA804" s="89"/>
      <c r="JB804" s="89"/>
      <c r="JC804" s="89"/>
      <c r="JD804" s="89"/>
      <c r="JE804" s="89"/>
      <c r="JF804" s="89"/>
      <c r="JG804" s="89"/>
      <c r="JH804" s="89"/>
      <c r="JI804" s="89"/>
      <c r="JJ804" s="89"/>
      <c r="JK804" s="159" t="s">
        <v>14</v>
      </c>
      <c r="JL804" s="160" t="s">
        <v>1682</v>
      </c>
      <c r="JM804" s="152"/>
      <c r="JQ804" s="89"/>
      <c r="JR804" s="89"/>
      <c r="JS804" s="89"/>
      <c r="JT804" s="89"/>
      <c r="JU804" s="89"/>
      <c r="JV804" s="89"/>
      <c r="JW804" s="89"/>
      <c r="JX804" s="161"/>
      <c r="JY804" s="159"/>
      <c r="JZ804" s="152"/>
      <c r="KA804" s="89"/>
      <c r="KB804" s="152"/>
      <c r="KC804" s="89"/>
      <c r="KD804" s="89"/>
      <c r="KE804" s="89"/>
      <c r="KF804" s="152"/>
      <c r="KG804" s="89"/>
      <c r="KH804" s="157"/>
      <c r="KI804" s="178"/>
      <c r="KJ804" s="89"/>
      <c r="KK804" s="89"/>
      <c r="KL804" s="89"/>
      <c r="KM804" s="89"/>
      <c r="KN804" s="152"/>
      <c r="KO804" s="89"/>
      <c r="KP804" s="182"/>
      <c r="KQ804" s="159"/>
      <c r="KR804" s="89"/>
      <c r="KS804" s="89"/>
      <c r="KT804" s="163"/>
      <c r="KU804" s="178"/>
      <c r="KV804" s="89"/>
      <c r="KW804" s="89"/>
      <c r="KX804" s="89"/>
      <c r="KY804" s="3"/>
      <c r="KZ804" s="3"/>
      <c r="LA804" s="3"/>
      <c r="LB804" s="3"/>
      <c r="LC804" s="152"/>
      <c r="LD804" s="152"/>
      <c r="LE804" s="152"/>
      <c r="LF804" s="152"/>
      <c r="LG804" s="152"/>
      <c r="LH804" s="89"/>
      <c r="LI804" s="152"/>
      <c r="LJ804" s="152"/>
      <c r="LK804" s="152"/>
      <c r="LL804" s="89"/>
      <c r="LM804" s="89"/>
      <c r="LN804" s="89"/>
      <c r="LO804" s="89"/>
      <c r="LP804" s="89"/>
      <c r="LQ804" s="89"/>
      <c r="LR804" s="89"/>
      <c r="LS804" s="89"/>
      <c r="LT804" s="89"/>
      <c r="LU804" s="89"/>
      <c r="LV804" s="89"/>
      <c r="LW804" s="89"/>
      <c r="LX804" s="89"/>
      <c r="LY804" s="89"/>
      <c r="LZ804" s="89"/>
      <c r="MA804" s="89"/>
      <c r="MB804" s="89"/>
      <c r="MC804" s="89"/>
      <c r="MD804" s="89"/>
      <c r="ME804" s="89"/>
      <c r="MF804" s="89"/>
      <c r="MG804" s="89"/>
      <c r="MH804" s="89"/>
      <c r="MI804" s="89"/>
      <c r="MJ804" s="89"/>
      <c r="MK804" s="89"/>
      <c r="ML804" s="89"/>
      <c r="MM804" s="89"/>
      <c r="MN804" s="89"/>
      <c r="MO804" s="89"/>
      <c r="MP804" s="89"/>
      <c r="MQ804" s="89"/>
      <c r="MR804" s="89"/>
      <c r="MS804" s="153" t="s">
        <v>2244</v>
      </c>
      <c r="MT804" s="89">
        <v>64</v>
      </c>
      <c r="MU804" s="153" t="s">
        <v>2254</v>
      </c>
      <c r="MV804" s="164"/>
      <c r="MW804" s="164" t="s">
        <v>2255</v>
      </c>
      <c r="MX804" s="164" t="s">
        <v>2256</v>
      </c>
      <c r="MY804" s="164"/>
      <c r="MZ804" s="164"/>
      <c r="NA804" s="164"/>
      <c r="NB804" s="164"/>
      <c r="NC804" s="164"/>
      <c r="ND804" s="153" t="s">
        <v>2251</v>
      </c>
      <c r="NE804" s="153" t="s">
        <v>1697</v>
      </c>
      <c r="NF804" s="153" t="s">
        <v>2258</v>
      </c>
      <c r="NG804" t="s">
        <v>266</v>
      </c>
      <c r="NH804" s="165" t="s">
        <v>265</v>
      </c>
      <c r="NI804" s="153"/>
      <c r="NJ804" s="153"/>
      <c r="NK804" s="153"/>
      <c r="NL804" s="153"/>
      <c r="NM804" s="153"/>
      <c r="NN804" s="153"/>
      <c r="NO804" s="153"/>
      <c r="NP804" s="153" t="s">
        <v>64</v>
      </c>
      <c r="NQ804" s="166" t="s">
        <v>6</v>
      </c>
      <c r="NR804" s="97">
        <v>-147.6</v>
      </c>
      <c r="NS804" s="166" t="s">
        <v>4</v>
      </c>
      <c r="NT804" s="97">
        <v>41.8</v>
      </c>
      <c r="NU804" s="180"/>
      <c r="NV804" s="89"/>
      <c r="NW804" s="153">
        <v>4</v>
      </c>
      <c r="NX804" s="89"/>
      <c r="NY804" s="89"/>
      <c r="NZ804" s="89"/>
      <c r="OA804" s="89"/>
      <c r="OB804" s="89"/>
      <c r="OC804" s="89"/>
      <c r="OD804" s="89"/>
      <c r="OE804" s="89"/>
      <c r="OF804" s="89"/>
      <c r="OG804" s="89"/>
      <c r="OH804" s="153" t="s">
        <v>2248</v>
      </c>
      <c r="OI804" s="89"/>
      <c r="OJ804" s="89">
        <v>2008</v>
      </c>
      <c r="OK804" s="89"/>
      <c r="OL804" s="89"/>
      <c r="OM804" s="153" t="s">
        <v>62</v>
      </c>
      <c r="ON804" s="89"/>
      <c r="OO804" t="s">
        <v>1178</v>
      </c>
      <c r="OP804" s="58">
        <v>46134</v>
      </c>
    </row>
    <row r="805" spans="1:406" ht="15.75" thickBot="1">
      <c r="A805" t="s">
        <v>248</v>
      </c>
      <c r="B805" t="s">
        <v>2238</v>
      </c>
      <c r="C805" s="89" t="s">
        <v>34</v>
      </c>
      <c r="D805" s="152" t="s">
        <v>1955</v>
      </c>
      <c r="E805" s="89" t="s">
        <v>1676</v>
      </c>
      <c r="F805" t="s">
        <v>31</v>
      </c>
      <c r="G805" s="89" t="s">
        <v>2</v>
      </c>
      <c r="H805" s="152" t="s">
        <v>30</v>
      </c>
      <c r="I805">
        <v>-0.41666666699999999</v>
      </c>
      <c r="J805">
        <v>34.200000000000003</v>
      </c>
      <c r="K805" s="152" t="s">
        <v>29</v>
      </c>
      <c r="L805" s="2"/>
      <c r="M805" s="99"/>
      <c r="N805" s="2"/>
      <c r="O805" s="89"/>
      <c r="P805" s="2"/>
      <c r="Q805" s="2"/>
      <c r="R805" s="89"/>
      <c r="S805" s="89"/>
      <c r="T805" s="89"/>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89" t="s">
        <v>2239</v>
      </c>
      <c r="AW805" s="89">
        <v>64</v>
      </c>
      <c r="AX805" s="89">
        <v>0.09</v>
      </c>
      <c r="AY805" s="89">
        <v>1</v>
      </c>
      <c r="AZ805" s="153" t="s">
        <v>2240</v>
      </c>
      <c r="BA805" s="153">
        <v>2007</v>
      </c>
      <c r="BB805" s="153">
        <v>2008</v>
      </c>
      <c r="BC805" s="153" t="s">
        <v>62</v>
      </c>
      <c r="BD805" s="2"/>
      <c r="BE805" s="2" t="s">
        <v>2249</v>
      </c>
      <c r="BF805" s="2" t="s">
        <v>64</v>
      </c>
      <c r="BG805" s="153" t="s">
        <v>1243</v>
      </c>
      <c r="BH805" s="2" t="s">
        <v>2242</v>
      </c>
      <c r="BI805" s="153" t="s">
        <v>29</v>
      </c>
      <c r="BJ805" s="154" t="s">
        <v>22</v>
      </c>
      <c r="BK805" s="155">
        <v>55500</v>
      </c>
      <c r="BL805" s="2" t="s">
        <v>56</v>
      </c>
      <c r="BM805" t="s">
        <v>2250</v>
      </c>
      <c r="BN805" s="153" t="s">
        <v>29</v>
      </c>
      <c r="BO805" s="2" t="s">
        <v>22</v>
      </c>
      <c r="BP805" s="2">
        <v>55000</v>
      </c>
      <c r="BQ805" s="2"/>
      <c r="BR805" s="2"/>
      <c r="BS805" s="2"/>
      <c r="BT805" s="99"/>
      <c r="BU805" s="2"/>
      <c r="BV805" s="2"/>
      <c r="BW805" s="3"/>
      <c r="BX805" s="3"/>
      <c r="BY805" s="3"/>
      <c r="BZ805" s="3"/>
      <c r="CA805" s="3"/>
      <c r="CB805" s="3"/>
      <c r="CC805" s="3"/>
      <c r="CD805" s="3"/>
      <c r="CE805" s="3"/>
      <c r="CF805" s="3"/>
      <c r="CG805" s="3"/>
      <c r="CH805" s="3"/>
      <c r="CI805" s="3"/>
      <c r="CJ805" s="3"/>
      <c r="CK805" s="3"/>
      <c r="CL805" s="3"/>
      <c r="CM805" s="3"/>
      <c r="CN805" s="3"/>
      <c r="CO805" s="3"/>
      <c r="CP805" s="3"/>
      <c r="CQ805" s="3"/>
      <c r="CR805" s="3"/>
      <c r="CS805" s="3"/>
      <c r="CT805" s="3"/>
      <c r="CU805" s="3"/>
      <c r="CV805" s="3"/>
      <c r="CW805" s="3"/>
      <c r="CX805" s="3"/>
      <c r="CY805" s="3"/>
      <c r="CZ805" s="3"/>
      <c r="DA805" s="3"/>
      <c r="DB805" s="3"/>
      <c r="DC805" s="3"/>
      <c r="DD805" s="3"/>
      <c r="DE805" s="3"/>
      <c r="DF805" s="3"/>
      <c r="DG805" s="3"/>
      <c r="DH805" s="3"/>
      <c r="DI805" s="3"/>
      <c r="DJ805" s="3"/>
      <c r="DK805" s="3"/>
      <c r="DL805" s="3"/>
      <c r="DM805" s="3"/>
      <c r="DN805" s="3"/>
      <c r="DO805" s="3"/>
      <c r="DP805" s="3"/>
      <c r="DQ805" s="3"/>
      <c r="DR805" s="3"/>
      <c r="DS805" s="3"/>
      <c r="DT805" s="3"/>
      <c r="DU805" s="3"/>
      <c r="DV805" s="3"/>
      <c r="DW805" s="3"/>
      <c r="DX805" s="3"/>
      <c r="DY805" s="3"/>
      <c r="DZ805" s="3"/>
      <c r="EA805" s="3"/>
      <c r="EB805" s="3"/>
      <c r="EC805" s="3"/>
      <c r="ED805" s="3"/>
      <c r="EE805" s="2"/>
      <c r="EF805" s="2"/>
      <c r="EG805" s="2"/>
      <c r="EH805" s="2"/>
      <c r="EI805" s="2"/>
      <c r="EJ805" s="2"/>
      <c r="EK805" s="2"/>
      <c r="EL805" s="2"/>
      <c r="EM805" s="3"/>
      <c r="EN805" s="3"/>
      <c r="EO805" s="3"/>
      <c r="EP805" s="3"/>
      <c r="EQ805" s="3"/>
      <c r="ER805" s="3"/>
      <c r="ES805" s="3"/>
      <c r="ET805" s="3"/>
      <c r="EU805" s="3"/>
      <c r="EV805" s="3"/>
      <c r="EW805" s="3"/>
      <c r="EX805" s="3"/>
      <c r="EY805" s="3"/>
      <c r="EZ805" s="3"/>
      <c r="FA805" s="3"/>
      <c r="FB805" s="3"/>
      <c r="FC805" s="3"/>
      <c r="FD805" s="3"/>
      <c r="FE805" s="3"/>
      <c r="FF805" s="3"/>
      <c r="FG805" s="3"/>
      <c r="FH805" s="3"/>
      <c r="FI805" s="3"/>
      <c r="FJ805" s="3"/>
      <c r="FK805" s="3"/>
      <c r="FL805" s="3"/>
      <c r="FM805" s="3"/>
      <c r="FN805" s="3"/>
      <c r="FO805" s="3"/>
      <c r="FP805" s="3"/>
      <c r="FQ805" s="3"/>
      <c r="FR805" s="3"/>
      <c r="FS805" s="3"/>
      <c r="FT805" s="3"/>
      <c r="FU805" s="3"/>
      <c r="FV805" s="3"/>
      <c r="FW805" s="3"/>
      <c r="FX805" s="3"/>
      <c r="FY805" s="3"/>
      <c r="FZ805" s="3"/>
      <c r="GA805" s="3"/>
      <c r="GB805" s="3"/>
      <c r="GC805" s="3"/>
      <c r="GD805" s="3"/>
      <c r="GE805" s="3"/>
      <c r="GF805" s="3"/>
      <c r="GG805" s="3"/>
      <c r="GH805" s="3"/>
      <c r="GI805" s="3"/>
      <c r="GJ805" s="3"/>
      <c r="GK805" s="3"/>
      <c r="GL805" s="3"/>
      <c r="GM805" s="3"/>
      <c r="GN805" s="3"/>
      <c r="GO805" s="3"/>
      <c r="GP805" s="3"/>
      <c r="GQ805" s="3"/>
      <c r="GR805" s="3"/>
      <c r="GS805" s="3"/>
      <c r="GT805" s="3"/>
      <c r="GU805" s="3"/>
      <c r="GV805" s="3"/>
      <c r="GW805" s="3"/>
      <c r="GX805" s="3"/>
      <c r="GY805" s="3"/>
      <c r="GZ805" s="3"/>
      <c r="HA805" s="3"/>
      <c r="HB805" s="3"/>
      <c r="HC805" s="3"/>
      <c r="HD805" s="3"/>
      <c r="HE805" s="3"/>
      <c r="HF805" s="3"/>
      <c r="HG805" s="3"/>
      <c r="HH805" s="3"/>
      <c r="HI805" s="3"/>
      <c r="HJ805" s="3"/>
      <c r="HK805" s="3"/>
      <c r="HL805" s="2"/>
      <c r="HM805" s="2"/>
      <c r="HN805" s="2"/>
      <c r="HO805" s="2"/>
      <c r="HP805" s="2"/>
      <c r="HQ805" s="2"/>
      <c r="HR805" s="2"/>
      <c r="HS805" s="2"/>
      <c r="HT805" s="99"/>
      <c r="HU805" s="2"/>
      <c r="HV805" s="2"/>
      <c r="HW805" s="2"/>
      <c r="HX805" s="2"/>
      <c r="HY805" s="2"/>
      <c r="HZ805" s="2"/>
      <c r="IA805" s="2"/>
      <c r="IB805" s="2"/>
      <c r="IC805" s="2"/>
      <c r="ID805" s="2"/>
      <c r="IE805" s="2"/>
      <c r="IF805" s="2"/>
      <c r="IG805" s="153" t="s">
        <v>2243</v>
      </c>
      <c r="IH805" s="168" t="s">
        <v>1453</v>
      </c>
      <c r="II805" s="169" t="s">
        <v>1477</v>
      </c>
      <c r="IJ805" s="170" t="s">
        <v>661</v>
      </c>
      <c r="IK805" s="2">
        <v>2007</v>
      </c>
      <c r="IL805" s="2" t="s">
        <v>62</v>
      </c>
      <c r="IM805" s="2" t="s">
        <v>29</v>
      </c>
      <c r="IP805" s="2"/>
      <c r="IQ805" s="2"/>
      <c r="IR805" s="2"/>
      <c r="IS805" s="2"/>
      <c r="IT805" s="2"/>
      <c r="IU805" s="2"/>
      <c r="IV805" s="99"/>
      <c r="IW805" s="2"/>
      <c r="IX805" s="2"/>
      <c r="IY805" s="2"/>
      <c r="IZ805" s="2"/>
      <c r="JA805" s="2"/>
      <c r="JB805" s="2"/>
      <c r="JC805" s="2"/>
      <c r="JD805" s="2"/>
      <c r="JE805" s="2"/>
      <c r="JF805" s="2"/>
      <c r="JG805" s="2"/>
      <c r="JH805" s="2"/>
      <c r="JI805" s="2"/>
      <c r="JJ805" s="2"/>
      <c r="JK805" s="159" t="s">
        <v>14</v>
      </c>
      <c r="JL805" s="160" t="s">
        <v>1682</v>
      </c>
      <c r="JM805" s="99"/>
      <c r="JQ805" s="2"/>
      <c r="JR805" s="2"/>
      <c r="JS805" s="2"/>
      <c r="JT805" s="2"/>
      <c r="JU805" s="2"/>
      <c r="JV805" s="2"/>
      <c r="JW805" s="2"/>
      <c r="JX805" s="161"/>
      <c r="JY805" s="171"/>
      <c r="JZ805" s="99"/>
      <c r="KA805" s="2"/>
      <c r="KB805" s="99"/>
      <c r="KC805" s="2"/>
      <c r="KD805" s="2"/>
      <c r="KE805" s="2"/>
      <c r="KF805" s="99"/>
      <c r="KG805" s="2"/>
      <c r="KH805" s="168"/>
      <c r="KI805" s="172"/>
      <c r="KJ805" s="2"/>
      <c r="KK805" s="2"/>
      <c r="KL805" s="2"/>
      <c r="KM805" s="2"/>
      <c r="KN805" s="99"/>
      <c r="KO805" s="2"/>
      <c r="KP805" s="182"/>
      <c r="KQ805" s="171"/>
      <c r="KR805" s="2"/>
      <c r="KS805" s="2"/>
      <c r="KT805" s="163"/>
      <c r="KU805" s="172"/>
      <c r="KV805" s="2"/>
      <c r="KW805" s="2"/>
      <c r="KX805" s="2"/>
      <c r="KY805" s="3"/>
      <c r="KZ805" s="3"/>
      <c r="LA805" s="3"/>
      <c r="LB805" s="3"/>
      <c r="LC805" s="99"/>
      <c r="LD805" s="99"/>
      <c r="LE805" s="99"/>
      <c r="LF805" s="99"/>
      <c r="LG805" s="99"/>
      <c r="LH805" s="2"/>
      <c r="LI805" s="99"/>
      <c r="LJ805" s="99"/>
      <c r="LK805" s="99"/>
      <c r="LL805" s="2"/>
      <c r="LM805" s="2"/>
      <c r="LN805" s="2"/>
      <c r="LO805" s="2"/>
      <c r="LP805" s="2"/>
      <c r="LQ805" s="2"/>
      <c r="LR805" s="2"/>
      <c r="LS805" s="2"/>
      <c r="LT805" s="2"/>
      <c r="LU805" s="2"/>
      <c r="LV805" s="2"/>
      <c r="LW805" s="2"/>
      <c r="LX805" s="2"/>
      <c r="LY805" s="2"/>
      <c r="LZ805" s="2"/>
      <c r="MA805" s="2"/>
      <c r="MB805" s="2"/>
      <c r="MC805" s="2"/>
      <c r="MD805" s="2"/>
      <c r="ME805" s="2"/>
      <c r="MF805" s="2"/>
      <c r="MG805" s="2"/>
      <c r="MH805" s="2"/>
      <c r="MI805" s="2"/>
      <c r="MJ805" s="2"/>
      <c r="MK805" s="2"/>
      <c r="ML805" s="2"/>
      <c r="MM805" s="2"/>
      <c r="MN805" s="2"/>
      <c r="MO805" s="2"/>
      <c r="MP805" s="2"/>
      <c r="MQ805" s="2"/>
      <c r="MR805" s="2"/>
      <c r="MS805" s="153" t="s">
        <v>2244</v>
      </c>
      <c r="MT805" s="89">
        <v>64</v>
      </c>
      <c r="MU805" s="153" t="s">
        <v>2254</v>
      </c>
      <c r="MV805" s="164"/>
      <c r="MW805" s="164" t="s">
        <v>2255</v>
      </c>
      <c r="MX805" s="164" t="s">
        <v>2256</v>
      </c>
      <c r="MY805" s="164" t="s">
        <v>2257</v>
      </c>
      <c r="MZ805" s="164"/>
      <c r="NA805" s="164"/>
      <c r="NB805" s="164"/>
      <c r="NC805" s="164"/>
      <c r="ND805" s="153" t="s">
        <v>2251</v>
      </c>
      <c r="NE805" s="153" t="s">
        <v>1697</v>
      </c>
      <c r="NF805" s="153" t="s">
        <v>2258</v>
      </c>
      <c r="NG805" t="s">
        <v>266</v>
      </c>
      <c r="NH805" s="165" t="s">
        <v>265</v>
      </c>
      <c r="NI805" s="153"/>
      <c r="NJ805" s="153"/>
      <c r="NK805" s="153"/>
      <c r="NL805" s="153"/>
      <c r="NM805" s="153"/>
      <c r="NN805" s="153"/>
      <c r="NO805" s="153"/>
      <c r="NP805" s="153"/>
      <c r="NQ805" s="166" t="s">
        <v>6</v>
      </c>
      <c r="NR805" s="173">
        <v>477.5</v>
      </c>
      <c r="NS805" s="166" t="s">
        <v>4</v>
      </c>
      <c r="NT805" s="173">
        <v>48.1</v>
      </c>
      <c r="NU805" s="174"/>
      <c r="NV805" s="2"/>
      <c r="NW805" s="153">
        <v>4</v>
      </c>
      <c r="NX805" s="2"/>
      <c r="NY805" s="2"/>
      <c r="NZ805" s="2"/>
      <c r="OA805" s="2"/>
      <c r="OB805" s="2"/>
      <c r="OC805" s="2"/>
      <c r="OD805" s="2"/>
      <c r="OE805" s="2"/>
      <c r="OF805" s="2"/>
      <c r="OG805" s="2"/>
      <c r="OH805" s="153" t="s">
        <v>2248</v>
      </c>
      <c r="OI805" s="2"/>
      <c r="OJ805" s="2">
        <v>2008</v>
      </c>
      <c r="OK805" s="2"/>
      <c r="OL805" s="2"/>
      <c r="OM805" s="153" t="s">
        <v>62</v>
      </c>
      <c r="ON805" s="2"/>
      <c r="OO805" t="s">
        <v>1178</v>
      </c>
      <c r="OP805" s="58">
        <v>46134</v>
      </c>
    </row>
    <row r="806" spans="1:406" ht="17.25" thickBot="1">
      <c r="A806" t="s">
        <v>248</v>
      </c>
      <c r="B806" t="s">
        <v>2238</v>
      </c>
      <c r="C806" s="89" t="s">
        <v>34</v>
      </c>
      <c r="D806" s="152" t="s">
        <v>1955</v>
      </c>
      <c r="E806" s="89" t="s">
        <v>1676</v>
      </c>
      <c r="F806" t="s">
        <v>31</v>
      </c>
      <c r="G806" s="89" t="s">
        <v>2</v>
      </c>
      <c r="H806" s="152" t="s">
        <v>30</v>
      </c>
      <c r="I806">
        <v>-0.41666666699999999</v>
      </c>
      <c r="J806">
        <v>34.200000000000003</v>
      </c>
      <c r="K806" s="152" t="s">
        <v>29</v>
      </c>
      <c r="L806" s="89"/>
      <c r="M806" s="152"/>
      <c r="N806" s="89"/>
      <c r="O806" s="89"/>
      <c r="P806" s="89"/>
      <c r="Q806" s="89"/>
      <c r="R806" s="89"/>
      <c r="S806" s="89"/>
      <c r="T806" s="89"/>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89" t="s">
        <v>2239</v>
      </c>
      <c r="AW806" s="89">
        <v>64</v>
      </c>
      <c r="AX806" s="89">
        <v>0.09</v>
      </c>
      <c r="AY806" s="89">
        <v>1</v>
      </c>
      <c r="AZ806" s="153" t="s">
        <v>2240</v>
      </c>
      <c r="BA806" s="153">
        <v>2007</v>
      </c>
      <c r="BB806" s="153">
        <v>2008</v>
      </c>
      <c r="BC806" s="153" t="s">
        <v>62</v>
      </c>
      <c r="BD806" s="153"/>
      <c r="BE806" s="153" t="s">
        <v>2241</v>
      </c>
      <c r="BF806" s="153" t="s">
        <v>39</v>
      </c>
      <c r="BG806" s="153" t="s">
        <v>1243</v>
      </c>
      <c r="BH806" s="153" t="s">
        <v>2242</v>
      </c>
      <c r="BI806" s="153" t="s">
        <v>29</v>
      </c>
      <c r="BJ806" s="154" t="s">
        <v>22</v>
      </c>
      <c r="BK806" s="155">
        <v>111000</v>
      </c>
      <c r="BL806" s="153"/>
      <c r="BM806" s="153"/>
      <c r="BN806" s="153"/>
      <c r="BO806" s="153"/>
      <c r="BP806" s="153"/>
      <c r="BQ806" s="153"/>
      <c r="BR806" s="153"/>
      <c r="BS806" s="153"/>
      <c r="BT806" s="153"/>
      <c r="BU806" s="153"/>
      <c r="BV806" s="153"/>
      <c r="BW806" s="3"/>
      <c r="BX806" s="3"/>
      <c r="BY806" s="3"/>
      <c r="BZ806" s="3"/>
      <c r="CA806" s="3"/>
      <c r="CB806" s="3"/>
      <c r="CC806" s="3"/>
      <c r="CD806" s="3"/>
      <c r="CE806" s="3"/>
      <c r="CF806" s="3"/>
      <c r="CG806" s="3"/>
      <c r="CH806" s="3"/>
      <c r="CI806" s="3"/>
      <c r="CJ806" s="3"/>
      <c r="CK806" s="3"/>
      <c r="CL806" s="3"/>
      <c r="CM806" s="3"/>
      <c r="CN806" s="3"/>
      <c r="CO806" s="3"/>
      <c r="CP806" s="3"/>
      <c r="CQ806" s="3"/>
      <c r="CR806" s="3"/>
      <c r="CS806" s="3"/>
      <c r="CT806" s="3"/>
      <c r="CU806" s="3"/>
      <c r="CV806" s="3"/>
      <c r="CW806" s="3"/>
      <c r="CX806" s="3"/>
      <c r="CY806" s="3"/>
      <c r="CZ806" s="3"/>
      <c r="DA806" s="3"/>
      <c r="DB806" s="3"/>
      <c r="DC806" s="3"/>
      <c r="DD806" s="3"/>
      <c r="DE806" s="3"/>
      <c r="DF806" s="3"/>
      <c r="DG806" s="3"/>
      <c r="DH806" s="3"/>
      <c r="DI806" s="3"/>
      <c r="DJ806" s="3"/>
      <c r="DK806" s="3"/>
      <c r="DL806" s="3"/>
      <c r="DM806" s="3"/>
      <c r="DN806" s="3"/>
      <c r="DO806" s="3"/>
      <c r="DP806" s="3"/>
      <c r="DQ806" s="3"/>
      <c r="DR806" s="3"/>
      <c r="DS806" s="3"/>
      <c r="DT806" s="3"/>
      <c r="DU806" s="3"/>
      <c r="DV806" s="3"/>
      <c r="DW806" s="3"/>
      <c r="DX806" s="3"/>
      <c r="DY806" s="3"/>
      <c r="DZ806" s="3"/>
      <c r="EA806" s="3"/>
      <c r="EB806" s="3"/>
      <c r="EC806" s="3"/>
      <c r="ED806" s="3"/>
      <c r="EE806" s="2"/>
      <c r="EF806" s="153"/>
      <c r="EG806" s="153"/>
      <c r="EH806" s="153"/>
      <c r="EI806" s="153"/>
      <c r="EJ806" s="153"/>
      <c r="EK806" s="153"/>
      <c r="EL806" s="153"/>
      <c r="EM806" s="3"/>
      <c r="EN806" s="3"/>
      <c r="EO806" s="3"/>
      <c r="EP806" s="3"/>
      <c r="EQ806" s="3"/>
      <c r="ER806" s="3"/>
      <c r="ES806" s="3"/>
      <c r="ET806" s="3"/>
      <c r="EU806" s="3"/>
      <c r="EV806" s="3"/>
      <c r="EW806" s="3"/>
      <c r="EX806" s="3"/>
      <c r="EY806" s="3"/>
      <c r="EZ806" s="3"/>
      <c r="FA806" s="3"/>
      <c r="FB806" s="3"/>
      <c r="FC806" s="3"/>
      <c r="FD806" s="3"/>
      <c r="FE806" s="3"/>
      <c r="FF806" s="3"/>
      <c r="FG806" s="3"/>
      <c r="FH806" s="3"/>
      <c r="FI806" s="3"/>
      <c r="FJ806" s="3"/>
      <c r="FK806" s="3"/>
      <c r="FL806" s="3"/>
      <c r="FM806" s="3"/>
      <c r="FN806" s="3"/>
      <c r="FO806" s="3"/>
      <c r="FP806" s="3"/>
      <c r="FQ806" s="3"/>
      <c r="FR806" s="3"/>
      <c r="FS806" s="3"/>
      <c r="FT806" s="3"/>
      <c r="FU806" s="3"/>
      <c r="FV806" s="3"/>
      <c r="FW806" s="3"/>
      <c r="FX806" s="3"/>
      <c r="FY806" s="3"/>
      <c r="FZ806" s="3"/>
      <c r="GA806" s="3"/>
      <c r="GB806" s="3"/>
      <c r="GC806" s="3"/>
      <c r="GD806" s="3"/>
      <c r="GE806" s="3"/>
      <c r="GF806" s="3"/>
      <c r="GG806" s="3"/>
      <c r="GH806" s="3"/>
      <c r="GI806" s="3"/>
      <c r="GJ806" s="3"/>
      <c r="GK806" s="3"/>
      <c r="GL806" s="3"/>
      <c r="GM806" s="3"/>
      <c r="GN806" s="3"/>
      <c r="GO806" s="3"/>
      <c r="GP806" s="3"/>
      <c r="GQ806" s="3"/>
      <c r="GR806" s="3"/>
      <c r="GS806" s="3"/>
      <c r="GT806" s="3"/>
      <c r="GU806" s="3"/>
      <c r="GV806" s="3"/>
      <c r="GW806" s="3"/>
      <c r="GX806" s="3"/>
      <c r="GY806" s="3"/>
      <c r="GZ806" s="3"/>
      <c r="HA806" s="3"/>
      <c r="HB806" s="3"/>
      <c r="HC806" s="3"/>
      <c r="HD806" s="3"/>
      <c r="HE806" s="3"/>
      <c r="HF806" s="3"/>
      <c r="HG806" s="3"/>
      <c r="HH806" s="3"/>
      <c r="HI806" s="3"/>
      <c r="HJ806" s="3"/>
      <c r="HK806" s="3"/>
      <c r="HL806" s="153"/>
      <c r="HM806" s="153"/>
      <c r="HN806" s="153"/>
      <c r="HO806" s="153"/>
      <c r="HP806" s="153"/>
      <c r="HQ806" s="153"/>
      <c r="HR806" s="153"/>
      <c r="HS806" s="153"/>
      <c r="HT806" s="154"/>
      <c r="HU806" s="153"/>
      <c r="HV806" s="153"/>
      <c r="HW806" s="153"/>
      <c r="HX806" s="156"/>
      <c r="HY806" s="153"/>
      <c r="HZ806" s="153"/>
      <c r="IA806" s="153"/>
      <c r="IB806" s="153"/>
      <c r="IC806" s="153"/>
      <c r="ID806" s="153"/>
      <c r="IE806" s="153"/>
      <c r="IF806" s="153"/>
      <c r="IG806" s="153" t="s">
        <v>2243</v>
      </c>
      <c r="IH806" s="157" t="s">
        <v>19</v>
      </c>
      <c r="II806" s="157"/>
      <c r="IJ806" s="158"/>
      <c r="IK806" s="153"/>
      <c r="IL806" s="153"/>
      <c r="IM806" s="153"/>
      <c r="IP806" s="153"/>
      <c r="IQ806" s="153"/>
      <c r="IR806" s="153"/>
      <c r="IS806" s="153"/>
      <c r="IT806" s="153"/>
      <c r="IU806" s="153"/>
      <c r="IV806" s="153"/>
      <c r="IW806" s="153"/>
      <c r="IX806" s="153"/>
      <c r="IY806" s="89"/>
      <c r="IZ806" s="89"/>
      <c r="JA806" s="89"/>
      <c r="JB806" s="89"/>
      <c r="JC806" s="89"/>
      <c r="JD806" s="89"/>
      <c r="JE806" s="89"/>
      <c r="JF806" s="89"/>
      <c r="JG806" s="89"/>
      <c r="JH806" s="89"/>
      <c r="JI806" s="89"/>
      <c r="JJ806" s="89"/>
      <c r="JK806" s="159" t="s">
        <v>14</v>
      </c>
      <c r="JL806" s="160" t="s">
        <v>1682</v>
      </c>
      <c r="JM806" s="154"/>
      <c r="JQ806" s="153"/>
      <c r="JR806" s="153"/>
      <c r="JS806" s="153"/>
      <c r="JT806" s="153"/>
      <c r="JU806" s="153"/>
      <c r="JV806" s="153"/>
      <c r="JW806" s="153"/>
      <c r="JX806" s="161"/>
      <c r="JY806" s="161"/>
      <c r="JZ806" s="154"/>
      <c r="KA806" s="153"/>
      <c r="KB806" s="154"/>
      <c r="KC806" s="153"/>
      <c r="KD806" s="153"/>
      <c r="KE806" s="153"/>
      <c r="KF806" s="154"/>
      <c r="KG806" s="154"/>
      <c r="KH806" s="157"/>
      <c r="KI806" s="162"/>
      <c r="KJ806" s="153"/>
      <c r="KK806" s="153"/>
      <c r="KL806" s="153"/>
      <c r="KM806" s="153"/>
      <c r="KN806" s="154"/>
      <c r="KO806" s="153"/>
      <c r="KP806" s="157"/>
      <c r="KQ806" s="162"/>
      <c r="KR806" s="153"/>
      <c r="KS806" s="153"/>
      <c r="KT806" s="163"/>
      <c r="KU806" s="162"/>
      <c r="KV806" s="153"/>
      <c r="KW806" s="153"/>
      <c r="KX806" s="153"/>
      <c r="KY806" s="3"/>
      <c r="KZ806" s="3"/>
      <c r="LA806" s="3"/>
      <c r="LB806" s="3"/>
      <c r="LC806" s="154"/>
      <c r="LD806" s="154"/>
      <c r="LE806" s="154"/>
      <c r="LF806" s="154"/>
      <c r="LG806" s="154"/>
      <c r="LH806" s="154"/>
      <c r="LI806" s="154"/>
      <c r="LJ806" s="154"/>
      <c r="LK806" s="154"/>
      <c r="LL806" s="153"/>
      <c r="LM806" s="153"/>
      <c r="LN806" s="153"/>
      <c r="LO806" s="153"/>
      <c r="LP806" s="153"/>
      <c r="LQ806" s="153"/>
      <c r="LR806" s="153"/>
      <c r="LS806" s="153"/>
      <c r="LT806" s="89"/>
      <c r="LU806" s="89"/>
      <c r="LV806" s="89"/>
      <c r="LW806" s="89"/>
      <c r="LX806" s="89"/>
      <c r="LY806" s="164"/>
      <c r="LZ806" s="164"/>
      <c r="MA806" s="164"/>
      <c r="MB806" s="2"/>
      <c r="MC806" s="153"/>
      <c r="MD806" s="153"/>
      <c r="ME806" s="153"/>
      <c r="MF806" s="89"/>
      <c r="MG806" s="89"/>
      <c r="MH806" s="89"/>
      <c r="MI806" s="89"/>
      <c r="MJ806" s="89"/>
      <c r="MK806" s="89"/>
      <c r="ML806" s="89"/>
      <c r="MM806" s="89"/>
      <c r="MN806" s="153"/>
      <c r="MO806" s="153"/>
      <c r="MP806" s="153"/>
      <c r="MQ806" s="153"/>
      <c r="MR806" s="153"/>
      <c r="MS806" s="153" t="s">
        <v>2244</v>
      </c>
      <c r="MT806" s="89">
        <v>64</v>
      </c>
      <c r="MU806" s="153" t="s">
        <v>2254</v>
      </c>
      <c r="MV806" s="164"/>
      <c r="MW806" s="164" t="s">
        <v>2255</v>
      </c>
      <c r="MX806" s="164" t="s">
        <v>2256</v>
      </c>
      <c r="MY806" s="164"/>
      <c r="MZ806" s="164"/>
      <c r="NA806" s="164"/>
      <c r="NB806" s="164"/>
      <c r="NC806" s="164"/>
      <c r="ND806" s="153"/>
      <c r="NE806" s="153" t="s">
        <v>2259</v>
      </c>
      <c r="NF806" s="153" t="s">
        <v>2260</v>
      </c>
      <c r="NG806" t="s">
        <v>8</v>
      </c>
      <c r="NH806" s="165" t="s">
        <v>13</v>
      </c>
      <c r="NI806" s="153"/>
      <c r="NJ806" s="153"/>
      <c r="NK806" s="153"/>
      <c r="NL806" s="153"/>
      <c r="NM806" s="153"/>
      <c r="NN806" s="153"/>
      <c r="NO806" s="153"/>
      <c r="NP806" s="153" t="s">
        <v>64</v>
      </c>
      <c r="NQ806" s="166" t="s">
        <v>6</v>
      </c>
      <c r="NR806" s="173"/>
      <c r="NS806" s="166" t="s">
        <v>4</v>
      </c>
      <c r="NT806" s="166"/>
      <c r="NU806" s="167"/>
      <c r="NV806" s="153"/>
      <c r="NW806" s="153">
        <v>4</v>
      </c>
      <c r="NX806" s="2">
        <v>240.6</v>
      </c>
      <c r="NY806" s="2">
        <v>27</v>
      </c>
      <c r="NZ806">
        <v>4029.6</v>
      </c>
      <c r="OA806">
        <v>353</v>
      </c>
      <c r="OB806" s="153"/>
      <c r="OC806" s="153"/>
      <c r="OD806" s="153"/>
      <c r="OE806" s="153"/>
      <c r="OF806" s="153"/>
      <c r="OG806" s="153"/>
      <c r="OH806" s="153" t="s">
        <v>2261</v>
      </c>
      <c r="OI806" s="153"/>
      <c r="OJ806" s="153">
        <v>2007</v>
      </c>
      <c r="OK806" s="153"/>
      <c r="OL806" s="153"/>
      <c r="OM806" s="153" t="s">
        <v>62</v>
      </c>
      <c r="ON806" s="153"/>
      <c r="OO806" t="s">
        <v>1178</v>
      </c>
      <c r="OP806" s="58">
        <v>46134</v>
      </c>
    </row>
    <row r="807" spans="1:406" ht="15.75" thickBot="1">
      <c r="A807" t="s">
        <v>248</v>
      </c>
      <c r="B807" t="s">
        <v>2238</v>
      </c>
      <c r="C807" s="89" t="s">
        <v>34</v>
      </c>
      <c r="D807" s="152" t="s">
        <v>1955</v>
      </c>
      <c r="E807" s="89" t="s">
        <v>1676</v>
      </c>
      <c r="F807" t="s">
        <v>31</v>
      </c>
      <c r="G807" s="89" t="s">
        <v>2</v>
      </c>
      <c r="H807" s="152" t="s">
        <v>30</v>
      </c>
      <c r="I807">
        <v>-0.41666666699999999</v>
      </c>
      <c r="J807">
        <v>34.200000000000003</v>
      </c>
      <c r="K807" s="152" t="s">
        <v>29</v>
      </c>
      <c r="L807" s="2"/>
      <c r="M807" s="99"/>
      <c r="N807" s="2"/>
      <c r="O807" s="89"/>
      <c r="P807" s="2"/>
      <c r="Q807" s="2"/>
      <c r="R807" s="89"/>
      <c r="S807" s="89"/>
      <c r="T807" s="89"/>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89" t="s">
        <v>2239</v>
      </c>
      <c r="AW807" s="89">
        <v>64</v>
      </c>
      <c r="AX807" s="89">
        <v>0.09</v>
      </c>
      <c r="AY807" s="89">
        <v>1</v>
      </c>
      <c r="AZ807" s="153" t="s">
        <v>2240</v>
      </c>
      <c r="BA807" s="153">
        <v>2007</v>
      </c>
      <c r="BB807" s="153">
        <v>2008</v>
      </c>
      <c r="BC807" s="153" t="s">
        <v>62</v>
      </c>
      <c r="BD807" s="2"/>
      <c r="BE807" s="2" t="s">
        <v>2249</v>
      </c>
      <c r="BF807" s="2" t="s">
        <v>64</v>
      </c>
      <c r="BG807" s="153" t="s">
        <v>1243</v>
      </c>
      <c r="BH807" s="2" t="s">
        <v>2242</v>
      </c>
      <c r="BI807" s="153" t="s">
        <v>29</v>
      </c>
      <c r="BJ807" s="154" t="s">
        <v>22</v>
      </c>
      <c r="BK807" s="155">
        <v>55500</v>
      </c>
      <c r="BL807" s="2" t="s">
        <v>56</v>
      </c>
      <c r="BM807" t="s">
        <v>2250</v>
      </c>
      <c r="BN807" s="153" t="s">
        <v>29</v>
      </c>
      <c r="BO807" s="2" t="s">
        <v>22</v>
      </c>
      <c r="BP807" s="2">
        <v>55000</v>
      </c>
      <c r="BQ807" s="2"/>
      <c r="BR807" s="2"/>
      <c r="BS807" s="2"/>
      <c r="BT807" s="2"/>
      <c r="BU807" s="2"/>
      <c r="BV807" s="2"/>
      <c r="BW807" s="3"/>
      <c r="BX807" s="3"/>
      <c r="BY807" s="3"/>
      <c r="BZ807" s="3"/>
      <c r="CA807" s="3"/>
      <c r="CB807" s="3"/>
      <c r="CC807" s="3"/>
      <c r="CD807" s="3"/>
      <c r="CE807" s="3"/>
      <c r="CF807" s="3"/>
      <c r="CG807" s="3"/>
      <c r="CH807" s="3"/>
      <c r="CI807" s="3"/>
      <c r="CJ807" s="3"/>
      <c r="CK807" s="3"/>
      <c r="CL807" s="3"/>
      <c r="CM807" s="3"/>
      <c r="CN807" s="3"/>
      <c r="CO807" s="3"/>
      <c r="CP807" s="3"/>
      <c r="CQ807" s="3"/>
      <c r="CR807" s="3"/>
      <c r="CS807" s="3"/>
      <c r="CT807" s="3"/>
      <c r="CU807" s="3"/>
      <c r="CV807" s="3"/>
      <c r="CW807" s="3"/>
      <c r="CX807" s="3"/>
      <c r="CY807" s="3"/>
      <c r="CZ807" s="3"/>
      <c r="DA807" s="3"/>
      <c r="DB807" s="3"/>
      <c r="DC807" s="3"/>
      <c r="DD807" s="3"/>
      <c r="DE807" s="3"/>
      <c r="DF807" s="3"/>
      <c r="DG807" s="3"/>
      <c r="DH807" s="3"/>
      <c r="DI807" s="3"/>
      <c r="DJ807" s="3"/>
      <c r="DK807" s="3"/>
      <c r="DL807" s="3"/>
      <c r="DM807" s="3"/>
      <c r="DN807" s="3"/>
      <c r="DO807" s="3"/>
      <c r="DP807" s="3"/>
      <c r="DQ807" s="3"/>
      <c r="DR807" s="3"/>
      <c r="DS807" s="3"/>
      <c r="DT807" s="3"/>
      <c r="DU807" s="3"/>
      <c r="DV807" s="3"/>
      <c r="DW807" s="3"/>
      <c r="DX807" s="3"/>
      <c r="DY807" s="3"/>
      <c r="DZ807" s="3"/>
      <c r="EA807" s="3"/>
      <c r="EB807" s="3"/>
      <c r="EC807" s="3"/>
      <c r="ED807" s="3"/>
      <c r="EE807" s="2"/>
      <c r="EF807" s="2"/>
      <c r="EG807" s="2"/>
      <c r="EH807" s="2"/>
      <c r="EI807" s="2"/>
      <c r="EJ807" s="2"/>
      <c r="EK807" s="2"/>
      <c r="EL807" s="2"/>
      <c r="EM807" s="3"/>
      <c r="EN807" s="3"/>
      <c r="EO807" s="3"/>
      <c r="EP807" s="3"/>
      <c r="EQ807" s="3"/>
      <c r="ER807" s="3"/>
      <c r="ES807" s="3"/>
      <c r="ET807" s="3"/>
      <c r="EU807" s="3"/>
      <c r="EV807" s="3"/>
      <c r="EW807" s="3"/>
      <c r="EX807" s="3"/>
      <c r="EY807" s="3"/>
      <c r="EZ807" s="3"/>
      <c r="FA807" s="3"/>
      <c r="FB807" s="3"/>
      <c r="FC807" s="3"/>
      <c r="FD807" s="3"/>
      <c r="FE807" s="3"/>
      <c r="FF807" s="3"/>
      <c r="FG807" s="3"/>
      <c r="FH807" s="3"/>
      <c r="FI807" s="3"/>
      <c r="FJ807" s="3"/>
      <c r="FK807" s="3"/>
      <c r="FL807" s="3"/>
      <c r="FM807" s="3"/>
      <c r="FN807" s="3"/>
      <c r="FO807" s="3"/>
      <c r="FP807" s="3"/>
      <c r="FQ807" s="3"/>
      <c r="FR807" s="3"/>
      <c r="FS807" s="3"/>
      <c r="FT807" s="3"/>
      <c r="FU807" s="3"/>
      <c r="FV807" s="3"/>
      <c r="FW807" s="3"/>
      <c r="FX807" s="3"/>
      <c r="FY807" s="3"/>
      <c r="FZ807" s="3"/>
      <c r="GA807" s="3"/>
      <c r="GB807" s="3"/>
      <c r="GC807" s="3"/>
      <c r="GD807" s="3"/>
      <c r="GE807" s="3"/>
      <c r="GF807" s="3"/>
      <c r="GG807" s="3"/>
      <c r="GH807" s="3"/>
      <c r="GI807" s="3"/>
      <c r="GJ807" s="3"/>
      <c r="GK807" s="3"/>
      <c r="GL807" s="3"/>
      <c r="GM807" s="3"/>
      <c r="GN807" s="3"/>
      <c r="GO807" s="3"/>
      <c r="GP807" s="3"/>
      <c r="GQ807" s="3"/>
      <c r="GR807" s="3"/>
      <c r="GS807" s="3"/>
      <c r="GT807" s="3"/>
      <c r="GU807" s="3"/>
      <c r="GV807" s="3"/>
      <c r="GW807" s="3"/>
      <c r="GX807" s="3"/>
      <c r="GY807" s="3"/>
      <c r="GZ807" s="3"/>
      <c r="HA807" s="3"/>
      <c r="HB807" s="3"/>
      <c r="HC807" s="3"/>
      <c r="HD807" s="3"/>
      <c r="HE807" s="3"/>
      <c r="HF807" s="3"/>
      <c r="HG807" s="3"/>
      <c r="HH807" s="3"/>
      <c r="HI807" s="3"/>
      <c r="HJ807" s="3"/>
      <c r="HK807" s="3"/>
      <c r="HL807" s="2"/>
      <c r="HM807" s="2"/>
      <c r="HN807" s="2"/>
      <c r="HO807" s="2"/>
      <c r="HP807" s="2"/>
      <c r="HQ807" s="2"/>
      <c r="HR807" s="2"/>
      <c r="HS807" s="2"/>
      <c r="HT807" s="99"/>
      <c r="HU807" s="2"/>
      <c r="HV807" s="2"/>
      <c r="HW807" s="2"/>
      <c r="HX807" s="2"/>
      <c r="HY807" s="2"/>
      <c r="HZ807" s="2"/>
      <c r="IA807" s="2"/>
      <c r="IB807" s="2"/>
      <c r="IC807" s="2"/>
      <c r="ID807" s="2"/>
      <c r="IE807" s="2"/>
      <c r="IF807" s="2"/>
      <c r="IG807" s="153" t="s">
        <v>2243</v>
      </c>
      <c r="IH807" s="168" t="s">
        <v>1453</v>
      </c>
      <c r="II807" s="169" t="s">
        <v>1477</v>
      </c>
      <c r="IJ807" s="170" t="s">
        <v>661</v>
      </c>
      <c r="IK807" s="2">
        <v>2007</v>
      </c>
      <c r="IL807" s="2" t="s">
        <v>62</v>
      </c>
      <c r="IM807" s="2" t="s">
        <v>29</v>
      </c>
      <c r="IP807" s="2"/>
      <c r="IQ807" s="2"/>
      <c r="IR807" s="2"/>
      <c r="IS807" s="2"/>
      <c r="IT807" s="2"/>
      <c r="IU807" s="2"/>
      <c r="IV807" s="2"/>
      <c r="IW807" s="2"/>
      <c r="IX807" s="2"/>
      <c r="IY807" s="2"/>
      <c r="IZ807" s="2"/>
      <c r="JA807" s="2"/>
      <c r="JB807" s="2"/>
      <c r="JC807" s="2"/>
      <c r="JD807" s="2"/>
      <c r="JE807" s="2"/>
      <c r="JF807" s="2"/>
      <c r="JG807" s="2"/>
      <c r="JH807" s="2"/>
      <c r="JI807" s="2"/>
      <c r="JJ807" s="2"/>
      <c r="JK807" s="159" t="s">
        <v>14</v>
      </c>
      <c r="JL807" s="160" t="s">
        <v>1682</v>
      </c>
      <c r="JM807" s="99"/>
      <c r="JQ807" s="2"/>
      <c r="JR807" s="2"/>
      <c r="JS807" s="2"/>
      <c r="JT807" s="2"/>
      <c r="JU807" s="2"/>
      <c r="JV807" s="2"/>
      <c r="JW807" s="2"/>
      <c r="JX807" s="161"/>
      <c r="JY807" s="171"/>
      <c r="JZ807" s="99"/>
      <c r="KA807" s="2"/>
      <c r="KB807" s="99"/>
      <c r="KC807" s="2"/>
      <c r="KD807" s="2"/>
      <c r="KE807" s="2"/>
      <c r="KF807" s="99"/>
      <c r="KG807" s="2"/>
      <c r="KH807" s="168"/>
      <c r="KI807" s="172"/>
      <c r="KJ807" s="2"/>
      <c r="KK807" s="2"/>
      <c r="KL807" s="2"/>
      <c r="KM807" s="2"/>
      <c r="KN807" s="99"/>
      <c r="KO807" s="2"/>
      <c r="KP807" s="168"/>
      <c r="KQ807" s="172"/>
      <c r="KR807" s="2"/>
      <c r="KS807" s="2"/>
      <c r="KT807" s="163"/>
      <c r="KU807" s="172"/>
      <c r="KV807" s="2"/>
      <c r="KW807" s="2"/>
      <c r="KX807" s="2"/>
      <c r="KY807" s="69"/>
      <c r="KZ807" s="3"/>
      <c r="LA807" s="3"/>
      <c r="LB807" s="3"/>
      <c r="LC807" s="99"/>
      <c r="LD807" s="99"/>
      <c r="LE807" s="99"/>
      <c r="LF807" s="99"/>
      <c r="LG807" s="99"/>
      <c r="LH807" s="2"/>
      <c r="LI807" s="99"/>
      <c r="LJ807" s="99"/>
      <c r="LK807" s="99"/>
      <c r="LL807" s="2"/>
      <c r="LM807" s="2"/>
      <c r="LN807" s="2"/>
      <c r="LO807" s="2"/>
      <c r="LP807" s="2"/>
      <c r="LQ807" s="2"/>
      <c r="LR807" s="2"/>
      <c r="LS807" s="2"/>
      <c r="LT807" s="2"/>
      <c r="LU807" s="2"/>
      <c r="LV807" s="2"/>
      <c r="LW807" s="2"/>
      <c r="LX807" s="2"/>
      <c r="LY807" s="2"/>
      <c r="LZ807" s="2"/>
      <c r="MA807" s="2"/>
      <c r="MC807" s="2"/>
      <c r="MD807" s="2"/>
      <c r="ME807" s="2"/>
      <c r="MF807" s="2"/>
      <c r="MG807" s="2"/>
      <c r="MH807" s="2"/>
      <c r="MI807" s="2"/>
      <c r="MJ807" s="2"/>
      <c r="MK807" s="2"/>
      <c r="ML807" s="2"/>
      <c r="MM807" s="2"/>
      <c r="MN807" s="2"/>
      <c r="MO807" s="2"/>
      <c r="MP807" s="2"/>
      <c r="MQ807" s="2"/>
      <c r="MR807" s="2"/>
      <c r="MS807" s="153" t="s">
        <v>2244</v>
      </c>
      <c r="MT807" s="89">
        <v>64</v>
      </c>
      <c r="MU807" s="153" t="s">
        <v>2254</v>
      </c>
      <c r="MV807" s="164"/>
      <c r="MW807" s="164" t="s">
        <v>2255</v>
      </c>
      <c r="MX807" s="164" t="s">
        <v>2256</v>
      </c>
      <c r="MY807" s="164" t="s">
        <v>2257</v>
      </c>
      <c r="MZ807" s="164"/>
      <c r="NA807" s="164"/>
      <c r="NB807" s="164"/>
      <c r="NC807" s="164"/>
      <c r="ND807" s="153"/>
      <c r="NE807" s="153" t="s">
        <v>2259</v>
      </c>
      <c r="NF807" s="153" t="s">
        <v>2262</v>
      </c>
      <c r="NG807" t="s">
        <v>8</v>
      </c>
      <c r="NH807" s="165" t="s">
        <v>13</v>
      </c>
      <c r="NI807" s="153"/>
      <c r="NJ807" s="153"/>
      <c r="NK807" s="153"/>
      <c r="NL807" s="153"/>
      <c r="NM807" s="153"/>
      <c r="NN807" s="153"/>
      <c r="NO807" s="153"/>
      <c r="NP807" s="153"/>
      <c r="NQ807" s="166" t="s">
        <v>6</v>
      </c>
      <c r="NR807" s="173"/>
      <c r="NS807" s="166" t="s">
        <v>4</v>
      </c>
      <c r="NT807" s="173"/>
      <c r="NU807" s="174"/>
      <c r="NV807" s="2"/>
      <c r="NW807" s="153">
        <v>4</v>
      </c>
      <c r="NX807" s="153">
        <v>695.2</v>
      </c>
      <c r="NY807" s="153">
        <v>78</v>
      </c>
      <c r="NZ807">
        <v>15049.7</v>
      </c>
      <c r="OA807">
        <v>402</v>
      </c>
      <c r="OB807" s="2">
        <v>14309.3</v>
      </c>
      <c r="OC807" s="2">
        <v>742</v>
      </c>
      <c r="OD807" s="2"/>
      <c r="OE807" s="2"/>
      <c r="OF807" s="2"/>
      <c r="OG807" s="2"/>
      <c r="OH807" s="153" t="s">
        <v>2261</v>
      </c>
      <c r="OI807" s="2"/>
      <c r="OJ807" s="153">
        <v>2007</v>
      </c>
      <c r="OK807" s="153"/>
      <c r="OL807" s="153"/>
      <c r="OM807" s="153" t="s">
        <v>62</v>
      </c>
      <c r="ON807" s="2"/>
      <c r="OO807" t="s">
        <v>1178</v>
      </c>
      <c r="OP807" s="58">
        <v>46134</v>
      </c>
    </row>
    <row r="808" spans="1:406" ht="15.75" thickBot="1">
      <c r="A808" t="s">
        <v>248</v>
      </c>
      <c r="B808" t="s">
        <v>2238</v>
      </c>
      <c r="C808" s="89" t="s">
        <v>34</v>
      </c>
      <c r="D808" s="152" t="s">
        <v>1955</v>
      </c>
      <c r="E808" s="89" t="s">
        <v>1676</v>
      </c>
      <c r="F808" t="s">
        <v>31</v>
      </c>
      <c r="G808" s="89" t="s">
        <v>2</v>
      </c>
      <c r="H808" s="152" t="s">
        <v>30</v>
      </c>
      <c r="I808">
        <v>-0.41666666699999999</v>
      </c>
      <c r="J808">
        <v>34.200000000000003</v>
      </c>
      <c r="K808" s="152" t="s">
        <v>29</v>
      </c>
      <c r="L808" s="89"/>
      <c r="M808" s="152"/>
      <c r="N808" s="89"/>
      <c r="O808" s="89"/>
      <c r="P808" s="89"/>
      <c r="Q808" s="89"/>
      <c r="R808" s="89"/>
      <c r="S808" s="89"/>
      <c r="T808" s="89"/>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89" t="s">
        <v>2239</v>
      </c>
      <c r="AW808" s="89">
        <v>64</v>
      </c>
      <c r="AX808" s="89">
        <v>0.09</v>
      </c>
      <c r="AY808" s="89">
        <v>1</v>
      </c>
      <c r="AZ808" s="153" t="s">
        <v>2240</v>
      </c>
      <c r="BA808" s="153">
        <v>2007</v>
      </c>
      <c r="BB808" s="153">
        <v>2008</v>
      </c>
      <c r="BC808" s="153" t="s">
        <v>1</v>
      </c>
      <c r="BD808" s="89"/>
      <c r="BE808" s="153" t="s">
        <v>2241</v>
      </c>
      <c r="BF808" s="153" t="s">
        <v>39</v>
      </c>
      <c r="BG808" s="153" t="s">
        <v>1243</v>
      </c>
      <c r="BH808" s="153" t="s">
        <v>2242</v>
      </c>
      <c r="BI808" s="153" t="s">
        <v>29</v>
      </c>
      <c r="BJ808" s="154" t="s">
        <v>22</v>
      </c>
      <c r="BK808" s="155">
        <v>111000</v>
      </c>
      <c r="BL808" s="89"/>
      <c r="BM808" s="89"/>
      <c r="BN808" s="89"/>
      <c r="BO808" s="152"/>
      <c r="BP808" s="175"/>
      <c r="BQ808" s="89"/>
      <c r="BR808" s="89"/>
      <c r="BS808" s="89"/>
      <c r="BT808" s="89"/>
      <c r="BU808" s="89"/>
      <c r="BV808" s="89"/>
      <c r="BW808" s="3"/>
      <c r="BX808" s="3"/>
      <c r="BY808" s="3"/>
      <c r="BZ808" s="3"/>
      <c r="CA808" s="3"/>
      <c r="CB808" s="3"/>
      <c r="CC808" s="3"/>
      <c r="CD808" s="3"/>
      <c r="CE808" s="3"/>
      <c r="CF808" s="3"/>
      <c r="CG808" s="3"/>
      <c r="CH808" s="3"/>
      <c r="CI808" s="3"/>
      <c r="CJ808" s="3"/>
      <c r="CK808" s="3"/>
      <c r="CL808" s="3"/>
      <c r="CM808" s="3"/>
      <c r="CN808" s="3"/>
      <c r="CO808" s="3"/>
      <c r="CP808" s="3"/>
      <c r="CQ808" s="3"/>
      <c r="CR808" s="3"/>
      <c r="CS808" s="3"/>
      <c r="CT808" s="3"/>
      <c r="CU808" s="3"/>
      <c r="CV808" s="3"/>
      <c r="CW808" s="3"/>
      <c r="CX808" s="3"/>
      <c r="CY808" s="3"/>
      <c r="CZ808" s="3"/>
      <c r="DA808" s="3"/>
      <c r="DB808" s="3"/>
      <c r="DC808" s="3"/>
      <c r="DD808" s="3"/>
      <c r="DE808" s="3"/>
      <c r="DF808" s="3"/>
      <c r="DG808" s="3"/>
      <c r="DH808" s="3"/>
      <c r="DI808" s="3"/>
      <c r="DJ808" s="3"/>
      <c r="DK808" s="3"/>
      <c r="DL808" s="3"/>
      <c r="DM808" s="3"/>
      <c r="DN808" s="3"/>
      <c r="DO808" s="3"/>
      <c r="DP808" s="3"/>
      <c r="DQ808" s="3"/>
      <c r="DR808" s="3"/>
      <c r="DS808" s="3"/>
      <c r="DT808" s="3"/>
      <c r="DU808" s="3"/>
      <c r="DV808" s="3"/>
      <c r="DW808" s="3"/>
      <c r="DX808" s="3"/>
      <c r="DY808" s="3"/>
      <c r="DZ808" s="3"/>
      <c r="EA808" s="3"/>
      <c r="EB808" s="3"/>
      <c r="EC808" s="3"/>
      <c r="ED808" s="3"/>
      <c r="EE808" s="89"/>
      <c r="EF808" s="89"/>
      <c r="EG808" s="89"/>
      <c r="EH808" s="89"/>
      <c r="EI808" s="89"/>
      <c r="EJ808" s="89"/>
      <c r="EK808" s="89"/>
      <c r="EL808" s="89"/>
      <c r="EM808" s="3"/>
      <c r="EN808" s="3"/>
      <c r="EO808" s="3"/>
      <c r="EP808" s="3"/>
      <c r="EQ808" s="3"/>
      <c r="ER808" s="3"/>
      <c r="ES808" s="3"/>
      <c r="ET808" s="3"/>
      <c r="EU808" s="3"/>
      <c r="EV808" s="3"/>
      <c r="EW808" s="3"/>
      <c r="EX808" s="3"/>
      <c r="EY808" s="3"/>
      <c r="EZ808" s="3"/>
      <c r="FA808" s="3"/>
      <c r="FB808" s="3"/>
      <c r="FC808" s="3"/>
      <c r="FD808" s="3"/>
      <c r="FE808" s="3"/>
      <c r="FF808" s="3"/>
      <c r="FG808" s="3"/>
      <c r="FH808" s="3"/>
      <c r="FI808" s="3"/>
      <c r="FJ808" s="3"/>
      <c r="FK808" s="3"/>
      <c r="FL808" s="3"/>
      <c r="FM808" s="3"/>
      <c r="FN808" s="3"/>
      <c r="FO808" s="3"/>
      <c r="FP808" s="3"/>
      <c r="FQ808" s="3"/>
      <c r="FR808" s="3"/>
      <c r="FS808" s="3"/>
      <c r="FT808" s="3"/>
      <c r="FU808" s="3"/>
      <c r="FV808" s="3"/>
      <c r="FW808" s="3"/>
      <c r="FX808" s="3"/>
      <c r="FY808" s="3"/>
      <c r="FZ808" s="3"/>
      <c r="GA808" s="3"/>
      <c r="GB808" s="3"/>
      <c r="GC808" s="3"/>
      <c r="GD808" s="3"/>
      <c r="GE808" s="3"/>
      <c r="GF808" s="3"/>
      <c r="GG808" s="3"/>
      <c r="GH808" s="3"/>
      <c r="GI808" s="3"/>
      <c r="GJ808" s="3"/>
      <c r="GK808" s="3"/>
      <c r="GL808" s="3"/>
      <c r="GM808" s="3"/>
      <c r="GN808" s="3"/>
      <c r="GO808" s="3"/>
      <c r="GP808" s="3"/>
      <c r="GQ808" s="3"/>
      <c r="GR808" s="3"/>
      <c r="GS808" s="3"/>
      <c r="GT808" s="3"/>
      <c r="GU808" s="3"/>
      <c r="GV808" s="3"/>
      <c r="GW808" s="3"/>
      <c r="GX808" s="3"/>
      <c r="GY808" s="3"/>
      <c r="GZ808" s="3"/>
      <c r="HA808" s="3"/>
      <c r="HB808" s="3"/>
      <c r="HC808" s="3"/>
      <c r="HD808" s="3"/>
      <c r="HE808" s="3"/>
      <c r="HF808" s="3"/>
      <c r="HG808" s="3"/>
      <c r="HH808" s="3"/>
      <c r="HI808" s="3"/>
      <c r="HJ808" s="3"/>
      <c r="HK808" s="3"/>
      <c r="HL808" s="89"/>
      <c r="HM808" s="89"/>
      <c r="HN808" s="89"/>
      <c r="HO808" s="89"/>
      <c r="HP808" s="89"/>
      <c r="HQ808" s="89"/>
      <c r="HR808" s="89"/>
      <c r="HS808" s="89"/>
      <c r="HT808" s="152"/>
      <c r="HU808" s="89"/>
      <c r="HV808" s="89"/>
      <c r="HW808" s="89"/>
      <c r="HX808" s="89"/>
      <c r="HY808" s="89"/>
      <c r="HZ808" s="89"/>
      <c r="IA808" s="89"/>
      <c r="IB808" s="89"/>
      <c r="IC808" s="89"/>
      <c r="ID808" s="89"/>
      <c r="IE808" s="89"/>
      <c r="IF808" s="89"/>
      <c r="IG808" s="153" t="s">
        <v>2243</v>
      </c>
      <c r="IH808" s="157" t="s">
        <v>19</v>
      </c>
      <c r="II808" s="176"/>
      <c r="IJ808" s="177"/>
      <c r="IK808" s="89"/>
      <c r="IL808" s="89"/>
      <c r="IM808" s="152"/>
      <c r="IP808" s="89"/>
      <c r="IQ808" s="89"/>
      <c r="IR808" s="89"/>
      <c r="IS808" s="89"/>
      <c r="IT808" s="89"/>
      <c r="IU808" s="89"/>
      <c r="IV808" s="89"/>
      <c r="IW808" s="89"/>
      <c r="IX808" s="89"/>
      <c r="IY808" s="89"/>
      <c r="IZ808" s="89"/>
      <c r="JA808" s="89"/>
      <c r="JB808" s="89"/>
      <c r="JC808" s="89"/>
      <c r="JD808" s="89"/>
      <c r="JE808" s="89"/>
      <c r="JF808" s="89"/>
      <c r="JG808" s="89"/>
      <c r="JH808" s="89"/>
      <c r="JI808" s="89"/>
      <c r="JJ808" s="89"/>
      <c r="JK808" s="159" t="s">
        <v>14</v>
      </c>
      <c r="JL808" s="160" t="s">
        <v>1682</v>
      </c>
      <c r="JM808" s="152"/>
      <c r="JQ808" s="89"/>
      <c r="JR808" s="89"/>
      <c r="JS808" s="89"/>
      <c r="JT808" s="89"/>
      <c r="JU808" s="89"/>
      <c r="JV808" s="89"/>
      <c r="JW808" s="89"/>
      <c r="JX808" s="161"/>
      <c r="JY808" s="159"/>
      <c r="JZ808" s="152"/>
      <c r="KA808" s="89"/>
      <c r="KB808" s="152"/>
      <c r="KC808" s="89"/>
      <c r="KD808" s="89"/>
      <c r="KE808" s="89"/>
      <c r="KF808" s="152"/>
      <c r="KG808" s="89"/>
      <c r="KH808" s="157"/>
      <c r="KI808" s="178"/>
      <c r="KJ808" s="89"/>
      <c r="KK808" s="89"/>
      <c r="KL808" s="89"/>
      <c r="KM808" s="89"/>
      <c r="KN808" s="152"/>
      <c r="KO808" s="89"/>
      <c r="KP808" s="157"/>
      <c r="KQ808" s="178"/>
      <c r="KR808" s="89"/>
      <c r="KS808" s="89"/>
      <c r="KT808" s="163"/>
      <c r="KU808" s="179"/>
      <c r="KV808" s="89"/>
      <c r="KW808" s="89"/>
      <c r="KX808" s="89"/>
      <c r="KY808" s="3"/>
      <c r="KZ808" s="3"/>
      <c r="LA808" s="3"/>
      <c r="LB808" s="3"/>
      <c r="LC808" s="152"/>
      <c r="LD808" s="152"/>
      <c r="LE808" s="152"/>
      <c r="LF808" s="152"/>
      <c r="LG808" s="152"/>
      <c r="LH808" s="89"/>
      <c r="LI808" s="152"/>
      <c r="LJ808" s="152"/>
      <c r="LK808" s="152"/>
      <c r="LL808" s="89"/>
      <c r="LM808" s="89"/>
      <c r="LN808" s="89"/>
      <c r="LO808" s="89"/>
      <c r="LP808" s="89"/>
      <c r="LQ808" s="89"/>
      <c r="LR808" s="89"/>
      <c r="LS808" s="89"/>
      <c r="LT808" s="89"/>
      <c r="LU808" s="89"/>
      <c r="LV808" s="89"/>
      <c r="LW808" s="89"/>
      <c r="LX808" s="89"/>
      <c r="LY808" s="89"/>
      <c r="LZ808" s="89"/>
      <c r="MA808" s="89"/>
      <c r="MB808" s="89"/>
      <c r="MC808" s="89"/>
      <c r="MD808" s="89"/>
      <c r="ME808" s="89"/>
      <c r="MF808" s="89"/>
      <c r="MG808" s="89"/>
      <c r="MH808" s="89"/>
      <c r="MI808" s="89"/>
      <c r="MJ808" s="89"/>
      <c r="MK808" s="89"/>
      <c r="ML808" s="89"/>
      <c r="MM808" s="89"/>
      <c r="MN808" s="89"/>
      <c r="MO808" s="89"/>
      <c r="MP808" s="89"/>
      <c r="MQ808" s="89"/>
      <c r="MR808" s="89"/>
      <c r="MS808" s="153" t="s">
        <v>2244</v>
      </c>
      <c r="MT808" s="89">
        <v>64</v>
      </c>
      <c r="MU808" s="153" t="s">
        <v>2254</v>
      </c>
      <c r="MV808" s="164"/>
      <c r="MW808" s="164" t="s">
        <v>2255</v>
      </c>
      <c r="MX808" s="164" t="s">
        <v>2256</v>
      </c>
      <c r="MY808" s="164"/>
      <c r="MZ808" s="164"/>
      <c r="NA808" s="164"/>
      <c r="NB808" s="164"/>
      <c r="NC808" s="164"/>
      <c r="ND808" s="153"/>
      <c r="NE808" s="153" t="s">
        <v>2259</v>
      </c>
      <c r="NF808" s="153" t="s">
        <v>2260</v>
      </c>
      <c r="NG808" t="s">
        <v>8</v>
      </c>
      <c r="NH808" s="165" t="s">
        <v>13</v>
      </c>
      <c r="NI808" s="153"/>
      <c r="NJ808" s="153"/>
      <c r="NK808" s="153"/>
      <c r="NL808" s="153"/>
      <c r="NM808" s="153"/>
      <c r="NN808" s="153"/>
      <c r="NO808" s="153"/>
      <c r="NP808" s="153" t="s">
        <v>64</v>
      </c>
      <c r="NQ808" s="166" t="s">
        <v>6</v>
      </c>
      <c r="NR808" s="173"/>
      <c r="NS808" s="166" t="s">
        <v>4</v>
      </c>
      <c r="NT808" s="97"/>
      <c r="NU808" s="180"/>
      <c r="NV808" s="89"/>
      <c r="NW808" s="153">
        <v>4</v>
      </c>
      <c r="NX808" s="2">
        <v>320.8</v>
      </c>
      <c r="NY808" s="2">
        <v>57</v>
      </c>
      <c r="NZ808">
        <v>4276</v>
      </c>
      <c r="OA808">
        <v>144</v>
      </c>
      <c r="OB808" s="89"/>
      <c r="OC808" s="89"/>
      <c r="OD808" s="89"/>
      <c r="OE808" s="89"/>
      <c r="OF808" s="89"/>
      <c r="OG808" s="89"/>
      <c r="OH808" s="153" t="s">
        <v>2261</v>
      </c>
      <c r="OI808" s="89"/>
      <c r="OJ808" s="89">
        <v>2007</v>
      </c>
      <c r="OK808" s="89"/>
      <c r="OL808" s="89"/>
      <c r="OM808" s="89" t="s">
        <v>1</v>
      </c>
      <c r="ON808" s="89"/>
      <c r="OO808" t="s">
        <v>1178</v>
      </c>
      <c r="OP808" s="58">
        <v>46134</v>
      </c>
    </row>
    <row r="809" spans="1:406" ht="15.75" thickBot="1">
      <c r="A809" t="s">
        <v>248</v>
      </c>
      <c r="B809" t="s">
        <v>2238</v>
      </c>
      <c r="C809" s="89" t="s">
        <v>34</v>
      </c>
      <c r="D809" s="152" t="s">
        <v>1955</v>
      </c>
      <c r="E809" s="89" t="s">
        <v>1676</v>
      </c>
      <c r="F809" t="s">
        <v>31</v>
      </c>
      <c r="G809" s="89" t="s">
        <v>2</v>
      </c>
      <c r="H809" s="152" t="s">
        <v>30</v>
      </c>
      <c r="I809">
        <v>-0.41666666699999999</v>
      </c>
      <c r="J809">
        <v>34.200000000000003</v>
      </c>
      <c r="K809" s="152" t="s">
        <v>29</v>
      </c>
      <c r="L809" s="2"/>
      <c r="M809" s="99"/>
      <c r="N809" s="2"/>
      <c r="O809" s="89"/>
      <c r="P809" s="2"/>
      <c r="Q809" s="2"/>
      <c r="R809" s="89"/>
      <c r="S809" s="89"/>
      <c r="T809" s="89"/>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89" t="s">
        <v>2239</v>
      </c>
      <c r="AW809" s="89">
        <v>64</v>
      </c>
      <c r="AX809" s="89">
        <v>0.09</v>
      </c>
      <c r="AY809" s="89">
        <v>1</v>
      </c>
      <c r="AZ809" s="153" t="s">
        <v>2240</v>
      </c>
      <c r="BA809" s="153">
        <v>2007</v>
      </c>
      <c r="BB809" s="153">
        <v>2008</v>
      </c>
      <c r="BC809" s="153" t="s">
        <v>1</v>
      </c>
      <c r="BD809" s="2"/>
      <c r="BE809" s="2" t="s">
        <v>2249</v>
      </c>
      <c r="BF809" s="2" t="s">
        <v>64</v>
      </c>
      <c r="BG809" s="153" t="s">
        <v>1243</v>
      </c>
      <c r="BH809" s="2" t="s">
        <v>2242</v>
      </c>
      <c r="BI809" s="153" t="s">
        <v>29</v>
      </c>
      <c r="BJ809" s="154" t="s">
        <v>22</v>
      </c>
      <c r="BK809" s="155">
        <v>55500</v>
      </c>
      <c r="BL809" s="2" t="s">
        <v>56</v>
      </c>
      <c r="BM809" t="s">
        <v>2250</v>
      </c>
      <c r="BN809" s="153" t="s">
        <v>29</v>
      </c>
      <c r="BO809" s="2" t="s">
        <v>22</v>
      </c>
      <c r="BP809" s="2">
        <v>55000</v>
      </c>
      <c r="BQ809" s="2"/>
      <c r="BR809" s="2"/>
      <c r="BS809" s="2"/>
      <c r="BT809" s="2"/>
      <c r="BU809" s="2"/>
      <c r="BV809" s="2"/>
      <c r="BW809" s="3"/>
      <c r="BX809" s="3"/>
      <c r="BY809" s="3"/>
      <c r="BZ809" s="3"/>
      <c r="CA809" s="3"/>
      <c r="CB809" s="3"/>
      <c r="CC809" s="3"/>
      <c r="CD809" s="3"/>
      <c r="CE809" s="3"/>
      <c r="CF809" s="3"/>
      <c r="CG809" s="3"/>
      <c r="CH809" s="3"/>
      <c r="CI809" s="3"/>
      <c r="CJ809" s="3"/>
      <c r="CK809" s="3"/>
      <c r="CL809" s="3"/>
      <c r="CM809" s="3"/>
      <c r="CN809" s="3"/>
      <c r="CO809" s="3"/>
      <c r="CP809" s="3"/>
      <c r="CQ809" s="3"/>
      <c r="CR809" s="3"/>
      <c r="CS809" s="3"/>
      <c r="CT809" s="3"/>
      <c r="CU809" s="3"/>
      <c r="CV809" s="3"/>
      <c r="CW809" s="3"/>
      <c r="CX809" s="3"/>
      <c r="CY809" s="3"/>
      <c r="CZ809" s="3"/>
      <c r="DA809" s="3"/>
      <c r="DB809" s="3"/>
      <c r="DC809" s="3"/>
      <c r="DD809" s="3"/>
      <c r="DE809" s="3"/>
      <c r="DF809" s="3"/>
      <c r="DG809" s="3"/>
      <c r="DH809" s="3"/>
      <c r="DI809" s="3"/>
      <c r="DJ809" s="3"/>
      <c r="DK809" s="3"/>
      <c r="DL809" s="3"/>
      <c r="DM809" s="3"/>
      <c r="DN809" s="3"/>
      <c r="DO809" s="3"/>
      <c r="DP809" s="3"/>
      <c r="DQ809" s="3"/>
      <c r="DR809" s="3"/>
      <c r="DS809" s="3"/>
      <c r="DT809" s="3"/>
      <c r="DU809" s="3"/>
      <c r="DV809" s="3"/>
      <c r="DW809" s="3"/>
      <c r="DX809" s="3"/>
      <c r="DY809" s="3"/>
      <c r="DZ809" s="3"/>
      <c r="EA809" s="3"/>
      <c r="EB809" s="3"/>
      <c r="EC809" s="3"/>
      <c r="ED809" s="3"/>
      <c r="EE809" s="2"/>
      <c r="EF809" s="2"/>
      <c r="EG809" s="2"/>
      <c r="EH809" s="2"/>
      <c r="EI809" s="2"/>
      <c r="EJ809" s="2"/>
      <c r="EK809" s="2"/>
      <c r="EL809" s="2"/>
      <c r="EM809" s="3"/>
      <c r="EN809" s="3"/>
      <c r="EO809" s="3"/>
      <c r="EP809" s="3"/>
      <c r="EQ809" s="3"/>
      <c r="ER809" s="3"/>
      <c r="ES809" s="3"/>
      <c r="ET809" s="3"/>
      <c r="EU809" s="3"/>
      <c r="EV809" s="3"/>
      <c r="EW809" s="3"/>
      <c r="EX809" s="3"/>
      <c r="EY809" s="3"/>
      <c r="EZ809" s="3"/>
      <c r="FA809" s="3"/>
      <c r="FB809" s="3"/>
      <c r="FC809" s="3"/>
      <c r="FD809" s="3"/>
      <c r="FE809" s="3"/>
      <c r="FF809" s="3"/>
      <c r="FG809" s="3"/>
      <c r="FH809" s="3"/>
      <c r="FI809" s="3"/>
      <c r="FJ809" s="3"/>
      <c r="FK809" s="3"/>
      <c r="FL809" s="3"/>
      <c r="FM809" s="3"/>
      <c r="FN809" s="3"/>
      <c r="FO809" s="3"/>
      <c r="FP809" s="3"/>
      <c r="FQ809" s="3"/>
      <c r="FR809" s="3"/>
      <c r="FS809" s="3"/>
      <c r="FT809" s="3"/>
      <c r="FU809" s="3"/>
      <c r="FV809" s="3"/>
      <c r="FW809" s="3"/>
      <c r="FX809" s="3"/>
      <c r="FY809" s="3"/>
      <c r="FZ809" s="3"/>
      <c r="GA809" s="3"/>
      <c r="GB809" s="3"/>
      <c r="GC809" s="3"/>
      <c r="GD809" s="3"/>
      <c r="GE809" s="3"/>
      <c r="GF809" s="3"/>
      <c r="GG809" s="3"/>
      <c r="GH809" s="3"/>
      <c r="GI809" s="3"/>
      <c r="GJ809" s="3"/>
      <c r="GK809" s="3"/>
      <c r="GL809" s="3"/>
      <c r="GM809" s="3"/>
      <c r="GN809" s="3"/>
      <c r="GO809" s="3"/>
      <c r="GP809" s="3"/>
      <c r="GQ809" s="3"/>
      <c r="GR809" s="3"/>
      <c r="GS809" s="3"/>
      <c r="GT809" s="3"/>
      <c r="GU809" s="3"/>
      <c r="GV809" s="3"/>
      <c r="GW809" s="3"/>
      <c r="GX809" s="3"/>
      <c r="GY809" s="3"/>
      <c r="GZ809" s="3"/>
      <c r="HA809" s="3"/>
      <c r="HB809" s="3"/>
      <c r="HC809" s="3"/>
      <c r="HD809" s="3"/>
      <c r="HE809" s="3"/>
      <c r="HF809" s="3"/>
      <c r="HG809" s="3"/>
      <c r="HH809" s="3"/>
      <c r="HI809" s="3"/>
      <c r="HJ809" s="3"/>
      <c r="HK809" s="3"/>
      <c r="HL809" s="2"/>
      <c r="HM809" s="2"/>
      <c r="HN809" s="2"/>
      <c r="HO809" s="2"/>
      <c r="HP809" s="2"/>
      <c r="HQ809" s="2"/>
      <c r="HR809" s="2"/>
      <c r="HS809" s="2"/>
      <c r="HT809" s="99"/>
      <c r="HU809" s="2"/>
      <c r="HV809" s="2"/>
      <c r="HW809" s="2"/>
      <c r="HX809" s="2"/>
      <c r="HY809" s="2"/>
      <c r="HZ809" s="2"/>
      <c r="IA809" s="2"/>
      <c r="IB809" s="2"/>
      <c r="IC809" s="2"/>
      <c r="ID809" s="2"/>
      <c r="IE809" s="2"/>
      <c r="IF809" s="2"/>
      <c r="IG809" s="153" t="s">
        <v>2243</v>
      </c>
      <c r="IH809" s="168" t="s">
        <v>1453</v>
      </c>
      <c r="II809" s="169" t="s">
        <v>1477</v>
      </c>
      <c r="IJ809" s="170" t="s">
        <v>661</v>
      </c>
      <c r="IK809" s="2">
        <v>2007</v>
      </c>
      <c r="IL809" s="2" t="s">
        <v>62</v>
      </c>
      <c r="IM809" s="2" t="s">
        <v>29</v>
      </c>
      <c r="IP809" s="2"/>
      <c r="IQ809" s="2"/>
      <c r="IR809" s="2"/>
      <c r="IS809" s="2"/>
      <c r="IT809" s="2"/>
      <c r="IU809" s="2"/>
      <c r="IV809" s="2"/>
      <c r="IW809" s="2"/>
      <c r="IX809" s="2"/>
      <c r="IY809" s="2"/>
      <c r="IZ809" s="2"/>
      <c r="JA809" s="2"/>
      <c r="JB809" s="2"/>
      <c r="JC809" s="2"/>
      <c r="JD809" s="2"/>
      <c r="JE809" s="2"/>
      <c r="JF809" s="2"/>
      <c r="JG809" s="2"/>
      <c r="JH809" s="2"/>
      <c r="JI809" s="2"/>
      <c r="JJ809" s="2"/>
      <c r="JK809" s="159" t="s">
        <v>14</v>
      </c>
      <c r="JL809" s="160" t="s">
        <v>1682</v>
      </c>
      <c r="JM809" s="99"/>
      <c r="JQ809" s="2"/>
      <c r="JR809" s="2"/>
      <c r="JS809" s="2"/>
      <c r="JT809" s="2"/>
      <c r="JU809" s="2"/>
      <c r="JV809" s="2"/>
      <c r="JW809" s="2"/>
      <c r="JX809" s="161"/>
      <c r="JY809" s="171"/>
      <c r="JZ809" s="99"/>
      <c r="KA809" s="2"/>
      <c r="KB809" s="99"/>
      <c r="KC809" s="2"/>
      <c r="KD809" s="2"/>
      <c r="KE809" s="2"/>
      <c r="KF809" s="99"/>
      <c r="KG809" s="2"/>
      <c r="KH809" s="168"/>
      <c r="KI809" s="172"/>
      <c r="KJ809" s="2"/>
      <c r="KK809" s="2"/>
      <c r="KL809" s="2"/>
      <c r="KM809" s="2"/>
      <c r="KN809" s="99"/>
      <c r="KO809" s="2"/>
      <c r="KP809" s="168"/>
      <c r="KQ809" s="172"/>
      <c r="KR809" s="2"/>
      <c r="KS809" s="2"/>
      <c r="KT809" s="163"/>
      <c r="KU809" s="181"/>
      <c r="KV809" s="2"/>
      <c r="KW809" s="2"/>
      <c r="KX809" s="2"/>
      <c r="KY809" s="3"/>
      <c r="KZ809" s="3"/>
      <c r="LA809" s="3"/>
      <c r="LB809" s="3"/>
      <c r="LC809" s="99"/>
      <c r="LD809" s="99"/>
      <c r="LE809" s="99"/>
      <c r="LF809" s="99"/>
      <c r="LG809" s="99"/>
      <c r="LH809" s="2"/>
      <c r="LI809" s="99"/>
      <c r="LJ809" s="99"/>
      <c r="LK809" s="99"/>
      <c r="LL809" s="2"/>
      <c r="LM809" s="2"/>
      <c r="LN809" s="2"/>
      <c r="LO809" s="2"/>
      <c r="LP809" s="2"/>
      <c r="LQ809" s="2"/>
      <c r="LR809" s="2"/>
      <c r="LS809" s="2"/>
      <c r="LT809" s="2"/>
      <c r="LU809" s="2"/>
      <c r="LV809" s="2"/>
      <c r="LW809" s="2"/>
      <c r="LX809" s="2"/>
      <c r="LY809" s="2"/>
      <c r="LZ809" s="2"/>
      <c r="MA809" s="2"/>
      <c r="MB809" s="2"/>
      <c r="MC809" s="2"/>
      <c r="MD809" s="2"/>
      <c r="ME809" s="2"/>
      <c r="MF809" s="2"/>
      <c r="MG809" s="2"/>
      <c r="MH809" s="2"/>
      <c r="MI809" s="2"/>
      <c r="MJ809" s="2"/>
      <c r="MK809" s="2"/>
      <c r="ML809" s="2"/>
      <c r="MM809" s="2"/>
      <c r="MN809" s="2"/>
      <c r="MO809" s="2"/>
      <c r="MP809" s="2"/>
      <c r="MQ809" s="2"/>
      <c r="MR809" s="2"/>
      <c r="MS809" s="153" t="s">
        <v>2244</v>
      </c>
      <c r="MT809" s="89">
        <v>64</v>
      </c>
      <c r="MU809" s="153" t="s">
        <v>2254</v>
      </c>
      <c r="MV809" s="164"/>
      <c r="MW809" s="164" t="s">
        <v>2255</v>
      </c>
      <c r="MX809" s="164" t="s">
        <v>2256</v>
      </c>
      <c r="MY809" s="164" t="s">
        <v>2257</v>
      </c>
      <c r="MZ809" s="164"/>
      <c r="NA809" s="164"/>
      <c r="NB809" s="164"/>
      <c r="NC809" s="164"/>
      <c r="ND809" s="153"/>
      <c r="NE809" s="153" t="s">
        <v>2259</v>
      </c>
      <c r="NF809" s="153" t="s">
        <v>2262</v>
      </c>
      <c r="NG809" t="s">
        <v>8</v>
      </c>
      <c r="NH809" s="165" t="s">
        <v>13</v>
      </c>
      <c r="NI809" s="153"/>
      <c r="NJ809" s="153"/>
      <c r="NK809" s="153"/>
      <c r="NL809" s="153"/>
      <c r="NM809" s="153"/>
      <c r="NN809" s="153"/>
      <c r="NO809" s="153"/>
      <c r="NP809" s="153"/>
      <c r="NQ809" s="166" t="s">
        <v>6</v>
      </c>
      <c r="NR809" s="173"/>
      <c r="NS809" s="166" t="s">
        <v>4</v>
      </c>
      <c r="NT809" s="173"/>
      <c r="NU809" s="174"/>
      <c r="NV809" s="2"/>
      <c r="NW809" s="153">
        <v>4</v>
      </c>
      <c r="NX809" s="89">
        <v>935.8</v>
      </c>
      <c r="NY809" s="89">
        <v>90</v>
      </c>
      <c r="NZ809">
        <v>13788.5</v>
      </c>
      <c r="OA809">
        <v>303</v>
      </c>
      <c r="OB809" s="2">
        <v>15817</v>
      </c>
      <c r="OC809" s="2">
        <v>489</v>
      </c>
      <c r="OD809" s="2"/>
      <c r="OE809" s="2"/>
      <c r="OF809" s="2"/>
      <c r="OG809" s="2"/>
      <c r="OH809" s="153" t="s">
        <v>2261</v>
      </c>
      <c r="OI809" s="2"/>
      <c r="OJ809" s="2">
        <v>2007</v>
      </c>
      <c r="OK809" s="2"/>
      <c r="OL809" s="2"/>
      <c r="OM809" s="2" t="s">
        <v>1</v>
      </c>
      <c r="ON809" s="2"/>
      <c r="OO809" t="s">
        <v>1178</v>
      </c>
      <c r="OP809" s="58">
        <v>46134</v>
      </c>
    </row>
    <row r="810" spans="1:406" ht="15.75" thickBot="1">
      <c r="A810" t="s">
        <v>248</v>
      </c>
      <c r="B810" t="s">
        <v>2238</v>
      </c>
      <c r="C810" s="89" t="s">
        <v>34</v>
      </c>
      <c r="D810" s="152" t="s">
        <v>1955</v>
      </c>
      <c r="E810" s="89" t="s">
        <v>1676</v>
      </c>
      <c r="F810" t="s">
        <v>31</v>
      </c>
      <c r="G810" s="89" t="s">
        <v>2</v>
      </c>
      <c r="H810" s="152" t="s">
        <v>30</v>
      </c>
      <c r="I810">
        <v>-0.41666666699999999</v>
      </c>
      <c r="J810">
        <v>34.200000000000003</v>
      </c>
      <c r="K810" s="152" t="s">
        <v>29</v>
      </c>
      <c r="L810" s="89"/>
      <c r="M810" s="152"/>
      <c r="N810" s="89"/>
      <c r="O810" s="89"/>
      <c r="P810" s="89"/>
      <c r="Q810" s="89"/>
      <c r="R810" s="89"/>
      <c r="S810" s="89"/>
      <c r="T810" s="89"/>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89" t="s">
        <v>2239</v>
      </c>
      <c r="AW810" s="89">
        <v>64</v>
      </c>
      <c r="AX810" s="89">
        <v>0.09</v>
      </c>
      <c r="AY810" s="89">
        <v>1</v>
      </c>
      <c r="AZ810" s="153" t="s">
        <v>2240</v>
      </c>
      <c r="BA810" s="153">
        <v>2007</v>
      </c>
      <c r="BB810" s="153">
        <v>2008</v>
      </c>
      <c r="BC810" s="153" t="s">
        <v>62</v>
      </c>
      <c r="BD810" s="89"/>
      <c r="BE810" s="153" t="s">
        <v>2241</v>
      </c>
      <c r="BF810" s="153" t="s">
        <v>39</v>
      </c>
      <c r="BG810" s="153" t="s">
        <v>1243</v>
      </c>
      <c r="BH810" s="153" t="s">
        <v>2242</v>
      </c>
      <c r="BI810" s="153" t="s">
        <v>29</v>
      </c>
      <c r="BJ810" s="154" t="s">
        <v>22</v>
      </c>
      <c r="BK810" s="155">
        <v>111000</v>
      </c>
      <c r="BL810" s="89"/>
      <c r="BM810" s="89"/>
      <c r="BN810" s="89"/>
      <c r="BO810" s="152"/>
      <c r="BP810" s="175"/>
      <c r="BQ810" s="89"/>
      <c r="BR810" s="89"/>
      <c r="BS810" s="89"/>
      <c r="BT810" s="152"/>
      <c r="BU810" s="175"/>
      <c r="BV810" s="89"/>
      <c r="BW810" s="3"/>
      <c r="BX810" s="3"/>
      <c r="BY810" s="3"/>
      <c r="BZ810" s="3"/>
      <c r="CA810" s="3"/>
      <c r="CB810" s="3"/>
      <c r="CC810" s="3"/>
      <c r="CD810" s="3"/>
      <c r="CE810" s="3"/>
      <c r="CF810" s="3"/>
      <c r="CG810" s="3"/>
      <c r="CH810" s="3"/>
      <c r="CI810" s="3"/>
      <c r="CJ810" s="3"/>
      <c r="CK810" s="3"/>
      <c r="CL810" s="3"/>
      <c r="CM810" s="3"/>
      <c r="CN810" s="3"/>
      <c r="CO810" s="3"/>
      <c r="CP810" s="3"/>
      <c r="CQ810" s="3"/>
      <c r="CR810" s="3"/>
      <c r="CS810" s="3"/>
      <c r="CT810" s="3"/>
      <c r="CU810" s="3"/>
      <c r="CV810" s="3"/>
      <c r="CW810" s="3"/>
      <c r="CX810" s="3"/>
      <c r="CY810" s="3"/>
      <c r="CZ810" s="3"/>
      <c r="DA810" s="3"/>
      <c r="DB810" s="3"/>
      <c r="DC810" s="3"/>
      <c r="DD810" s="3"/>
      <c r="DE810" s="3"/>
      <c r="DF810" s="3"/>
      <c r="DG810" s="3"/>
      <c r="DH810" s="3"/>
      <c r="DI810" s="3"/>
      <c r="DJ810" s="3"/>
      <c r="DK810" s="3"/>
      <c r="DL810" s="3"/>
      <c r="DM810" s="3"/>
      <c r="DN810" s="3"/>
      <c r="DO810" s="3"/>
      <c r="DP810" s="3"/>
      <c r="DQ810" s="3"/>
      <c r="DR810" s="3"/>
      <c r="DS810" s="3"/>
      <c r="DT810" s="3"/>
      <c r="DU810" s="3"/>
      <c r="DV810" s="3"/>
      <c r="DW810" s="3"/>
      <c r="DX810" s="3"/>
      <c r="DY810" s="3"/>
      <c r="DZ810" s="3"/>
      <c r="EA810" s="3"/>
      <c r="EB810" s="3"/>
      <c r="EC810" s="3"/>
      <c r="ED810" s="3"/>
      <c r="EE810" s="89"/>
      <c r="EF810" s="89"/>
      <c r="EG810" s="89"/>
      <c r="EH810" s="89"/>
      <c r="EI810" s="89"/>
      <c r="EJ810" s="89"/>
      <c r="EK810" s="89"/>
      <c r="EL810" s="89"/>
      <c r="EM810" s="3"/>
      <c r="EN810" s="3"/>
      <c r="EO810" s="3"/>
      <c r="EP810" s="3"/>
      <c r="EQ810" s="3"/>
      <c r="ER810" s="3"/>
      <c r="ES810" s="3"/>
      <c r="ET810" s="3"/>
      <c r="EU810" s="3"/>
      <c r="EV810" s="3"/>
      <c r="EW810" s="3"/>
      <c r="EX810" s="3"/>
      <c r="EY810" s="3"/>
      <c r="EZ810" s="3"/>
      <c r="FA810" s="3"/>
      <c r="FB810" s="3"/>
      <c r="FC810" s="3"/>
      <c r="FD810" s="3"/>
      <c r="FE810" s="3"/>
      <c r="FF810" s="3"/>
      <c r="FG810" s="3"/>
      <c r="FH810" s="3"/>
      <c r="FI810" s="3"/>
      <c r="FJ810" s="3"/>
      <c r="FK810" s="3"/>
      <c r="FL810" s="3"/>
      <c r="FM810" s="3"/>
      <c r="FN810" s="3"/>
      <c r="FO810" s="3"/>
      <c r="FP810" s="3"/>
      <c r="FQ810" s="3"/>
      <c r="FR810" s="3"/>
      <c r="FS810" s="3"/>
      <c r="FT810" s="3"/>
      <c r="FU810" s="3"/>
      <c r="FV810" s="3"/>
      <c r="FW810" s="3"/>
      <c r="FX810" s="3"/>
      <c r="FY810" s="3"/>
      <c r="FZ810" s="3"/>
      <c r="GA810" s="3"/>
      <c r="GB810" s="3"/>
      <c r="GC810" s="3"/>
      <c r="GD810" s="3"/>
      <c r="GE810" s="3"/>
      <c r="GF810" s="3"/>
      <c r="GG810" s="3"/>
      <c r="GH810" s="3"/>
      <c r="GI810" s="3"/>
      <c r="GJ810" s="3"/>
      <c r="GK810" s="3"/>
      <c r="GL810" s="3"/>
      <c r="GM810" s="3"/>
      <c r="GN810" s="3"/>
      <c r="GO810" s="3"/>
      <c r="GP810" s="3"/>
      <c r="GQ810" s="3"/>
      <c r="GR810" s="3"/>
      <c r="GS810" s="3"/>
      <c r="GT810" s="3"/>
      <c r="GU810" s="3"/>
      <c r="GV810" s="3"/>
      <c r="GW810" s="3"/>
      <c r="GX810" s="3"/>
      <c r="GY810" s="3"/>
      <c r="GZ810" s="3"/>
      <c r="HA810" s="3"/>
      <c r="HB810" s="3"/>
      <c r="HC810" s="3"/>
      <c r="HD810" s="3"/>
      <c r="HE810" s="3"/>
      <c r="HF810" s="3"/>
      <c r="HG810" s="3"/>
      <c r="HH810" s="3"/>
      <c r="HI810" s="3"/>
      <c r="HJ810" s="3"/>
      <c r="HK810" s="3"/>
      <c r="HL810" s="89"/>
      <c r="HM810" s="89"/>
      <c r="HN810" s="89"/>
      <c r="HO810" s="89"/>
      <c r="HP810" s="89"/>
      <c r="HQ810" s="89"/>
      <c r="HR810" s="89"/>
      <c r="HS810" s="89"/>
      <c r="HT810" s="152"/>
      <c r="HU810" s="89"/>
      <c r="HV810" s="89"/>
      <c r="HW810" s="89"/>
      <c r="HX810" s="89"/>
      <c r="HY810" s="89"/>
      <c r="HZ810" s="89"/>
      <c r="IA810" s="89"/>
      <c r="IB810" s="89"/>
      <c r="IC810" s="89"/>
      <c r="ID810" s="89"/>
      <c r="IE810" s="89"/>
      <c r="IF810" s="89"/>
      <c r="IG810" s="153" t="s">
        <v>2243</v>
      </c>
      <c r="IH810" s="157" t="s">
        <v>19</v>
      </c>
      <c r="II810" s="89"/>
      <c r="IJ810" s="89"/>
      <c r="IK810" s="89"/>
      <c r="IL810" s="89"/>
      <c r="IM810" s="89"/>
      <c r="IP810" s="89"/>
      <c r="IQ810" s="89"/>
      <c r="IR810" s="89"/>
      <c r="IS810" s="89"/>
      <c r="IT810" s="89"/>
      <c r="IU810" s="89"/>
      <c r="IV810" s="152"/>
      <c r="IW810" s="89"/>
      <c r="IX810" s="89"/>
      <c r="IY810" s="89"/>
      <c r="IZ810" s="89"/>
      <c r="JA810" s="89"/>
      <c r="JB810" s="89"/>
      <c r="JC810" s="89"/>
      <c r="JD810" s="89"/>
      <c r="JE810" s="89"/>
      <c r="JF810" s="89"/>
      <c r="JG810" s="89"/>
      <c r="JH810" s="89"/>
      <c r="JI810" s="89"/>
      <c r="JJ810" s="89"/>
      <c r="JK810" s="159" t="s">
        <v>14</v>
      </c>
      <c r="JL810" s="160" t="s">
        <v>1682</v>
      </c>
      <c r="JM810" s="152"/>
      <c r="JQ810" s="89"/>
      <c r="JR810" s="89"/>
      <c r="JS810" s="89"/>
      <c r="JT810" s="89"/>
      <c r="JU810" s="89"/>
      <c r="JV810" s="89"/>
      <c r="JW810" s="89"/>
      <c r="JX810" s="161"/>
      <c r="JY810" s="159"/>
      <c r="JZ810" s="152"/>
      <c r="KA810" s="89"/>
      <c r="KB810" s="152"/>
      <c r="KC810" s="89"/>
      <c r="KD810" s="89"/>
      <c r="KE810" s="89"/>
      <c r="KF810" s="152"/>
      <c r="KG810" s="89"/>
      <c r="KH810" s="157"/>
      <c r="KI810" s="178"/>
      <c r="KJ810" s="89"/>
      <c r="KK810" s="89"/>
      <c r="KL810" s="89"/>
      <c r="KM810" s="89"/>
      <c r="KN810" s="152"/>
      <c r="KO810" s="89"/>
      <c r="KP810" s="182"/>
      <c r="KQ810" s="159"/>
      <c r="KR810" s="89"/>
      <c r="KS810" s="89"/>
      <c r="KT810" s="163"/>
      <c r="KU810" s="178"/>
      <c r="KV810" s="89"/>
      <c r="KW810" s="89"/>
      <c r="KX810" s="89"/>
      <c r="KY810" s="3"/>
      <c r="KZ810" s="3"/>
      <c r="LA810" s="3"/>
      <c r="LB810" s="3"/>
      <c r="LC810" s="152"/>
      <c r="LD810" s="152"/>
      <c r="LE810" s="152"/>
      <c r="LF810" s="152"/>
      <c r="LG810" s="152"/>
      <c r="LH810" s="89"/>
      <c r="LI810" s="152"/>
      <c r="LJ810" s="152"/>
      <c r="LK810" s="152"/>
      <c r="LL810" s="89"/>
      <c r="LM810" s="89"/>
      <c r="LN810" s="89"/>
      <c r="LO810" s="89"/>
      <c r="LP810" s="89"/>
      <c r="LQ810" s="89"/>
      <c r="LR810" s="89"/>
      <c r="LS810" s="89"/>
      <c r="LT810" s="89"/>
      <c r="LU810" s="89"/>
      <c r="LV810" s="89"/>
      <c r="LW810" s="89"/>
      <c r="LX810" s="89"/>
      <c r="LY810" s="89"/>
      <c r="LZ810" s="89"/>
      <c r="MA810" s="89"/>
      <c r="MB810" s="89"/>
      <c r="MC810" s="89"/>
      <c r="MD810" s="89"/>
      <c r="ME810" s="89"/>
      <c r="MF810" s="89"/>
      <c r="MG810" s="89"/>
      <c r="MH810" s="89"/>
      <c r="MI810" s="89"/>
      <c r="MJ810" s="89"/>
      <c r="MK810" s="89"/>
      <c r="ML810" s="89"/>
      <c r="MM810" s="89"/>
      <c r="MN810" s="89"/>
      <c r="MO810" s="89"/>
      <c r="MP810" s="89"/>
      <c r="MQ810" s="89"/>
      <c r="MR810" s="89"/>
      <c r="MS810" s="153" t="s">
        <v>2244</v>
      </c>
      <c r="MT810" s="89">
        <v>64</v>
      </c>
      <c r="MU810" s="153" t="s">
        <v>2254</v>
      </c>
      <c r="MV810" s="164"/>
      <c r="MW810" s="164" t="s">
        <v>2255</v>
      </c>
      <c r="MX810" s="164" t="s">
        <v>2256</v>
      </c>
      <c r="MY810" s="164"/>
      <c r="MZ810" s="164"/>
      <c r="NA810" s="164"/>
      <c r="NB810" s="164"/>
      <c r="NC810" s="164"/>
      <c r="ND810" s="153"/>
      <c r="NE810" s="153" t="s">
        <v>2259</v>
      </c>
      <c r="NF810" s="153" t="s">
        <v>2260</v>
      </c>
      <c r="NG810" t="s">
        <v>8</v>
      </c>
      <c r="NH810" s="165" t="s">
        <v>13</v>
      </c>
      <c r="NI810" s="153"/>
      <c r="NJ810" s="153"/>
      <c r="NK810" s="153"/>
      <c r="NL810" s="153"/>
      <c r="NM810" s="153"/>
      <c r="NN810" s="153"/>
      <c r="NO810" s="153"/>
      <c r="NP810" s="153" t="s">
        <v>64</v>
      </c>
      <c r="NQ810" s="166" t="s">
        <v>6</v>
      </c>
      <c r="NR810" s="173"/>
      <c r="NS810" s="166" t="s">
        <v>4</v>
      </c>
      <c r="NT810" s="97"/>
      <c r="NU810" s="180"/>
      <c r="NV810" s="89"/>
      <c r="NW810" s="153">
        <v>4</v>
      </c>
      <c r="NX810" s="2">
        <v>598.9</v>
      </c>
      <c r="NY810" s="2">
        <v>44</v>
      </c>
      <c r="NZ810">
        <v>4852</v>
      </c>
      <c r="OA810">
        <v>209</v>
      </c>
      <c r="OB810" s="89"/>
      <c r="OC810" s="89"/>
      <c r="OD810" s="89"/>
      <c r="OE810" s="89"/>
      <c r="OF810" s="89"/>
      <c r="OG810" s="89"/>
      <c r="OH810" s="153" t="s">
        <v>2261</v>
      </c>
      <c r="OI810" s="89"/>
      <c r="OJ810" s="89">
        <v>2008</v>
      </c>
      <c r="OK810" s="89"/>
      <c r="OL810" s="89"/>
      <c r="OM810" s="153" t="s">
        <v>62</v>
      </c>
      <c r="ON810" s="89"/>
      <c r="OO810" t="s">
        <v>1178</v>
      </c>
      <c r="OP810" s="58">
        <v>46134</v>
      </c>
    </row>
    <row r="811" spans="1:406" ht="15.75" thickBot="1">
      <c r="A811" t="s">
        <v>248</v>
      </c>
      <c r="B811" t="s">
        <v>2238</v>
      </c>
      <c r="C811" s="89" t="s">
        <v>34</v>
      </c>
      <c r="D811" s="152" t="s">
        <v>1955</v>
      </c>
      <c r="E811" s="89" t="s">
        <v>1676</v>
      </c>
      <c r="F811" t="s">
        <v>31</v>
      </c>
      <c r="G811" s="89" t="s">
        <v>2</v>
      </c>
      <c r="H811" s="152" t="s">
        <v>30</v>
      </c>
      <c r="I811">
        <v>-0.41666666699999999</v>
      </c>
      <c r="J811">
        <v>34.200000000000003</v>
      </c>
      <c r="K811" s="152" t="s">
        <v>29</v>
      </c>
      <c r="L811" s="2"/>
      <c r="M811" s="99"/>
      <c r="N811" s="2"/>
      <c r="O811" s="89"/>
      <c r="P811" s="2"/>
      <c r="Q811" s="2"/>
      <c r="R811" s="89"/>
      <c r="S811" s="89"/>
      <c r="T811" s="89"/>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89" t="s">
        <v>2239</v>
      </c>
      <c r="AW811" s="89">
        <v>64</v>
      </c>
      <c r="AX811" s="89">
        <v>0.09</v>
      </c>
      <c r="AY811" s="89">
        <v>1</v>
      </c>
      <c r="AZ811" s="153" t="s">
        <v>2240</v>
      </c>
      <c r="BA811" s="153">
        <v>2007</v>
      </c>
      <c r="BB811" s="153">
        <v>2008</v>
      </c>
      <c r="BC811" s="153" t="s">
        <v>62</v>
      </c>
      <c r="BD811" s="2"/>
      <c r="BE811" s="2" t="s">
        <v>2249</v>
      </c>
      <c r="BF811" s="2" t="s">
        <v>64</v>
      </c>
      <c r="BG811" s="153" t="s">
        <v>1243</v>
      </c>
      <c r="BH811" s="2" t="s">
        <v>2242</v>
      </c>
      <c r="BI811" s="153" t="s">
        <v>29</v>
      </c>
      <c r="BJ811" s="154" t="s">
        <v>22</v>
      </c>
      <c r="BK811" s="155">
        <v>55500</v>
      </c>
      <c r="BL811" s="2" t="s">
        <v>56</v>
      </c>
      <c r="BM811" t="s">
        <v>2250</v>
      </c>
      <c r="BN811" s="153" t="s">
        <v>29</v>
      </c>
      <c r="BO811" s="2" t="s">
        <v>22</v>
      </c>
      <c r="BP811" s="2">
        <v>55000</v>
      </c>
      <c r="BQ811" s="2"/>
      <c r="BR811" s="2"/>
      <c r="BS811" s="2"/>
      <c r="BT811" s="99"/>
      <c r="BU811" s="2"/>
      <c r="BV811" s="2"/>
      <c r="BW811" s="3"/>
      <c r="BX811" s="3"/>
      <c r="BY811" s="3"/>
      <c r="BZ811" s="3"/>
      <c r="CA811" s="3"/>
      <c r="CB811" s="3"/>
      <c r="CC811" s="3"/>
      <c r="CD811" s="3"/>
      <c r="CE811" s="3"/>
      <c r="CF811" s="3"/>
      <c r="CG811" s="3"/>
      <c r="CH811" s="3"/>
      <c r="CI811" s="3"/>
      <c r="CJ811" s="3"/>
      <c r="CK811" s="3"/>
      <c r="CL811" s="3"/>
      <c r="CM811" s="3"/>
      <c r="CN811" s="3"/>
      <c r="CO811" s="3"/>
      <c r="CP811" s="3"/>
      <c r="CQ811" s="3"/>
      <c r="CR811" s="3"/>
      <c r="CS811" s="3"/>
      <c r="CT811" s="3"/>
      <c r="CU811" s="3"/>
      <c r="CV811" s="3"/>
      <c r="CW811" s="3"/>
      <c r="CX811" s="3"/>
      <c r="CY811" s="3"/>
      <c r="CZ811" s="3"/>
      <c r="DA811" s="3"/>
      <c r="DB811" s="3"/>
      <c r="DC811" s="3"/>
      <c r="DD811" s="3"/>
      <c r="DE811" s="3"/>
      <c r="DF811" s="3"/>
      <c r="DG811" s="3"/>
      <c r="DH811" s="3"/>
      <c r="DI811" s="3"/>
      <c r="DJ811" s="3"/>
      <c r="DK811" s="3"/>
      <c r="DL811" s="3"/>
      <c r="DM811" s="3"/>
      <c r="DN811" s="3"/>
      <c r="DO811" s="3"/>
      <c r="DP811" s="3"/>
      <c r="DQ811" s="3"/>
      <c r="DR811" s="3"/>
      <c r="DS811" s="3"/>
      <c r="DT811" s="3"/>
      <c r="DU811" s="3"/>
      <c r="DV811" s="3"/>
      <c r="DW811" s="3"/>
      <c r="DX811" s="3"/>
      <c r="DY811" s="3"/>
      <c r="DZ811" s="3"/>
      <c r="EA811" s="3"/>
      <c r="EB811" s="3"/>
      <c r="EC811" s="3"/>
      <c r="ED811" s="3"/>
      <c r="EE811" s="2"/>
      <c r="EF811" s="2"/>
      <c r="EG811" s="2"/>
      <c r="EH811" s="2"/>
      <c r="EI811" s="2"/>
      <c r="EJ811" s="2"/>
      <c r="EK811" s="2"/>
      <c r="EL811" s="2"/>
      <c r="EM811" s="3"/>
      <c r="EN811" s="3"/>
      <c r="EO811" s="3"/>
      <c r="EP811" s="3"/>
      <c r="EQ811" s="3"/>
      <c r="ER811" s="3"/>
      <c r="ES811" s="3"/>
      <c r="ET811" s="3"/>
      <c r="EU811" s="3"/>
      <c r="EV811" s="3"/>
      <c r="EW811" s="3"/>
      <c r="EX811" s="3"/>
      <c r="EY811" s="3"/>
      <c r="EZ811" s="3"/>
      <c r="FA811" s="3"/>
      <c r="FB811" s="3"/>
      <c r="FC811" s="3"/>
      <c r="FD811" s="3"/>
      <c r="FE811" s="3"/>
      <c r="FF811" s="3"/>
      <c r="FG811" s="3"/>
      <c r="FH811" s="3"/>
      <c r="FI811" s="3"/>
      <c r="FJ811" s="3"/>
      <c r="FK811" s="3"/>
      <c r="FL811" s="3"/>
      <c r="FM811" s="3"/>
      <c r="FN811" s="3"/>
      <c r="FO811" s="3"/>
      <c r="FP811" s="3"/>
      <c r="FQ811" s="3"/>
      <c r="FR811" s="3"/>
      <c r="FS811" s="3"/>
      <c r="FT811" s="3"/>
      <c r="FU811" s="3"/>
      <c r="FV811" s="3"/>
      <c r="FW811" s="3"/>
      <c r="FX811" s="3"/>
      <c r="FY811" s="3"/>
      <c r="FZ811" s="3"/>
      <c r="GA811" s="3"/>
      <c r="GB811" s="3"/>
      <c r="GC811" s="3"/>
      <c r="GD811" s="3"/>
      <c r="GE811" s="3"/>
      <c r="GF811" s="3"/>
      <c r="GG811" s="3"/>
      <c r="GH811" s="3"/>
      <c r="GI811" s="3"/>
      <c r="GJ811" s="3"/>
      <c r="GK811" s="3"/>
      <c r="GL811" s="3"/>
      <c r="GM811" s="3"/>
      <c r="GN811" s="3"/>
      <c r="GO811" s="3"/>
      <c r="GP811" s="3"/>
      <c r="GQ811" s="3"/>
      <c r="GR811" s="3"/>
      <c r="GS811" s="3"/>
      <c r="GT811" s="3"/>
      <c r="GU811" s="3"/>
      <c r="GV811" s="3"/>
      <c r="GW811" s="3"/>
      <c r="GX811" s="3"/>
      <c r="GY811" s="3"/>
      <c r="GZ811" s="3"/>
      <c r="HA811" s="3"/>
      <c r="HB811" s="3"/>
      <c r="HC811" s="3"/>
      <c r="HD811" s="3"/>
      <c r="HE811" s="3"/>
      <c r="HF811" s="3"/>
      <c r="HG811" s="3"/>
      <c r="HH811" s="3"/>
      <c r="HI811" s="3"/>
      <c r="HJ811" s="3"/>
      <c r="HK811" s="3"/>
      <c r="HL811" s="2"/>
      <c r="HM811" s="2"/>
      <c r="HN811" s="2"/>
      <c r="HO811" s="2"/>
      <c r="HP811" s="2"/>
      <c r="HQ811" s="2"/>
      <c r="HR811" s="2"/>
      <c r="HS811" s="2"/>
      <c r="HT811" s="99"/>
      <c r="HU811" s="2"/>
      <c r="HV811" s="2"/>
      <c r="HW811" s="2"/>
      <c r="HX811" s="2"/>
      <c r="HY811" s="2"/>
      <c r="HZ811" s="2"/>
      <c r="IA811" s="2"/>
      <c r="IB811" s="2"/>
      <c r="IC811" s="2"/>
      <c r="ID811" s="2"/>
      <c r="IE811" s="2"/>
      <c r="IF811" s="2"/>
      <c r="IG811" s="153" t="s">
        <v>2243</v>
      </c>
      <c r="IH811" s="168" t="s">
        <v>1453</v>
      </c>
      <c r="II811" s="169" t="s">
        <v>1477</v>
      </c>
      <c r="IJ811" s="170" t="s">
        <v>661</v>
      </c>
      <c r="IK811" s="2">
        <v>2007</v>
      </c>
      <c r="IL811" s="2" t="s">
        <v>62</v>
      </c>
      <c r="IM811" s="2" t="s">
        <v>29</v>
      </c>
      <c r="IP811" s="2"/>
      <c r="IQ811" s="2"/>
      <c r="IR811" s="2"/>
      <c r="IS811" s="2"/>
      <c r="IT811" s="2"/>
      <c r="IU811" s="2"/>
      <c r="IV811" s="99"/>
      <c r="IW811" s="2"/>
      <c r="IX811" s="2"/>
      <c r="IY811" s="2"/>
      <c r="IZ811" s="2"/>
      <c r="JA811" s="2"/>
      <c r="JB811" s="2"/>
      <c r="JC811" s="2"/>
      <c r="JD811" s="2"/>
      <c r="JE811" s="2"/>
      <c r="JF811" s="2"/>
      <c r="JG811" s="2"/>
      <c r="JH811" s="2"/>
      <c r="JI811" s="2"/>
      <c r="JJ811" s="2"/>
      <c r="JK811" s="159" t="s">
        <v>14</v>
      </c>
      <c r="JL811" s="160" t="s">
        <v>1682</v>
      </c>
      <c r="JM811" s="99"/>
      <c r="JQ811" s="2"/>
      <c r="JR811" s="2"/>
      <c r="JS811" s="2"/>
      <c r="JT811" s="2"/>
      <c r="JU811" s="2"/>
      <c r="JV811" s="2"/>
      <c r="JW811" s="2"/>
      <c r="JX811" s="161"/>
      <c r="JY811" s="171"/>
      <c r="JZ811" s="99"/>
      <c r="KA811" s="2"/>
      <c r="KB811" s="99"/>
      <c r="KC811" s="2"/>
      <c r="KD811" s="2"/>
      <c r="KE811" s="2"/>
      <c r="KF811" s="99"/>
      <c r="KG811" s="2"/>
      <c r="KH811" s="168"/>
      <c r="KI811" s="172"/>
      <c r="KJ811" s="2"/>
      <c r="KK811" s="2"/>
      <c r="KL811" s="2"/>
      <c r="KM811" s="2"/>
      <c r="KN811" s="99"/>
      <c r="KO811" s="2"/>
      <c r="KP811" s="182"/>
      <c r="KQ811" s="171"/>
      <c r="KR811" s="2"/>
      <c r="KS811" s="2"/>
      <c r="KT811" s="163"/>
      <c r="KU811" s="172"/>
      <c r="KV811" s="2"/>
      <c r="KW811" s="2"/>
      <c r="KX811" s="2"/>
      <c r="KY811" s="3"/>
      <c r="KZ811" s="3"/>
      <c r="LA811" s="3"/>
      <c r="LB811" s="3"/>
      <c r="LC811" s="99"/>
      <c r="LD811" s="99"/>
      <c r="LE811" s="99"/>
      <c r="LF811" s="99"/>
      <c r="LG811" s="99"/>
      <c r="LH811" s="2"/>
      <c r="LI811" s="99"/>
      <c r="LJ811" s="99"/>
      <c r="LK811" s="99"/>
      <c r="LL811" s="2"/>
      <c r="LM811" s="2"/>
      <c r="LN811" s="2"/>
      <c r="LO811" s="2"/>
      <c r="LP811" s="2"/>
      <c r="LQ811" s="2"/>
      <c r="LR811" s="2"/>
      <c r="LS811" s="2"/>
      <c r="LT811" s="2"/>
      <c r="LU811" s="2"/>
      <c r="LV811" s="2"/>
      <c r="LW811" s="2"/>
      <c r="LX811" s="2"/>
      <c r="LY811" s="2"/>
      <c r="LZ811" s="2"/>
      <c r="MA811" s="2"/>
      <c r="MB811" s="2"/>
      <c r="MC811" s="2"/>
      <c r="MD811" s="2"/>
      <c r="ME811" s="2"/>
      <c r="MF811" s="2"/>
      <c r="MG811" s="2"/>
      <c r="MH811" s="2"/>
      <c r="MI811" s="2"/>
      <c r="MJ811" s="2"/>
      <c r="MK811" s="2"/>
      <c r="ML811" s="2"/>
      <c r="MM811" s="2"/>
      <c r="MN811" s="2"/>
      <c r="MO811" s="2"/>
      <c r="MP811" s="2"/>
      <c r="MQ811" s="2"/>
      <c r="MR811" s="2"/>
      <c r="MS811" s="153" t="s">
        <v>2244</v>
      </c>
      <c r="MT811" s="89">
        <v>64</v>
      </c>
      <c r="MU811" s="153" t="s">
        <v>2254</v>
      </c>
      <c r="MV811" s="164"/>
      <c r="MW811" s="164" t="s">
        <v>2255</v>
      </c>
      <c r="MX811" s="164" t="s">
        <v>2256</v>
      </c>
      <c r="MY811" s="164" t="s">
        <v>2257</v>
      </c>
      <c r="MZ811" s="164"/>
      <c r="NA811" s="164"/>
      <c r="NB811" s="164"/>
      <c r="NC811" s="164"/>
      <c r="ND811" s="153"/>
      <c r="NE811" s="153" t="s">
        <v>2259</v>
      </c>
      <c r="NF811" s="153" t="s">
        <v>2262</v>
      </c>
      <c r="NG811" t="s">
        <v>8</v>
      </c>
      <c r="NH811" s="165" t="s">
        <v>13</v>
      </c>
      <c r="NI811" s="153"/>
      <c r="NJ811" s="153"/>
      <c r="NK811" s="153"/>
      <c r="NL811" s="153"/>
      <c r="NM811" s="153"/>
      <c r="NN811" s="153"/>
      <c r="NO811" s="153"/>
      <c r="NP811" s="153"/>
      <c r="NQ811" s="166" t="s">
        <v>6</v>
      </c>
      <c r="NR811" s="173"/>
      <c r="NS811" s="166" t="s">
        <v>4</v>
      </c>
      <c r="NT811" s="173"/>
      <c r="NU811" s="174"/>
      <c r="NV811" s="2"/>
      <c r="NW811" s="153">
        <v>4</v>
      </c>
      <c r="NX811" s="89">
        <v>943.8</v>
      </c>
      <c r="NY811" s="89">
        <v>45</v>
      </c>
      <c r="NZ811">
        <v>14336.7</v>
      </c>
      <c r="OA811">
        <v>458</v>
      </c>
      <c r="OB811" s="2">
        <v>14391.6</v>
      </c>
      <c r="OC811" s="2">
        <v>795</v>
      </c>
      <c r="OD811" s="2"/>
      <c r="OE811" s="2"/>
      <c r="OF811" s="2"/>
      <c r="OG811" s="2"/>
      <c r="OH811" s="153" t="s">
        <v>2261</v>
      </c>
      <c r="OI811" s="2"/>
      <c r="OJ811" s="2">
        <v>2008</v>
      </c>
      <c r="OK811" s="2"/>
      <c r="OL811" s="2"/>
      <c r="OM811" s="153" t="s">
        <v>62</v>
      </c>
      <c r="ON811" s="2"/>
      <c r="OO811" t="s">
        <v>1178</v>
      </c>
      <c r="OP811" s="58">
        <v>46134</v>
      </c>
    </row>
    <row r="812" spans="1:406" ht="15.75" thickBot="1">
      <c r="A812" t="s">
        <v>248</v>
      </c>
      <c r="B812" t="s">
        <v>2238</v>
      </c>
      <c r="C812" s="89" t="s">
        <v>34</v>
      </c>
      <c r="D812" s="152" t="s">
        <v>1955</v>
      </c>
      <c r="E812" s="89" t="s">
        <v>1676</v>
      </c>
      <c r="F812" t="s">
        <v>31</v>
      </c>
      <c r="G812" s="89" t="s">
        <v>2</v>
      </c>
      <c r="H812" s="152" t="s">
        <v>30</v>
      </c>
      <c r="I812">
        <v>-0.41666666699999999</v>
      </c>
      <c r="J812">
        <v>34.200000000000003</v>
      </c>
      <c r="K812" s="152" t="s">
        <v>29</v>
      </c>
      <c r="L812" s="89"/>
      <c r="M812" s="152"/>
      <c r="N812" s="89"/>
      <c r="O812" s="89"/>
      <c r="P812" s="89"/>
      <c r="Q812" s="89"/>
      <c r="R812" s="89"/>
      <c r="S812" s="89"/>
      <c r="T812" s="89"/>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c r="AV812" s="89" t="s">
        <v>2239</v>
      </c>
      <c r="AW812" s="89">
        <v>64</v>
      </c>
      <c r="AX812" s="89">
        <v>0.09</v>
      </c>
      <c r="AY812" s="89">
        <v>1</v>
      </c>
      <c r="AZ812" s="153" t="s">
        <v>2240</v>
      </c>
      <c r="BA812" s="153">
        <v>2007</v>
      </c>
      <c r="BB812" s="153">
        <v>2008</v>
      </c>
      <c r="BC812" s="153" t="s">
        <v>1</v>
      </c>
      <c r="BD812" s="89"/>
      <c r="BE812" s="153" t="s">
        <v>2241</v>
      </c>
      <c r="BF812" s="153" t="s">
        <v>39</v>
      </c>
      <c r="BG812" s="153" t="s">
        <v>1243</v>
      </c>
      <c r="BH812" s="153" t="s">
        <v>2242</v>
      </c>
      <c r="BI812" s="153" t="s">
        <v>29</v>
      </c>
      <c r="BJ812" s="154" t="s">
        <v>22</v>
      </c>
      <c r="BK812" s="155">
        <v>111000</v>
      </c>
      <c r="BL812" s="89"/>
      <c r="BM812" s="89"/>
      <c r="BN812" s="89"/>
      <c r="BO812" s="152"/>
      <c r="BP812" s="175"/>
      <c r="BQ812" s="89"/>
      <c r="BR812" s="89"/>
      <c r="BS812" s="89"/>
      <c r="BT812" s="152"/>
      <c r="BU812" s="175"/>
      <c r="BV812" s="89"/>
      <c r="BW812" s="3"/>
      <c r="BX812" s="3"/>
      <c r="BY812" s="3"/>
      <c r="BZ812" s="3"/>
      <c r="CA812" s="3"/>
      <c r="CB812" s="3"/>
      <c r="CC812" s="3"/>
      <c r="CD812" s="3"/>
      <c r="CE812" s="3"/>
      <c r="CF812" s="3"/>
      <c r="CG812" s="3"/>
      <c r="CH812" s="3"/>
      <c r="CI812" s="3"/>
      <c r="CJ812" s="3"/>
      <c r="CK812" s="3"/>
      <c r="CL812" s="3"/>
      <c r="CM812" s="3"/>
      <c r="CN812" s="3"/>
      <c r="CO812" s="3"/>
      <c r="CP812" s="3"/>
      <c r="CQ812" s="3"/>
      <c r="CR812" s="3"/>
      <c r="CS812" s="3"/>
      <c r="CT812" s="3"/>
      <c r="CU812" s="3"/>
      <c r="CV812" s="3"/>
      <c r="CW812" s="3"/>
      <c r="CX812" s="3"/>
      <c r="CY812" s="3"/>
      <c r="CZ812" s="3"/>
      <c r="DA812" s="3"/>
      <c r="DB812" s="3"/>
      <c r="DC812" s="3"/>
      <c r="DD812" s="3"/>
      <c r="DE812" s="3"/>
      <c r="DF812" s="3"/>
      <c r="DG812" s="3"/>
      <c r="DH812" s="3"/>
      <c r="DI812" s="3"/>
      <c r="DJ812" s="3"/>
      <c r="DK812" s="3"/>
      <c r="DL812" s="3"/>
      <c r="DM812" s="3"/>
      <c r="DN812" s="3"/>
      <c r="DO812" s="3"/>
      <c r="DP812" s="3"/>
      <c r="DQ812" s="3"/>
      <c r="DR812" s="3"/>
      <c r="DS812" s="3"/>
      <c r="DT812" s="3"/>
      <c r="DU812" s="3"/>
      <c r="DV812" s="3"/>
      <c r="DW812" s="3"/>
      <c r="DX812" s="3"/>
      <c r="DY812" s="3"/>
      <c r="DZ812" s="3"/>
      <c r="EA812" s="3"/>
      <c r="EB812" s="3"/>
      <c r="EC812" s="3"/>
      <c r="ED812" s="3"/>
      <c r="EE812" s="89"/>
      <c r="EF812" s="89"/>
      <c r="EG812" s="89"/>
      <c r="EH812" s="89"/>
      <c r="EI812" s="89"/>
      <c r="EJ812" s="89"/>
      <c r="EK812" s="89"/>
      <c r="EL812" s="89"/>
      <c r="EM812" s="3"/>
      <c r="EN812" s="3"/>
      <c r="EO812" s="3"/>
      <c r="EP812" s="3"/>
      <c r="EQ812" s="3"/>
      <c r="ER812" s="3"/>
      <c r="ES812" s="3"/>
      <c r="ET812" s="3"/>
      <c r="EU812" s="3"/>
      <c r="EV812" s="3"/>
      <c r="EW812" s="3"/>
      <c r="EX812" s="3"/>
      <c r="EY812" s="3"/>
      <c r="EZ812" s="3"/>
      <c r="FA812" s="3"/>
      <c r="FB812" s="3"/>
      <c r="FC812" s="3"/>
      <c r="FD812" s="3"/>
      <c r="FE812" s="3"/>
      <c r="FF812" s="3"/>
      <c r="FG812" s="3"/>
      <c r="FH812" s="3"/>
      <c r="FI812" s="3"/>
      <c r="FJ812" s="3"/>
      <c r="FK812" s="3"/>
      <c r="FL812" s="3"/>
      <c r="FM812" s="3"/>
      <c r="FN812" s="3"/>
      <c r="FO812" s="3"/>
      <c r="FP812" s="3"/>
      <c r="FQ812" s="3"/>
      <c r="FR812" s="3"/>
      <c r="FS812" s="3"/>
      <c r="FT812" s="3"/>
      <c r="FU812" s="3"/>
      <c r="FV812" s="3"/>
      <c r="FW812" s="3"/>
      <c r="FX812" s="3"/>
      <c r="FY812" s="3"/>
      <c r="FZ812" s="3"/>
      <c r="GA812" s="3"/>
      <c r="GB812" s="3"/>
      <c r="GC812" s="3"/>
      <c r="GD812" s="3"/>
      <c r="GE812" s="3"/>
      <c r="GF812" s="3"/>
      <c r="GG812" s="3"/>
      <c r="GH812" s="3"/>
      <c r="GI812" s="3"/>
      <c r="GJ812" s="3"/>
      <c r="GK812" s="3"/>
      <c r="GL812" s="3"/>
      <c r="GM812" s="3"/>
      <c r="GN812" s="3"/>
      <c r="GO812" s="3"/>
      <c r="GP812" s="3"/>
      <c r="GQ812" s="3"/>
      <c r="GR812" s="3"/>
      <c r="GS812" s="3"/>
      <c r="GT812" s="3"/>
      <c r="GU812" s="3"/>
      <c r="GV812" s="3"/>
      <c r="GW812" s="3"/>
      <c r="GX812" s="3"/>
      <c r="GY812" s="3"/>
      <c r="GZ812" s="3"/>
      <c r="HA812" s="3"/>
      <c r="HB812" s="3"/>
      <c r="HC812" s="3"/>
      <c r="HD812" s="3"/>
      <c r="HE812" s="3"/>
      <c r="HF812" s="3"/>
      <c r="HG812" s="3"/>
      <c r="HH812" s="3"/>
      <c r="HI812" s="3"/>
      <c r="HJ812" s="3"/>
      <c r="HK812" s="3"/>
      <c r="HL812" s="89"/>
      <c r="HM812" s="89"/>
      <c r="HN812" s="89"/>
      <c r="HO812" s="89"/>
      <c r="HP812" s="89"/>
      <c r="HQ812" s="89"/>
      <c r="HR812" s="89"/>
      <c r="HS812" s="89"/>
      <c r="HT812" s="152"/>
      <c r="HU812" s="89"/>
      <c r="HV812" s="89"/>
      <c r="HW812" s="89"/>
      <c r="HX812" s="89"/>
      <c r="HY812" s="89"/>
      <c r="HZ812" s="89"/>
      <c r="IA812" s="89"/>
      <c r="IB812" s="89"/>
      <c r="IC812" s="89"/>
      <c r="ID812" s="89"/>
      <c r="IE812" s="89"/>
      <c r="IF812" s="89"/>
      <c r="IG812" s="153" t="s">
        <v>2243</v>
      </c>
      <c r="IH812" s="157" t="s">
        <v>19</v>
      </c>
      <c r="II812" s="89"/>
      <c r="IJ812" s="89"/>
      <c r="IK812" s="89"/>
      <c r="IL812" s="89"/>
      <c r="IM812" s="89"/>
      <c r="IP812" s="89"/>
      <c r="IQ812" s="89"/>
      <c r="IR812" s="89"/>
      <c r="IS812" s="89"/>
      <c r="IT812" s="89"/>
      <c r="IU812" s="89"/>
      <c r="IV812" s="152"/>
      <c r="IW812" s="89"/>
      <c r="IX812" s="89"/>
      <c r="IY812" s="89"/>
      <c r="IZ812" s="89"/>
      <c r="JA812" s="89"/>
      <c r="JB812" s="89"/>
      <c r="JC812" s="89"/>
      <c r="JD812" s="89"/>
      <c r="JE812" s="89"/>
      <c r="JF812" s="89"/>
      <c r="JG812" s="89"/>
      <c r="JH812" s="89"/>
      <c r="JI812" s="89"/>
      <c r="JJ812" s="89"/>
      <c r="JK812" s="159" t="s">
        <v>14</v>
      </c>
      <c r="JL812" s="160" t="s">
        <v>1682</v>
      </c>
      <c r="JM812" s="152"/>
      <c r="JQ812" s="89"/>
      <c r="JR812" s="89"/>
      <c r="JS812" s="89"/>
      <c r="JT812" s="89"/>
      <c r="JU812" s="89"/>
      <c r="JV812" s="89"/>
      <c r="JW812" s="89"/>
      <c r="JX812" s="161"/>
      <c r="JY812" s="159"/>
      <c r="JZ812" s="152"/>
      <c r="KA812" s="89"/>
      <c r="KB812" s="152"/>
      <c r="KC812" s="89"/>
      <c r="KD812" s="89"/>
      <c r="KE812" s="89"/>
      <c r="KF812" s="152"/>
      <c r="KG812" s="89"/>
      <c r="KH812" s="157"/>
      <c r="KI812" s="178"/>
      <c r="KJ812" s="89"/>
      <c r="KK812" s="89"/>
      <c r="KL812" s="89"/>
      <c r="KM812" s="89"/>
      <c r="KN812" s="152"/>
      <c r="KO812" s="89"/>
      <c r="KP812" s="182"/>
      <c r="KQ812" s="159"/>
      <c r="KR812" s="89"/>
      <c r="KS812" s="89"/>
      <c r="KT812" s="163"/>
      <c r="KU812" s="178"/>
      <c r="KV812" s="89"/>
      <c r="KW812" s="89"/>
      <c r="KX812" s="89"/>
      <c r="KY812" s="3"/>
      <c r="KZ812" s="3"/>
      <c r="LA812" s="3"/>
      <c r="LB812" s="3"/>
      <c r="LC812" s="152"/>
      <c r="LD812" s="152"/>
      <c r="LE812" s="152"/>
      <c r="LF812" s="152"/>
      <c r="LG812" s="152"/>
      <c r="LH812" s="89"/>
      <c r="LI812" s="152"/>
      <c r="LJ812" s="152"/>
      <c r="LK812" s="152"/>
      <c r="LL812" s="89"/>
      <c r="LM812" s="89"/>
      <c r="LN812" s="89"/>
      <c r="LO812" s="89"/>
      <c r="LP812" s="89"/>
      <c r="LQ812" s="89"/>
      <c r="LR812" s="89"/>
      <c r="LS812" s="89"/>
      <c r="LT812" s="89"/>
      <c r="LU812" s="89"/>
      <c r="LV812" s="89"/>
      <c r="LW812" s="89"/>
      <c r="LX812" s="89"/>
      <c r="LY812" s="89"/>
      <c r="LZ812" s="89"/>
      <c r="MA812" s="89"/>
      <c r="MB812" s="89"/>
      <c r="MC812" s="89"/>
      <c r="MD812" s="89"/>
      <c r="ME812" s="89"/>
      <c r="MF812" s="89"/>
      <c r="MG812" s="89"/>
      <c r="MH812" s="89"/>
      <c r="MI812" s="89"/>
      <c r="MJ812" s="89"/>
      <c r="MK812" s="89"/>
      <c r="ML812" s="89"/>
      <c r="MM812" s="89"/>
      <c r="MN812" s="89"/>
      <c r="MO812" s="89"/>
      <c r="MP812" s="89"/>
      <c r="MQ812" s="89"/>
      <c r="MR812" s="89"/>
      <c r="MS812" s="153" t="s">
        <v>2244</v>
      </c>
      <c r="MT812" s="89">
        <v>64</v>
      </c>
      <c r="MU812" s="153" t="s">
        <v>2254</v>
      </c>
      <c r="MV812" s="164"/>
      <c r="MW812" s="164" t="s">
        <v>2255</v>
      </c>
      <c r="MX812" s="164"/>
      <c r="MY812" s="164"/>
      <c r="MZ812" s="164"/>
      <c r="NA812" s="164"/>
      <c r="NB812" s="164"/>
      <c r="NC812" s="164"/>
      <c r="ND812" s="153"/>
      <c r="NE812" s="153" t="s">
        <v>2259</v>
      </c>
      <c r="NF812" s="153" t="s">
        <v>2260</v>
      </c>
      <c r="NG812" t="s">
        <v>8</v>
      </c>
      <c r="NH812" s="165" t="s">
        <v>13</v>
      </c>
      <c r="NI812" s="153"/>
      <c r="NJ812" s="153"/>
      <c r="NK812" s="153"/>
      <c r="NL812" s="153"/>
      <c r="NM812" s="153"/>
      <c r="NN812" s="153"/>
      <c r="NO812" s="153"/>
      <c r="NP812" s="153" t="s">
        <v>64</v>
      </c>
      <c r="NQ812" s="166" t="s">
        <v>6</v>
      </c>
      <c r="NR812" s="173"/>
      <c r="NS812" s="166" t="s">
        <v>4</v>
      </c>
      <c r="NT812" s="97"/>
      <c r="NU812" s="180"/>
      <c r="NV812" s="89"/>
      <c r="NW812" s="153">
        <v>4</v>
      </c>
      <c r="NX812" s="2">
        <v>508</v>
      </c>
      <c r="NY812" s="2">
        <v>56</v>
      </c>
      <c r="OB812" s="89"/>
      <c r="OC812" s="89"/>
      <c r="OD812" s="89"/>
      <c r="OE812" s="89"/>
      <c r="OF812" s="89"/>
      <c r="OG812" s="89"/>
      <c r="OH812" s="153" t="s">
        <v>2261</v>
      </c>
      <c r="OI812" s="89"/>
      <c r="OJ812" s="89">
        <v>2008</v>
      </c>
      <c r="OK812" s="89"/>
      <c r="OL812" s="89"/>
      <c r="OM812" s="89" t="s">
        <v>1</v>
      </c>
      <c r="ON812" s="89"/>
      <c r="OO812" t="s">
        <v>1178</v>
      </c>
      <c r="OP812" s="58">
        <v>46134</v>
      </c>
    </row>
    <row r="813" spans="1:406" ht="15.75" thickBot="1">
      <c r="A813" t="s">
        <v>248</v>
      </c>
      <c r="B813" t="s">
        <v>2238</v>
      </c>
      <c r="C813" s="89" t="s">
        <v>34</v>
      </c>
      <c r="D813" s="152" t="s">
        <v>1955</v>
      </c>
      <c r="E813" s="89" t="s">
        <v>1676</v>
      </c>
      <c r="F813" t="s">
        <v>31</v>
      </c>
      <c r="G813" s="89" t="s">
        <v>2</v>
      </c>
      <c r="H813" s="152" t="s">
        <v>30</v>
      </c>
      <c r="I813">
        <v>-0.41666666699999999</v>
      </c>
      <c r="J813">
        <v>34.200000000000003</v>
      </c>
      <c r="K813" s="152" t="s">
        <v>29</v>
      </c>
      <c r="L813" s="2"/>
      <c r="M813" s="99"/>
      <c r="N813" s="2"/>
      <c r="O813" s="89"/>
      <c r="P813" s="2"/>
      <c r="Q813" s="2"/>
      <c r="R813" s="89"/>
      <c r="S813" s="89"/>
      <c r="T813" s="89"/>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c r="AV813" s="89" t="s">
        <v>2239</v>
      </c>
      <c r="AW813" s="89">
        <v>64</v>
      </c>
      <c r="AX813" s="89">
        <v>0.09</v>
      </c>
      <c r="AY813" s="89">
        <v>1</v>
      </c>
      <c r="AZ813" s="153" t="s">
        <v>2240</v>
      </c>
      <c r="BA813" s="153">
        <v>2007</v>
      </c>
      <c r="BB813" s="153">
        <v>2008</v>
      </c>
      <c r="BC813" s="153" t="s">
        <v>1</v>
      </c>
      <c r="BD813" s="2"/>
      <c r="BE813" s="2" t="s">
        <v>2249</v>
      </c>
      <c r="BF813" s="2" t="s">
        <v>64</v>
      </c>
      <c r="BG813" s="153" t="s">
        <v>1243</v>
      </c>
      <c r="BH813" s="2" t="s">
        <v>2242</v>
      </c>
      <c r="BI813" s="153" t="s">
        <v>29</v>
      </c>
      <c r="BJ813" s="154" t="s">
        <v>22</v>
      </c>
      <c r="BK813" s="155">
        <v>55500</v>
      </c>
      <c r="BL813" s="2" t="s">
        <v>56</v>
      </c>
      <c r="BM813" t="s">
        <v>2250</v>
      </c>
      <c r="BN813" s="153" t="s">
        <v>29</v>
      </c>
      <c r="BO813" s="2" t="s">
        <v>22</v>
      </c>
      <c r="BP813" s="2">
        <v>55000</v>
      </c>
      <c r="BQ813" s="2"/>
      <c r="BR813" s="2"/>
      <c r="BS813" s="2"/>
      <c r="BT813" s="99"/>
      <c r="BU813" s="2"/>
      <c r="BV813" s="2"/>
      <c r="BW813" s="3"/>
      <c r="BX813" s="3"/>
      <c r="BY813" s="3"/>
      <c r="BZ813" s="3"/>
      <c r="CA813" s="3"/>
      <c r="CB813" s="3"/>
      <c r="CC813" s="3"/>
      <c r="CD813" s="3"/>
      <c r="CE813" s="3"/>
      <c r="CF813" s="3"/>
      <c r="CG813" s="3"/>
      <c r="CH813" s="3"/>
      <c r="CI813" s="3"/>
      <c r="CJ813" s="3"/>
      <c r="CK813" s="3"/>
      <c r="CL813" s="3"/>
      <c r="CM813" s="3"/>
      <c r="CN813" s="3"/>
      <c r="CO813" s="3"/>
      <c r="CP813" s="3"/>
      <c r="CQ813" s="3"/>
      <c r="CR813" s="3"/>
      <c r="CS813" s="3"/>
      <c r="CT813" s="3"/>
      <c r="CU813" s="3"/>
      <c r="CV813" s="3"/>
      <c r="CW813" s="3"/>
      <c r="CX813" s="3"/>
      <c r="CY813" s="3"/>
      <c r="CZ813" s="3"/>
      <c r="DA813" s="3"/>
      <c r="DB813" s="3"/>
      <c r="DC813" s="3"/>
      <c r="DD813" s="3"/>
      <c r="DE813" s="3"/>
      <c r="DF813" s="3"/>
      <c r="DG813" s="3"/>
      <c r="DH813" s="3"/>
      <c r="DI813" s="3"/>
      <c r="DJ813" s="3"/>
      <c r="DK813" s="3"/>
      <c r="DL813" s="3"/>
      <c r="DM813" s="3"/>
      <c r="DN813" s="3"/>
      <c r="DO813" s="3"/>
      <c r="DP813" s="3"/>
      <c r="DQ813" s="3"/>
      <c r="DR813" s="3"/>
      <c r="DS813" s="3"/>
      <c r="DT813" s="3"/>
      <c r="DU813" s="3"/>
      <c r="DV813" s="3"/>
      <c r="DW813" s="3"/>
      <c r="DX813" s="3"/>
      <c r="DY813" s="3"/>
      <c r="DZ813" s="3"/>
      <c r="EA813" s="3"/>
      <c r="EB813" s="3"/>
      <c r="EC813" s="3"/>
      <c r="ED813" s="3"/>
      <c r="EE813" s="2"/>
      <c r="EF813" s="2"/>
      <c r="EG813" s="2"/>
      <c r="EH813" s="2"/>
      <c r="EI813" s="2"/>
      <c r="EJ813" s="2"/>
      <c r="EK813" s="2"/>
      <c r="EL813" s="2"/>
      <c r="EM813" s="3"/>
      <c r="EN813" s="3"/>
      <c r="EO813" s="3"/>
      <c r="EP813" s="3"/>
      <c r="EQ813" s="3"/>
      <c r="ER813" s="3"/>
      <c r="ES813" s="3"/>
      <c r="ET813" s="3"/>
      <c r="EU813" s="3"/>
      <c r="EV813" s="3"/>
      <c r="EW813" s="3"/>
      <c r="EX813" s="3"/>
      <c r="EY813" s="3"/>
      <c r="EZ813" s="3"/>
      <c r="FA813" s="3"/>
      <c r="FB813" s="3"/>
      <c r="FC813" s="3"/>
      <c r="FD813" s="3"/>
      <c r="FE813" s="3"/>
      <c r="FF813" s="3"/>
      <c r="FG813" s="3"/>
      <c r="FH813" s="3"/>
      <c r="FI813" s="3"/>
      <c r="FJ813" s="3"/>
      <c r="FK813" s="3"/>
      <c r="FL813" s="3"/>
      <c r="FM813" s="3"/>
      <c r="FN813" s="3"/>
      <c r="FO813" s="3"/>
      <c r="FP813" s="3"/>
      <c r="FQ813" s="3"/>
      <c r="FR813" s="3"/>
      <c r="FS813" s="3"/>
      <c r="FT813" s="3"/>
      <c r="FU813" s="3"/>
      <c r="FV813" s="3"/>
      <c r="FW813" s="3"/>
      <c r="FX813" s="3"/>
      <c r="FY813" s="3"/>
      <c r="FZ813" s="3"/>
      <c r="GA813" s="3"/>
      <c r="GB813" s="3"/>
      <c r="GC813" s="3"/>
      <c r="GD813" s="3"/>
      <c r="GE813" s="3"/>
      <c r="GF813" s="3"/>
      <c r="GG813" s="3"/>
      <c r="GH813" s="3"/>
      <c r="GI813" s="3"/>
      <c r="GJ813" s="3"/>
      <c r="GK813" s="3"/>
      <c r="GL813" s="3"/>
      <c r="GM813" s="3"/>
      <c r="GN813" s="3"/>
      <c r="GO813" s="3"/>
      <c r="GP813" s="3"/>
      <c r="GQ813" s="3"/>
      <c r="GR813" s="3"/>
      <c r="GS813" s="3"/>
      <c r="GT813" s="3"/>
      <c r="GU813" s="3"/>
      <c r="GV813" s="3"/>
      <c r="GW813" s="3"/>
      <c r="GX813" s="3"/>
      <c r="GY813" s="3"/>
      <c r="GZ813" s="3"/>
      <c r="HA813" s="3"/>
      <c r="HB813" s="3"/>
      <c r="HC813" s="3"/>
      <c r="HD813" s="3"/>
      <c r="HE813" s="3"/>
      <c r="HF813" s="3"/>
      <c r="HG813" s="3"/>
      <c r="HH813" s="3"/>
      <c r="HI813" s="3"/>
      <c r="HJ813" s="3"/>
      <c r="HK813" s="3"/>
      <c r="HL813" s="2"/>
      <c r="HM813" s="2"/>
      <c r="HN813" s="2"/>
      <c r="HO813" s="2"/>
      <c r="HP813" s="2"/>
      <c r="HQ813" s="2"/>
      <c r="HR813" s="2"/>
      <c r="HS813" s="2"/>
      <c r="HT813" s="99"/>
      <c r="HU813" s="2"/>
      <c r="HV813" s="2"/>
      <c r="HW813" s="2"/>
      <c r="HX813" s="2"/>
      <c r="HY813" s="2"/>
      <c r="HZ813" s="2"/>
      <c r="IA813" s="2"/>
      <c r="IB813" s="2"/>
      <c r="IC813" s="2"/>
      <c r="ID813" s="2"/>
      <c r="IE813" s="2"/>
      <c r="IF813" s="2"/>
      <c r="IG813" s="153" t="s">
        <v>2243</v>
      </c>
      <c r="IH813" s="168" t="s">
        <v>1453</v>
      </c>
      <c r="II813" s="169" t="s">
        <v>1477</v>
      </c>
      <c r="IJ813" s="170" t="s">
        <v>661</v>
      </c>
      <c r="IK813" s="2">
        <v>2007</v>
      </c>
      <c r="IL813" s="2" t="s">
        <v>62</v>
      </c>
      <c r="IM813" s="2" t="s">
        <v>29</v>
      </c>
      <c r="IP813" s="2"/>
      <c r="IQ813" s="2"/>
      <c r="IR813" s="2"/>
      <c r="IS813" s="2"/>
      <c r="IT813" s="2"/>
      <c r="IU813" s="2"/>
      <c r="IV813" s="99"/>
      <c r="IW813" s="2"/>
      <c r="IX813" s="2"/>
      <c r="IY813" s="2"/>
      <c r="IZ813" s="2"/>
      <c r="JA813" s="2"/>
      <c r="JB813" s="2"/>
      <c r="JC813" s="2"/>
      <c r="JD813" s="2"/>
      <c r="JE813" s="2"/>
      <c r="JF813" s="2"/>
      <c r="JG813" s="2"/>
      <c r="JH813" s="2"/>
      <c r="JI813" s="2"/>
      <c r="JJ813" s="2"/>
      <c r="JK813" s="159" t="s">
        <v>14</v>
      </c>
      <c r="JL813" s="160" t="s">
        <v>1682</v>
      </c>
      <c r="JM813" s="99"/>
      <c r="JQ813" s="2"/>
      <c r="JR813" s="2"/>
      <c r="JS813" s="2"/>
      <c r="JT813" s="2"/>
      <c r="JU813" s="2"/>
      <c r="JV813" s="2"/>
      <c r="JW813" s="2"/>
      <c r="JX813" s="161"/>
      <c r="JY813" s="171"/>
      <c r="JZ813" s="99"/>
      <c r="KA813" s="2"/>
      <c r="KB813" s="99"/>
      <c r="KC813" s="2"/>
      <c r="KD813" s="2"/>
      <c r="KE813" s="2"/>
      <c r="KF813" s="99"/>
      <c r="KG813" s="2"/>
      <c r="KH813" s="168"/>
      <c r="KI813" s="172"/>
      <c r="KJ813" s="2"/>
      <c r="KK813" s="2"/>
      <c r="KL813" s="2"/>
      <c r="KM813" s="2"/>
      <c r="KN813" s="99"/>
      <c r="KO813" s="2"/>
      <c r="KP813" s="182"/>
      <c r="KQ813" s="171"/>
      <c r="KR813" s="2"/>
      <c r="KS813" s="2"/>
      <c r="KT813" s="163"/>
      <c r="KU813" s="172"/>
      <c r="KV813" s="2"/>
      <c r="KW813" s="2"/>
      <c r="KX813" s="2"/>
      <c r="KY813" s="3"/>
      <c r="KZ813" s="3"/>
      <c r="LA813" s="3"/>
      <c r="LB813" s="3"/>
      <c r="LC813" s="99"/>
      <c r="LD813" s="99"/>
      <c r="LE813" s="99"/>
      <c r="LF813" s="99"/>
      <c r="LG813" s="99"/>
      <c r="LH813" s="2"/>
      <c r="LI813" s="99"/>
      <c r="LJ813" s="99"/>
      <c r="LK813" s="99"/>
      <c r="LL813" s="2"/>
      <c r="LM813" s="2"/>
      <c r="LN813" s="2"/>
      <c r="LO813" s="2"/>
      <c r="LP813" s="2"/>
      <c r="LQ813" s="2"/>
      <c r="LR813" s="2"/>
      <c r="LS813" s="2"/>
      <c r="LT813" s="2"/>
      <c r="LU813" s="2"/>
      <c r="LV813" s="2"/>
      <c r="LW813" s="2"/>
      <c r="LX813" s="2"/>
      <c r="LY813" s="2"/>
      <c r="LZ813" s="2"/>
      <c r="MA813" s="2"/>
      <c r="MB813" s="2"/>
      <c r="MC813" s="2"/>
      <c r="MD813" s="2"/>
      <c r="ME813" s="2"/>
      <c r="MF813" s="2"/>
      <c r="MG813" s="2"/>
      <c r="MH813" s="2"/>
      <c r="MI813" s="2"/>
      <c r="MJ813" s="2"/>
      <c r="MK813" s="2"/>
      <c r="ML813" s="2"/>
      <c r="MM813" s="2"/>
      <c r="MN813" s="2"/>
      <c r="MO813" s="2"/>
      <c r="MP813" s="2"/>
      <c r="MQ813" s="2"/>
      <c r="MR813" s="2"/>
      <c r="MS813" s="153" t="s">
        <v>2244</v>
      </c>
      <c r="MT813" s="89">
        <v>64</v>
      </c>
      <c r="MU813" s="153" t="s">
        <v>2254</v>
      </c>
      <c r="MV813" s="164"/>
      <c r="MW813" s="164" t="s">
        <v>2255</v>
      </c>
      <c r="MX813" s="164"/>
      <c r="MY813" s="164"/>
      <c r="MZ813" s="164"/>
      <c r="NA813" s="164"/>
      <c r="NB813" s="164"/>
      <c r="NC813" s="164"/>
      <c r="ND813" s="153"/>
      <c r="NE813" s="153" t="s">
        <v>2259</v>
      </c>
      <c r="NF813" s="153" t="s">
        <v>2262</v>
      </c>
      <c r="NG813" t="s">
        <v>8</v>
      </c>
      <c r="NH813" s="165" t="s">
        <v>13</v>
      </c>
      <c r="NI813" s="153"/>
      <c r="NJ813" s="153"/>
      <c r="NK813" s="153"/>
      <c r="NL813" s="153"/>
      <c r="NM813" s="153"/>
      <c r="NN813" s="153"/>
      <c r="NO813" s="153"/>
      <c r="NP813" s="153"/>
      <c r="NQ813" s="166" t="s">
        <v>6</v>
      </c>
      <c r="NR813" s="173"/>
      <c r="NS813" s="166" t="s">
        <v>4</v>
      </c>
      <c r="NT813" s="173"/>
      <c r="NU813" s="174"/>
      <c r="NV813" s="2"/>
      <c r="NW813" s="153">
        <v>4</v>
      </c>
      <c r="NX813" s="89">
        <v>882.3</v>
      </c>
      <c r="NY813" s="89">
        <v>75</v>
      </c>
      <c r="OB813" s="2"/>
      <c r="OC813" s="2"/>
      <c r="OD813" s="2"/>
      <c r="OE813" s="2"/>
      <c r="OF813" s="2"/>
      <c r="OG813" s="2"/>
      <c r="OH813" s="153" t="s">
        <v>2261</v>
      </c>
      <c r="OI813" s="2"/>
      <c r="OJ813" s="2">
        <v>2008</v>
      </c>
      <c r="OK813" s="2"/>
      <c r="OL813" s="2"/>
      <c r="OM813" s="2" t="s">
        <v>1</v>
      </c>
      <c r="ON813" s="2"/>
      <c r="OO813" t="s">
        <v>1178</v>
      </c>
      <c r="OP813" s="58">
        <v>46134</v>
      </c>
    </row>
    <row r="814" spans="1:406" ht="17.25" thickBot="1">
      <c r="A814" t="s">
        <v>248</v>
      </c>
      <c r="B814" t="s">
        <v>2238</v>
      </c>
      <c r="C814" s="89" t="s">
        <v>34</v>
      </c>
      <c r="D814" s="152" t="s">
        <v>1955</v>
      </c>
      <c r="E814" s="89" t="s">
        <v>1676</v>
      </c>
      <c r="F814" t="s">
        <v>31</v>
      </c>
      <c r="G814" s="89" t="s">
        <v>2</v>
      </c>
      <c r="H814" s="152" t="s">
        <v>30</v>
      </c>
      <c r="I814">
        <v>-0.41666666699999999</v>
      </c>
      <c r="J814">
        <v>34.200000000000003</v>
      </c>
      <c r="K814" s="152" t="s">
        <v>29</v>
      </c>
      <c r="L814" s="89"/>
      <c r="M814" s="152"/>
      <c r="N814" s="89"/>
      <c r="O814" s="89"/>
      <c r="P814" s="89"/>
      <c r="Q814" s="89"/>
      <c r="R814" s="89"/>
      <c r="S814" s="89"/>
      <c r="T814" s="89"/>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89" t="s">
        <v>2239</v>
      </c>
      <c r="AW814" s="89">
        <v>64</v>
      </c>
      <c r="AX814" s="89">
        <v>0.09</v>
      </c>
      <c r="AY814" s="89">
        <v>1</v>
      </c>
      <c r="AZ814" s="153" t="s">
        <v>2240</v>
      </c>
      <c r="BA814" s="153">
        <v>2007</v>
      </c>
      <c r="BB814" s="153">
        <v>2008</v>
      </c>
      <c r="BC814" s="153" t="s">
        <v>62</v>
      </c>
      <c r="BD814" s="153"/>
      <c r="BE814" s="153" t="s">
        <v>2241</v>
      </c>
      <c r="BF814" s="153" t="s">
        <v>39</v>
      </c>
      <c r="BG814" s="153" t="s">
        <v>1243</v>
      </c>
      <c r="BH814" s="153" t="s">
        <v>2242</v>
      </c>
      <c r="BI814" s="153" t="s">
        <v>29</v>
      </c>
      <c r="BJ814" s="154" t="s">
        <v>22</v>
      </c>
      <c r="BK814" s="155">
        <v>111000</v>
      </c>
      <c r="BL814" s="153"/>
      <c r="BM814" s="153"/>
      <c r="BN814" s="153"/>
      <c r="BO814" s="153"/>
      <c r="BP814" s="153"/>
      <c r="BQ814" s="153"/>
      <c r="BR814" s="153"/>
      <c r="BS814" s="153"/>
      <c r="BT814" s="153"/>
      <c r="BU814" s="153"/>
      <c r="BV814" s="153"/>
      <c r="BW814" s="3"/>
      <c r="BX814" s="3"/>
      <c r="BY814" s="3"/>
      <c r="BZ814" s="3"/>
      <c r="CA814" s="3"/>
      <c r="CB814" s="3"/>
      <c r="CC814" s="3"/>
      <c r="CD814" s="3"/>
      <c r="CE814" s="3"/>
      <c r="CF814" s="3"/>
      <c r="CG814" s="3"/>
      <c r="CH814" s="3"/>
      <c r="CI814" s="3"/>
      <c r="CJ814" s="3"/>
      <c r="CK814" s="3"/>
      <c r="CL814" s="3"/>
      <c r="CM814" s="3"/>
      <c r="CN814" s="3"/>
      <c r="CO814" s="3"/>
      <c r="CP814" s="3"/>
      <c r="CQ814" s="3"/>
      <c r="CR814" s="3"/>
      <c r="CS814" s="3"/>
      <c r="CT814" s="3"/>
      <c r="CU814" s="3"/>
      <c r="CV814" s="3"/>
      <c r="CW814" s="3"/>
      <c r="CX814" s="3"/>
      <c r="CY814" s="3"/>
      <c r="CZ814" s="3"/>
      <c r="DA814" s="3"/>
      <c r="DB814" s="3"/>
      <c r="DC814" s="3"/>
      <c r="DD814" s="3"/>
      <c r="DE814" s="3"/>
      <c r="DF814" s="3"/>
      <c r="DG814" s="3"/>
      <c r="DH814" s="3"/>
      <c r="DI814" s="3"/>
      <c r="DJ814" s="3"/>
      <c r="DK814" s="3"/>
      <c r="DL814" s="3"/>
      <c r="DM814" s="3"/>
      <c r="DN814" s="3"/>
      <c r="DO814" s="3"/>
      <c r="DP814" s="3"/>
      <c r="DQ814" s="3"/>
      <c r="DR814" s="3"/>
      <c r="DS814" s="3"/>
      <c r="DT814" s="3"/>
      <c r="DU814" s="3"/>
      <c r="DV814" s="3"/>
      <c r="DW814" s="3"/>
      <c r="DX814" s="3"/>
      <c r="DY814" s="3"/>
      <c r="DZ814" s="3"/>
      <c r="EA814" s="3"/>
      <c r="EB814" s="3"/>
      <c r="EC814" s="3"/>
      <c r="ED814" s="3"/>
      <c r="EE814" s="2"/>
      <c r="EF814" s="153"/>
      <c r="EG814" s="153"/>
      <c r="EH814" s="153"/>
      <c r="EI814" s="153"/>
      <c r="EJ814" s="153"/>
      <c r="EK814" s="153"/>
      <c r="EL814" s="153"/>
      <c r="EM814" s="3"/>
      <c r="EN814" s="3"/>
      <c r="EO814" s="3"/>
      <c r="EP814" s="3"/>
      <c r="EQ814" s="3"/>
      <c r="ER814" s="3"/>
      <c r="ES814" s="3"/>
      <c r="ET814" s="3"/>
      <c r="EU814" s="3"/>
      <c r="EV814" s="3"/>
      <c r="EW814" s="3"/>
      <c r="EX814" s="3"/>
      <c r="EY814" s="3"/>
      <c r="EZ814" s="3"/>
      <c r="FA814" s="3"/>
      <c r="FB814" s="3"/>
      <c r="FC814" s="3"/>
      <c r="FD814" s="3"/>
      <c r="FE814" s="3"/>
      <c r="FF814" s="3"/>
      <c r="FG814" s="3"/>
      <c r="FH814" s="3"/>
      <c r="FI814" s="3"/>
      <c r="FJ814" s="3"/>
      <c r="FK814" s="3"/>
      <c r="FL814" s="3"/>
      <c r="FM814" s="3"/>
      <c r="FN814" s="3"/>
      <c r="FO814" s="3"/>
      <c r="FP814" s="3"/>
      <c r="FQ814" s="3"/>
      <c r="FR814" s="3"/>
      <c r="FS814" s="3"/>
      <c r="FT814" s="3"/>
      <c r="FU814" s="3"/>
      <c r="FV814" s="3"/>
      <c r="FW814" s="3"/>
      <c r="FX814" s="3"/>
      <c r="FY814" s="3"/>
      <c r="FZ814" s="3"/>
      <c r="GA814" s="3"/>
      <c r="GB814" s="3"/>
      <c r="GC814" s="3"/>
      <c r="GD814" s="3"/>
      <c r="GE814" s="3"/>
      <c r="GF814" s="3"/>
      <c r="GG814" s="3"/>
      <c r="GH814" s="3"/>
      <c r="GI814" s="3"/>
      <c r="GJ814" s="3"/>
      <c r="GK814" s="3"/>
      <c r="GL814" s="3"/>
      <c r="GM814" s="3"/>
      <c r="GN814" s="3"/>
      <c r="GO814" s="3"/>
      <c r="GP814" s="3"/>
      <c r="GQ814" s="3"/>
      <c r="GR814" s="3"/>
      <c r="GS814" s="3"/>
      <c r="GT814" s="3"/>
      <c r="GU814" s="3"/>
      <c r="GV814" s="3"/>
      <c r="GW814" s="3"/>
      <c r="GX814" s="3"/>
      <c r="GY814" s="3"/>
      <c r="GZ814" s="3"/>
      <c r="HA814" s="3"/>
      <c r="HB814" s="3"/>
      <c r="HC814" s="3"/>
      <c r="HD814" s="3"/>
      <c r="HE814" s="3"/>
      <c r="HF814" s="3"/>
      <c r="HG814" s="3"/>
      <c r="HH814" s="3"/>
      <c r="HI814" s="3"/>
      <c r="HJ814" s="3"/>
      <c r="HK814" s="3"/>
      <c r="HL814" s="153"/>
      <c r="HM814" s="153"/>
      <c r="HN814" s="153"/>
      <c r="HO814" s="153"/>
      <c r="HP814" s="153"/>
      <c r="HQ814" s="153"/>
      <c r="HR814" s="153"/>
      <c r="HS814" s="153"/>
      <c r="HT814" s="154"/>
      <c r="HU814" s="153"/>
      <c r="HV814" s="153"/>
      <c r="HW814" s="153"/>
      <c r="HX814" s="156"/>
      <c r="HY814" s="153"/>
      <c r="HZ814" s="153"/>
      <c r="IA814" s="153"/>
      <c r="IB814" s="153"/>
      <c r="IC814" s="153"/>
      <c r="ID814" s="153"/>
      <c r="IE814" s="153"/>
      <c r="IF814" s="153"/>
      <c r="IG814" s="153" t="s">
        <v>2243</v>
      </c>
      <c r="IH814" s="157" t="s">
        <v>19</v>
      </c>
      <c r="II814" s="157"/>
      <c r="IJ814" s="158"/>
      <c r="IK814" s="153"/>
      <c r="IL814" s="153"/>
      <c r="IM814" s="153"/>
      <c r="IP814" s="153"/>
      <c r="IQ814" s="153"/>
      <c r="IR814" s="153"/>
      <c r="IS814" s="153"/>
      <c r="IT814" s="153"/>
      <c r="IU814" s="153"/>
      <c r="IV814" s="153"/>
      <c r="IW814" s="153"/>
      <c r="IX814" s="153"/>
      <c r="IY814" s="89"/>
      <c r="IZ814" s="89"/>
      <c r="JA814" s="89"/>
      <c r="JB814" s="89"/>
      <c r="JC814" s="89"/>
      <c r="JD814" s="89"/>
      <c r="JE814" s="89"/>
      <c r="JF814" s="89"/>
      <c r="JG814" s="89"/>
      <c r="JH814" s="89"/>
      <c r="JI814" s="89"/>
      <c r="JJ814" s="89"/>
      <c r="JK814" s="159" t="s">
        <v>14</v>
      </c>
      <c r="JL814" s="160" t="s">
        <v>1682</v>
      </c>
      <c r="JM814" s="154"/>
      <c r="JQ814" s="153"/>
      <c r="JR814" s="153"/>
      <c r="JS814" s="153"/>
      <c r="JT814" s="153"/>
      <c r="JU814" s="153"/>
      <c r="JV814" s="153"/>
      <c r="JW814" s="153"/>
      <c r="JX814" s="161"/>
      <c r="JY814" s="161"/>
      <c r="JZ814" s="154"/>
      <c r="KA814" s="153"/>
      <c r="KB814" s="154"/>
      <c r="KC814" s="153"/>
      <c r="KD814" s="153"/>
      <c r="KE814" s="153"/>
      <c r="KF814" s="154"/>
      <c r="KG814" s="154"/>
      <c r="KH814" s="157"/>
      <c r="KI814" s="162"/>
      <c r="KJ814" s="153"/>
      <c r="KK814" s="153"/>
      <c r="KL814" s="153"/>
      <c r="KM814" s="153"/>
      <c r="KN814" s="154"/>
      <c r="KO814" s="153"/>
      <c r="KP814" s="157"/>
      <c r="KQ814" s="162"/>
      <c r="KR814" s="153"/>
      <c r="KS814" s="153"/>
      <c r="KT814" s="163"/>
      <c r="KU814" s="162"/>
      <c r="KV814" s="153"/>
      <c r="KW814" s="153"/>
      <c r="KX814" s="153"/>
      <c r="KY814" s="3"/>
      <c r="KZ814" s="3"/>
      <c r="LA814" s="3"/>
      <c r="LB814" s="3"/>
      <c r="LC814" s="154"/>
      <c r="LD814" s="154"/>
      <c r="LE814" s="154"/>
      <c r="LF814" s="154"/>
      <c r="LG814" s="154"/>
      <c r="LH814" s="154"/>
      <c r="LI814" s="154"/>
      <c r="LJ814" s="154"/>
      <c r="LK814" s="154"/>
      <c r="LL814" s="153"/>
      <c r="LM814" s="153"/>
      <c r="LN814" s="153"/>
      <c r="LO814" s="153"/>
      <c r="LP814" s="153"/>
      <c r="LQ814" s="153"/>
      <c r="LR814" s="153"/>
      <c r="LS814" s="153"/>
      <c r="LT814" s="89"/>
      <c r="LU814" s="89"/>
      <c r="LV814" s="89"/>
      <c r="LW814" s="89"/>
      <c r="LX814" s="89"/>
      <c r="LY814" s="164"/>
      <c r="LZ814" s="164"/>
      <c r="MA814" s="164"/>
      <c r="MB814" s="2"/>
      <c r="MC814" s="153"/>
      <c r="MD814" s="153"/>
      <c r="ME814" s="153"/>
      <c r="MF814" s="89"/>
      <c r="MG814" s="89"/>
      <c r="MH814" s="89"/>
      <c r="MI814" s="89"/>
      <c r="MJ814" s="89"/>
      <c r="MK814" s="89"/>
      <c r="ML814" s="89"/>
      <c r="MM814" s="89"/>
      <c r="MN814" s="153"/>
      <c r="MO814" s="153"/>
      <c r="MP814" s="153"/>
      <c r="MQ814" s="153"/>
      <c r="MR814" s="153"/>
      <c r="MS814" s="153" t="s">
        <v>2244</v>
      </c>
      <c r="MT814" s="89">
        <v>64</v>
      </c>
      <c r="MU814" s="153" t="s">
        <v>2263</v>
      </c>
      <c r="MV814" s="164"/>
      <c r="MW814" s="164" t="s">
        <v>2264</v>
      </c>
      <c r="MX814" s="164"/>
      <c r="MY814" s="164"/>
      <c r="MZ814" s="164"/>
      <c r="NA814" s="164"/>
      <c r="NB814" s="164" t="s">
        <v>205</v>
      </c>
      <c r="NC814" s="164"/>
      <c r="ND814" s="153"/>
      <c r="NE814" s="153" t="s">
        <v>2263</v>
      </c>
      <c r="NF814" s="153" t="s">
        <v>2265</v>
      </c>
      <c r="NG814" t="s">
        <v>203</v>
      </c>
      <c r="NH814" s="165" t="s">
        <v>2266</v>
      </c>
      <c r="NI814" s="153"/>
      <c r="NJ814" s="153"/>
      <c r="NK814" s="153"/>
      <c r="NL814" s="153"/>
      <c r="NM814" s="153"/>
      <c r="NN814" s="153"/>
      <c r="NO814" s="153"/>
      <c r="NP814" s="153" t="s">
        <v>64</v>
      </c>
      <c r="NQ814" s="166" t="s">
        <v>6</v>
      </c>
      <c r="NR814" s="173">
        <v>2386.6999999999998</v>
      </c>
      <c r="NS814" s="166" t="s">
        <v>4</v>
      </c>
      <c r="NT814" s="166">
        <v>108</v>
      </c>
      <c r="NU814" s="167"/>
      <c r="NV814" s="153"/>
      <c r="NW814" s="153">
        <v>4</v>
      </c>
      <c r="NX814" s="2"/>
      <c r="NY814" s="2"/>
      <c r="OB814" s="153"/>
      <c r="OC814" s="153"/>
      <c r="OD814" s="153"/>
      <c r="OE814" s="153"/>
      <c r="OF814" s="153"/>
      <c r="OG814" s="153"/>
      <c r="OH814" s="153" t="s">
        <v>1943</v>
      </c>
      <c r="OI814" s="153"/>
      <c r="OJ814" s="153">
        <v>2007</v>
      </c>
      <c r="OK814" s="153"/>
      <c r="OL814" s="153"/>
      <c r="OM814" s="153" t="s">
        <v>62</v>
      </c>
      <c r="ON814" s="153"/>
      <c r="OO814" t="s">
        <v>1178</v>
      </c>
      <c r="OP814" s="58">
        <v>46134</v>
      </c>
    </row>
    <row r="815" spans="1:406" ht="15.75" thickBot="1">
      <c r="A815" t="s">
        <v>248</v>
      </c>
      <c r="B815" t="s">
        <v>2238</v>
      </c>
      <c r="C815" s="89" t="s">
        <v>34</v>
      </c>
      <c r="D815" s="152" t="s">
        <v>1955</v>
      </c>
      <c r="E815" s="89" t="s">
        <v>1676</v>
      </c>
      <c r="F815" t="s">
        <v>31</v>
      </c>
      <c r="G815" s="89" t="s">
        <v>2</v>
      </c>
      <c r="H815" s="152" t="s">
        <v>30</v>
      </c>
      <c r="I815">
        <v>-0.41666666699999999</v>
      </c>
      <c r="J815">
        <v>34.200000000000003</v>
      </c>
      <c r="K815" s="152" t="s">
        <v>29</v>
      </c>
      <c r="L815" s="2"/>
      <c r="M815" s="99"/>
      <c r="N815" s="2"/>
      <c r="O815" s="89"/>
      <c r="P815" s="2"/>
      <c r="Q815" s="2"/>
      <c r="R815" s="89"/>
      <c r="S815" s="89"/>
      <c r="T815" s="89"/>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89" t="s">
        <v>2239</v>
      </c>
      <c r="AW815" s="89">
        <v>64</v>
      </c>
      <c r="AX815" s="89">
        <v>0.09</v>
      </c>
      <c r="AY815" s="89">
        <v>1</v>
      </c>
      <c r="AZ815" s="153" t="s">
        <v>2240</v>
      </c>
      <c r="BA815" s="153">
        <v>2007</v>
      </c>
      <c r="BB815" s="153">
        <v>2008</v>
      </c>
      <c r="BC815" s="153" t="s">
        <v>62</v>
      </c>
      <c r="BD815" s="2"/>
      <c r="BE815" s="2" t="s">
        <v>2249</v>
      </c>
      <c r="BF815" s="2" t="s">
        <v>64</v>
      </c>
      <c r="BG815" s="153" t="s">
        <v>1243</v>
      </c>
      <c r="BH815" s="2" t="s">
        <v>2242</v>
      </c>
      <c r="BI815" s="153" t="s">
        <v>29</v>
      </c>
      <c r="BJ815" s="154" t="s">
        <v>22</v>
      </c>
      <c r="BK815" s="155">
        <v>55500</v>
      </c>
      <c r="BL815" s="2" t="s">
        <v>56</v>
      </c>
      <c r="BM815" t="s">
        <v>2250</v>
      </c>
      <c r="BN815" s="153" t="s">
        <v>29</v>
      </c>
      <c r="BO815" s="2" t="s">
        <v>22</v>
      </c>
      <c r="BP815" s="2">
        <v>55000</v>
      </c>
      <c r="BQ815" s="2"/>
      <c r="BR815" s="2"/>
      <c r="BS815" s="2"/>
      <c r="BT815" s="2"/>
      <c r="BU815" s="2"/>
      <c r="BV815" s="2"/>
      <c r="BW815" s="3"/>
      <c r="BX815" s="3"/>
      <c r="BY815" s="3"/>
      <c r="BZ815" s="3"/>
      <c r="CA815" s="3"/>
      <c r="CB815" s="3"/>
      <c r="CC815" s="3"/>
      <c r="CD815" s="3"/>
      <c r="CE815" s="3"/>
      <c r="CF815" s="3"/>
      <c r="CG815" s="3"/>
      <c r="CH815" s="3"/>
      <c r="CI815" s="3"/>
      <c r="CJ815" s="3"/>
      <c r="CK815" s="3"/>
      <c r="CL815" s="3"/>
      <c r="CM815" s="3"/>
      <c r="CN815" s="3"/>
      <c r="CO815" s="3"/>
      <c r="CP815" s="3"/>
      <c r="CQ815" s="3"/>
      <c r="CR815" s="3"/>
      <c r="CS815" s="3"/>
      <c r="CT815" s="3"/>
      <c r="CU815" s="3"/>
      <c r="CV815" s="3"/>
      <c r="CW815" s="3"/>
      <c r="CX815" s="3"/>
      <c r="CY815" s="3"/>
      <c r="CZ815" s="3"/>
      <c r="DA815" s="3"/>
      <c r="DB815" s="3"/>
      <c r="DC815" s="3"/>
      <c r="DD815" s="3"/>
      <c r="DE815" s="3"/>
      <c r="DF815" s="3"/>
      <c r="DG815" s="3"/>
      <c r="DH815" s="3"/>
      <c r="DI815" s="3"/>
      <c r="DJ815" s="3"/>
      <c r="DK815" s="3"/>
      <c r="DL815" s="3"/>
      <c r="DM815" s="3"/>
      <c r="DN815" s="3"/>
      <c r="DO815" s="3"/>
      <c r="DP815" s="3"/>
      <c r="DQ815" s="3"/>
      <c r="DR815" s="3"/>
      <c r="DS815" s="3"/>
      <c r="DT815" s="3"/>
      <c r="DU815" s="3"/>
      <c r="DV815" s="3"/>
      <c r="DW815" s="3"/>
      <c r="DX815" s="3"/>
      <c r="DY815" s="3"/>
      <c r="DZ815" s="3"/>
      <c r="EA815" s="3"/>
      <c r="EB815" s="3"/>
      <c r="EC815" s="3"/>
      <c r="ED815" s="3"/>
      <c r="EE815" s="2"/>
      <c r="EF815" s="2"/>
      <c r="EG815" s="2"/>
      <c r="EH815" s="2"/>
      <c r="EI815" s="2"/>
      <c r="EJ815" s="2"/>
      <c r="EK815" s="2"/>
      <c r="EL815" s="2"/>
      <c r="EM815" s="3"/>
      <c r="EN815" s="3"/>
      <c r="EO815" s="3"/>
      <c r="EP815" s="3"/>
      <c r="EQ815" s="3"/>
      <c r="ER815" s="3"/>
      <c r="ES815" s="3"/>
      <c r="ET815" s="3"/>
      <c r="EU815" s="3"/>
      <c r="EV815" s="3"/>
      <c r="EW815" s="3"/>
      <c r="EX815" s="3"/>
      <c r="EY815" s="3"/>
      <c r="EZ815" s="3"/>
      <c r="FA815" s="3"/>
      <c r="FB815" s="3"/>
      <c r="FC815" s="3"/>
      <c r="FD815" s="3"/>
      <c r="FE815" s="3"/>
      <c r="FF815" s="3"/>
      <c r="FG815" s="3"/>
      <c r="FH815" s="3"/>
      <c r="FI815" s="3"/>
      <c r="FJ815" s="3"/>
      <c r="FK815" s="3"/>
      <c r="FL815" s="3"/>
      <c r="FM815" s="3"/>
      <c r="FN815" s="3"/>
      <c r="FO815" s="3"/>
      <c r="FP815" s="3"/>
      <c r="FQ815" s="3"/>
      <c r="FR815" s="3"/>
      <c r="FS815" s="3"/>
      <c r="FT815" s="3"/>
      <c r="FU815" s="3"/>
      <c r="FV815" s="3"/>
      <c r="FW815" s="3"/>
      <c r="FX815" s="3"/>
      <c r="FY815" s="3"/>
      <c r="FZ815" s="3"/>
      <c r="GA815" s="3"/>
      <c r="GB815" s="3"/>
      <c r="GC815" s="3"/>
      <c r="GD815" s="3"/>
      <c r="GE815" s="3"/>
      <c r="GF815" s="3"/>
      <c r="GG815" s="3"/>
      <c r="GH815" s="3"/>
      <c r="GI815" s="3"/>
      <c r="GJ815" s="3"/>
      <c r="GK815" s="3"/>
      <c r="GL815" s="3"/>
      <c r="GM815" s="3"/>
      <c r="GN815" s="3"/>
      <c r="GO815" s="3"/>
      <c r="GP815" s="3"/>
      <c r="GQ815" s="3"/>
      <c r="GR815" s="3"/>
      <c r="GS815" s="3"/>
      <c r="GT815" s="3"/>
      <c r="GU815" s="3"/>
      <c r="GV815" s="3"/>
      <c r="GW815" s="3"/>
      <c r="GX815" s="3"/>
      <c r="GY815" s="3"/>
      <c r="GZ815" s="3"/>
      <c r="HA815" s="3"/>
      <c r="HB815" s="3"/>
      <c r="HC815" s="3"/>
      <c r="HD815" s="3"/>
      <c r="HE815" s="3"/>
      <c r="HF815" s="3"/>
      <c r="HG815" s="3"/>
      <c r="HH815" s="3"/>
      <c r="HI815" s="3"/>
      <c r="HJ815" s="3"/>
      <c r="HK815" s="3"/>
      <c r="HL815" s="2"/>
      <c r="HM815" s="2"/>
      <c r="HN815" s="2"/>
      <c r="HO815" s="2"/>
      <c r="HP815" s="2"/>
      <c r="HQ815" s="2"/>
      <c r="HR815" s="2"/>
      <c r="HS815" s="2"/>
      <c r="HT815" s="99"/>
      <c r="HU815" s="2"/>
      <c r="HV815" s="2"/>
      <c r="HW815" s="2"/>
      <c r="HX815" s="2"/>
      <c r="HY815" s="2"/>
      <c r="HZ815" s="2"/>
      <c r="IA815" s="2"/>
      <c r="IB815" s="2"/>
      <c r="IC815" s="2"/>
      <c r="ID815" s="2"/>
      <c r="IE815" s="2"/>
      <c r="IF815" s="2"/>
      <c r="IG815" s="153" t="s">
        <v>2243</v>
      </c>
      <c r="IH815" s="168" t="s">
        <v>1453</v>
      </c>
      <c r="II815" s="169" t="s">
        <v>1477</v>
      </c>
      <c r="IJ815" s="170" t="s">
        <v>661</v>
      </c>
      <c r="IK815" s="2">
        <v>2007</v>
      </c>
      <c r="IL815" s="2" t="s">
        <v>62</v>
      </c>
      <c r="IM815" s="2" t="s">
        <v>29</v>
      </c>
      <c r="IP815" s="2"/>
      <c r="IQ815" s="2"/>
      <c r="IR815" s="2"/>
      <c r="IS815" s="2"/>
      <c r="IT815" s="2"/>
      <c r="IU815" s="2"/>
      <c r="IV815" s="2"/>
      <c r="IW815" s="2"/>
      <c r="IX815" s="2"/>
      <c r="IY815" s="2"/>
      <c r="IZ815" s="2"/>
      <c r="JA815" s="2"/>
      <c r="JB815" s="2"/>
      <c r="JC815" s="2"/>
      <c r="JD815" s="2"/>
      <c r="JE815" s="2"/>
      <c r="JF815" s="2"/>
      <c r="JG815" s="2"/>
      <c r="JH815" s="2"/>
      <c r="JI815" s="2"/>
      <c r="JJ815" s="2"/>
      <c r="JK815" s="159" t="s">
        <v>14</v>
      </c>
      <c r="JL815" s="160" t="s">
        <v>1682</v>
      </c>
      <c r="JM815" s="99"/>
      <c r="JQ815" s="2"/>
      <c r="JR815" s="2"/>
      <c r="JS815" s="2"/>
      <c r="JT815" s="2"/>
      <c r="JU815" s="2"/>
      <c r="JV815" s="2"/>
      <c r="JW815" s="2"/>
      <c r="JX815" s="161"/>
      <c r="JY815" s="171"/>
      <c r="JZ815" s="99"/>
      <c r="KA815" s="2"/>
      <c r="KB815" s="99"/>
      <c r="KC815" s="2"/>
      <c r="KD815" s="2"/>
      <c r="KE815" s="2"/>
      <c r="KF815" s="99"/>
      <c r="KG815" s="2"/>
      <c r="KH815" s="168"/>
      <c r="KI815" s="172"/>
      <c r="KJ815" s="2"/>
      <c r="KK815" s="2"/>
      <c r="KL815" s="2"/>
      <c r="KM815" s="2"/>
      <c r="KN815" s="99"/>
      <c r="KO815" s="2"/>
      <c r="KP815" s="168"/>
      <c r="KQ815" s="172"/>
      <c r="KR815" s="2"/>
      <c r="KS815" s="2"/>
      <c r="KT815" s="163"/>
      <c r="KU815" s="172"/>
      <c r="KV815" s="2"/>
      <c r="KW815" s="2"/>
      <c r="KX815" s="2"/>
      <c r="KY815" s="69"/>
      <c r="KZ815" s="3"/>
      <c r="LA815" s="3"/>
      <c r="LB815" s="3"/>
      <c r="LC815" s="99"/>
      <c r="LD815" s="99"/>
      <c r="LE815" s="99"/>
      <c r="LF815" s="99"/>
      <c r="LG815" s="99"/>
      <c r="LH815" s="2"/>
      <c r="LI815" s="99"/>
      <c r="LJ815" s="99"/>
      <c r="LK815" s="99"/>
      <c r="LL815" s="2"/>
      <c r="LM815" s="2"/>
      <c r="LN815" s="2"/>
      <c r="LO815" s="2"/>
      <c r="LP815" s="2"/>
      <c r="LQ815" s="2"/>
      <c r="LR815" s="2"/>
      <c r="LS815" s="2"/>
      <c r="LT815" s="2"/>
      <c r="LU815" s="2"/>
      <c r="LV815" s="2"/>
      <c r="LW815" s="2"/>
      <c r="LX815" s="2"/>
      <c r="LY815" s="2"/>
      <c r="LZ815" s="2"/>
      <c r="MA815" s="2"/>
      <c r="MC815" s="2"/>
      <c r="MD815" s="2"/>
      <c r="ME815" s="2"/>
      <c r="MF815" s="2"/>
      <c r="MG815" s="2"/>
      <c r="MH815" s="2"/>
      <c r="MI815" s="2"/>
      <c r="MJ815" s="2"/>
      <c r="MK815" s="2"/>
      <c r="ML815" s="2"/>
      <c r="MM815" s="2"/>
      <c r="MN815" s="2"/>
      <c r="MO815" s="2"/>
      <c r="MP815" s="2"/>
      <c r="MQ815" s="2"/>
      <c r="MR815" s="2"/>
      <c r="MS815" s="153" t="s">
        <v>2244</v>
      </c>
      <c r="MT815" s="89">
        <v>64</v>
      </c>
      <c r="MU815" s="153" t="s">
        <v>2263</v>
      </c>
      <c r="MV815" s="164"/>
      <c r="MW815" s="164" t="s">
        <v>2264</v>
      </c>
      <c r="MX815" s="164"/>
      <c r="MY815" s="164"/>
      <c r="MZ815" s="164"/>
      <c r="NA815" s="164"/>
      <c r="NB815" s="164" t="s">
        <v>205</v>
      </c>
      <c r="NC815" s="164"/>
      <c r="ND815" s="153"/>
      <c r="NE815" s="153" t="s">
        <v>2263</v>
      </c>
      <c r="NF815" s="153" t="s">
        <v>2265</v>
      </c>
      <c r="NG815" t="s">
        <v>203</v>
      </c>
      <c r="NH815" s="165" t="s">
        <v>2266</v>
      </c>
      <c r="NI815" s="153"/>
      <c r="NJ815" s="153"/>
      <c r="NK815" s="153"/>
      <c r="NL815" s="153"/>
      <c r="NM815" s="153"/>
      <c r="NN815" s="153"/>
      <c r="NO815" s="153"/>
      <c r="NP815" s="153"/>
      <c r="NQ815" s="166" t="s">
        <v>6</v>
      </c>
      <c r="NR815" s="173">
        <v>6.6</v>
      </c>
      <c r="NS815" s="166" t="s">
        <v>4</v>
      </c>
      <c r="NT815" s="173">
        <v>2</v>
      </c>
      <c r="NU815" s="174"/>
      <c r="NV815" s="2"/>
      <c r="NW815" s="153">
        <v>4</v>
      </c>
      <c r="NX815" s="153"/>
      <c r="NY815" s="153"/>
      <c r="OB815" s="2"/>
      <c r="OC815" s="2"/>
      <c r="OD815" s="2"/>
      <c r="OE815" s="2"/>
      <c r="OF815" s="2"/>
      <c r="OG815" s="2"/>
      <c r="OH815" s="153" t="s">
        <v>1943</v>
      </c>
      <c r="OI815" s="2"/>
      <c r="OJ815" s="153">
        <v>2007</v>
      </c>
      <c r="OK815" s="153"/>
      <c r="OL815" s="153"/>
      <c r="OM815" s="153" t="s">
        <v>62</v>
      </c>
      <c r="ON815" s="2"/>
      <c r="OO815" t="s">
        <v>1178</v>
      </c>
      <c r="OP815" s="58">
        <v>46134</v>
      </c>
    </row>
    <row r="816" spans="1:406" ht="15.75" thickBot="1">
      <c r="A816" t="s">
        <v>248</v>
      </c>
      <c r="B816" t="s">
        <v>2238</v>
      </c>
      <c r="C816" s="89" t="s">
        <v>34</v>
      </c>
      <c r="D816" s="152" t="s">
        <v>1955</v>
      </c>
      <c r="E816" s="89" t="s">
        <v>1676</v>
      </c>
      <c r="F816" t="s">
        <v>31</v>
      </c>
      <c r="G816" s="89" t="s">
        <v>2</v>
      </c>
      <c r="H816" s="152" t="s">
        <v>30</v>
      </c>
      <c r="I816">
        <v>-0.41666666699999999</v>
      </c>
      <c r="J816">
        <v>34.200000000000003</v>
      </c>
      <c r="K816" s="152" t="s">
        <v>29</v>
      </c>
      <c r="L816" s="89"/>
      <c r="M816" s="152"/>
      <c r="N816" s="89"/>
      <c r="O816" s="89"/>
      <c r="P816" s="89"/>
      <c r="Q816" s="89"/>
      <c r="R816" s="89"/>
      <c r="S816" s="89"/>
      <c r="T816" s="89"/>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89" t="s">
        <v>2239</v>
      </c>
      <c r="AW816" s="89">
        <v>64</v>
      </c>
      <c r="AX816" s="89">
        <v>0.09</v>
      </c>
      <c r="AY816" s="89">
        <v>1</v>
      </c>
      <c r="AZ816" s="153" t="s">
        <v>2240</v>
      </c>
      <c r="BA816" s="153">
        <v>2007</v>
      </c>
      <c r="BB816" s="153">
        <v>2008</v>
      </c>
      <c r="BC816" s="153" t="s">
        <v>1</v>
      </c>
      <c r="BD816" s="89"/>
      <c r="BE816" s="153" t="s">
        <v>2241</v>
      </c>
      <c r="BF816" s="153" t="s">
        <v>39</v>
      </c>
      <c r="BG816" s="153" t="s">
        <v>1243</v>
      </c>
      <c r="BH816" s="153" t="s">
        <v>2242</v>
      </c>
      <c r="BI816" s="153" t="s">
        <v>29</v>
      </c>
      <c r="BJ816" s="154" t="s">
        <v>22</v>
      </c>
      <c r="BK816" s="155">
        <v>111000</v>
      </c>
      <c r="BL816" s="89"/>
      <c r="BM816" s="89"/>
      <c r="BN816" s="89"/>
      <c r="BO816" s="152"/>
      <c r="BP816" s="175"/>
      <c r="BQ816" s="89"/>
      <c r="BR816" s="89"/>
      <c r="BS816" s="89"/>
      <c r="BT816" s="89"/>
      <c r="BU816" s="89"/>
      <c r="BV816" s="89"/>
      <c r="BW816" s="3"/>
      <c r="BX816" s="3"/>
      <c r="BY816" s="3"/>
      <c r="BZ816" s="3"/>
      <c r="CA816" s="3"/>
      <c r="CB816" s="3"/>
      <c r="CC816" s="3"/>
      <c r="CD816" s="3"/>
      <c r="CE816" s="3"/>
      <c r="CF816" s="3"/>
      <c r="CG816" s="3"/>
      <c r="CH816" s="3"/>
      <c r="CI816" s="3"/>
      <c r="CJ816" s="3"/>
      <c r="CK816" s="3"/>
      <c r="CL816" s="3"/>
      <c r="CM816" s="3"/>
      <c r="CN816" s="3"/>
      <c r="CO816" s="3"/>
      <c r="CP816" s="3"/>
      <c r="CQ816" s="3"/>
      <c r="CR816" s="3"/>
      <c r="CS816" s="3"/>
      <c r="CT816" s="3"/>
      <c r="CU816" s="3"/>
      <c r="CV816" s="3"/>
      <c r="CW816" s="3"/>
      <c r="CX816" s="3"/>
      <c r="CY816" s="3"/>
      <c r="CZ816" s="3"/>
      <c r="DA816" s="3"/>
      <c r="DB816" s="3"/>
      <c r="DC816" s="3"/>
      <c r="DD816" s="3"/>
      <c r="DE816" s="3"/>
      <c r="DF816" s="3"/>
      <c r="DG816" s="3"/>
      <c r="DH816" s="3"/>
      <c r="DI816" s="3"/>
      <c r="DJ816" s="3"/>
      <c r="DK816" s="3"/>
      <c r="DL816" s="3"/>
      <c r="DM816" s="3"/>
      <c r="DN816" s="3"/>
      <c r="DO816" s="3"/>
      <c r="DP816" s="3"/>
      <c r="DQ816" s="3"/>
      <c r="DR816" s="3"/>
      <c r="DS816" s="3"/>
      <c r="DT816" s="3"/>
      <c r="DU816" s="3"/>
      <c r="DV816" s="3"/>
      <c r="DW816" s="3"/>
      <c r="DX816" s="3"/>
      <c r="DY816" s="3"/>
      <c r="DZ816" s="3"/>
      <c r="EA816" s="3"/>
      <c r="EB816" s="3"/>
      <c r="EC816" s="3"/>
      <c r="ED816" s="3"/>
      <c r="EE816" s="89"/>
      <c r="EF816" s="89"/>
      <c r="EG816" s="89"/>
      <c r="EH816" s="89"/>
      <c r="EI816" s="89"/>
      <c r="EJ816" s="89"/>
      <c r="EK816" s="89"/>
      <c r="EL816" s="89"/>
      <c r="EM816" s="3"/>
      <c r="EN816" s="3"/>
      <c r="EO816" s="3"/>
      <c r="EP816" s="3"/>
      <c r="EQ816" s="3"/>
      <c r="ER816" s="3"/>
      <c r="ES816" s="3"/>
      <c r="ET816" s="3"/>
      <c r="EU816" s="3"/>
      <c r="EV816" s="3"/>
      <c r="EW816" s="3"/>
      <c r="EX816" s="3"/>
      <c r="EY816" s="3"/>
      <c r="EZ816" s="3"/>
      <c r="FA816" s="3"/>
      <c r="FB816" s="3"/>
      <c r="FC816" s="3"/>
      <c r="FD816" s="3"/>
      <c r="FE816" s="3"/>
      <c r="FF816" s="3"/>
      <c r="FG816" s="3"/>
      <c r="FH816" s="3"/>
      <c r="FI816" s="3"/>
      <c r="FJ816" s="3"/>
      <c r="FK816" s="3"/>
      <c r="FL816" s="3"/>
      <c r="FM816" s="3"/>
      <c r="FN816" s="3"/>
      <c r="FO816" s="3"/>
      <c r="FP816" s="3"/>
      <c r="FQ816" s="3"/>
      <c r="FR816" s="3"/>
      <c r="FS816" s="3"/>
      <c r="FT816" s="3"/>
      <c r="FU816" s="3"/>
      <c r="FV816" s="3"/>
      <c r="FW816" s="3"/>
      <c r="FX816" s="3"/>
      <c r="FY816" s="3"/>
      <c r="FZ816" s="3"/>
      <c r="GA816" s="3"/>
      <c r="GB816" s="3"/>
      <c r="GC816" s="3"/>
      <c r="GD816" s="3"/>
      <c r="GE816" s="3"/>
      <c r="GF816" s="3"/>
      <c r="GG816" s="3"/>
      <c r="GH816" s="3"/>
      <c r="GI816" s="3"/>
      <c r="GJ816" s="3"/>
      <c r="GK816" s="3"/>
      <c r="GL816" s="3"/>
      <c r="GM816" s="3"/>
      <c r="GN816" s="3"/>
      <c r="GO816" s="3"/>
      <c r="GP816" s="3"/>
      <c r="GQ816" s="3"/>
      <c r="GR816" s="3"/>
      <c r="GS816" s="3"/>
      <c r="GT816" s="3"/>
      <c r="GU816" s="3"/>
      <c r="GV816" s="3"/>
      <c r="GW816" s="3"/>
      <c r="GX816" s="3"/>
      <c r="GY816" s="3"/>
      <c r="GZ816" s="3"/>
      <c r="HA816" s="3"/>
      <c r="HB816" s="3"/>
      <c r="HC816" s="3"/>
      <c r="HD816" s="3"/>
      <c r="HE816" s="3"/>
      <c r="HF816" s="3"/>
      <c r="HG816" s="3"/>
      <c r="HH816" s="3"/>
      <c r="HI816" s="3"/>
      <c r="HJ816" s="3"/>
      <c r="HK816" s="3"/>
      <c r="HL816" s="89"/>
      <c r="HM816" s="89"/>
      <c r="HN816" s="89"/>
      <c r="HO816" s="89"/>
      <c r="HP816" s="89"/>
      <c r="HQ816" s="89"/>
      <c r="HR816" s="89"/>
      <c r="HS816" s="89"/>
      <c r="HT816" s="152"/>
      <c r="HU816" s="89"/>
      <c r="HV816" s="89"/>
      <c r="HW816" s="89"/>
      <c r="HX816" s="89"/>
      <c r="HY816" s="89"/>
      <c r="HZ816" s="89"/>
      <c r="IA816" s="89"/>
      <c r="IB816" s="89"/>
      <c r="IC816" s="89"/>
      <c r="ID816" s="89"/>
      <c r="IE816" s="89"/>
      <c r="IF816" s="89"/>
      <c r="IG816" s="153" t="s">
        <v>2243</v>
      </c>
      <c r="IH816" s="157" t="s">
        <v>19</v>
      </c>
      <c r="II816" s="176"/>
      <c r="IJ816" s="177"/>
      <c r="IK816" s="89"/>
      <c r="IL816" s="89"/>
      <c r="IM816" s="152"/>
      <c r="IP816" s="89"/>
      <c r="IQ816" s="89"/>
      <c r="IR816" s="89"/>
      <c r="IS816" s="89"/>
      <c r="IT816" s="89"/>
      <c r="IU816" s="89"/>
      <c r="IV816" s="89"/>
      <c r="IW816" s="89"/>
      <c r="IX816" s="89"/>
      <c r="IY816" s="89"/>
      <c r="IZ816" s="89"/>
      <c r="JA816" s="89"/>
      <c r="JB816" s="89"/>
      <c r="JC816" s="89"/>
      <c r="JD816" s="89"/>
      <c r="JE816" s="89"/>
      <c r="JF816" s="89"/>
      <c r="JG816" s="89"/>
      <c r="JH816" s="89"/>
      <c r="JI816" s="89"/>
      <c r="JJ816" s="89"/>
      <c r="JK816" s="159" t="s">
        <v>14</v>
      </c>
      <c r="JL816" s="160" t="s">
        <v>1682</v>
      </c>
      <c r="JM816" s="152"/>
      <c r="JQ816" s="89"/>
      <c r="JR816" s="89"/>
      <c r="JS816" s="89"/>
      <c r="JT816" s="89"/>
      <c r="JU816" s="89"/>
      <c r="JV816" s="89"/>
      <c r="JW816" s="89"/>
      <c r="JX816" s="161"/>
      <c r="JY816" s="159"/>
      <c r="JZ816" s="152"/>
      <c r="KA816" s="89"/>
      <c r="KB816" s="152"/>
      <c r="KC816" s="89"/>
      <c r="KD816" s="89"/>
      <c r="KE816" s="89"/>
      <c r="KF816" s="152"/>
      <c r="KG816" s="89"/>
      <c r="KH816" s="157"/>
      <c r="KI816" s="178"/>
      <c r="KJ816" s="89"/>
      <c r="KK816" s="89"/>
      <c r="KL816" s="89"/>
      <c r="KM816" s="89"/>
      <c r="KN816" s="152"/>
      <c r="KO816" s="89"/>
      <c r="KP816" s="157"/>
      <c r="KQ816" s="178"/>
      <c r="KR816" s="89"/>
      <c r="KS816" s="89"/>
      <c r="KT816" s="163"/>
      <c r="KU816" s="179"/>
      <c r="KV816" s="89"/>
      <c r="KW816" s="89"/>
      <c r="KX816" s="89"/>
      <c r="KY816" s="3"/>
      <c r="KZ816" s="3"/>
      <c r="LA816" s="3"/>
      <c r="LB816" s="3"/>
      <c r="LC816" s="152"/>
      <c r="LD816" s="152"/>
      <c r="LE816" s="152"/>
      <c r="LF816" s="152"/>
      <c r="LG816" s="152"/>
      <c r="LH816" s="89"/>
      <c r="LI816" s="152"/>
      <c r="LJ816" s="152"/>
      <c r="LK816" s="152"/>
      <c r="LL816" s="89"/>
      <c r="LM816" s="89"/>
      <c r="LN816" s="89"/>
      <c r="LO816" s="89"/>
      <c r="LP816" s="89"/>
      <c r="LQ816" s="89"/>
      <c r="LR816" s="89"/>
      <c r="LS816" s="89"/>
      <c r="LT816" s="89"/>
      <c r="LU816" s="89"/>
      <c r="LV816" s="89"/>
      <c r="LW816" s="89"/>
      <c r="LX816" s="89"/>
      <c r="LY816" s="89"/>
      <c r="LZ816" s="89"/>
      <c r="MA816" s="89"/>
      <c r="MB816" s="89"/>
      <c r="MC816" s="89"/>
      <c r="MD816" s="89"/>
      <c r="ME816" s="89"/>
      <c r="MF816" s="89"/>
      <c r="MG816" s="89"/>
      <c r="MH816" s="89"/>
      <c r="MI816" s="89"/>
      <c r="MJ816" s="89"/>
      <c r="MK816" s="89"/>
      <c r="ML816" s="89"/>
      <c r="MM816" s="89"/>
      <c r="MN816" s="89"/>
      <c r="MO816" s="89"/>
      <c r="MP816" s="89"/>
      <c r="MQ816" s="89"/>
      <c r="MR816" s="89"/>
      <c r="MS816" s="153" t="s">
        <v>2244</v>
      </c>
      <c r="MT816" s="89">
        <v>64</v>
      </c>
      <c r="MU816" s="153" t="s">
        <v>2263</v>
      </c>
      <c r="MV816" s="164"/>
      <c r="MW816" s="164" t="s">
        <v>2264</v>
      </c>
      <c r="MX816" s="164"/>
      <c r="MY816" s="164"/>
      <c r="MZ816" s="164"/>
      <c r="NA816" s="164"/>
      <c r="NB816" s="164" t="s">
        <v>205</v>
      </c>
      <c r="NC816" s="164"/>
      <c r="ND816" s="153"/>
      <c r="NE816" s="153" t="s">
        <v>2263</v>
      </c>
      <c r="NF816" s="153" t="s">
        <v>2265</v>
      </c>
      <c r="NG816" t="s">
        <v>203</v>
      </c>
      <c r="NH816" s="165" t="s">
        <v>2266</v>
      </c>
      <c r="NI816" s="153"/>
      <c r="NJ816" s="153"/>
      <c r="NK816" s="153"/>
      <c r="NL816" s="153"/>
      <c r="NM816" s="153"/>
      <c r="NN816" s="153"/>
      <c r="NO816" s="153"/>
      <c r="NP816" s="153" t="s">
        <v>64</v>
      </c>
      <c r="NQ816" s="166" t="s">
        <v>6</v>
      </c>
      <c r="NR816" s="173">
        <v>1932.7</v>
      </c>
      <c r="NS816" s="166" t="s">
        <v>4</v>
      </c>
      <c r="NT816" s="97">
        <v>121</v>
      </c>
      <c r="NU816" s="180"/>
      <c r="NV816" s="89"/>
      <c r="NW816" s="153">
        <v>4</v>
      </c>
      <c r="NX816" s="2"/>
      <c r="NY816" s="2"/>
      <c r="OB816" s="89"/>
      <c r="OC816" s="89"/>
      <c r="OD816" s="89"/>
      <c r="OE816" s="89"/>
      <c r="OF816" s="89"/>
      <c r="OG816" s="89"/>
      <c r="OH816" s="153" t="s">
        <v>1943</v>
      </c>
      <c r="OI816" s="89"/>
      <c r="OJ816" s="89">
        <v>2007</v>
      </c>
      <c r="OK816" s="89"/>
      <c r="OL816" s="89"/>
      <c r="OM816" s="89" t="s">
        <v>1</v>
      </c>
      <c r="ON816" s="89"/>
      <c r="OO816" t="s">
        <v>1178</v>
      </c>
      <c r="OP816" s="58">
        <v>46134</v>
      </c>
    </row>
    <row r="817" spans="1:406" ht="15.75" thickBot="1">
      <c r="A817" t="s">
        <v>248</v>
      </c>
      <c r="B817" t="s">
        <v>2238</v>
      </c>
      <c r="C817" s="89" t="s">
        <v>34</v>
      </c>
      <c r="D817" s="152" t="s">
        <v>1955</v>
      </c>
      <c r="E817" s="89" t="s">
        <v>1676</v>
      </c>
      <c r="F817" t="s">
        <v>31</v>
      </c>
      <c r="G817" s="89" t="s">
        <v>2</v>
      </c>
      <c r="H817" s="152" t="s">
        <v>30</v>
      </c>
      <c r="I817">
        <v>-0.41666666699999999</v>
      </c>
      <c r="J817">
        <v>34.200000000000003</v>
      </c>
      <c r="K817" s="152" t="s">
        <v>29</v>
      </c>
      <c r="L817" s="2"/>
      <c r="M817" s="99"/>
      <c r="N817" s="2"/>
      <c r="O817" s="89"/>
      <c r="P817" s="2"/>
      <c r="Q817" s="2"/>
      <c r="R817" s="89"/>
      <c r="S817" s="89"/>
      <c r="T817" s="89"/>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89" t="s">
        <v>2239</v>
      </c>
      <c r="AW817" s="89">
        <v>64</v>
      </c>
      <c r="AX817" s="89">
        <v>0.09</v>
      </c>
      <c r="AY817" s="89">
        <v>1</v>
      </c>
      <c r="AZ817" s="153" t="s">
        <v>2240</v>
      </c>
      <c r="BA817" s="153">
        <v>2007</v>
      </c>
      <c r="BB817" s="153">
        <v>2008</v>
      </c>
      <c r="BC817" s="153" t="s">
        <v>1</v>
      </c>
      <c r="BD817" s="2"/>
      <c r="BE817" s="2" t="s">
        <v>2249</v>
      </c>
      <c r="BF817" s="2" t="s">
        <v>64</v>
      </c>
      <c r="BG817" s="153" t="s">
        <v>1243</v>
      </c>
      <c r="BH817" s="2" t="s">
        <v>2242</v>
      </c>
      <c r="BI817" s="153" t="s">
        <v>29</v>
      </c>
      <c r="BJ817" s="154" t="s">
        <v>22</v>
      </c>
      <c r="BK817" s="155">
        <v>55500</v>
      </c>
      <c r="BL817" s="2" t="s">
        <v>56</v>
      </c>
      <c r="BM817" t="s">
        <v>2250</v>
      </c>
      <c r="BN817" s="153" t="s">
        <v>29</v>
      </c>
      <c r="BO817" s="2" t="s">
        <v>22</v>
      </c>
      <c r="BP817" s="2">
        <v>55000</v>
      </c>
      <c r="BQ817" s="2"/>
      <c r="BR817" s="2"/>
      <c r="BS817" s="2"/>
      <c r="BT817" s="2"/>
      <c r="BU817" s="2"/>
      <c r="BV817" s="2"/>
      <c r="BW817" s="3"/>
      <c r="BX817" s="3"/>
      <c r="BY817" s="3"/>
      <c r="BZ817" s="3"/>
      <c r="CA817" s="3"/>
      <c r="CB817" s="3"/>
      <c r="CC817" s="3"/>
      <c r="CD817" s="3"/>
      <c r="CE817" s="3"/>
      <c r="CF817" s="3"/>
      <c r="CG817" s="3"/>
      <c r="CH817" s="3"/>
      <c r="CI817" s="3"/>
      <c r="CJ817" s="3"/>
      <c r="CK817" s="3"/>
      <c r="CL817" s="3"/>
      <c r="CM817" s="3"/>
      <c r="CN817" s="3"/>
      <c r="CO817" s="3"/>
      <c r="CP817" s="3"/>
      <c r="CQ817" s="3"/>
      <c r="CR817" s="3"/>
      <c r="CS817" s="3"/>
      <c r="CT817" s="3"/>
      <c r="CU817" s="3"/>
      <c r="CV817" s="3"/>
      <c r="CW817" s="3"/>
      <c r="CX817" s="3"/>
      <c r="CY817" s="3"/>
      <c r="CZ817" s="3"/>
      <c r="DA817" s="3"/>
      <c r="DB817" s="3"/>
      <c r="DC817" s="3"/>
      <c r="DD817" s="3"/>
      <c r="DE817" s="3"/>
      <c r="DF817" s="3"/>
      <c r="DG817" s="3"/>
      <c r="DH817" s="3"/>
      <c r="DI817" s="3"/>
      <c r="DJ817" s="3"/>
      <c r="DK817" s="3"/>
      <c r="DL817" s="3"/>
      <c r="DM817" s="3"/>
      <c r="DN817" s="3"/>
      <c r="DO817" s="3"/>
      <c r="DP817" s="3"/>
      <c r="DQ817" s="3"/>
      <c r="DR817" s="3"/>
      <c r="DS817" s="3"/>
      <c r="DT817" s="3"/>
      <c r="DU817" s="3"/>
      <c r="DV817" s="3"/>
      <c r="DW817" s="3"/>
      <c r="DX817" s="3"/>
      <c r="DY817" s="3"/>
      <c r="DZ817" s="3"/>
      <c r="EA817" s="3"/>
      <c r="EB817" s="3"/>
      <c r="EC817" s="3"/>
      <c r="ED817" s="3"/>
      <c r="EE817" s="2"/>
      <c r="EF817" s="2"/>
      <c r="EG817" s="2"/>
      <c r="EH817" s="2"/>
      <c r="EI817" s="2"/>
      <c r="EJ817" s="2"/>
      <c r="EK817" s="2"/>
      <c r="EL817" s="2"/>
      <c r="EM817" s="3"/>
      <c r="EN817" s="3"/>
      <c r="EO817" s="3"/>
      <c r="EP817" s="3"/>
      <c r="EQ817" s="3"/>
      <c r="ER817" s="3"/>
      <c r="ES817" s="3"/>
      <c r="ET817" s="3"/>
      <c r="EU817" s="3"/>
      <c r="EV817" s="3"/>
      <c r="EW817" s="3"/>
      <c r="EX817" s="3"/>
      <c r="EY817" s="3"/>
      <c r="EZ817" s="3"/>
      <c r="FA817" s="3"/>
      <c r="FB817" s="3"/>
      <c r="FC817" s="3"/>
      <c r="FD817" s="3"/>
      <c r="FE817" s="3"/>
      <c r="FF817" s="3"/>
      <c r="FG817" s="3"/>
      <c r="FH817" s="3"/>
      <c r="FI817" s="3"/>
      <c r="FJ817" s="3"/>
      <c r="FK817" s="3"/>
      <c r="FL817" s="3"/>
      <c r="FM817" s="3"/>
      <c r="FN817" s="3"/>
      <c r="FO817" s="3"/>
      <c r="FP817" s="3"/>
      <c r="FQ817" s="3"/>
      <c r="FR817" s="3"/>
      <c r="FS817" s="3"/>
      <c r="FT817" s="3"/>
      <c r="FU817" s="3"/>
      <c r="FV817" s="3"/>
      <c r="FW817" s="3"/>
      <c r="FX817" s="3"/>
      <c r="FY817" s="3"/>
      <c r="FZ817" s="3"/>
      <c r="GA817" s="3"/>
      <c r="GB817" s="3"/>
      <c r="GC817" s="3"/>
      <c r="GD817" s="3"/>
      <c r="GE817" s="3"/>
      <c r="GF817" s="3"/>
      <c r="GG817" s="3"/>
      <c r="GH817" s="3"/>
      <c r="GI817" s="3"/>
      <c r="GJ817" s="3"/>
      <c r="GK817" s="3"/>
      <c r="GL817" s="3"/>
      <c r="GM817" s="3"/>
      <c r="GN817" s="3"/>
      <c r="GO817" s="3"/>
      <c r="GP817" s="3"/>
      <c r="GQ817" s="3"/>
      <c r="GR817" s="3"/>
      <c r="GS817" s="3"/>
      <c r="GT817" s="3"/>
      <c r="GU817" s="3"/>
      <c r="GV817" s="3"/>
      <c r="GW817" s="3"/>
      <c r="GX817" s="3"/>
      <c r="GY817" s="3"/>
      <c r="GZ817" s="3"/>
      <c r="HA817" s="3"/>
      <c r="HB817" s="3"/>
      <c r="HC817" s="3"/>
      <c r="HD817" s="3"/>
      <c r="HE817" s="3"/>
      <c r="HF817" s="3"/>
      <c r="HG817" s="3"/>
      <c r="HH817" s="3"/>
      <c r="HI817" s="3"/>
      <c r="HJ817" s="3"/>
      <c r="HK817" s="3"/>
      <c r="HL817" s="2"/>
      <c r="HM817" s="2"/>
      <c r="HN817" s="2"/>
      <c r="HO817" s="2"/>
      <c r="HP817" s="2"/>
      <c r="HQ817" s="2"/>
      <c r="HR817" s="2"/>
      <c r="HS817" s="2"/>
      <c r="HT817" s="99"/>
      <c r="HU817" s="2"/>
      <c r="HV817" s="2"/>
      <c r="HW817" s="2"/>
      <c r="HX817" s="2"/>
      <c r="HY817" s="2"/>
      <c r="HZ817" s="2"/>
      <c r="IA817" s="2"/>
      <c r="IB817" s="2"/>
      <c r="IC817" s="2"/>
      <c r="ID817" s="2"/>
      <c r="IE817" s="2"/>
      <c r="IF817" s="2"/>
      <c r="IG817" s="153" t="s">
        <v>2243</v>
      </c>
      <c r="IH817" s="168" t="s">
        <v>1453</v>
      </c>
      <c r="II817" s="169" t="s">
        <v>1477</v>
      </c>
      <c r="IJ817" s="170" t="s">
        <v>661</v>
      </c>
      <c r="IK817" s="2">
        <v>2007</v>
      </c>
      <c r="IL817" s="2" t="s">
        <v>62</v>
      </c>
      <c r="IM817" s="2" t="s">
        <v>29</v>
      </c>
      <c r="IP817" s="2"/>
      <c r="IQ817" s="2"/>
      <c r="IR817" s="2"/>
      <c r="IS817" s="2"/>
      <c r="IT817" s="2"/>
      <c r="IU817" s="2"/>
      <c r="IV817" s="2"/>
      <c r="IW817" s="2"/>
      <c r="IX817" s="2"/>
      <c r="IY817" s="2"/>
      <c r="IZ817" s="2"/>
      <c r="JA817" s="2"/>
      <c r="JB817" s="2"/>
      <c r="JC817" s="2"/>
      <c r="JD817" s="2"/>
      <c r="JE817" s="2"/>
      <c r="JF817" s="2"/>
      <c r="JG817" s="2"/>
      <c r="JH817" s="2"/>
      <c r="JI817" s="2"/>
      <c r="JJ817" s="2"/>
      <c r="JK817" s="159" t="s">
        <v>14</v>
      </c>
      <c r="JL817" s="160" t="s">
        <v>1682</v>
      </c>
      <c r="JM817" s="99"/>
      <c r="JQ817" s="2"/>
      <c r="JR817" s="2"/>
      <c r="JS817" s="2"/>
      <c r="JT817" s="2"/>
      <c r="JU817" s="2"/>
      <c r="JV817" s="2"/>
      <c r="JW817" s="2"/>
      <c r="JX817" s="161"/>
      <c r="JY817" s="171"/>
      <c r="JZ817" s="99"/>
      <c r="KA817" s="2"/>
      <c r="KB817" s="99"/>
      <c r="KC817" s="2"/>
      <c r="KD817" s="2"/>
      <c r="KE817" s="2"/>
      <c r="KF817" s="99"/>
      <c r="KG817" s="2"/>
      <c r="KH817" s="168"/>
      <c r="KI817" s="172"/>
      <c r="KJ817" s="2"/>
      <c r="KK817" s="2"/>
      <c r="KL817" s="2"/>
      <c r="KM817" s="2"/>
      <c r="KN817" s="99"/>
      <c r="KO817" s="2"/>
      <c r="KP817" s="168"/>
      <c r="KQ817" s="172"/>
      <c r="KR817" s="2"/>
      <c r="KS817" s="2"/>
      <c r="KT817" s="163"/>
      <c r="KU817" s="181"/>
      <c r="KV817" s="2"/>
      <c r="KW817" s="2"/>
      <c r="KX817" s="2"/>
      <c r="KY817" s="3"/>
      <c r="KZ817" s="3"/>
      <c r="LA817" s="3"/>
      <c r="LB817" s="3"/>
      <c r="LC817" s="99"/>
      <c r="LD817" s="99"/>
      <c r="LE817" s="99"/>
      <c r="LF817" s="99"/>
      <c r="LG817" s="99"/>
      <c r="LH817" s="2"/>
      <c r="LI817" s="99"/>
      <c r="LJ817" s="99"/>
      <c r="LK817" s="99"/>
      <c r="LL817" s="2"/>
      <c r="LM817" s="2"/>
      <c r="LN817" s="2"/>
      <c r="LO817" s="2"/>
      <c r="LP817" s="2"/>
      <c r="LQ817" s="2"/>
      <c r="LR817" s="2"/>
      <c r="LS817" s="2"/>
      <c r="LT817" s="2"/>
      <c r="LU817" s="2"/>
      <c r="LV817" s="2"/>
      <c r="LW817" s="2"/>
      <c r="LX817" s="2"/>
      <c r="LY817" s="2"/>
      <c r="LZ817" s="2"/>
      <c r="MA817" s="2"/>
      <c r="MB817" s="2"/>
      <c r="MC817" s="2"/>
      <c r="MD817" s="2"/>
      <c r="ME817" s="2"/>
      <c r="MF817" s="2"/>
      <c r="MG817" s="2"/>
      <c r="MH817" s="2"/>
      <c r="MI817" s="2"/>
      <c r="MJ817" s="2"/>
      <c r="MK817" s="2"/>
      <c r="ML817" s="2"/>
      <c r="MM817" s="2"/>
      <c r="MN817" s="2"/>
      <c r="MO817" s="2"/>
      <c r="MP817" s="2"/>
      <c r="MQ817" s="2"/>
      <c r="MR817" s="2"/>
      <c r="MS817" s="153" t="s">
        <v>2244</v>
      </c>
      <c r="MT817" s="89">
        <v>64</v>
      </c>
      <c r="MU817" s="153" t="s">
        <v>2263</v>
      </c>
      <c r="MV817" s="164"/>
      <c r="MW817" s="164" t="s">
        <v>2264</v>
      </c>
      <c r="MX817" s="164"/>
      <c r="MY817" s="164"/>
      <c r="MZ817" s="164"/>
      <c r="NA817" s="164"/>
      <c r="NB817" s="164" t="s">
        <v>205</v>
      </c>
      <c r="NC817" s="164"/>
      <c r="ND817" s="153"/>
      <c r="NE817" s="153" t="s">
        <v>2263</v>
      </c>
      <c r="NF817" s="153" t="s">
        <v>2265</v>
      </c>
      <c r="NG817" t="s">
        <v>203</v>
      </c>
      <c r="NH817" s="165" t="s">
        <v>2266</v>
      </c>
      <c r="NI817" s="153"/>
      <c r="NJ817" s="153"/>
      <c r="NK817" s="153"/>
      <c r="NL817" s="153"/>
      <c r="NM817" s="153"/>
      <c r="NN817" s="153"/>
      <c r="NO817" s="153"/>
      <c r="NP817" s="153"/>
      <c r="NQ817" s="166" t="s">
        <v>6</v>
      </c>
      <c r="NR817" s="173">
        <v>10.1</v>
      </c>
      <c r="NS817" s="166" t="s">
        <v>4</v>
      </c>
      <c r="NT817" s="173">
        <v>3</v>
      </c>
      <c r="NU817" s="174"/>
      <c r="NV817" s="2"/>
      <c r="NW817" s="153">
        <v>4</v>
      </c>
      <c r="NX817" s="89"/>
      <c r="NY817" s="89"/>
      <c r="OB817" s="2"/>
      <c r="OC817" s="2"/>
      <c r="OD817" s="2"/>
      <c r="OE817" s="2"/>
      <c r="OF817" s="2"/>
      <c r="OG817" s="2"/>
      <c r="OH817" s="153" t="s">
        <v>1943</v>
      </c>
      <c r="OI817" s="2"/>
      <c r="OJ817" s="2">
        <v>2007</v>
      </c>
      <c r="OK817" s="2"/>
      <c r="OL817" s="2"/>
      <c r="OM817" s="2" t="s">
        <v>1</v>
      </c>
      <c r="ON817" s="2"/>
      <c r="OO817" t="s">
        <v>1178</v>
      </c>
      <c r="OP817" s="58">
        <v>46134</v>
      </c>
    </row>
    <row r="818" spans="1:406" ht="15.75" thickBot="1">
      <c r="A818" t="s">
        <v>248</v>
      </c>
      <c r="B818" t="s">
        <v>2238</v>
      </c>
      <c r="C818" s="89" t="s">
        <v>34</v>
      </c>
      <c r="D818" s="152" t="s">
        <v>1955</v>
      </c>
      <c r="E818" s="89" t="s">
        <v>1676</v>
      </c>
      <c r="F818" t="s">
        <v>31</v>
      </c>
      <c r="G818" s="89" t="s">
        <v>2</v>
      </c>
      <c r="H818" s="152" t="s">
        <v>30</v>
      </c>
      <c r="I818">
        <v>-0.41666666699999999</v>
      </c>
      <c r="J818">
        <v>34.200000000000003</v>
      </c>
      <c r="K818" s="152" t="s">
        <v>29</v>
      </c>
      <c r="L818" s="89"/>
      <c r="M818" s="152"/>
      <c r="N818" s="89"/>
      <c r="O818" s="89"/>
      <c r="P818" s="89"/>
      <c r="Q818" s="89"/>
      <c r="R818" s="89"/>
      <c r="S818" s="89"/>
      <c r="T818" s="89"/>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89" t="s">
        <v>2239</v>
      </c>
      <c r="AW818" s="89">
        <v>64</v>
      </c>
      <c r="AX818" s="89">
        <v>0.09</v>
      </c>
      <c r="AY818" s="89">
        <v>1</v>
      </c>
      <c r="AZ818" s="153" t="s">
        <v>2240</v>
      </c>
      <c r="BA818" s="153">
        <v>2007</v>
      </c>
      <c r="BB818" s="153">
        <v>2008</v>
      </c>
      <c r="BC818" s="153" t="s">
        <v>62</v>
      </c>
      <c r="BD818" s="89"/>
      <c r="BE818" s="153" t="s">
        <v>2241</v>
      </c>
      <c r="BF818" s="153" t="s">
        <v>39</v>
      </c>
      <c r="BG818" s="153" t="s">
        <v>1243</v>
      </c>
      <c r="BH818" s="153" t="s">
        <v>2242</v>
      </c>
      <c r="BI818" s="153" t="s">
        <v>29</v>
      </c>
      <c r="BJ818" s="154" t="s">
        <v>22</v>
      </c>
      <c r="BK818" s="155">
        <v>111000</v>
      </c>
      <c r="BL818" s="89"/>
      <c r="BM818" s="89"/>
      <c r="BN818" s="89"/>
      <c r="BO818" s="152"/>
      <c r="BP818" s="175"/>
      <c r="BQ818" s="89"/>
      <c r="BR818" s="89"/>
      <c r="BS818" s="89"/>
      <c r="BT818" s="152"/>
      <c r="BU818" s="175"/>
      <c r="BV818" s="89"/>
      <c r="BW818" s="3"/>
      <c r="BX818" s="3"/>
      <c r="BY818" s="3"/>
      <c r="BZ818" s="3"/>
      <c r="CA818" s="3"/>
      <c r="CB818" s="3"/>
      <c r="CC818" s="3"/>
      <c r="CD818" s="3"/>
      <c r="CE818" s="3"/>
      <c r="CF818" s="3"/>
      <c r="CG818" s="3"/>
      <c r="CH818" s="3"/>
      <c r="CI818" s="3"/>
      <c r="CJ818" s="3"/>
      <c r="CK818" s="3"/>
      <c r="CL818" s="3"/>
      <c r="CM818" s="3"/>
      <c r="CN818" s="3"/>
      <c r="CO818" s="3"/>
      <c r="CP818" s="3"/>
      <c r="CQ818" s="3"/>
      <c r="CR818" s="3"/>
      <c r="CS818" s="3"/>
      <c r="CT818" s="3"/>
      <c r="CU818" s="3"/>
      <c r="CV818" s="3"/>
      <c r="CW818" s="3"/>
      <c r="CX818" s="3"/>
      <c r="CY818" s="3"/>
      <c r="CZ818" s="3"/>
      <c r="DA818" s="3"/>
      <c r="DB818" s="3"/>
      <c r="DC818" s="3"/>
      <c r="DD818" s="3"/>
      <c r="DE818" s="3"/>
      <c r="DF818" s="3"/>
      <c r="DG818" s="3"/>
      <c r="DH818" s="3"/>
      <c r="DI818" s="3"/>
      <c r="DJ818" s="3"/>
      <c r="DK818" s="3"/>
      <c r="DL818" s="3"/>
      <c r="DM818" s="3"/>
      <c r="DN818" s="3"/>
      <c r="DO818" s="3"/>
      <c r="DP818" s="3"/>
      <c r="DQ818" s="3"/>
      <c r="DR818" s="3"/>
      <c r="DS818" s="3"/>
      <c r="DT818" s="3"/>
      <c r="DU818" s="3"/>
      <c r="DV818" s="3"/>
      <c r="DW818" s="3"/>
      <c r="DX818" s="3"/>
      <c r="DY818" s="3"/>
      <c r="DZ818" s="3"/>
      <c r="EA818" s="3"/>
      <c r="EB818" s="3"/>
      <c r="EC818" s="3"/>
      <c r="ED818" s="3"/>
      <c r="EE818" s="89"/>
      <c r="EF818" s="89"/>
      <c r="EG818" s="89"/>
      <c r="EH818" s="89"/>
      <c r="EI818" s="89"/>
      <c r="EJ818" s="89"/>
      <c r="EK818" s="89"/>
      <c r="EL818" s="89"/>
      <c r="EM818" s="3"/>
      <c r="EN818" s="3"/>
      <c r="EO818" s="3"/>
      <c r="EP818" s="3"/>
      <c r="EQ818" s="3"/>
      <c r="ER818" s="3"/>
      <c r="ES818" s="3"/>
      <c r="ET818" s="3"/>
      <c r="EU818" s="3"/>
      <c r="EV818" s="3"/>
      <c r="EW818" s="3"/>
      <c r="EX818" s="3"/>
      <c r="EY818" s="3"/>
      <c r="EZ818" s="3"/>
      <c r="FA818" s="3"/>
      <c r="FB818" s="3"/>
      <c r="FC818" s="3"/>
      <c r="FD818" s="3"/>
      <c r="FE818" s="3"/>
      <c r="FF818" s="3"/>
      <c r="FG818" s="3"/>
      <c r="FH818" s="3"/>
      <c r="FI818" s="3"/>
      <c r="FJ818" s="3"/>
      <c r="FK818" s="3"/>
      <c r="FL818" s="3"/>
      <c r="FM818" s="3"/>
      <c r="FN818" s="3"/>
      <c r="FO818" s="3"/>
      <c r="FP818" s="3"/>
      <c r="FQ818" s="3"/>
      <c r="FR818" s="3"/>
      <c r="FS818" s="3"/>
      <c r="FT818" s="3"/>
      <c r="FU818" s="3"/>
      <c r="FV818" s="3"/>
      <c r="FW818" s="3"/>
      <c r="FX818" s="3"/>
      <c r="FY818" s="3"/>
      <c r="FZ818" s="3"/>
      <c r="GA818" s="3"/>
      <c r="GB818" s="3"/>
      <c r="GC818" s="3"/>
      <c r="GD818" s="3"/>
      <c r="GE818" s="3"/>
      <c r="GF818" s="3"/>
      <c r="GG818" s="3"/>
      <c r="GH818" s="3"/>
      <c r="GI818" s="3"/>
      <c r="GJ818" s="3"/>
      <c r="GK818" s="3"/>
      <c r="GL818" s="3"/>
      <c r="GM818" s="3"/>
      <c r="GN818" s="3"/>
      <c r="GO818" s="3"/>
      <c r="GP818" s="3"/>
      <c r="GQ818" s="3"/>
      <c r="GR818" s="3"/>
      <c r="GS818" s="3"/>
      <c r="GT818" s="3"/>
      <c r="GU818" s="3"/>
      <c r="GV818" s="3"/>
      <c r="GW818" s="3"/>
      <c r="GX818" s="3"/>
      <c r="GY818" s="3"/>
      <c r="GZ818" s="3"/>
      <c r="HA818" s="3"/>
      <c r="HB818" s="3"/>
      <c r="HC818" s="3"/>
      <c r="HD818" s="3"/>
      <c r="HE818" s="3"/>
      <c r="HF818" s="3"/>
      <c r="HG818" s="3"/>
      <c r="HH818" s="3"/>
      <c r="HI818" s="3"/>
      <c r="HJ818" s="3"/>
      <c r="HK818" s="3"/>
      <c r="HL818" s="89"/>
      <c r="HM818" s="89"/>
      <c r="HN818" s="89"/>
      <c r="HO818" s="89"/>
      <c r="HP818" s="89"/>
      <c r="HQ818" s="89"/>
      <c r="HR818" s="89"/>
      <c r="HS818" s="89"/>
      <c r="HT818" s="152"/>
      <c r="HU818" s="89"/>
      <c r="HV818" s="89"/>
      <c r="HW818" s="89"/>
      <c r="HX818" s="89"/>
      <c r="HY818" s="89"/>
      <c r="HZ818" s="89"/>
      <c r="IA818" s="89"/>
      <c r="IB818" s="89"/>
      <c r="IC818" s="89"/>
      <c r="ID818" s="89"/>
      <c r="IE818" s="89"/>
      <c r="IF818" s="89"/>
      <c r="IG818" s="153" t="s">
        <v>2243</v>
      </c>
      <c r="IH818" s="157" t="s">
        <v>19</v>
      </c>
      <c r="II818" s="89"/>
      <c r="IJ818" s="89"/>
      <c r="IK818" s="89"/>
      <c r="IL818" s="89"/>
      <c r="IM818" s="89"/>
      <c r="IP818" s="89"/>
      <c r="IQ818" s="89"/>
      <c r="IR818" s="89"/>
      <c r="IS818" s="89"/>
      <c r="IT818" s="89"/>
      <c r="IU818" s="89"/>
      <c r="IV818" s="152"/>
      <c r="IW818" s="89"/>
      <c r="IX818" s="89"/>
      <c r="IY818" s="89"/>
      <c r="IZ818" s="89"/>
      <c r="JA818" s="89"/>
      <c r="JB818" s="89"/>
      <c r="JC818" s="89"/>
      <c r="JD818" s="89"/>
      <c r="JE818" s="89"/>
      <c r="JF818" s="89"/>
      <c r="JG818" s="89"/>
      <c r="JH818" s="89"/>
      <c r="JI818" s="89"/>
      <c r="JJ818" s="89"/>
      <c r="JK818" s="159" t="s">
        <v>14</v>
      </c>
      <c r="JL818" s="160" t="s">
        <v>1682</v>
      </c>
      <c r="JM818" s="152"/>
      <c r="JQ818" s="89"/>
      <c r="JR818" s="89"/>
      <c r="JS818" s="89"/>
      <c r="JT818" s="89"/>
      <c r="JU818" s="89"/>
      <c r="JV818" s="89"/>
      <c r="JW818" s="89"/>
      <c r="JX818" s="161"/>
      <c r="JY818" s="159"/>
      <c r="JZ818" s="152"/>
      <c r="KA818" s="89"/>
      <c r="KB818" s="152"/>
      <c r="KC818" s="89"/>
      <c r="KD818" s="89"/>
      <c r="KE818" s="89"/>
      <c r="KF818" s="152"/>
      <c r="KG818" s="89"/>
      <c r="KH818" s="157"/>
      <c r="KI818" s="178"/>
      <c r="KJ818" s="89"/>
      <c r="KK818" s="89"/>
      <c r="KL818" s="89"/>
      <c r="KM818" s="89"/>
      <c r="KN818" s="152"/>
      <c r="KO818" s="89"/>
      <c r="KP818" s="182"/>
      <c r="KQ818" s="159"/>
      <c r="KR818" s="89"/>
      <c r="KS818" s="89"/>
      <c r="KT818" s="163"/>
      <c r="KU818" s="178"/>
      <c r="KV818" s="89"/>
      <c r="KW818" s="89"/>
      <c r="KX818" s="89"/>
      <c r="KY818" s="3"/>
      <c r="KZ818" s="3"/>
      <c r="LA818" s="3"/>
      <c r="LB818" s="3"/>
      <c r="LC818" s="152"/>
      <c r="LD818" s="152"/>
      <c r="LE818" s="152"/>
      <c r="LF818" s="152"/>
      <c r="LG818" s="152"/>
      <c r="LH818" s="89"/>
      <c r="LI818" s="152"/>
      <c r="LJ818" s="152"/>
      <c r="LK818" s="152"/>
      <c r="LL818" s="89"/>
      <c r="LM818" s="89"/>
      <c r="LN818" s="89"/>
      <c r="LO818" s="89"/>
      <c r="LP818" s="89"/>
      <c r="LQ818" s="89"/>
      <c r="LR818" s="89"/>
      <c r="LS818" s="89"/>
      <c r="LT818" s="89"/>
      <c r="LU818" s="89"/>
      <c r="LV818" s="89"/>
      <c r="LW818" s="89"/>
      <c r="LX818" s="89"/>
      <c r="LY818" s="89"/>
      <c r="LZ818" s="89"/>
      <c r="MA818" s="89"/>
      <c r="MB818" s="89"/>
      <c r="MC818" s="89"/>
      <c r="MD818" s="89"/>
      <c r="ME818" s="89"/>
      <c r="MF818" s="89"/>
      <c r="MG818" s="89"/>
      <c r="MH818" s="89"/>
      <c r="MI818" s="89"/>
      <c r="MJ818" s="89"/>
      <c r="MK818" s="89"/>
      <c r="ML818" s="89"/>
      <c r="MM818" s="89"/>
      <c r="MN818" s="89"/>
      <c r="MO818" s="89"/>
      <c r="MP818" s="89"/>
      <c r="MQ818" s="89"/>
      <c r="MR818" s="89"/>
      <c r="MS818" s="153" t="s">
        <v>2244</v>
      </c>
      <c r="MT818" s="89">
        <v>64</v>
      </c>
      <c r="MU818" s="153" t="s">
        <v>2263</v>
      </c>
      <c r="MV818" s="164"/>
      <c r="MW818" s="164" t="s">
        <v>2264</v>
      </c>
      <c r="MX818" s="164"/>
      <c r="MY818" s="164"/>
      <c r="MZ818" s="164"/>
      <c r="NA818" s="164"/>
      <c r="NB818" s="164" t="s">
        <v>205</v>
      </c>
      <c r="NC818" s="164"/>
      <c r="ND818" s="153"/>
      <c r="NE818" s="153" t="s">
        <v>2263</v>
      </c>
      <c r="NF818" s="153" t="s">
        <v>2265</v>
      </c>
      <c r="NG818" t="s">
        <v>203</v>
      </c>
      <c r="NH818" s="165" t="s">
        <v>2266</v>
      </c>
      <c r="NI818" s="153"/>
      <c r="NJ818" s="153"/>
      <c r="NK818" s="153"/>
      <c r="NL818" s="153"/>
      <c r="NM818" s="153"/>
      <c r="NN818" s="153"/>
      <c r="NO818" s="153"/>
      <c r="NP818" s="153" t="s">
        <v>64</v>
      </c>
      <c r="NQ818" s="166" t="s">
        <v>6</v>
      </c>
      <c r="NR818" s="173">
        <v>283.5</v>
      </c>
      <c r="NS818" s="166" t="s">
        <v>4</v>
      </c>
      <c r="NT818" s="97">
        <v>12</v>
      </c>
      <c r="NU818" s="180"/>
      <c r="NV818" s="89"/>
      <c r="NW818" s="153">
        <v>4</v>
      </c>
      <c r="NX818" s="2"/>
      <c r="NY818" s="2"/>
      <c r="OB818" s="89"/>
      <c r="OC818" s="89"/>
      <c r="OD818" s="89"/>
      <c r="OE818" s="89"/>
      <c r="OF818" s="89"/>
      <c r="OG818" s="89"/>
      <c r="OH818" s="153" t="s">
        <v>1943</v>
      </c>
      <c r="OI818" s="89"/>
      <c r="OJ818" s="89">
        <v>2008</v>
      </c>
      <c r="OK818" s="89"/>
      <c r="OL818" s="89"/>
      <c r="OM818" s="153" t="s">
        <v>62</v>
      </c>
      <c r="ON818" s="89"/>
      <c r="OO818" t="s">
        <v>1178</v>
      </c>
      <c r="OP818" s="58">
        <v>46134</v>
      </c>
    </row>
    <row r="819" spans="1:406" ht="15.75" thickBot="1">
      <c r="A819" t="s">
        <v>248</v>
      </c>
      <c r="B819" t="s">
        <v>2238</v>
      </c>
      <c r="C819" s="89" t="s">
        <v>34</v>
      </c>
      <c r="D819" s="152" t="s">
        <v>1955</v>
      </c>
      <c r="E819" s="89" t="s">
        <v>1676</v>
      </c>
      <c r="F819" t="s">
        <v>31</v>
      </c>
      <c r="G819" s="89" t="s">
        <v>2</v>
      </c>
      <c r="H819" s="152" t="s">
        <v>30</v>
      </c>
      <c r="I819">
        <v>-0.41666666699999999</v>
      </c>
      <c r="J819">
        <v>34.200000000000003</v>
      </c>
      <c r="K819" s="152" t="s">
        <v>29</v>
      </c>
      <c r="L819" s="2"/>
      <c r="M819" s="99"/>
      <c r="N819" s="2"/>
      <c r="O819" s="89"/>
      <c r="P819" s="2"/>
      <c r="Q819" s="2"/>
      <c r="R819" s="89"/>
      <c r="S819" s="89"/>
      <c r="T819" s="89"/>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89" t="s">
        <v>2239</v>
      </c>
      <c r="AW819" s="89">
        <v>64</v>
      </c>
      <c r="AX819" s="89">
        <v>0.09</v>
      </c>
      <c r="AY819" s="89">
        <v>1</v>
      </c>
      <c r="AZ819" s="153" t="s">
        <v>2240</v>
      </c>
      <c r="BA819" s="153">
        <v>2007</v>
      </c>
      <c r="BB819" s="153">
        <v>2008</v>
      </c>
      <c r="BC819" s="153" t="s">
        <v>62</v>
      </c>
      <c r="BD819" s="2"/>
      <c r="BE819" s="2" t="s">
        <v>2249</v>
      </c>
      <c r="BF819" s="2" t="s">
        <v>64</v>
      </c>
      <c r="BG819" s="153" t="s">
        <v>1243</v>
      </c>
      <c r="BH819" s="2" t="s">
        <v>2242</v>
      </c>
      <c r="BI819" s="153" t="s">
        <v>29</v>
      </c>
      <c r="BJ819" s="154" t="s">
        <v>22</v>
      </c>
      <c r="BK819" s="155">
        <v>55500</v>
      </c>
      <c r="BL819" s="2" t="s">
        <v>56</v>
      </c>
      <c r="BM819" t="s">
        <v>2250</v>
      </c>
      <c r="BN819" s="153" t="s">
        <v>29</v>
      </c>
      <c r="BO819" s="2" t="s">
        <v>22</v>
      </c>
      <c r="BP819" s="2">
        <v>55000</v>
      </c>
      <c r="BQ819" s="2"/>
      <c r="BR819" s="2"/>
      <c r="BS819" s="2"/>
      <c r="BT819" s="99"/>
      <c r="BU819" s="2"/>
      <c r="BV819" s="2"/>
      <c r="BW819" s="3"/>
      <c r="BX819" s="3"/>
      <c r="BY819" s="3"/>
      <c r="BZ819" s="3"/>
      <c r="CA819" s="3"/>
      <c r="CB819" s="3"/>
      <c r="CC819" s="3"/>
      <c r="CD819" s="3"/>
      <c r="CE819" s="3"/>
      <c r="CF819" s="3"/>
      <c r="CG819" s="3"/>
      <c r="CH819" s="3"/>
      <c r="CI819" s="3"/>
      <c r="CJ819" s="3"/>
      <c r="CK819" s="3"/>
      <c r="CL819" s="3"/>
      <c r="CM819" s="3"/>
      <c r="CN819" s="3"/>
      <c r="CO819" s="3"/>
      <c r="CP819" s="3"/>
      <c r="CQ819" s="3"/>
      <c r="CR819" s="3"/>
      <c r="CS819" s="3"/>
      <c r="CT819" s="3"/>
      <c r="CU819" s="3"/>
      <c r="CV819" s="3"/>
      <c r="CW819" s="3"/>
      <c r="CX819" s="3"/>
      <c r="CY819" s="3"/>
      <c r="CZ819" s="3"/>
      <c r="DA819" s="3"/>
      <c r="DB819" s="3"/>
      <c r="DC819" s="3"/>
      <c r="DD819" s="3"/>
      <c r="DE819" s="3"/>
      <c r="DF819" s="3"/>
      <c r="DG819" s="3"/>
      <c r="DH819" s="3"/>
      <c r="DI819" s="3"/>
      <c r="DJ819" s="3"/>
      <c r="DK819" s="3"/>
      <c r="DL819" s="3"/>
      <c r="DM819" s="3"/>
      <c r="DN819" s="3"/>
      <c r="DO819" s="3"/>
      <c r="DP819" s="3"/>
      <c r="DQ819" s="3"/>
      <c r="DR819" s="3"/>
      <c r="DS819" s="3"/>
      <c r="DT819" s="3"/>
      <c r="DU819" s="3"/>
      <c r="DV819" s="3"/>
      <c r="DW819" s="3"/>
      <c r="DX819" s="3"/>
      <c r="DY819" s="3"/>
      <c r="DZ819" s="3"/>
      <c r="EA819" s="3"/>
      <c r="EB819" s="3"/>
      <c r="EC819" s="3"/>
      <c r="ED819" s="3"/>
      <c r="EE819" s="2"/>
      <c r="EF819" s="2"/>
      <c r="EG819" s="2"/>
      <c r="EH819" s="2"/>
      <c r="EI819" s="2"/>
      <c r="EJ819" s="2"/>
      <c r="EK819" s="2"/>
      <c r="EL819" s="2"/>
      <c r="EM819" s="3"/>
      <c r="EN819" s="3"/>
      <c r="EO819" s="3"/>
      <c r="EP819" s="3"/>
      <c r="EQ819" s="3"/>
      <c r="ER819" s="3"/>
      <c r="ES819" s="3"/>
      <c r="ET819" s="3"/>
      <c r="EU819" s="3"/>
      <c r="EV819" s="3"/>
      <c r="EW819" s="3"/>
      <c r="EX819" s="3"/>
      <c r="EY819" s="3"/>
      <c r="EZ819" s="3"/>
      <c r="FA819" s="3"/>
      <c r="FB819" s="3"/>
      <c r="FC819" s="3"/>
      <c r="FD819" s="3"/>
      <c r="FE819" s="3"/>
      <c r="FF819" s="3"/>
      <c r="FG819" s="3"/>
      <c r="FH819" s="3"/>
      <c r="FI819" s="3"/>
      <c r="FJ819" s="3"/>
      <c r="FK819" s="3"/>
      <c r="FL819" s="3"/>
      <c r="FM819" s="3"/>
      <c r="FN819" s="3"/>
      <c r="FO819" s="3"/>
      <c r="FP819" s="3"/>
      <c r="FQ819" s="3"/>
      <c r="FR819" s="3"/>
      <c r="FS819" s="3"/>
      <c r="FT819" s="3"/>
      <c r="FU819" s="3"/>
      <c r="FV819" s="3"/>
      <c r="FW819" s="3"/>
      <c r="FX819" s="3"/>
      <c r="FY819" s="3"/>
      <c r="FZ819" s="3"/>
      <c r="GA819" s="3"/>
      <c r="GB819" s="3"/>
      <c r="GC819" s="3"/>
      <c r="GD819" s="3"/>
      <c r="GE819" s="3"/>
      <c r="GF819" s="3"/>
      <c r="GG819" s="3"/>
      <c r="GH819" s="3"/>
      <c r="GI819" s="3"/>
      <c r="GJ819" s="3"/>
      <c r="GK819" s="3"/>
      <c r="GL819" s="3"/>
      <c r="GM819" s="3"/>
      <c r="GN819" s="3"/>
      <c r="GO819" s="3"/>
      <c r="GP819" s="3"/>
      <c r="GQ819" s="3"/>
      <c r="GR819" s="3"/>
      <c r="GS819" s="3"/>
      <c r="GT819" s="3"/>
      <c r="GU819" s="3"/>
      <c r="GV819" s="3"/>
      <c r="GW819" s="3"/>
      <c r="GX819" s="3"/>
      <c r="GY819" s="3"/>
      <c r="GZ819" s="3"/>
      <c r="HA819" s="3"/>
      <c r="HB819" s="3"/>
      <c r="HC819" s="3"/>
      <c r="HD819" s="3"/>
      <c r="HE819" s="3"/>
      <c r="HF819" s="3"/>
      <c r="HG819" s="3"/>
      <c r="HH819" s="3"/>
      <c r="HI819" s="3"/>
      <c r="HJ819" s="3"/>
      <c r="HK819" s="3"/>
      <c r="HL819" s="2"/>
      <c r="HM819" s="2"/>
      <c r="HN819" s="2"/>
      <c r="HO819" s="2"/>
      <c r="HP819" s="2"/>
      <c r="HQ819" s="2"/>
      <c r="HR819" s="2"/>
      <c r="HS819" s="2"/>
      <c r="HT819" s="99"/>
      <c r="HU819" s="2"/>
      <c r="HV819" s="2"/>
      <c r="HW819" s="2"/>
      <c r="HX819" s="2"/>
      <c r="HY819" s="2"/>
      <c r="HZ819" s="2"/>
      <c r="IA819" s="2"/>
      <c r="IB819" s="2"/>
      <c r="IC819" s="2"/>
      <c r="ID819" s="2"/>
      <c r="IE819" s="2"/>
      <c r="IF819" s="2"/>
      <c r="IG819" s="153" t="s">
        <v>2243</v>
      </c>
      <c r="IH819" s="168" t="s">
        <v>1453</v>
      </c>
      <c r="II819" s="169" t="s">
        <v>1477</v>
      </c>
      <c r="IJ819" s="170" t="s">
        <v>661</v>
      </c>
      <c r="IK819" s="2">
        <v>2007</v>
      </c>
      <c r="IL819" s="2" t="s">
        <v>62</v>
      </c>
      <c r="IM819" s="2" t="s">
        <v>29</v>
      </c>
      <c r="IP819" s="2"/>
      <c r="IQ819" s="2"/>
      <c r="IR819" s="2"/>
      <c r="IS819" s="2"/>
      <c r="IT819" s="2"/>
      <c r="IU819" s="2"/>
      <c r="IV819" s="99"/>
      <c r="IW819" s="2"/>
      <c r="IX819" s="2"/>
      <c r="IY819" s="2"/>
      <c r="IZ819" s="2"/>
      <c r="JA819" s="2"/>
      <c r="JB819" s="2"/>
      <c r="JC819" s="2"/>
      <c r="JD819" s="2"/>
      <c r="JE819" s="2"/>
      <c r="JF819" s="2"/>
      <c r="JG819" s="2"/>
      <c r="JH819" s="2"/>
      <c r="JI819" s="2"/>
      <c r="JJ819" s="2"/>
      <c r="JK819" s="159" t="s">
        <v>14</v>
      </c>
      <c r="JL819" s="160" t="s">
        <v>1682</v>
      </c>
      <c r="JM819" s="99"/>
      <c r="JQ819" s="2"/>
      <c r="JR819" s="2"/>
      <c r="JS819" s="2"/>
      <c r="JT819" s="2"/>
      <c r="JU819" s="2"/>
      <c r="JV819" s="2"/>
      <c r="JW819" s="2"/>
      <c r="JX819" s="161"/>
      <c r="JY819" s="171"/>
      <c r="JZ819" s="99"/>
      <c r="KA819" s="2"/>
      <c r="KB819" s="99"/>
      <c r="KC819" s="2"/>
      <c r="KD819" s="2"/>
      <c r="KE819" s="2"/>
      <c r="KF819" s="99"/>
      <c r="KG819" s="2"/>
      <c r="KH819" s="168"/>
      <c r="KI819" s="172"/>
      <c r="KJ819" s="2"/>
      <c r="KK819" s="2"/>
      <c r="KL819" s="2"/>
      <c r="KM819" s="2"/>
      <c r="KN819" s="99"/>
      <c r="KO819" s="2"/>
      <c r="KP819" s="182"/>
      <c r="KQ819" s="171"/>
      <c r="KR819" s="2"/>
      <c r="KS819" s="2"/>
      <c r="KT819" s="163"/>
      <c r="KU819" s="172"/>
      <c r="KV819" s="2"/>
      <c r="KW819" s="2"/>
      <c r="KX819" s="2"/>
      <c r="KY819" s="3"/>
      <c r="KZ819" s="3"/>
      <c r="LA819" s="3"/>
      <c r="LB819" s="3"/>
      <c r="LC819" s="99"/>
      <c r="LD819" s="99"/>
      <c r="LE819" s="99"/>
      <c r="LF819" s="99"/>
      <c r="LG819" s="99"/>
      <c r="LH819" s="2"/>
      <c r="LI819" s="99"/>
      <c r="LJ819" s="99"/>
      <c r="LK819" s="99"/>
      <c r="LL819" s="2"/>
      <c r="LM819" s="2"/>
      <c r="LN819" s="2"/>
      <c r="LO819" s="2"/>
      <c r="LP819" s="2"/>
      <c r="LQ819" s="2"/>
      <c r="LR819" s="2"/>
      <c r="LS819" s="2"/>
      <c r="LT819" s="2"/>
      <c r="LU819" s="2"/>
      <c r="LV819" s="2"/>
      <c r="LW819" s="2"/>
      <c r="LX819" s="2"/>
      <c r="LY819" s="2"/>
      <c r="LZ819" s="2"/>
      <c r="MA819" s="2"/>
      <c r="MB819" s="2"/>
      <c r="MC819" s="2"/>
      <c r="MD819" s="2"/>
      <c r="ME819" s="2"/>
      <c r="MF819" s="2"/>
      <c r="MG819" s="2"/>
      <c r="MH819" s="2"/>
      <c r="MI819" s="2"/>
      <c r="MJ819" s="2"/>
      <c r="MK819" s="2"/>
      <c r="ML819" s="2"/>
      <c r="MM819" s="2"/>
      <c r="MN819" s="2"/>
      <c r="MO819" s="2"/>
      <c r="MP819" s="2"/>
      <c r="MQ819" s="2"/>
      <c r="MR819" s="2"/>
      <c r="MS819" s="153" t="s">
        <v>2244</v>
      </c>
      <c r="MT819" s="89">
        <v>64</v>
      </c>
      <c r="MU819" s="153" t="s">
        <v>2263</v>
      </c>
      <c r="MV819" s="164"/>
      <c r="MW819" s="164" t="s">
        <v>2264</v>
      </c>
      <c r="MX819" s="164"/>
      <c r="MY819" s="164"/>
      <c r="MZ819" s="164"/>
      <c r="NA819" s="164"/>
      <c r="NB819" s="164" t="s">
        <v>205</v>
      </c>
      <c r="NC819" s="164"/>
      <c r="ND819" s="153"/>
      <c r="NE819" s="153" t="s">
        <v>2263</v>
      </c>
      <c r="NF819" s="153" t="s">
        <v>2265</v>
      </c>
      <c r="NG819" t="s">
        <v>203</v>
      </c>
      <c r="NH819" s="165" t="s">
        <v>2266</v>
      </c>
      <c r="NI819" s="153"/>
      <c r="NJ819" s="153"/>
      <c r="NK819" s="153"/>
      <c r="NL819" s="153"/>
      <c r="NM819" s="153"/>
      <c r="NN819" s="153"/>
      <c r="NO819" s="153"/>
      <c r="NP819" s="153"/>
      <c r="NQ819" s="166" t="s">
        <v>6</v>
      </c>
      <c r="NR819" s="173">
        <v>11.7</v>
      </c>
      <c r="NS819" s="166" t="s">
        <v>4</v>
      </c>
      <c r="NT819" s="173">
        <v>3</v>
      </c>
      <c r="NU819" s="174"/>
      <c r="NV819" s="2"/>
      <c r="NW819" s="153">
        <v>4</v>
      </c>
      <c r="NX819" s="89"/>
      <c r="NY819" s="89"/>
      <c r="OB819" s="2"/>
      <c r="OC819" s="2"/>
      <c r="OD819" s="2"/>
      <c r="OE819" s="2"/>
      <c r="OF819" s="2"/>
      <c r="OG819" s="2"/>
      <c r="OH819" s="153" t="s">
        <v>1943</v>
      </c>
      <c r="OI819" s="2"/>
      <c r="OJ819" s="2">
        <v>2008</v>
      </c>
      <c r="OK819" s="2"/>
      <c r="OL819" s="2"/>
      <c r="OM819" s="153" t="s">
        <v>62</v>
      </c>
      <c r="ON819" s="2"/>
      <c r="OO819" t="s">
        <v>1178</v>
      </c>
      <c r="OP819" s="58">
        <v>46134</v>
      </c>
    </row>
    <row r="820" spans="1:406" ht="15.75" thickBot="1">
      <c r="A820" t="s">
        <v>248</v>
      </c>
      <c r="B820" t="s">
        <v>2238</v>
      </c>
      <c r="C820" s="89" t="s">
        <v>34</v>
      </c>
      <c r="D820" s="152" t="s">
        <v>1955</v>
      </c>
      <c r="E820" s="89" t="s">
        <v>1676</v>
      </c>
      <c r="F820" t="s">
        <v>31</v>
      </c>
      <c r="G820" s="89" t="s">
        <v>2</v>
      </c>
      <c r="H820" s="152" t="s">
        <v>30</v>
      </c>
      <c r="I820">
        <v>-0.41666666699999999</v>
      </c>
      <c r="J820">
        <v>34.200000000000003</v>
      </c>
      <c r="K820" s="152" t="s">
        <v>29</v>
      </c>
      <c r="L820" s="89"/>
      <c r="M820" s="152"/>
      <c r="N820" s="89"/>
      <c r="O820" s="89"/>
      <c r="P820" s="89"/>
      <c r="Q820" s="89"/>
      <c r="R820" s="89"/>
      <c r="S820" s="89"/>
      <c r="T820" s="89"/>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89" t="s">
        <v>2239</v>
      </c>
      <c r="AW820" s="89">
        <v>64</v>
      </c>
      <c r="AX820" s="89">
        <v>0.09</v>
      </c>
      <c r="AY820" s="89">
        <v>1</v>
      </c>
      <c r="AZ820" s="153" t="s">
        <v>2240</v>
      </c>
      <c r="BA820" s="153">
        <v>2007</v>
      </c>
      <c r="BB820" s="153">
        <v>2008</v>
      </c>
      <c r="BC820" s="153" t="s">
        <v>1</v>
      </c>
      <c r="BD820" s="89"/>
      <c r="BE820" s="153" t="s">
        <v>2241</v>
      </c>
      <c r="BF820" s="153" t="s">
        <v>39</v>
      </c>
      <c r="BG820" s="153" t="s">
        <v>1243</v>
      </c>
      <c r="BH820" s="153" t="s">
        <v>2242</v>
      </c>
      <c r="BI820" s="153" t="s">
        <v>29</v>
      </c>
      <c r="BJ820" s="154" t="s">
        <v>22</v>
      </c>
      <c r="BK820" s="155">
        <v>111000</v>
      </c>
      <c r="BL820" s="89"/>
      <c r="BM820" s="89"/>
      <c r="BN820" s="89"/>
      <c r="BO820" s="152"/>
      <c r="BP820" s="175"/>
      <c r="BQ820" s="89"/>
      <c r="BR820" s="89"/>
      <c r="BS820" s="89"/>
      <c r="BT820" s="152"/>
      <c r="BU820" s="175"/>
      <c r="BV820" s="89"/>
      <c r="BW820" s="3"/>
      <c r="BX820" s="3"/>
      <c r="BY820" s="3"/>
      <c r="BZ820" s="3"/>
      <c r="CA820" s="3"/>
      <c r="CB820" s="3"/>
      <c r="CC820" s="3"/>
      <c r="CD820" s="3"/>
      <c r="CE820" s="3"/>
      <c r="CF820" s="3"/>
      <c r="CG820" s="3"/>
      <c r="CH820" s="3"/>
      <c r="CI820" s="3"/>
      <c r="CJ820" s="3"/>
      <c r="CK820" s="3"/>
      <c r="CL820" s="3"/>
      <c r="CM820" s="3"/>
      <c r="CN820" s="3"/>
      <c r="CO820" s="3"/>
      <c r="CP820" s="3"/>
      <c r="CQ820" s="3"/>
      <c r="CR820" s="3"/>
      <c r="CS820" s="3"/>
      <c r="CT820" s="3"/>
      <c r="CU820" s="3"/>
      <c r="CV820" s="3"/>
      <c r="CW820" s="3"/>
      <c r="CX820" s="3"/>
      <c r="CY820" s="3"/>
      <c r="CZ820" s="3"/>
      <c r="DA820" s="3"/>
      <c r="DB820" s="3"/>
      <c r="DC820" s="3"/>
      <c r="DD820" s="3"/>
      <c r="DE820" s="3"/>
      <c r="DF820" s="3"/>
      <c r="DG820" s="3"/>
      <c r="DH820" s="3"/>
      <c r="DI820" s="3"/>
      <c r="DJ820" s="3"/>
      <c r="DK820" s="3"/>
      <c r="DL820" s="3"/>
      <c r="DM820" s="3"/>
      <c r="DN820" s="3"/>
      <c r="DO820" s="3"/>
      <c r="DP820" s="3"/>
      <c r="DQ820" s="3"/>
      <c r="DR820" s="3"/>
      <c r="DS820" s="3"/>
      <c r="DT820" s="3"/>
      <c r="DU820" s="3"/>
      <c r="DV820" s="3"/>
      <c r="DW820" s="3"/>
      <c r="DX820" s="3"/>
      <c r="DY820" s="3"/>
      <c r="DZ820" s="3"/>
      <c r="EA820" s="3"/>
      <c r="EB820" s="3"/>
      <c r="EC820" s="3"/>
      <c r="ED820" s="3"/>
      <c r="EE820" s="89"/>
      <c r="EF820" s="89"/>
      <c r="EG820" s="89"/>
      <c r="EH820" s="89"/>
      <c r="EI820" s="89"/>
      <c r="EJ820" s="89"/>
      <c r="EK820" s="89"/>
      <c r="EL820" s="89"/>
      <c r="EM820" s="3"/>
      <c r="EN820" s="3"/>
      <c r="EO820" s="3"/>
      <c r="EP820" s="3"/>
      <c r="EQ820" s="3"/>
      <c r="ER820" s="3"/>
      <c r="ES820" s="3"/>
      <c r="ET820" s="3"/>
      <c r="EU820" s="3"/>
      <c r="EV820" s="3"/>
      <c r="EW820" s="3"/>
      <c r="EX820" s="3"/>
      <c r="EY820" s="3"/>
      <c r="EZ820" s="3"/>
      <c r="FA820" s="3"/>
      <c r="FB820" s="3"/>
      <c r="FC820" s="3"/>
      <c r="FD820" s="3"/>
      <c r="FE820" s="3"/>
      <c r="FF820" s="3"/>
      <c r="FG820" s="3"/>
      <c r="FH820" s="3"/>
      <c r="FI820" s="3"/>
      <c r="FJ820" s="3"/>
      <c r="FK820" s="3"/>
      <c r="FL820" s="3"/>
      <c r="FM820" s="3"/>
      <c r="FN820" s="3"/>
      <c r="FO820" s="3"/>
      <c r="FP820" s="3"/>
      <c r="FQ820" s="3"/>
      <c r="FR820" s="3"/>
      <c r="FS820" s="3"/>
      <c r="FT820" s="3"/>
      <c r="FU820" s="3"/>
      <c r="FV820" s="3"/>
      <c r="FW820" s="3"/>
      <c r="FX820" s="3"/>
      <c r="FY820" s="3"/>
      <c r="FZ820" s="3"/>
      <c r="GA820" s="3"/>
      <c r="GB820" s="3"/>
      <c r="GC820" s="3"/>
      <c r="GD820" s="3"/>
      <c r="GE820" s="3"/>
      <c r="GF820" s="3"/>
      <c r="GG820" s="3"/>
      <c r="GH820" s="3"/>
      <c r="GI820" s="3"/>
      <c r="GJ820" s="3"/>
      <c r="GK820" s="3"/>
      <c r="GL820" s="3"/>
      <c r="GM820" s="3"/>
      <c r="GN820" s="3"/>
      <c r="GO820" s="3"/>
      <c r="GP820" s="3"/>
      <c r="GQ820" s="3"/>
      <c r="GR820" s="3"/>
      <c r="GS820" s="3"/>
      <c r="GT820" s="3"/>
      <c r="GU820" s="3"/>
      <c r="GV820" s="3"/>
      <c r="GW820" s="3"/>
      <c r="GX820" s="3"/>
      <c r="GY820" s="3"/>
      <c r="GZ820" s="3"/>
      <c r="HA820" s="3"/>
      <c r="HB820" s="3"/>
      <c r="HC820" s="3"/>
      <c r="HD820" s="3"/>
      <c r="HE820" s="3"/>
      <c r="HF820" s="3"/>
      <c r="HG820" s="3"/>
      <c r="HH820" s="3"/>
      <c r="HI820" s="3"/>
      <c r="HJ820" s="3"/>
      <c r="HK820" s="3"/>
      <c r="HL820" s="89"/>
      <c r="HM820" s="89"/>
      <c r="HN820" s="89"/>
      <c r="HO820" s="89"/>
      <c r="HP820" s="89"/>
      <c r="HQ820" s="89"/>
      <c r="HR820" s="89"/>
      <c r="HS820" s="89"/>
      <c r="HT820" s="152"/>
      <c r="HU820" s="89"/>
      <c r="HV820" s="89"/>
      <c r="HW820" s="89"/>
      <c r="HX820" s="89"/>
      <c r="HY820" s="89"/>
      <c r="HZ820" s="89"/>
      <c r="IA820" s="89"/>
      <c r="IB820" s="89"/>
      <c r="IC820" s="89"/>
      <c r="ID820" s="89"/>
      <c r="IE820" s="89"/>
      <c r="IF820" s="89"/>
      <c r="IG820" s="153" t="s">
        <v>2243</v>
      </c>
      <c r="IH820" s="157" t="s">
        <v>19</v>
      </c>
      <c r="II820" s="89"/>
      <c r="IJ820" s="89"/>
      <c r="IK820" s="89"/>
      <c r="IL820" s="89"/>
      <c r="IM820" s="89"/>
      <c r="IP820" s="89"/>
      <c r="IQ820" s="89"/>
      <c r="IR820" s="89"/>
      <c r="IS820" s="89"/>
      <c r="IT820" s="89"/>
      <c r="IU820" s="89"/>
      <c r="IV820" s="152"/>
      <c r="IW820" s="89"/>
      <c r="IX820" s="89"/>
      <c r="IY820" s="89"/>
      <c r="IZ820" s="89"/>
      <c r="JA820" s="89"/>
      <c r="JB820" s="89"/>
      <c r="JC820" s="89"/>
      <c r="JD820" s="89"/>
      <c r="JE820" s="89"/>
      <c r="JF820" s="89"/>
      <c r="JG820" s="89"/>
      <c r="JH820" s="89"/>
      <c r="JI820" s="89"/>
      <c r="JJ820" s="89"/>
      <c r="JK820" s="159" t="s">
        <v>14</v>
      </c>
      <c r="JL820" s="160" t="s">
        <v>1682</v>
      </c>
      <c r="JM820" s="152"/>
      <c r="JQ820" s="89"/>
      <c r="JR820" s="89"/>
      <c r="JS820" s="89"/>
      <c r="JT820" s="89"/>
      <c r="JU820" s="89"/>
      <c r="JV820" s="89"/>
      <c r="JW820" s="89"/>
      <c r="JX820" s="161"/>
      <c r="JY820" s="159"/>
      <c r="JZ820" s="152"/>
      <c r="KA820" s="89"/>
      <c r="KB820" s="152"/>
      <c r="KC820" s="89"/>
      <c r="KD820" s="89"/>
      <c r="KE820" s="89"/>
      <c r="KF820" s="152"/>
      <c r="KG820" s="89"/>
      <c r="KH820" s="157"/>
      <c r="KI820" s="178"/>
      <c r="KJ820" s="89"/>
      <c r="KK820" s="89"/>
      <c r="KL820" s="89"/>
      <c r="KM820" s="89"/>
      <c r="KN820" s="152"/>
      <c r="KO820" s="89"/>
      <c r="KP820" s="182"/>
      <c r="KQ820" s="159"/>
      <c r="KR820" s="89"/>
      <c r="KS820" s="89"/>
      <c r="KT820" s="163"/>
      <c r="KU820" s="178"/>
      <c r="KV820" s="89"/>
      <c r="KW820" s="89"/>
      <c r="KX820" s="89"/>
      <c r="KY820" s="3"/>
      <c r="KZ820" s="3"/>
      <c r="LA820" s="3"/>
      <c r="LB820" s="3"/>
      <c r="LC820" s="152"/>
      <c r="LD820" s="152"/>
      <c r="LE820" s="152"/>
      <c r="LF820" s="152"/>
      <c r="LG820" s="152"/>
      <c r="LH820" s="89"/>
      <c r="LI820" s="152"/>
      <c r="LJ820" s="152"/>
      <c r="LK820" s="152"/>
      <c r="LL820" s="89"/>
      <c r="LM820" s="89"/>
      <c r="LN820" s="89"/>
      <c r="LO820" s="89"/>
      <c r="LP820" s="89"/>
      <c r="LQ820" s="89"/>
      <c r="LR820" s="89"/>
      <c r="LS820" s="89"/>
      <c r="LT820" s="89"/>
      <c r="LU820" s="89"/>
      <c r="LV820" s="89"/>
      <c r="LW820" s="89"/>
      <c r="LX820" s="89"/>
      <c r="LY820" s="89"/>
      <c r="LZ820" s="89"/>
      <c r="MA820" s="89"/>
      <c r="MB820" s="89"/>
      <c r="MC820" s="89"/>
      <c r="MD820" s="89"/>
      <c r="ME820" s="89"/>
      <c r="MF820" s="89"/>
      <c r="MG820" s="89"/>
      <c r="MH820" s="89"/>
      <c r="MI820" s="89"/>
      <c r="MJ820" s="89"/>
      <c r="MK820" s="89"/>
      <c r="ML820" s="89"/>
      <c r="MM820" s="89"/>
      <c r="MN820" s="89"/>
      <c r="MO820" s="89"/>
      <c r="MP820" s="89"/>
      <c r="MQ820" s="89"/>
      <c r="MR820" s="89"/>
      <c r="MS820" s="153" t="s">
        <v>2244</v>
      </c>
      <c r="MT820" s="89">
        <v>64</v>
      </c>
      <c r="MU820" s="153" t="s">
        <v>2263</v>
      </c>
      <c r="MV820" s="164"/>
      <c r="MW820" s="164" t="s">
        <v>2264</v>
      </c>
      <c r="MX820" s="164"/>
      <c r="MY820" s="164"/>
      <c r="MZ820" s="164"/>
      <c r="NA820" s="164"/>
      <c r="NB820" s="164" t="s">
        <v>205</v>
      </c>
      <c r="NC820" s="164"/>
      <c r="ND820" s="153"/>
      <c r="NE820" s="153" t="s">
        <v>2263</v>
      </c>
      <c r="NF820" s="153" t="s">
        <v>2265</v>
      </c>
      <c r="NG820" t="s">
        <v>203</v>
      </c>
      <c r="NH820" s="165" t="s">
        <v>2266</v>
      </c>
      <c r="NI820" s="153"/>
      <c r="NJ820" s="153"/>
      <c r="NK820" s="153"/>
      <c r="NL820" s="153"/>
      <c r="NM820" s="153"/>
      <c r="NN820" s="153"/>
      <c r="NO820" s="153"/>
      <c r="NP820" s="153" t="s">
        <v>64</v>
      </c>
      <c r="NQ820" s="166" t="s">
        <v>6</v>
      </c>
      <c r="NR820" s="173">
        <v>175.2</v>
      </c>
      <c r="NS820" s="166" t="s">
        <v>4</v>
      </c>
      <c r="NT820" s="97">
        <v>22</v>
      </c>
      <c r="NU820" s="180"/>
      <c r="NV820" s="89"/>
      <c r="NW820" s="153">
        <v>4</v>
      </c>
      <c r="NX820" s="2"/>
      <c r="NY820" s="2"/>
      <c r="OB820" s="89"/>
      <c r="OC820" s="89"/>
      <c r="OD820" s="89"/>
      <c r="OE820" s="89"/>
      <c r="OF820" s="89"/>
      <c r="OG820" s="89"/>
      <c r="OH820" s="153" t="s">
        <v>1943</v>
      </c>
      <c r="OI820" s="89"/>
      <c r="OJ820" s="89">
        <v>2008</v>
      </c>
      <c r="OK820" s="89"/>
      <c r="OL820" s="89"/>
      <c r="OM820" s="89" t="s">
        <v>1</v>
      </c>
      <c r="ON820" s="89"/>
      <c r="OO820" t="s">
        <v>1178</v>
      </c>
      <c r="OP820" s="58">
        <v>46134</v>
      </c>
    </row>
    <row r="821" spans="1:406" ht="15.75" thickBot="1">
      <c r="A821" t="s">
        <v>248</v>
      </c>
      <c r="B821" t="s">
        <v>2238</v>
      </c>
      <c r="C821" s="89" t="s">
        <v>34</v>
      </c>
      <c r="D821" s="152" t="s">
        <v>1955</v>
      </c>
      <c r="E821" s="89" t="s">
        <v>1676</v>
      </c>
      <c r="F821" t="s">
        <v>31</v>
      </c>
      <c r="G821" s="89" t="s">
        <v>2</v>
      </c>
      <c r="H821" s="152" t="s">
        <v>30</v>
      </c>
      <c r="I821">
        <v>-0.41666666699999999</v>
      </c>
      <c r="J821">
        <v>34.200000000000003</v>
      </c>
      <c r="K821" s="152" t="s">
        <v>29</v>
      </c>
      <c r="L821" s="2"/>
      <c r="M821" s="99"/>
      <c r="N821" s="2"/>
      <c r="O821" s="89"/>
      <c r="P821" s="2"/>
      <c r="Q821" s="2"/>
      <c r="R821" s="89"/>
      <c r="S821" s="89"/>
      <c r="T821" s="89"/>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89" t="s">
        <v>2239</v>
      </c>
      <c r="AW821" s="89">
        <v>64</v>
      </c>
      <c r="AX821" s="89">
        <v>0.09</v>
      </c>
      <c r="AY821" s="89">
        <v>1</v>
      </c>
      <c r="AZ821" s="153" t="s">
        <v>2240</v>
      </c>
      <c r="BA821" s="153">
        <v>2007</v>
      </c>
      <c r="BB821" s="153">
        <v>2008</v>
      </c>
      <c r="BC821" s="153" t="s">
        <v>1</v>
      </c>
      <c r="BD821" s="2"/>
      <c r="BE821" s="2" t="s">
        <v>2249</v>
      </c>
      <c r="BF821" s="2" t="s">
        <v>64</v>
      </c>
      <c r="BG821" s="153" t="s">
        <v>1243</v>
      </c>
      <c r="BH821" s="2" t="s">
        <v>2242</v>
      </c>
      <c r="BI821" s="153" t="s">
        <v>29</v>
      </c>
      <c r="BJ821" s="154" t="s">
        <v>22</v>
      </c>
      <c r="BK821" s="155">
        <v>55500</v>
      </c>
      <c r="BL821" s="2" t="s">
        <v>56</v>
      </c>
      <c r="BM821" t="s">
        <v>2250</v>
      </c>
      <c r="BN821" s="153" t="s">
        <v>29</v>
      </c>
      <c r="BO821" s="2" t="s">
        <v>22</v>
      </c>
      <c r="BP821" s="2">
        <v>55000</v>
      </c>
      <c r="BQ821" s="2"/>
      <c r="BR821" s="2"/>
      <c r="BS821" s="2"/>
      <c r="BT821" s="99"/>
      <c r="BU821" s="2"/>
      <c r="BV821" s="2"/>
      <c r="BW821" s="3"/>
      <c r="BX821" s="3"/>
      <c r="BY821" s="3"/>
      <c r="BZ821" s="3"/>
      <c r="CA821" s="3"/>
      <c r="CB821" s="3"/>
      <c r="CC821" s="3"/>
      <c r="CD821" s="3"/>
      <c r="CE821" s="3"/>
      <c r="CF821" s="3"/>
      <c r="CG821" s="3"/>
      <c r="CH821" s="3"/>
      <c r="CI821" s="3"/>
      <c r="CJ821" s="3"/>
      <c r="CK821" s="3"/>
      <c r="CL821" s="3"/>
      <c r="CM821" s="3"/>
      <c r="CN821" s="3"/>
      <c r="CO821" s="3"/>
      <c r="CP821" s="3"/>
      <c r="CQ821" s="3"/>
      <c r="CR821" s="3"/>
      <c r="CS821" s="3"/>
      <c r="CT821" s="3"/>
      <c r="CU821" s="3"/>
      <c r="CV821" s="3"/>
      <c r="CW821" s="3"/>
      <c r="CX821" s="3"/>
      <c r="CY821" s="3"/>
      <c r="CZ821" s="3"/>
      <c r="DA821" s="3"/>
      <c r="DB821" s="3"/>
      <c r="DC821" s="3"/>
      <c r="DD821" s="3"/>
      <c r="DE821" s="3"/>
      <c r="DF821" s="3"/>
      <c r="DG821" s="3"/>
      <c r="DH821" s="3"/>
      <c r="DI821" s="3"/>
      <c r="DJ821" s="3"/>
      <c r="DK821" s="3"/>
      <c r="DL821" s="3"/>
      <c r="DM821" s="3"/>
      <c r="DN821" s="3"/>
      <c r="DO821" s="3"/>
      <c r="DP821" s="3"/>
      <c r="DQ821" s="3"/>
      <c r="DR821" s="3"/>
      <c r="DS821" s="3"/>
      <c r="DT821" s="3"/>
      <c r="DU821" s="3"/>
      <c r="DV821" s="3"/>
      <c r="DW821" s="3"/>
      <c r="DX821" s="3"/>
      <c r="DY821" s="3"/>
      <c r="DZ821" s="3"/>
      <c r="EA821" s="3"/>
      <c r="EB821" s="3"/>
      <c r="EC821" s="3"/>
      <c r="ED821" s="3"/>
      <c r="EE821" s="2"/>
      <c r="EF821" s="2"/>
      <c r="EG821" s="2"/>
      <c r="EH821" s="2"/>
      <c r="EI821" s="2"/>
      <c r="EJ821" s="2"/>
      <c r="EK821" s="2"/>
      <c r="EL821" s="2"/>
      <c r="EM821" s="3"/>
      <c r="EN821" s="3"/>
      <c r="EO821" s="3"/>
      <c r="EP821" s="3"/>
      <c r="EQ821" s="3"/>
      <c r="ER821" s="3"/>
      <c r="ES821" s="3"/>
      <c r="ET821" s="3"/>
      <c r="EU821" s="3"/>
      <c r="EV821" s="3"/>
      <c r="EW821" s="3"/>
      <c r="EX821" s="3"/>
      <c r="EY821" s="3"/>
      <c r="EZ821" s="3"/>
      <c r="FA821" s="3"/>
      <c r="FB821" s="3"/>
      <c r="FC821" s="3"/>
      <c r="FD821" s="3"/>
      <c r="FE821" s="3"/>
      <c r="FF821" s="3"/>
      <c r="FG821" s="3"/>
      <c r="FH821" s="3"/>
      <c r="FI821" s="3"/>
      <c r="FJ821" s="3"/>
      <c r="FK821" s="3"/>
      <c r="FL821" s="3"/>
      <c r="FM821" s="3"/>
      <c r="FN821" s="3"/>
      <c r="FO821" s="3"/>
      <c r="FP821" s="3"/>
      <c r="FQ821" s="3"/>
      <c r="FR821" s="3"/>
      <c r="FS821" s="3"/>
      <c r="FT821" s="3"/>
      <c r="FU821" s="3"/>
      <c r="FV821" s="3"/>
      <c r="FW821" s="3"/>
      <c r="FX821" s="3"/>
      <c r="FY821" s="3"/>
      <c r="FZ821" s="3"/>
      <c r="GA821" s="3"/>
      <c r="GB821" s="3"/>
      <c r="GC821" s="3"/>
      <c r="GD821" s="3"/>
      <c r="GE821" s="3"/>
      <c r="GF821" s="3"/>
      <c r="GG821" s="3"/>
      <c r="GH821" s="3"/>
      <c r="GI821" s="3"/>
      <c r="GJ821" s="3"/>
      <c r="GK821" s="3"/>
      <c r="GL821" s="3"/>
      <c r="GM821" s="3"/>
      <c r="GN821" s="3"/>
      <c r="GO821" s="3"/>
      <c r="GP821" s="3"/>
      <c r="GQ821" s="3"/>
      <c r="GR821" s="3"/>
      <c r="GS821" s="3"/>
      <c r="GT821" s="3"/>
      <c r="GU821" s="3"/>
      <c r="GV821" s="3"/>
      <c r="GW821" s="3"/>
      <c r="GX821" s="3"/>
      <c r="GY821" s="3"/>
      <c r="GZ821" s="3"/>
      <c r="HA821" s="3"/>
      <c r="HB821" s="3"/>
      <c r="HC821" s="3"/>
      <c r="HD821" s="3"/>
      <c r="HE821" s="3"/>
      <c r="HF821" s="3"/>
      <c r="HG821" s="3"/>
      <c r="HH821" s="3"/>
      <c r="HI821" s="3"/>
      <c r="HJ821" s="3"/>
      <c r="HK821" s="3"/>
      <c r="HL821" s="2"/>
      <c r="HM821" s="2"/>
      <c r="HN821" s="2"/>
      <c r="HO821" s="2"/>
      <c r="HP821" s="2"/>
      <c r="HQ821" s="2"/>
      <c r="HR821" s="2"/>
      <c r="HS821" s="2"/>
      <c r="HT821" s="99"/>
      <c r="HU821" s="2"/>
      <c r="HV821" s="2"/>
      <c r="HW821" s="2"/>
      <c r="HX821" s="2"/>
      <c r="HY821" s="2"/>
      <c r="HZ821" s="2"/>
      <c r="IA821" s="2"/>
      <c r="IB821" s="2"/>
      <c r="IC821" s="2"/>
      <c r="ID821" s="2"/>
      <c r="IE821" s="2"/>
      <c r="IF821" s="2"/>
      <c r="IG821" s="153" t="s">
        <v>2243</v>
      </c>
      <c r="IH821" s="168" t="s">
        <v>1453</v>
      </c>
      <c r="II821" s="169" t="s">
        <v>1477</v>
      </c>
      <c r="IJ821" s="170" t="s">
        <v>661</v>
      </c>
      <c r="IK821" s="2">
        <v>2007</v>
      </c>
      <c r="IL821" s="2" t="s">
        <v>62</v>
      </c>
      <c r="IM821" s="2" t="s">
        <v>29</v>
      </c>
      <c r="IP821" s="2"/>
      <c r="IQ821" s="2"/>
      <c r="IR821" s="2"/>
      <c r="IS821" s="2"/>
      <c r="IT821" s="2"/>
      <c r="IU821" s="2"/>
      <c r="IV821" s="99"/>
      <c r="IW821" s="2"/>
      <c r="IX821" s="2"/>
      <c r="IY821" s="2"/>
      <c r="IZ821" s="2"/>
      <c r="JA821" s="2"/>
      <c r="JB821" s="2"/>
      <c r="JC821" s="2"/>
      <c r="JD821" s="2"/>
      <c r="JE821" s="2"/>
      <c r="JF821" s="2"/>
      <c r="JG821" s="2"/>
      <c r="JH821" s="2"/>
      <c r="JI821" s="2"/>
      <c r="JJ821" s="2"/>
      <c r="JK821" s="159" t="s">
        <v>14</v>
      </c>
      <c r="JL821" s="160" t="s">
        <v>1682</v>
      </c>
      <c r="JM821" s="99"/>
      <c r="JQ821" s="2"/>
      <c r="JR821" s="2"/>
      <c r="JS821" s="2"/>
      <c r="JT821" s="2"/>
      <c r="JU821" s="2"/>
      <c r="JV821" s="2"/>
      <c r="JW821" s="2"/>
      <c r="JX821" s="161"/>
      <c r="JY821" s="171"/>
      <c r="JZ821" s="99"/>
      <c r="KA821" s="2"/>
      <c r="KB821" s="99"/>
      <c r="KC821" s="2"/>
      <c r="KD821" s="2"/>
      <c r="KE821" s="2"/>
      <c r="KF821" s="99"/>
      <c r="KG821" s="2"/>
      <c r="KH821" s="168"/>
      <c r="KI821" s="172"/>
      <c r="KJ821" s="2"/>
      <c r="KK821" s="2"/>
      <c r="KL821" s="2"/>
      <c r="KM821" s="2"/>
      <c r="KN821" s="99"/>
      <c r="KO821" s="2"/>
      <c r="KP821" s="182"/>
      <c r="KQ821" s="171"/>
      <c r="KR821" s="2"/>
      <c r="KS821" s="2"/>
      <c r="KT821" s="163"/>
      <c r="KU821" s="172"/>
      <c r="KV821" s="2"/>
      <c r="KW821" s="2"/>
      <c r="KX821" s="2"/>
      <c r="KY821" s="3"/>
      <c r="KZ821" s="3"/>
      <c r="LA821" s="3"/>
      <c r="LB821" s="3"/>
      <c r="LC821" s="99"/>
      <c r="LD821" s="99"/>
      <c r="LE821" s="99"/>
      <c r="LF821" s="99"/>
      <c r="LG821" s="99"/>
      <c r="LH821" s="2"/>
      <c r="LI821" s="99"/>
      <c r="LJ821" s="99"/>
      <c r="LK821" s="99"/>
      <c r="LL821" s="2"/>
      <c r="LM821" s="2"/>
      <c r="LN821" s="2"/>
      <c r="LO821" s="2"/>
      <c r="LP821" s="2"/>
      <c r="LQ821" s="2"/>
      <c r="LR821" s="2"/>
      <c r="LS821" s="2"/>
      <c r="LT821" s="2"/>
      <c r="LU821" s="2"/>
      <c r="LV821" s="2"/>
      <c r="LW821" s="2"/>
      <c r="LX821" s="2"/>
      <c r="LY821" s="2"/>
      <c r="LZ821" s="2"/>
      <c r="MA821" s="2"/>
      <c r="MB821" s="2"/>
      <c r="MC821" s="2"/>
      <c r="MD821" s="2"/>
      <c r="ME821" s="2"/>
      <c r="MF821" s="2"/>
      <c r="MG821" s="2"/>
      <c r="MH821" s="2"/>
      <c r="MI821" s="2"/>
      <c r="MJ821" s="2"/>
      <c r="MK821" s="2"/>
      <c r="ML821" s="2"/>
      <c r="MM821" s="2"/>
      <c r="MN821" s="2"/>
      <c r="MO821" s="2"/>
      <c r="MP821" s="2"/>
      <c r="MQ821" s="2"/>
      <c r="MR821" s="2"/>
      <c r="MS821" s="153" t="s">
        <v>2244</v>
      </c>
      <c r="MT821" s="89">
        <v>64</v>
      </c>
      <c r="MU821" s="153" t="s">
        <v>2263</v>
      </c>
      <c r="MV821" s="164"/>
      <c r="MW821" s="164" t="s">
        <v>2264</v>
      </c>
      <c r="MX821" s="164"/>
      <c r="MY821" s="164"/>
      <c r="MZ821" s="164"/>
      <c r="NA821" s="164"/>
      <c r="NB821" s="164" t="s">
        <v>205</v>
      </c>
      <c r="NC821" s="164"/>
      <c r="ND821" s="153"/>
      <c r="NE821" s="153" t="s">
        <v>2263</v>
      </c>
      <c r="NF821" s="153" t="s">
        <v>2265</v>
      </c>
      <c r="NG821" t="s">
        <v>203</v>
      </c>
      <c r="NH821" s="165" t="s">
        <v>2266</v>
      </c>
      <c r="NI821" s="153"/>
      <c r="NJ821" s="153"/>
      <c r="NK821" s="153"/>
      <c r="NL821" s="153"/>
      <c r="NM821" s="153"/>
      <c r="NN821" s="153"/>
      <c r="NO821" s="153"/>
      <c r="NP821" s="153"/>
      <c r="NQ821" s="166" t="s">
        <v>6</v>
      </c>
      <c r="NR821" s="173">
        <v>5.5</v>
      </c>
      <c r="NS821" s="166" t="s">
        <v>4</v>
      </c>
      <c r="NT821" s="173">
        <v>2</v>
      </c>
      <c r="NU821" s="174"/>
      <c r="NV821" s="2"/>
      <c r="NW821" s="153">
        <v>4</v>
      </c>
      <c r="NX821" s="89"/>
      <c r="NY821" s="89"/>
      <c r="OB821" s="2"/>
      <c r="OC821" s="2"/>
      <c r="OD821" s="2"/>
      <c r="OE821" s="2"/>
      <c r="OF821" s="2"/>
      <c r="OG821" s="2"/>
      <c r="OH821" s="153" t="s">
        <v>1943</v>
      </c>
      <c r="OI821" s="2"/>
      <c r="OJ821" s="2">
        <v>2008</v>
      </c>
      <c r="OK821" s="2"/>
      <c r="OL821" s="2"/>
      <c r="OM821" s="2" t="s">
        <v>1</v>
      </c>
      <c r="ON821" s="2"/>
      <c r="OO821" t="s">
        <v>1178</v>
      </c>
      <c r="OP821" s="58">
        <v>46134</v>
      </c>
    </row>
    <row r="822" spans="1:406" ht="15.75" thickBot="1">
      <c r="A822" t="s">
        <v>248</v>
      </c>
      <c r="B822" t="s">
        <v>2346</v>
      </c>
      <c r="C822" t="s">
        <v>1904</v>
      </c>
      <c r="D822" t="s">
        <v>1955</v>
      </c>
      <c r="E822" s="90" t="s">
        <v>2345</v>
      </c>
      <c r="F822" s="89" t="s">
        <v>31</v>
      </c>
      <c r="G822" t="s">
        <v>2</v>
      </c>
      <c r="H822" t="s">
        <v>30</v>
      </c>
      <c r="I822">
        <v>23.983611109999998</v>
      </c>
      <c r="J822">
        <v>90.402222219999999</v>
      </c>
      <c r="K822" t="s">
        <v>29</v>
      </c>
      <c r="AV822" t="s">
        <v>2344</v>
      </c>
      <c r="AW822">
        <f t="shared" ref="AW822:AW853" si="0">35*41</f>
        <v>1435</v>
      </c>
      <c r="AX822" t="s">
        <v>29</v>
      </c>
      <c r="AY822">
        <v>3</v>
      </c>
      <c r="AZ822" t="s">
        <v>2343</v>
      </c>
      <c r="BA822">
        <v>2009</v>
      </c>
      <c r="BB822">
        <v>2012</v>
      </c>
      <c r="BC822">
        <v>2009.2</v>
      </c>
      <c r="BD822" t="s">
        <v>19</v>
      </c>
      <c r="BE822" t="s">
        <v>2373</v>
      </c>
      <c r="BF822" t="s">
        <v>39</v>
      </c>
      <c r="BG822" t="s">
        <v>1243</v>
      </c>
      <c r="BH822" t="s">
        <v>2338</v>
      </c>
      <c r="BI822" t="s">
        <v>2361</v>
      </c>
      <c r="BJ822" t="s">
        <v>2281</v>
      </c>
      <c r="BK822">
        <v>45</v>
      </c>
      <c r="BL822" t="s">
        <v>275</v>
      </c>
      <c r="BM822" t="s">
        <v>2338</v>
      </c>
      <c r="BN822" t="s">
        <v>2374</v>
      </c>
      <c r="BO822" t="s">
        <v>2281</v>
      </c>
      <c r="BP822">
        <v>49</v>
      </c>
      <c r="BQ822" t="s">
        <v>275</v>
      </c>
      <c r="BR822" t="s">
        <v>2338</v>
      </c>
      <c r="BS822" t="s">
        <v>2360</v>
      </c>
      <c r="BT822" t="s">
        <v>2281</v>
      </c>
      <c r="BU822">
        <v>49</v>
      </c>
      <c r="HL822" t="s">
        <v>2369</v>
      </c>
      <c r="HM822" t="s">
        <v>297</v>
      </c>
      <c r="HN822" t="s">
        <v>2368</v>
      </c>
      <c r="HP822" t="s">
        <v>29</v>
      </c>
      <c r="HQ822">
        <v>12</v>
      </c>
      <c r="HR822" t="s">
        <v>2367</v>
      </c>
      <c r="HT822" t="s">
        <v>2333</v>
      </c>
      <c r="HU822" s="58">
        <v>40202</v>
      </c>
      <c r="HV822" s="58"/>
      <c r="IN822" t="s">
        <v>2373</v>
      </c>
      <c r="IO822" s="54" t="s">
        <v>2356</v>
      </c>
      <c r="IR822">
        <v>2009</v>
      </c>
      <c r="IS822" t="s">
        <v>2330</v>
      </c>
      <c r="IT822" s="4" t="s">
        <v>1898</v>
      </c>
      <c r="JK822" t="s">
        <v>14</v>
      </c>
      <c r="KD822" t="s">
        <v>2372</v>
      </c>
      <c r="KE822" t="s">
        <v>1561</v>
      </c>
      <c r="KF822" t="s">
        <v>2328</v>
      </c>
      <c r="KG822">
        <v>3</v>
      </c>
      <c r="KH822" t="s">
        <v>2327</v>
      </c>
      <c r="KI822" t="s">
        <v>2171</v>
      </c>
      <c r="KM822" t="s">
        <v>219</v>
      </c>
      <c r="KN822" s="8" t="s">
        <v>2376</v>
      </c>
      <c r="KU822" t="s">
        <v>2371</v>
      </c>
      <c r="KV822" t="s">
        <v>2324</v>
      </c>
      <c r="KZ822" t="s">
        <v>13</v>
      </c>
      <c r="LA822">
        <v>1500</v>
      </c>
      <c r="LG822" t="s">
        <v>2323</v>
      </c>
      <c r="LH822" t="s">
        <v>2322</v>
      </c>
      <c r="LI822">
        <v>7.5</v>
      </c>
      <c r="LO822" t="s">
        <v>2370</v>
      </c>
      <c r="LP822" t="s">
        <v>2320</v>
      </c>
      <c r="LS822" t="s">
        <v>1944</v>
      </c>
      <c r="LT822">
        <v>2084</v>
      </c>
      <c r="LU822" t="s">
        <v>2319</v>
      </c>
      <c r="MA822" t="s">
        <v>2351</v>
      </c>
      <c r="MC822" s="58">
        <v>40292</v>
      </c>
      <c r="MS822" t="s">
        <v>2317</v>
      </c>
      <c r="MT822">
        <v>1435</v>
      </c>
      <c r="MV822" t="s">
        <v>2350</v>
      </c>
      <c r="MW822" s="2" t="s">
        <v>2315</v>
      </c>
      <c r="MX822" s="2" t="s">
        <v>2315</v>
      </c>
      <c r="MY822" s="2"/>
      <c r="MZ822" s="2"/>
      <c r="NA822" s="2"/>
      <c r="NE822" t="s">
        <v>2392</v>
      </c>
      <c r="NG822" s="152" t="s">
        <v>8</v>
      </c>
      <c r="NH822" s="208" t="s">
        <v>2391</v>
      </c>
      <c r="NP822" t="s">
        <v>2362</v>
      </c>
      <c r="NQ822" t="s">
        <v>6</v>
      </c>
      <c r="NS822" t="s">
        <v>29</v>
      </c>
      <c r="NW822">
        <v>3</v>
      </c>
      <c r="NX822">
        <v>5.0999999999999996</v>
      </c>
      <c r="NY822" t="s">
        <v>29</v>
      </c>
      <c r="NZ822">
        <v>4.3</v>
      </c>
      <c r="OA822" t="s">
        <v>29</v>
      </c>
      <c r="OH822" t="s">
        <v>2390</v>
      </c>
      <c r="OI822" t="s">
        <v>6</v>
      </c>
      <c r="OK822">
        <v>2009</v>
      </c>
      <c r="OL822">
        <v>2010</v>
      </c>
      <c r="OM822" t="s">
        <v>2330</v>
      </c>
      <c r="ON822" t="s">
        <v>2393</v>
      </c>
      <c r="OO822" t="s">
        <v>1178</v>
      </c>
      <c r="OP822" s="58">
        <v>46136</v>
      </c>
    </row>
    <row r="823" spans="1:406" ht="15.75" thickBot="1">
      <c r="A823" t="s">
        <v>248</v>
      </c>
      <c r="B823" t="s">
        <v>2346</v>
      </c>
      <c r="C823" t="s">
        <v>1904</v>
      </c>
      <c r="D823" t="s">
        <v>1955</v>
      </c>
      <c r="E823" s="90" t="s">
        <v>2345</v>
      </c>
      <c r="F823" s="89" t="s">
        <v>31</v>
      </c>
      <c r="G823" t="s">
        <v>2</v>
      </c>
      <c r="H823" t="s">
        <v>30</v>
      </c>
      <c r="I823">
        <v>23.983611109999998</v>
      </c>
      <c r="J823">
        <v>90.402222219999999</v>
      </c>
      <c r="K823" t="s">
        <v>29</v>
      </c>
      <c r="AV823" t="s">
        <v>2344</v>
      </c>
      <c r="AW823">
        <f t="shared" si="0"/>
        <v>1435</v>
      </c>
      <c r="AX823" t="s">
        <v>29</v>
      </c>
      <c r="AY823">
        <v>3</v>
      </c>
      <c r="AZ823" t="s">
        <v>2343</v>
      </c>
      <c r="BA823">
        <v>2009</v>
      </c>
      <c r="BB823">
        <v>2012</v>
      </c>
      <c r="BC823">
        <v>2009.2</v>
      </c>
      <c r="BD823" t="s">
        <v>19</v>
      </c>
      <c r="BE823" t="s">
        <v>2366</v>
      </c>
      <c r="BF823" t="s">
        <v>24</v>
      </c>
      <c r="BG823" t="s">
        <v>1243</v>
      </c>
      <c r="BH823" t="s">
        <v>2338</v>
      </c>
      <c r="BI823" t="s">
        <v>2361</v>
      </c>
      <c r="BJ823" t="s">
        <v>2281</v>
      </c>
      <c r="BK823">
        <v>30</v>
      </c>
      <c r="BL823" t="s">
        <v>275</v>
      </c>
      <c r="BM823" t="s">
        <v>2338</v>
      </c>
      <c r="BN823" t="s">
        <v>2360</v>
      </c>
      <c r="BO823" t="s">
        <v>2281</v>
      </c>
      <c r="BP823">
        <v>35</v>
      </c>
      <c r="HL823" t="s">
        <v>2369</v>
      </c>
      <c r="HM823" t="s">
        <v>297</v>
      </c>
      <c r="HN823" t="s">
        <v>2368</v>
      </c>
      <c r="HP823" t="s">
        <v>29</v>
      </c>
      <c r="HQ823">
        <v>12</v>
      </c>
      <c r="HR823" t="s">
        <v>2367</v>
      </c>
      <c r="HT823" t="s">
        <v>2333</v>
      </c>
      <c r="HU823" s="58">
        <v>40192</v>
      </c>
      <c r="HV823" s="58"/>
      <c r="IN823" t="s">
        <v>2366</v>
      </c>
      <c r="IO823" s="54" t="s">
        <v>2356</v>
      </c>
      <c r="IR823">
        <v>2009</v>
      </c>
      <c r="IS823" t="s">
        <v>2330</v>
      </c>
      <c r="IT823" s="4" t="s">
        <v>1898</v>
      </c>
      <c r="JK823" t="s">
        <v>14</v>
      </c>
      <c r="KD823" t="s">
        <v>2365</v>
      </c>
      <c r="KE823" t="s">
        <v>1561</v>
      </c>
      <c r="KF823" t="s">
        <v>2328</v>
      </c>
      <c r="KG823">
        <v>6</v>
      </c>
      <c r="KH823" t="s">
        <v>2327</v>
      </c>
      <c r="KI823" t="s">
        <v>222</v>
      </c>
      <c r="KJ823" s="8" t="s">
        <v>1941</v>
      </c>
      <c r="KM823" t="s">
        <v>219</v>
      </c>
      <c r="KN823" t="s">
        <v>2354</v>
      </c>
      <c r="KU823" t="s">
        <v>2364</v>
      </c>
      <c r="KV823" t="s">
        <v>2324</v>
      </c>
      <c r="KZ823" t="s">
        <v>13</v>
      </c>
      <c r="LA823">
        <v>2200</v>
      </c>
      <c r="LG823" t="s">
        <v>2323</v>
      </c>
      <c r="LH823" t="s">
        <v>2322</v>
      </c>
      <c r="LI823">
        <v>30</v>
      </c>
      <c r="LO823" t="s">
        <v>2363</v>
      </c>
      <c r="LP823" t="s">
        <v>2320</v>
      </c>
      <c r="LS823" t="s">
        <v>1944</v>
      </c>
      <c r="LT823">
        <v>1789</v>
      </c>
      <c r="LU823" t="s">
        <v>2319</v>
      </c>
      <c r="MA823" t="s">
        <v>2351</v>
      </c>
      <c r="MC823" s="58">
        <v>40298</v>
      </c>
      <c r="MS823" t="s">
        <v>2317</v>
      </c>
      <c r="MT823">
        <v>1435</v>
      </c>
      <c r="MV823" t="s">
        <v>2350</v>
      </c>
      <c r="MW823" s="2" t="s">
        <v>2315</v>
      </c>
      <c r="MX823" s="2" t="s">
        <v>2315</v>
      </c>
      <c r="MY823" s="2"/>
      <c r="MZ823" s="2"/>
      <c r="NA823" s="2"/>
      <c r="NE823" t="s">
        <v>2392</v>
      </c>
      <c r="NG823" s="152" t="s">
        <v>8</v>
      </c>
      <c r="NH823" s="208" t="s">
        <v>2391</v>
      </c>
      <c r="NP823" t="s">
        <v>2362</v>
      </c>
      <c r="NQ823" t="s">
        <v>6</v>
      </c>
      <c r="NS823" t="s">
        <v>29</v>
      </c>
      <c r="NW823">
        <v>3</v>
      </c>
      <c r="NX823">
        <v>6.6</v>
      </c>
      <c r="NY823" t="s">
        <v>29</v>
      </c>
      <c r="NZ823">
        <v>5.0999999999999996</v>
      </c>
      <c r="OA823" t="s">
        <v>29</v>
      </c>
      <c r="OH823" t="s">
        <v>2390</v>
      </c>
      <c r="OI823" t="s">
        <v>6</v>
      </c>
      <c r="OK823">
        <v>2009</v>
      </c>
      <c r="OL823">
        <v>2010</v>
      </c>
      <c r="OM823" t="s">
        <v>2330</v>
      </c>
      <c r="ON823" t="s">
        <v>2393</v>
      </c>
      <c r="OO823" t="s">
        <v>1178</v>
      </c>
      <c r="OP823" s="58">
        <v>46136</v>
      </c>
    </row>
    <row r="824" spans="1:406" ht="15.75" thickBot="1">
      <c r="A824" t="s">
        <v>248</v>
      </c>
      <c r="B824" t="s">
        <v>2346</v>
      </c>
      <c r="C824" t="s">
        <v>1904</v>
      </c>
      <c r="D824" t="s">
        <v>1955</v>
      </c>
      <c r="E824" s="90" t="s">
        <v>2345</v>
      </c>
      <c r="F824" s="89" t="s">
        <v>31</v>
      </c>
      <c r="G824" t="s">
        <v>2</v>
      </c>
      <c r="H824" t="s">
        <v>30</v>
      </c>
      <c r="I824">
        <v>23.983611109999998</v>
      </c>
      <c r="J824">
        <v>90.402222219999999</v>
      </c>
      <c r="K824" t="s">
        <v>29</v>
      </c>
      <c r="AV824" t="s">
        <v>2344</v>
      </c>
      <c r="AW824">
        <f t="shared" si="0"/>
        <v>1435</v>
      </c>
      <c r="AX824" t="s">
        <v>29</v>
      </c>
      <c r="AY824">
        <v>3</v>
      </c>
      <c r="AZ824" t="s">
        <v>2343</v>
      </c>
      <c r="BA824">
        <v>2009</v>
      </c>
      <c r="BB824">
        <v>2012</v>
      </c>
      <c r="BC824">
        <v>2009.2</v>
      </c>
      <c r="BD824" t="s">
        <v>19</v>
      </c>
      <c r="BE824" t="s">
        <v>2357</v>
      </c>
      <c r="BF824" t="s">
        <v>299</v>
      </c>
      <c r="BG824" t="s">
        <v>1243</v>
      </c>
      <c r="BH824" t="s">
        <v>2338</v>
      </c>
      <c r="BI824" t="s">
        <v>2361</v>
      </c>
      <c r="BJ824" t="s">
        <v>2281</v>
      </c>
      <c r="BK824">
        <v>30</v>
      </c>
      <c r="BL824" t="s">
        <v>275</v>
      </c>
      <c r="BM824" t="s">
        <v>2338</v>
      </c>
      <c r="BN824" t="s">
        <v>2360</v>
      </c>
      <c r="BO824" t="s">
        <v>2281</v>
      </c>
      <c r="BP824">
        <v>19</v>
      </c>
      <c r="HL824" t="s">
        <v>2359</v>
      </c>
      <c r="HM824" t="s">
        <v>2335</v>
      </c>
      <c r="HP824" t="s">
        <v>29</v>
      </c>
      <c r="HQ824">
        <v>4</v>
      </c>
      <c r="HR824" t="s">
        <v>2358</v>
      </c>
      <c r="HT824" t="s">
        <v>2333</v>
      </c>
      <c r="HU824" s="58">
        <v>40192</v>
      </c>
      <c r="HV824" s="58"/>
      <c r="IN824" t="s">
        <v>2357</v>
      </c>
      <c r="IO824" s="54" t="s">
        <v>2356</v>
      </c>
      <c r="IR824">
        <v>2009</v>
      </c>
      <c r="IS824" t="s">
        <v>2330</v>
      </c>
      <c r="IT824" s="4" t="s">
        <v>1898</v>
      </c>
      <c r="JK824" t="s">
        <v>14</v>
      </c>
      <c r="KD824" t="s">
        <v>2355</v>
      </c>
      <c r="KE824" t="s">
        <v>1561</v>
      </c>
      <c r="KF824" t="s">
        <v>2328</v>
      </c>
      <c r="KG824">
        <v>7</v>
      </c>
      <c r="KH824" t="s">
        <v>2327</v>
      </c>
      <c r="KI824" t="s">
        <v>222</v>
      </c>
      <c r="KJ824" s="8" t="s">
        <v>1941</v>
      </c>
      <c r="KM824" t="s">
        <v>219</v>
      </c>
      <c r="KN824" t="s">
        <v>2354</v>
      </c>
      <c r="KU824" t="s">
        <v>2353</v>
      </c>
      <c r="KV824" t="s">
        <v>2324</v>
      </c>
      <c r="KZ824" t="s">
        <v>13</v>
      </c>
      <c r="LA824">
        <v>2600</v>
      </c>
      <c r="LG824" t="s">
        <v>2323</v>
      </c>
      <c r="LH824" t="s">
        <v>2322</v>
      </c>
      <c r="LI824">
        <v>30</v>
      </c>
      <c r="LO824" t="s">
        <v>2352</v>
      </c>
      <c r="LP824" t="s">
        <v>2320</v>
      </c>
      <c r="LS824" t="s">
        <v>1944</v>
      </c>
      <c r="LT824">
        <v>1898</v>
      </c>
      <c r="LU824" t="s">
        <v>2319</v>
      </c>
      <c r="MA824" t="s">
        <v>2351</v>
      </c>
      <c r="MC824" s="58">
        <v>40299</v>
      </c>
      <c r="MS824" t="s">
        <v>2317</v>
      </c>
      <c r="MT824">
        <v>1435</v>
      </c>
      <c r="MV824" t="s">
        <v>2350</v>
      </c>
      <c r="MW824" s="2" t="s">
        <v>2315</v>
      </c>
      <c r="MX824" s="2" t="s">
        <v>2315</v>
      </c>
      <c r="MY824" s="2"/>
      <c r="MZ824" s="2"/>
      <c r="NA824" s="2"/>
      <c r="NE824" t="s">
        <v>2392</v>
      </c>
      <c r="NG824" s="152" t="s">
        <v>8</v>
      </c>
      <c r="NH824" s="208" t="s">
        <v>2391</v>
      </c>
      <c r="NP824" t="s">
        <v>64</v>
      </c>
      <c r="NQ824" t="s">
        <v>6</v>
      </c>
      <c r="NS824" t="s">
        <v>29</v>
      </c>
      <c r="NW824">
        <v>3</v>
      </c>
      <c r="NX824">
        <v>6.5</v>
      </c>
      <c r="NY824" t="s">
        <v>29</v>
      </c>
      <c r="NZ824">
        <v>5</v>
      </c>
      <c r="OA824" t="s">
        <v>29</v>
      </c>
      <c r="OH824" t="s">
        <v>2390</v>
      </c>
      <c r="OI824" t="s">
        <v>6</v>
      </c>
      <c r="OK824">
        <v>2009</v>
      </c>
      <c r="OL824">
        <v>2010</v>
      </c>
      <c r="OM824" t="s">
        <v>2330</v>
      </c>
      <c r="ON824" t="s">
        <v>2393</v>
      </c>
      <c r="OO824" t="s">
        <v>1178</v>
      </c>
      <c r="OP824" s="58">
        <v>46136</v>
      </c>
    </row>
    <row r="825" spans="1:406" ht="15.75" thickBot="1">
      <c r="A825" t="s">
        <v>248</v>
      </c>
      <c r="B825" t="s">
        <v>2346</v>
      </c>
      <c r="C825" t="s">
        <v>1904</v>
      </c>
      <c r="D825" t="s">
        <v>1955</v>
      </c>
      <c r="E825" s="90" t="s">
        <v>2345</v>
      </c>
      <c r="F825" s="89" t="s">
        <v>31</v>
      </c>
      <c r="G825" t="s">
        <v>2</v>
      </c>
      <c r="H825" t="s">
        <v>30</v>
      </c>
      <c r="I825">
        <v>23.983611109999998</v>
      </c>
      <c r="J825">
        <v>90.402222219999999</v>
      </c>
      <c r="K825" t="s">
        <v>29</v>
      </c>
      <c r="AV825" t="s">
        <v>2344</v>
      </c>
      <c r="AW825">
        <f t="shared" si="0"/>
        <v>1435</v>
      </c>
      <c r="AX825" t="s">
        <v>29</v>
      </c>
      <c r="AY825">
        <v>3</v>
      </c>
      <c r="AZ825" t="s">
        <v>2343</v>
      </c>
      <c r="BA825">
        <v>2009</v>
      </c>
      <c r="BB825">
        <v>2012</v>
      </c>
      <c r="BC825">
        <v>2009.2</v>
      </c>
      <c r="BD825" t="s">
        <v>274</v>
      </c>
      <c r="BE825" t="s">
        <v>2332</v>
      </c>
      <c r="BF825" t="s">
        <v>64</v>
      </c>
      <c r="BG825" t="s">
        <v>1243</v>
      </c>
      <c r="BH825" t="s">
        <v>1913</v>
      </c>
      <c r="BI825" t="s">
        <v>2342</v>
      </c>
      <c r="BJ825" t="s">
        <v>2281</v>
      </c>
      <c r="BK825">
        <v>1614</v>
      </c>
      <c r="BL825" t="s">
        <v>275</v>
      </c>
      <c r="BM825" t="s">
        <v>23</v>
      </c>
      <c r="BN825" t="s">
        <v>2341</v>
      </c>
      <c r="BO825" t="s">
        <v>2281</v>
      </c>
      <c r="BP825">
        <v>20</v>
      </c>
      <c r="BQ825" t="s">
        <v>275</v>
      </c>
      <c r="BR825" t="s">
        <v>1936</v>
      </c>
      <c r="BS825" t="s">
        <v>2340</v>
      </c>
      <c r="BT825" t="s">
        <v>2281</v>
      </c>
      <c r="BU825">
        <v>30</v>
      </c>
      <c r="BV825" t="s">
        <v>275</v>
      </c>
      <c r="BW825" t="s">
        <v>2338</v>
      </c>
      <c r="BX825" t="s">
        <v>2339</v>
      </c>
      <c r="BY825" t="s">
        <v>2281</v>
      </c>
      <c r="BZ825">
        <v>35</v>
      </c>
      <c r="CA825" t="s">
        <v>275</v>
      </c>
      <c r="CB825" t="s">
        <v>2338</v>
      </c>
      <c r="CC825" t="s">
        <v>2337</v>
      </c>
      <c r="CD825" t="s">
        <v>2281</v>
      </c>
      <c r="CE825">
        <v>19</v>
      </c>
      <c r="HL825" t="s">
        <v>2336</v>
      </c>
      <c r="HM825" t="s">
        <v>2335</v>
      </c>
      <c r="HP825" t="s">
        <v>29</v>
      </c>
      <c r="HQ825">
        <v>9</v>
      </c>
      <c r="HR825" t="s">
        <v>2334</v>
      </c>
      <c r="HT825" t="s">
        <v>2333</v>
      </c>
      <c r="HU825" s="58">
        <v>40153</v>
      </c>
      <c r="IN825" t="s">
        <v>2332</v>
      </c>
      <c r="IO825" t="s">
        <v>2331</v>
      </c>
      <c r="IR825">
        <v>2009</v>
      </c>
      <c r="IS825" t="s">
        <v>2330</v>
      </c>
      <c r="IT825" s="4" t="s">
        <v>1898</v>
      </c>
      <c r="JK825" t="s">
        <v>14</v>
      </c>
      <c r="KD825" t="s">
        <v>2329</v>
      </c>
      <c r="KE825" t="s">
        <v>1561</v>
      </c>
      <c r="KF825" t="s">
        <v>2328</v>
      </c>
      <c r="KG825">
        <v>4</v>
      </c>
      <c r="KH825" t="s">
        <v>2327</v>
      </c>
      <c r="KI825" t="s">
        <v>2171</v>
      </c>
      <c r="KM825" t="s">
        <v>219</v>
      </c>
      <c r="KN825" t="s">
        <v>2326</v>
      </c>
      <c r="KU825" t="s">
        <v>2325</v>
      </c>
      <c r="KV825" t="s">
        <v>2324</v>
      </c>
      <c r="KZ825" t="s">
        <v>13</v>
      </c>
      <c r="LA825">
        <v>4600</v>
      </c>
      <c r="LG825" t="s">
        <v>2323</v>
      </c>
      <c r="LH825" t="s">
        <v>2322</v>
      </c>
      <c r="LI825">
        <v>30</v>
      </c>
      <c r="LO825" t="s">
        <v>2321</v>
      </c>
      <c r="LP825" t="s">
        <v>2320</v>
      </c>
      <c r="LS825" t="s">
        <v>1944</v>
      </c>
      <c r="LT825">
        <v>1426</v>
      </c>
      <c r="LU825" t="s">
        <v>2319</v>
      </c>
      <c r="MA825" t="s">
        <v>2318</v>
      </c>
      <c r="MC825" s="58">
        <v>40224</v>
      </c>
      <c r="MS825" t="s">
        <v>2317</v>
      </c>
      <c r="MT825">
        <v>1435</v>
      </c>
      <c r="MV825" t="s">
        <v>2316</v>
      </c>
      <c r="MW825" s="2"/>
      <c r="MX825" s="2" t="s">
        <v>2315</v>
      </c>
      <c r="MY825" t="s">
        <v>1913</v>
      </c>
      <c r="MZ825" s="2" t="s">
        <v>168</v>
      </c>
      <c r="NA825" s="2"/>
      <c r="NE825" t="s">
        <v>2392</v>
      </c>
      <c r="NG825" s="152" t="s">
        <v>8</v>
      </c>
      <c r="NH825" s="208" t="s">
        <v>2391</v>
      </c>
      <c r="NQ825" t="s">
        <v>6</v>
      </c>
      <c r="NS825" t="s">
        <v>29</v>
      </c>
      <c r="NW825">
        <v>3</v>
      </c>
      <c r="NZ825">
        <v>4.8</v>
      </c>
      <c r="OA825" t="s">
        <v>29</v>
      </c>
      <c r="OB825">
        <v>17.3</v>
      </c>
      <c r="OC825" t="s">
        <v>29</v>
      </c>
      <c r="OD825">
        <v>9.1999999999999993</v>
      </c>
      <c r="OE825" t="s">
        <v>29</v>
      </c>
      <c r="OH825" t="s">
        <v>2390</v>
      </c>
      <c r="OI825" t="s">
        <v>6</v>
      </c>
      <c r="OK825">
        <v>2009</v>
      </c>
      <c r="OL825">
        <v>2010</v>
      </c>
      <c r="OM825" t="s">
        <v>2330</v>
      </c>
      <c r="ON825" t="s">
        <v>2393</v>
      </c>
      <c r="OO825" t="s">
        <v>1178</v>
      </c>
      <c r="OP825" s="58">
        <v>46136</v>
      </c>
    </row>
    <row r="826" spans="1:406" ht="15.75" thickBot="1">
      <c r="A826" t="s">
        <v>248</v>
      </c>
      <c r="B826" t="s">
        <v>2346</v>
      </c>
      <c r="C826" t="s">
        <v>1904</v>
      </c>
      <c r="D826" t="s">
        <v>1955</v>
      </c>
      <c r="E826" s="90" t="s">
        <v>2345</v>
      </c>
      <c r="F826" s="89" t="s">
        <v>31</v>
      </c>
      <c r="G826" t="s">
        <v>2</v>
      </c>
      <c r="H826" t="s">
        <v>30</v>
      </c>
      <c r="I826">
        <v>23.983611109999998</v>
      </c>
      <c r="J826">
        <v>90.402222219999999</v>
      </c>
      <c r="K826" t="s">
        <v>29</v>
      </c>
      <c r="AV826" t="s">
        <v>2344</v>
      </c>
      <c r="AW826">
        <f t="shared" si="0"/>
        <v>1435</v>
      </c>
      <c r="AX826" t="s">
        <v>29</v>
      </c>
      <c r="AY826">
        <v>3</v>
      </c>
      <c r="AZ826" t="s">
        <v>2343</v>
      </c>
      <c r="BA826">
        <v>2009</v>
      </c>
      <c r="BB826">
        <v>2012</v>
      </c>
      <c r="BC826">
        <v>2009.2</v>
      </c>
      <c r="BD826" t="s">
        <v>19</v>
      </c>
      <c r="BE826" t="s">
        <v>2373</v>
      </c>
      <c r="BF826" t="s">
        <v>39</v>
      </c>
      <c r="BG826" t="s">
        <v>1243</v>
      </c>
      <c r="BH826" t="s">
        <v>2338</v>
      </c>
      <c r="BI826" t="s">
        <v>2361</v>
      </c>
      <c r="BJ826" t="s">
        <v>2281</v>
      </c>
      <c r="BK826">
        <v>45</v>
      </c>
      <c r="BL826" t="s">
        <v>275</v>
      </c>
      <c r="BM826" t="s">
        <v>2338</v>
      </c>
      <c r="BN826" t="s">
        <v>2374</v>
      </c>
      <c r="BO826" t="s">
        <v>2281</v>
      </c>
      <c r="BP826">
        <v>49</v>
      </c>
      <c r="BQ826" t="s">
        <v>275</v>
      </c>
      <c r="BR826" t="s">
        <v>2338</v>
      </c>
      <c r="BS826" t="s">
        <v>2360</v>
      </c>
      <c r="BT826" t="s">
        <v>2281</v>
      </c>
      <c r="BU826">
        <v>49</v>
      </c>
      <c r="HL826" t="s">
        <v>2369</v>
      </c>
      <c r="HM826" t="s">
        <v>297</v>
      </c>
      <c r="HN826" t="s">
        <v>2368</v>
      </c>
      <c r="HP826" t="s">
        <v>29</v>
      </c>
      <c r="HQ826">
        <v>12</v>
      </c>
      <c r="HR826" t="s">
        <v>2367</v>
      </c>
      <c r="HT826" t="s">
        <v>2333</v>
      </c>
      <c r="HU826" s="58">
        <v>40202</v>
      </c>
      <c r="HV826" s="58"/>
      <c r="IN826" t="s">
        <v>2373</v>
      </c>
      <c r="IO826" s="54" t="s">
        <v>2356</v>
      </c>
      <c r="IR826">
        <v>2009</v>
      </c>
      <c r="IS826" t="s">
        <v>2330</v>
      </c>
      <c r="IT826" s="4" t="s">
        <v>1898</v>
      </c>
      <c r="JK826" t="s">
        <v>14</v>
      </c>
      <c r="KD826" t="s">
        <v>2372</v>
      </c>
      <c r="KE826" t="s">
        <v>1561</v>
      </c>
      <c r="KF826" t="s">
        <v>2328</v>
      </c>
      <c r="KG826">
        <v>3</v>
      </c>
      <c r="KH826" t="s">
        <v>2327</v>
      </c>
      <c r="KI826" t="s">
        <v>2171</v>
      </c>
      <c r="KM826" t="s">
        <v>219</v>
      </c>
      <c r="KN826" s="8" t="s">
        <v>2376</v>
      </c>
      <c r="KU826" t="s">
        <v>2371</v>
      </c>
      <c r="KV826" t="s">
        <v>2324</v>
      </c>
      <c r="KZ826" t="s">
        <v>13</v>
      </c>
      <c r="LA826">
        <v>0</v>
      </c>
      <c r="LG826" t="s">
        <v>2323</v>
      </c>
      <c r="LH826" t="s">
        <v>2322</v>
      </c>
      <c r="LI826">
        <v>7.5</v>
      </c>
      <c r="LO826" t="s">
        <v>2370</v>
      </c>
      <c r="LP826" t="s">
        <v>2320</v>
      </c>
      <c r="LS826" t="s">
        <v>1944</v>
      </c>
      <c r="LT826">
        <v>2172</v>
      </c>
      <c r="LU826" t="s">
        <v>2319</v>
      </c>
      <c r="MA826" t="s">
        <v>2351</v>
      </c>
      <c r="MC826" s="58">
        <v>40292</v>
      </c>
      <c r="MS826" t="s">
        <v>2317</v>
      </c>
      <c r="MT826">
        <v>1435</v>
      </c>
      <c r="MV826" t="s">
        <v>2350</v>
      </c>
      <c r="MW826" s="2" t="s">
        <v>2315</v>
      </c>
      <c r="MX826" s="2" t="s">
        <v>2315</v>
      </c>
      <c r="MY826" s="2"/>
      <c r="MZ826" s="2"/>
      <c r="NA826" s="2"/>
      <c r="NE826" t="s">
        <v>2392</v>
      </c>
      <c r="NG826" s="152" t="s">
        <v>8</v>
      </c>
      <c r="NH826" s="208" t="s">
        <v>2391</v>
      </c>
      <c r="NP826" t="s">
        <v>2362</v>
      </c>
      <c r="NQ826" t="s">
        <v>6</v>
      </c>
      <c r="NS826" t="s">
        <v>29</v>
      </c>
      <c r="NW826">
        <v>3</v>
      </c>
      <c r="NX826">
        <v>4.9000000000000004</v>
      </c>
      <c r="NY826" t="s">
        <v>29</v>
      </c>
      <c r="NZ826">
        <v>3.5</v>
      </c>
      <c r="OA826" t="s">
        <v>29</v>
      </c>
      <c r="OH826" t="s">
        <v>2390</v>
      </c>
      <c r="OI826" t="s">
        <v>6</v>
      </c>
      <c r="OK826">
        <v>2010</v>
      </c>
      <c r="OL826">
        <v>2011</v>
      </c>
      <c r="OM826" t="s">
        <v>2330</v>
      </c>
      <c r="ON826" t="s">
        <v>2393</v>
      </c>
      <c r="OO826" t="s">
        <v>1178</v>
      </c>
      <c r="OP826" s="58">
        <v>46136</v>
      </c>
    </row>
    <row r="827" spans="1:406" ht="15.75" thickBot="1">
      <c r="A827" t="s">
        <v>248</v>
      </c>
      <c r="B827" t="s">
        <v>2346</v>
      </c>
      <c r="C827" t="s">
        <v>1904</v>
      </c>
      <c r="D827" t="s">
        <v>1955</v>
      </c>
      <c r="E827" s="90" t="s">
        <v>2345</v>
      </c>
      <c r="F827" s="89" t="s">
        <v>31</v>
      </c>
      <c r="G827" t="s">
        <v>2</v>
      </c>
      <c r="H827" t="s">
        <v>30</v>
      </c>
      <c r="I827">
        <v>23.983611109999998</v>
      </c>
      <c r="J827">
        <v>90.402222219999999</v>
      </c>
      <c r="K827" t="s">
        <v>29</v>
      </c>
      <c r="AV827" t="s">
        <v>2344</v>
      </c>
      <c r="AW827">
        <f t="shared" si="0"/>
        <v>1435</v>
      </c>
      <c r="AX827" t="s">
        <v>29</v>
      </c>
      <c r="AY827">
        <v>3</v>
      </c>
      <c r="AZ827" t="s">
        <v>2343</v>
      </c>
      <c r="BA827">
        <v>2009</v>
      </c>
      <c r="BB827">
        <v>2012</v>
      </c>
      <c r="BC827">
        <v>2009.2</v>
      </c>
      <c r="BD827" t="s">
        <v>19</v>
      </c>
      <c r="BE827" t="s">
        <v>2366</v>
      </c>
      <c r="BF827" t="s">
        <v>24</v>
      </c>
      <c r="BG827" t="s">
        <v>1243</v>
      </c>
      <c r="BH827" t="s">
        <v>2338</v>
      </c>
      <c r="BI827" t="s">
        <v>2361</v>
      </c>
      <c r="BJ827" t="s">
        <v>2281</v>
      </c>
      <c r="BK827">
        <v>30</v>
      </c>
      <c r="BL827" t="s">
        <v>275</v>
      </c>
      <c r="BM827" t="s">
        <v>2338</v>
      </c>
      <c r="BN827" t="s">
        <v>2360</v>
      </c>
      <c r="BO827" t="s">
        <v>2281</v>
      </c>
      <c r="BP827">
        <v>35</v>
      </c>
      <c r="HL827" t="s">
        <v>2369</v>
      </c>
      <c r="HM827" t="s">
        <v>297</v>
      </c>
      <c r="HN827" t="s">
        <v>2368</v>
      </c>
      <c r="HP827" t="s">
        <v>29</v>
      </c>
      <c r="HQ827">
        <v>12</v>
      </c>
      <c r="HR827" t="s">
        <v>2367</v>
      </c>
      <c r="HT827" t="s">
        <v>2333</v>
      </c>
      <c r="HU827" s="58">
        <v>40192</v>
      </c>
      <c r="HV827" s="58"/>
      <c r="IN827" t="s">
        <v>2366</v>
      </c>
      <c r="IO827" s="54" t="s">
        <v>2356</v>
      </c>
      <c r="IR827">
        <v>2009</v>
      </c>
      <c r="IS827" t="s">
        <v>2330</v>
      </c>
      <c r="IT827" s="4" t="s">
        <v>1898</v>
      </c>
      <c r="JK827" t="s">
        <v>14</v>
      </c>
      <c r="KD827" t="s">
        <v>2365</v>
      </c>
      <c r="KE827" t="s">
        <v>1561</v>
      </c>
      <c r="KF827" t="s">
        <v>2328</v>
      </c>
      <c r="KG827">
        <v>6</v>
      </c>
      <c r="KH827" t="s">
        <v>2327</v>
      </c>
      <c r="KI827" t="s">
        <v>222</v>
      </c>
      <c r="KJ827" s="8" t="s">
        <v>1941</v>
      </c>
      <c r="KM827" t="s">
        <v>219</v>
      </c>
      <c r="KN827" t="s">
        <v>2354</v>
      </c>
      <c r="KU827" t="s">
        <v>2364</v>
      </c>
      <c r="KV827" t="s">
        <v>2324</v>
      </c>
      <c r="KZ827" t="s">
        <v>13</v>
      </c>
      <c r="LA827">
        <v>1600</v>
      </c>
      <c r="LG827" t="s">
        <v>2323</v>
      </c>
      <c r="LH827" t="s">
        <v>2322</v>
      </c>
      <c r="LI827">
        <v>30</v>
      </c>
      <c r="LO827" t="s">
        <v>2363</v>
      </c>
      <c r="LP827" t="s">
        <v>2320</v>
      </c>
      <c r="LS827" t="s">
        <v>1944</v>
      </c>
      <c r="LT827">
        <v>1946</v>
      </c>
      <c r="LU827" t="s">
        <v>2319</v>
      </c>
      <c r="MA827" t="s">
        <v>2351</v>
      </c>
      <c r="MC827" s="58">
        <v>40298</v>
      </c>
      <c r="MS827" t="s">
        <v>2317</v>
      </c>
      <c r="MT827">
        <v>1435</v>
      </c>
      <c r="MV827" t="s">
        <v>2350</v>
      </c>
      <c r="MW827" s="2" t="s">
        <v>2315</v>
      </c>
      <c r="MX827" s="2" t="s">
        <v>2315</v>
      </c>
      <c r="MY827" s="2"/>
      <c r="MZ827" s="2"/>
      <c r="NA827" s="2"/>
      <c r="NE827" t="s">
        <v>2392</v>
      </c>
      <c r="NG827" s="152" t="s">
        <v>8</v>
      </c>
      <c r="NH827" s="208" t="s">
        <v>2391</v>
      </c>
      <c r="NP827" t="s">
        <v>2362</v>
      </c>
      <c r="NQ827" t="s">
        <v>6</v>
      </c>
      <c r="NS827" t="s">
        <v>29</v>
      </c>
      <c r="NW827">
        <v>3</v>
      </c>
      <c r="NX827">
        <v>6</v>
      </c>
      <c r="NY827" t="s">
        <v>29</v>
      </c>
      <c r="NZ827">
        <v>5.2</v>
      </c>
      <c r="OA827" t="s">
        <v>29</v>
      </c>
      <c r="OH827" t="s">
        <v>2390</v>
      </c>
      <c r="OI827" t="s">
        <v>6</v>
      </c>
      <c r="OK827">
        <v>2010</v>
      </c>
      <c r="OL827">
        <v>2011</v>
      </c>
      <c r="OM827" t="s">
        <v>2330</v>
      </c>
      <c r="ON827" t="s">
        <v>2393</v>
      </c>
      <c r="OO827" t="s">
        <v>1178</v>
      </c>
      <c r="OP827" s="58">
        <v>46136</v>
      </c>
    </row>
    <row r="828" spans="1:406" ht="15.75" thickBot="1">
      <c r="A828" t="s">
        <v>248</v>
      </c>
      <c r="B828" t="s">
        <v>2346</v>
      </c>
      <c r="C828" t="s">
        <v>1904</v>
      </c>
      <c r="D828" t="s">
        <v>1955</v>
      </c>
      <c r="E828" s="90" t="s">
        <v>2345</v>
      </c>
      <c r="F828" s="89" t="s">
        <v>31</v>
      </c>
      <c r="G828" t="s">
        <v>2</v>
      </c>
      <c r="H828" t="s">
        <v>30</v>
      </c>
      <c r="I828">
        <v>23.983611109999998</v>
      </c>
      <c r="J828">
        <v>90.402222219999999</v>
      </c>
      <c r="K828" t="s">
        <v>29</v>
      </c>
      <c r="AV828" t="s">
        <v>2344</v>
      </c>
      <c r="AW828">
        <f t="shared" si="0"/>
        <v>1435</v>
      </c>
      <c r="AX828" t="s">
        <v>29</v>
      </c>
      <c r="AY828">
        <v>3</v>
      </c>
      <c r="AZ828" t="s">
        <v>2343</v>
      </c>
      <c r="BA828">
        <v>2009</v>
      </c>
      <c r="BB828">
        <v>2012</v>
      </c>
      <c r="BC828">
        <v>2009.2</v>
      </c>
      <c r="BD828" t="s">
        <v>19</v>
      </c>
      <c r="BE828" t="s">
        <v>2357</v>
      </c>
      <c r="BF828" t="s">
        <v>299</v>
      </c>
      <c r="BG828" t="s">
        <v>1243</v>
      </c>
      <c r="BH828" t="s">
        <v>2338</v>
      </c>
      <c r="BI828" t="s">
        <v>2361</v>
      </c>
      <c r="BJ828" t="s">
        <v>2281</v>
      </c>
      <c r="BK828">
        <v>30</v>
      </c>
      <c r="BL828" t="s">
        <v>275</v>
      </c>
      <c r="BM828" t="s">
        <v>2338</v>
      </c>
      <c r="BN828" t="s">
        <v>2360</v>
      </c>
      <c r="BO828" t="s">
        <v>2281</v>
      </c>
      <c r="BP828">
        <v>19</v>
      </c>
      <c r="HL828" t="s">
        <v>2359</v>
      </c>
      <c r="HM828" t="s">
        <v>2335</v>
      </c>
      <c r="HP828" t="s">
        <v>29</v>
      </c>
      <c r="HQ828">
        <v>4</v>
      </c>
      <c r="HR828" t="s">
        <v>2358</v>
      </c>
      <c r="HT828" t="s">
        <v>2333</v>
      </c>
      <c r="HU828" s="58">
        <v>40192</v>
      </c>
      <c r="HV828" s="58"/>
      <c r="IN828" t="s">
        <v>2357</v>
      </c>
      <c r="IO828" s="54" t="s">
        <v>2356</v>
      </c>
      <c r="IR828">
        <v>2009</v>
      </c>
      <c r="IS828" t="s">
        <v>2330</v>
      </c>
      <c r="IT828" s="4" t="s">
        <v>1898</v>
      </c>
      <c r="JK828" t="s">
        <v>14</v>
      </c>
      <c r="KD828" t="s">
        <v>2355</v>
      </c>
      <c r="KE828" t="s">
        <v>1561</v>
      </c>
      <c r="KF828" t="s">
        <v>2328</v>
      </c>
      <c r="KG828">
        <v>7</v>
      </c>
      <c r="KH828" t="s">
        <v>2327</v>
      </c>
      <c r="KI828" t="s">
        <v>222</v>
      </c>
      <c r="KJ828" s="8" t="s">
        <v>1941</v>
      </c>
      <c r="KM828" t="s">
        <v>219</v>
      </c>
      <c r="KN828" t="s">
        <v>2354</v>
      </c>
      <c r="KU828" t="s">
        <v>2353</v>
      </c>
      <c r="KV828" t="s">
        <v>2324</v>
      </c>
      <c r="KZ828" t="s">
        <v>13</v>
      </c>
      <c r="LA828">
        <v>1400</v>
      </c>
      <c r="LG828" t="s">
        <v>2323</v>
      </c>
      <c r="LH828" t="s">
        <v>2322</v>
      </c>
      <c r="LI828">
        <v>30</v>
      </c>
      <c r="LO828" t="s">
        <v>2352</v>
      </c>
      <c r="LP828" t="s">
        <v>2320</v>
      </c>
      <c r="LS828" t="s">
        <v>1944</v>
      </c>
      <c r="LT828">
        <v>2001</v>
      </c>
      <c r="LU828" t="s">
        <v>2319</v>
      </c>
      <c r="MA828" t="s">
        <v>2351</v>
      </c>
      <c r="MC828" s="58">
        <v>40299</v>
      </c>
      <c r="MS828" t="s">
        <v>2317</v>
      </c>
      <c r="MT828">
        <v>1435</v>
      </c>
      <c r="MV828" t="s">
        <v>2350</v>
      </c>
      <c r="MW828" s="2" t="s">
        <v>2315</v>
      </c>
      <c r="MX828" s="2" t="s">
        <v>2315</v>
      </c>
      <c r="MY828" s="2"/>
      <c r="MZ828" s="2"/>
      <c r="NA828" s="2"/>
      <c r="NE828" t="s">
        <v>2392</v>
      </c>
      <c r="NG828" s="152" t="s">
        <v>8</v>
      </c>
      <c r="NH828" s="208" t="s">
        <v>2391</v>
      </c>
      <c r="NP828" t="s">
        <v>64</v>
      </c>
      <c r="NQ828" t="s">
        <v>6</v>
      </c>
      <c r="NS828" t="s">
        <v>29</v>
      </c>
      <c r="NW828">
        <v>3</v>
      </c>
      <c r="NX828">
        <v>5.8</v>
      </c>
      <c r="NY828" t="s">
        <v>29</v>
      </c>
      <c r="NZ828">
        <v>5.0999999999999996</v>
      </c>
      <c r="OA828" t="s">
        <v>29</v>
      </c>
      <c r="OH828" t="s">
        <v>2390</v>
      </c>
      <c r="OI828" t="s">
        <v>6</v>
      </c>
      <c r="OK828">
        <v>2010</v>
      </c>
      <c r="OL828">
        <v>2011</v>
      </c>
      <c r="OM828" t="s">
        <v>2330</v>
      </c>
      <c r="ON828" t="s">
        <v>2393</v>
      </c>
      <c r="OO828" t="s">
        <v>1178</v>
      </c>
      <c r="OP828" s="58">
        <v>46136</v>
      </c>
    </row>
    <row r="829" spans="1:406" ht="15.75" thickBot="1">
      <c r="A829" t="s">
        <v>248</v>
      </c>
      <c r="B829" t="s">
        <v>2346</v>
      </c>
      <c r="C829" t="s">
        <v>1904</v>
      </c>
      <c r="D829" t="s">
        <v>1955</v>
      </c>
      <c r="E829" s="90" t="s">
        <v>2345</v>
      </c>
      <c r="F829" s="89" t="s">
        <v>31</v>
      </c>
      <c r="G829" t="s">
        <v>2</v>
      </c>
      <c r="H829" t="s">
        <v>30</v>
      </c>
      <c r="I829">
        <v>23.983611109999998</v>
      </c>
      <c r="J829">
        <v>90.402222219999999</v>
      </c>
      <c r="K829" t="s">
        <v>29</v>
      </c>
      <c r="AV829" t="s">
        <v>2344</v>
      </c>
      <c r="AW829">
        <f t="shared" si="0"/>
        <v>1435</v>
      </c>
      <c r="AX829" t="s">
        <v>29</v>
      </c>
      <c r="AY829">
        <v>3</v>
      </c>
      <c r="AZ829" t="s">
        <v>2343</v>
      </c>
      <c r="BA829">
        <v>2009</v>
      </c>
      <c r="BB829">
        <v>2012</v>
      </c>
      <c r="BC829">
        <v>2009.2</v>
      </c>
      <c r="BD829" t="s">
        <v>274</v>
      </c>
      <c r="BE829" t="s">
        <v>2332</v>
      </c>
      <c r="BF829" t="s">
        <v>64</v>
      </c>
      <c r="BG829" t="s">
        <v>1243</v>
      </c>
      <c r="BH829" t="s">
        <v>1913</v>
      </c>
      <c r="BI829" t="s">
        <v>2342</v>
      </c>
      <c r="BJ829" t="s">
        <v>2281</v>
      </c>
      <c r="BK829">
        <v>1614</v>
      </c>
      <c r="BL829" t="s">
        <v>275</v>
      </c>
      <c r="BM829" t="s">
        <v>23</v>
      </c>
      <c r="BN829" t="s">
        <v>2341</v>
      </c>
      <c r="BO829" t="s">
        <v>2281</v>
      </c>
      <c r="BP829">
        <v>20</v>
      </c>
      <c r="BQ829" t="s">
        <v>275</v>
      </c>
      <c r="BR829" t="s">
        <v>1936</v>
      </c>
      <c r="BS829" t="s">
        <v>2340</v>
      </c>
      <c r="BT829" t="s">
        <v>2281</v>
      </c>
      <c r="BU829">
        <v>30</v>
      </c>
      <c r="BV829" t="s">
        <v>275</v>
      </c>
      <c r="BW829" t="s">
        <v>2338</v>
      </c>
      <c r="BX829" t="s">
        <v>2339</v>
      </c>
      <c r="BY829" t="s">
        <v>2281</v>
      </c>
      <c r="BZ829">
        <v>35</v>
      </c>
      <c r="CA829" t="s">
        <v>275</v>
      </c>
      <c r="CB829" t="s">
        <v>2338</v>
      </c>
      <c r="CC829" t="s">
        <v>2337</v>
      </c>
      <c r="CD829" t="s">
        <v>2281</v>
      </c>
      <c r="CE829">
        <v>19</v>
      </c>
      <c r="HL829" t="s">
        <v>2336</v>
      </c>
      <c r="HM829" t="s">
        <v>2335</v>
      </c>
      <c r="HP829" t="s">
        <v>29</v>
      </c>
      <c r="HQ829">
        <v>9</v>
      </c>
      <c r="HR829" t="s">
        <v>2334</v>
      </c>
      <c r="HT829" t="s">
        <v>2333</v>
      </c>
      <c r="HU829" s="58">
        <v>40153</v>
      </c>
      <c r="IN829" t="s">
        <v>2332</v>
      </c>
      <c r="IO829" t="s">
        <v>2331</v>
      </c>
      <c r="IR829">
        <v>2009</v>
      </c>
      <c r="IS829" t="s">
        <v>2330</v>
      </c>
      <c r="IT829" s="4" t="s">
        <v>1898</v>
      </c>
      <c r="JK829" t="s">
        <v>14</v>
      </c>
      <c r="KD829" t="s">
        <v>2329</v>
      </c>
      <c r="KE829" t="s">
        <v>1561</v>
      </c>
      <c r="KF829" t="s">
        <v>2328</v>
      </c>
      <c r="KG829">
        <v>4</v>
      </c>
      <c r="KH829" t="s">
        <v>2327</v>
      </c>
      <c r="KI829" t="s">
        <v>2171</v>
      </c>
      <c r="KM829" t="s">
        <v>219</v>
      </c>
      <c r="KN829" t="s">
        <v>2326</v>
      </c>
      <c r="KQ829" t="s">
        <v>219</v>
      </c>
      <c r="KR829" s="8" t="s">
        <v>2375</v>
      </c>
      <c r="KU829" t="s">
        <v>2325</v>
      </c>
      <c r="KV829" t="s">
        <v>2324</v>
      </c>
      <c r="KZ829" t="s">
        <v>13</v>
      </c>
      <c r="LA829">
        <v>1600</v>
      </c>
      <c r="LG829" t="s">
        <v>2323</v>
      </c>
      <c r="LH829" t="s">
        <v>2322</v>
      </c>
      <c r="LI829">
        <v>30</v>
      </c>
      <c r="LO829" t="s">
        <v>2321</v>
      </c>
      <c r="LP829" t="s">
        <v>2320</v>
      </c>
      <c r="LS829" t="s">
        <v>1944</v>
      </c>
      <c r="LT829">
        <v>1186</v>
      </c>
      <c r="LU829" t="s">
        <v>2319</v>
      </c>
      <c r="MA829" t="s">
        <v>2318</v>
      </c>
      <c r="MC829" s="58">
        <v>40224</v>
      </c>
      <c r="MS829" t="s">
        <v>2317</v>
      </c>
      <c r="MT829">
        <v>1435</v>
      </c>
      <c r="MV829" t="s">
        <v>2316</v>
      </c>
      <c r="MW829" s="2"/>
      <c r="MX829" s="2" t="s">
        <v>2315</v>
      </c>
      <c r="MY829" s="2"/>
      <c r="MZ829" s="2"/>
      <c r="NA829" s="2"/>
      <c r="NE829" t="s">
        <v>2392</v>
      </c>
      <c r="NG829" s="152" t="s">
        <v>8</v>
      </c>
      <c r="NH829" s="208" t="s">
        <v>2391</v>
      </c>
      <c r="NQ829" t="s">
        <v>6</v>
      </c>
      <c r="NS829" t="s">
        <v>29</v>
      </c>
      <c r="NW829">
        <v>3</v>
      </c>
      <c r="NZ829">
        <v>4.5</v>
      </c>
      <c r="OA829" t="s">
        <v>29</v>
      </c>
      <c r="OB829">
        <v>17.7</v>
      </c>
      <c r="OC829" t="s">
        <v>29</v>
      </c>
      <c r="OH829" t="s">
        <v>2390</v>
      </c>
      <c r="OI829" t="s">
        <v>6</v>
      </c>
      <c r="OK829">
        <v>2010</v>
      </c>
      <c r="OL829">
        <v>2011</v>
      </c>
      <c r="OM829" t="s">
        <v>2330</v>
      </c>
      <c r="ON829" t="s">
        <v>2393</v>
      </c>
      <c r="OO829" t="s">
        <v>1178</v>
      </c>
      <c r="OP829" s="58">
        <v>46136</v>
      </c>
    </row>
    <row r="830" spans="1:406" ht="15.75" thickBot="1">
      <c r="A830" t="s">
        <v>248</v>
      </c>
      <c r="B830" t="s">
        <v>2346</v>
      </c>
      <c r="C830" t="s">
        <v>1904</v>
      </c>
      <c r="D830" t="s">
        <v>1955</v>
      </c>
      <c r="E830" s="90" t="s">
        <v>2345</v>
      </c>
      <c r="F830" s="89" t="s">
        <v>31</v>
      </c>
      <c r="G830" t="s">
        <v>2</v>
      </c>
      <c r="H830" t="s">
        <v>30</v>
      </c>
      <c r="I830">
        <v>23.983611109999998</v>
      </c>
      <c r="J830">
        <v>90.402222219999999</v>
      </c>
      <c r="K830" t="s">
        <v>29</v>
      </c>
      <c r="AV830" t="s">
        <v>2344</v>
      </c>
      <c r="AW830">
        <f t="shared" si="0"/>
        <v>1435</v>
      </c>
      <c r="AX830" t="s">
        <v>29</v>
      </c>
      <c r="AY830">
        <v>3</v>
      </c>
      <c r="AZ830" t="s">
        <v>2343</v>
      </c>
      <c r="BA830">
        <v>2009</v>
      </c>
      <c r="BB830">
        <v>2012</v>
      </c>
      <c r="BC830">
        <v>2009.2</v>
      </c>
      <c r="BD830" t="s">
        <v>19</v>
      </c>
      <c r="BE830" t="s">
        <v>2373</v>
      </c>
      <c r="BF830" t="s">
        <v>39</v>
      </c>
      <c r="BG830" t="s">
        <v>1243</v>
      </c>
      <c r="BH830" t="s">
        <v>2338</v>
      </c>
      <c r="BI830" t="s">
        <v>2361</v>
      </c>
      <c r="BJ830" t="s">
        <v>2281</v>
      </c>
      <c r="BK830">
        <v>45</v>
      </c>
      <c r="BL830" t="s">
        <v>275</v>
      </c>
      <c r="BM830" t="s">
        <v>2338</v>
      </c>
      <c r="BN830" t="s">
        <v>2374</v>
      </c>
      <c r="BO830" t="s">
        <v>2281</v>
      </c>
      <c r="BP830">
        <v>49</v>
      </c>
      <c r="BQ830" t="s">
        <v>275</v>
      </c>
      <c r="BR830" t="s">
        <v>2338</v>
      </c>
      <c r="BS830" t="s">
        <v>2360</v>
      </c>
      <c r="BT830" t="s">
        <v>2281</v>
      </c>
      <c r="BU830">
        <v>49</v>
      </c>
      <c r="HL830" t="s">
        <v>2369</v>
      </c>
      <c r="HM830" t="s">
        <v>297</v>
      </c>
      <c r="HN830" t="s">
        <v>2368</v>
      </c>
      <c r="HP830" t="s">
        <v>29</v>
      </c>
      <c r="HQ830">
        <v>12</v>
      </c>
      <c r="HR830" t="s">
        <v>2367</v>
      </c>
      <c r="HT830" t="s">
        <v>2333</v>
      </c>
      <c r="HU830" s="58">
        <v>40202</v>
      </c>
      <c r="HV830" s="58"/>
      <c r="IN830" t="s">
        <v>2373</v>
      </c>
      <c r="IO830" s="54" t="s">
        <v>2356</v>
      </c>
      <c r="IR830">
        <v>2009</v>
      </c>
      <c r="IS830" t="s">
        <v>2330</v>
      </c>
      <c r="IT830" s="4" t="s">
        <v>1898</v>
      </c>
      <c r="JK830" t="s">
        <v>14</v>
      </c>
      <c r="KD830" t="s">
        <v>2372</v>
      </c>
      <c r="KE830" t="s">
        <v>1561</v>
      </c>
      <c r="KF830" t="s">
        <v>2328</v>
      </c>
      <c r="KG830">
        <v>3</v>
      </c>
      <c r="KH830" t="s">
        <v>2327</v>
      </c>
      <c r="KI830" t="s">
        <v>2171</v>
      </c>
      <c r="KM830" t="s">
        <v>219</v>
      </c>
      <c r="KN830" t="s">
        <v>2354</v>
      </c>
      <c r="KU830" t="s">
        <v>2371</v>
      </c>
      <c r="KV830" t="s">
        <v>2324</v>
      </c>
      <c r="KZ830" t="s">
        <v>13</v>
      </c>
      <c r="LA830">
        <v>1600</v>
      </c>
      <c r="LG830" t="s">
        <v>2323</v>
      </c>
      <c r="LH830" t="s">
        <v>2322</v>
      </c>
      <c r="LI830">
        <v>7.5</v>
      </c>
      <c r="LO830" t="s">
        <v>2370</v>
      </c>
      <c r="LP830" t="s">
        <v>2320</v>
      </c>
      <c r="LS830" t="s">
        <v>1944</v>
      </c>
      <c r="LT830">
        <v>1450</v>
      </c>
      <c r="LU830" t="s">
        <v>2319</v>
      </c>
      <c r="MA830" t="s">
        <v>2351</v>
      </c>
      <c r="MC830" s="58">
        <v>40292</v>
      </c>
      <c r="MS830" t="s">
        <v>2317</v>
      </c>
      <c r="MT830">
        <v>1435</v>
      </c>
      <c r="MV830" t="s">
        <v>2350</v>
      </c>
      <c r="MW830" s="2" t="s">
        <v>2315</v>
      </c>
      <c r="MX830" s="2" t="s">
        <v>2315</v>
      </c>
      <c r="MY830" s="2"/>
      <c r="MZ830" s="2"/>
      <c r="NA830" s="2"/>
      <c r="NE830" t="s">
        <v>2392</v>
      </c>
      <c r="NG830" s="152" t="s">
        <v>8</v>
      </c>
      <c r="NH830" s="208" t="s">
        <v>2391</v>
      </c>
      <c r="NP830" t="s">
        <v>2362</v>
      </c>
      <c r="NQ830" t="s">
        <v>6</v>
      </c>
      <c r="NS830" t="s">
        <v>29</v>
      </c>
      <c r="NW830">
        <v>3</v>
      </c>
      <c r="NX830">
        <v>4.9000000000000004</v>
      </c>
      <c r="NY830" t="s">
        <v>29</v>
      </c>
      <c r="NZ830">
        <v>3.6</v>
      </c>
      <c r="OA830" t="s">
        <v>29</v>
      </c>
      <c r="OH830" t="s">
        <v>2390</v>
      </c>
      <c r="OI830" t="s">
        <v>6</v>
      </c>
      <c r="OK830">
        <v>2011</v>
      </c>
      <c r="OL830">
        <v>2012</v>
      </c>
      <c r="OM830" t="s">
        <v>2330</v>
      </c>
      <c r="ON830" t="s">
        <v>2393</v>
      </c>
      <c r="OO830" t="s">
        <v>1178</v>
      </c>
      <c r="OP830" s="58">
        <v>46136</v>
      </c>
    </row>
    <row r="831" spans="1:406" ht="15.75" thickBot="1">
      <c r="A831" t="s">
        <v>248</v>
      </c>
      <c r="B831" t="s">
        <v>2346</v>
      </c>
      <c r="C831" t="s">
        <v>1904</v>
      </c>
      <c r="D831" t="s">
        <v>1955</v>
      </c>
      <c r="E831" s="90" t="s">
        <v>2345</v>
      </c>
      <c r="F831" s="89" t="s">
        <v>31</v>
      </c>
      <c r="G831" t="s">
        <v>2</v>
      </c>
      <c r="H831" t="s">
        <v>30</v>
      </c>
      <c r="I831">
        <v>23.983611109999998</v>
      </c>
      <c r="J831">
        <v>90.402222219999999</v>
      </c>
      <c r="K831" t="s">
        <v>29</v>
      </c>
      <c r="AV831" t="s">
        <v>2344</v>
      </c>
      <c r="AW831">
        <f t="shared" si="0"/>
        <v>1435</v>
      </c>
      <c r="AX831" t="s">
        <v>29</v>
      </c>
      <c r="AY831">
        <v>3</v>
      </c>
      <c r="AZ831" t="s">
        <v>2343</v>
      </c>
      <c r="BA831">
        <v>2009</v>
      </c>
      <c r="BB831">
        <v>2012</v>
      </c>
      <c r="BC831">
        <v>2009.2</v>
      </c>
      <c r="BD831" t="s">
        <v>19</v>
      </c>
      <c r="BE831" t="s">
        <v>2366</v>
      </c>
      <c r="BF831" t="s">
        <v>24</v>
      </c>
      <c r="BG831" t="s">
        <v>1243</v>
      </c>
      <c r="BH831" t="s">
        <v>2338</v>
      </c>
      <c r="BI831" t="s">
        <v>2361</v>
      </c>
      <c r="BJ831" t="s">
        <v>2281</v>
      </c>
      <c r="BK831">
        <v>30</v>
      </c>
      <c r="BL831" t="s">
        <v>275</v>
      </c>
      <c r="BM831" t="s">
        <v>2338</v>
      </c>
      <c r="BN831" t="s">
        <v>2360</v>
      </c>
      <c r="BO831" t="s">
        <v>2281</v>
      </c>
      <c r="BP831">
        <v>35</v>
      </c>
      <c r="HL831" t="s">
        <v>2369</v>
      </c>
      <c r="HM831" t="s">
        <v>297</v>
      </c>
      <c r="HN831" t="s">
        <v>2368</v>
      </c>
      <c r="HP831" t="s">
        <v>29</v>
      </c>
      <c r="HQ831">
        <v>12</v>
      </c>
      <c r="HR831" t="s">
        <v>2367</v>
      </c>
      <c r="HT831" t="s">
        <v>2333</v>
      </c>
      <c r="HU831" s="58">
        <v>40192</v>
      </c>
      <c r="HV831" s="58"/>
      <c r="IN831" t="s">
        <v>2366</v>
      </c>
      <c r="IO831" s="54" t="s">
        <v>2356</v>
      </c>
      <c r="IR831">
        <v>2009</v>
      </c>
      <c r="IS831" t="s">
        <v>2330</v>
      </c>
      <c r="IT831" s="4" t="s">
        <v>1898</v>
      </c>
      <c r="JK831" t="s">
        <v>14</v>
      </c>
      <c r="KD831" t="s">
        <v>2365</v>
      </c>
      <c r="KE831" t="s">
        <v>1561</v>
      </c>
      <c r="KF831" t="s">
        <v>2328</v>
      </c>
      <c r="KG831">
        <v>6</v>
      </c>
      <c r="KH831" t="s">
        <v>2327</v>
      </c>
      <c r="KI831" t="s">
        <v>222</v>
      </c>
      <c r="KJ831" s="8" t="s">
        <v>1941</v>
      </c>
      <c r="KM831" t="s">
        <v>219</v>
      </c>
      <c r="KN831" t="s">
        <v>2354</v>
      </c>
      <c r="KU831" t="s">
        <v>2364</v>
      </c>
      <c r="KV831" t="s">
        <v>2324</v>
      </c>
      <c r="KZ831" t="s">
        <v>13</v>
      </c>
      <c r="LA831">
        <v>2000</v>
      </c>
      <c r="LG831" t="s">
        <v>2323</v>
      </c>
      <c r="LH831" t="s">
        <v>2322</v>
      </c>
      <c r="LI831">
        <v>30</v>
      </c>
      <c r="LO831" t="s">
        <v>2363</v>
      </c>
      <c r="LP831" t="s">
        <v>2320</v>
      </c>
      <c r="LS831" t="s">
        <v>1944</v>
      </c>
      <c r="LT831">
        <v>1481</v>
      </c>
      <c r="LU831" t="s">
        <v>2319</v>
      </c>
      <c r="MA831" t="s">
        <v>2351</v>
      </c>
      <c r="MC831" s="58">
        <v>40298</v>
      </c>
      <c r="MS831" t="s">
        <v>2317</v>
      </c>
      <c r="MT831">
        <v>1435</v>
      </c>
      <c r="MV831" t="s">
        <v>2350</v>
      </c>
      <c r="MW831" s="2" t="s">
        <v>2315</v>
      </c>
      <c r="MX831" s="2" t="s">
        <v>2315</v>
      </c>
      <c r="MY831" s="2"/>
      <c r="MZ831" s="2"/>
      <c r="NA831" s="2"/>
      <c r="NE831" t="s">
        <v>2392</v>
      </c>
      <c r="NG831" s="152" t="s">
        <v>8</v>
      </c>
      <c r="NH831" s="208" t="s">
        <v>2391</v>
      </c>
      <c r="NP831" t="s">
        <v>2362</v>
      </c>
      <c r="NQ831" t="s">
        <v>6</v>
      </c>
      <c r="NS831" t="s">
        <v>29</v>
      </c>
      <c r="NW831">
        <v>3</v>
      </c>
      <c r="NX831">
        <v>5.6</v>
      </c>
      <c r="NY831" t="s">
        <v>29</v>
      </c>
      <c r="NZ831">
        <v>5.3</v>
      </c>
      <c r="OA831" t="s">
        <v>29</v>
      </c>
      <c r="OH831" t="s">
        <v>2390</v>
      </c>
      <c r="OI831" t="s">
        <v>6</v>
      </c>
      <c r="OK831">
        <v>2011</v>
      </c>
      <c r="OL831">
        <v>2012</v>
      </c>
      <c r="OM831" t="s">
        <v>2330</v>
      </c>
      <c r="ON831" t="s">
        <v>2393</v>
      </c>
      <c r="OO831" t="s">
        <v>1178</v>
      </c>
      <c r="OP831" s="58">
        <v>46136</v>
      </c>
    </row>
    <row r="832" spans="1:406" ht="15.75" thickBot="1">
      <c r="A832" t="s">
        <v>248</v>
      </c>
      <c r="B832" t="s">
        <v>2346</v>
      </c>
      <c r="C832" t="s">
        <v>1904</v>
      </c>
      <c r="D832" t="s">
        <v>1955</v>
      </c>
      <c r="E832" s="90" t="s">
        <v>2345</v>
      </c>
      <c r="F832" s="89" t="s">
        <v>31</v>
      </c>
      <c r="G832" t="s">
        <v>2</v>
      </c>
      <c r="H832" t="s">
        <v>30</v>
      </c>
      <c r="I832">
        <v>23.983611109999998</v>
      </c>
      <c r="J832">
        <v>90.402222219999999</v>
      </c>
      <c r="K832" t="s">
        <v>29</v>
      </c>
      <c r="AV832" t="s">
        <v>2344</v>
      </c>
      <c r="AW832">
        <f t="shared" si="0"/>
        <v>1435</v>
      </c>
      <c r="AX832" t="s">
        <v>29</v>
      </c>
      <c r="AY832">
        <v>3</v>
      </c>
      <c r="AZ832" t="s">
        <v>2343</v>
      </c>
      <c r="BA832">
        <v>2009</v>
      </c>
      <c r="BB832">
        <v>2012</v>
      </c>
      <c r="BC832">
        <v>2009.2</v>
      </c>
      <c r="BD832" t="s">
        <v>19</v>
      </c>
      <c r="BE832" t="s">
        <v>2357</v>
      </c>
      <c r="BF832" t="s">
        <v>299</v>
      </c>
      <c r="BG832" t="s">
        <v>1243</v>
      </c>
      <c r="BH832" t="s">
        <v>2338</v>
      </c>
      <c r="BI832" t="s">
        <v>2361</v>
      </c>
      <c r="BJ832" t="s">
        <v>2281</v>
      </c>
      <c r="BK832">
        <v>30</v>
      </c>
      <c r="BL832" t="s">
        <v>275</v>
      </c>
      <c r="BM832" t="s">
        <v>2338</v>
      </c>
      <c r="BN832" t="s">
        <v>2360</v>
      </c>
      <c r="BO832" t="s">
        <v>2281</v>
      </c>
      <c r="BP832">
        <v>19</v>
      </c>
      <c r="HL832" t="s">
        <v>2359</v>
      </c>
      <c r="HM832" t="s">
        <v>2335</v>
      </c>
      <c r="HP832" t="s">
        <v>29</v>
      </c>
      <c r="HQ832">
        <v>4</v>
      </c>
      <c r="HR832" t="s">
        <v>2358</v>
      </c>
      <c r="HT832" t="s">
        <v>2333</v>
      </c>
      <c r="HU832" s="58">
        <v>40192</v>
      </c>
      <c r="HV832" s="58"/>
      <c r="IN832" t="s">
        <v>2357</v>
      </c>
      <c r="IO832" s="54" t="s">
        <v>2356</v>
      </c>
      <c r="IR832">
        <v>2009</v>
      </c>
      <c r="IS832" t="s">
        <v>2330</v>
      </c>
      <c r="IT832" s="4" t="s">
        <v>1898</v>
      </c>
      <c r="JK832" t="s">
        <v>14</v>
      </c>
      <c r="KD832" t="s">
        <v>2355</v>
      </c>
      <c r="KE832" t="s">
        <v>1561</v>
      </c>
      <c r="KF832" t="s">
        <v>2328</v>
      </c>
      <c r="KG832">
        <v>7</v>
      </c>
      <c r="KH832" t="s">
        <v>2327</v>
      </c>
      <c r="KI832" t="s">
        <v>222</v>
      </c>
      <c r="KJ832" s="8" t="s">
        <v>1941</v>
      </c>
      <c r="KM832" t="s">
        <v>219</v>
      </c>
      <c r="KN832" t="s">
        <v>2354</v>
      </c>
      <c r="KU832" t="s">
        <v>2353</v>
      </c>
      <c r="KV832" t="s">
        <v>2324</v>
      </c>
      <c r="KZ832" t="s">
        <v>13</v>
      </c>
      <c r="LA832">
        <v>1900</v>
      </c>
      <c r="LG832" t="s">
        <v>2323</v>
      </c>
      <c r="LH832" t="s">
        <v>2322</v>
      </c>
      <c r="LI832">
        <v>30</v>
      </c>
      <c r="LO832" t="s">
        <v>2352</v>
      </c>
      <c r="LP832" t="s">
        <v>2320</v>
      </c>
      <c r="LS832" t="s">
        <v>1944</v>
      </c>
      <c r="LT832">
        <v>1530</v>
      </c>
      <c r="LU832" t="s">
        <v>2319</v>
      </c>
      <c r="MA832" t="s">
        <v>2351</v>
      </c>
      <c r="MC832" s="58">
        <v>40299</v>
      </c>
      <c r="MS832" t="s">
        <v>2317</v>
      </c>
      <c r="MT832">
        <v>1435</v>
      </c>
      <c r="MV832" t="s">
        <v>2350</v>
      </c>
      <c r="MW832" s="2" t="s">
        <v>2315</v>
      </c>
      <c r="MX832" s="2" t="s">
        <v>2315</v>
      </c>
      <c r="MY832" s="2"/>
      <c r="MZ832" s="2"/>
      <c r="NA832" s="2"/>
      <c r="NE832" t="s">
        <v>2392</v>
      </c>
      <c r="NG832" s="152" t="s">
        <v>8</v>
      </c>
      <c r="NH832" s="208" t="s">
        <v>2391</v>
      </c>
      <c r="NP832" t="s">
        <v>64</v>
      </c>
      <c r="NQ832" t="s">
        <v>6</v>
      </c>
      <c r="NS832" t="s">
        <v>29</v>
      </c>
      <c r="NW832">
        <v>3</v>
      </c>
      <c r="NX832">
        <v>5.6</v>
      </c>
      <c r="NY832" t="s">
        <v>29</v>
      </c>
      <c r="NZ832">
        <v>4.9000000000000004</v>
      </c>
      <c r="OA832" t="s">
        <v>29</v>
      </c>
      <c r="OH832" t="s">
        <v>2390</v>
      </c>
      <c r="OI832" t="s">
        <v>6</v>
      </c>
      <c r="OK832">
        <v>2011</v>
      </c>
      <c r="OL832">
        <v>2012</v>
      </c>
      <c r="OM832" t="s">
        <v>2330</v>
      </c>
      <c r="ON832" t="s">
        <v>2393</v>
      </c>
      <c r="OO832" t="s">
        <v>1178</v>
      </c>
      <c r="OP832" s="58">
        <v>46136</v>
      </c>
    </row>
    <row r="833" spans="1:406" ht="15.75" thickBot="1">
      <c r="A833" t="s">
        <v>248</v>
      </c>
      <c r="B833" t="s">
        <v>2346</v>
      </c>
      <c r="C833" t="s">
        <v>1904</v>
      </c>
      <c r="D833" t="s">
        <v>1955</v>
      </c>
      <c r="E833" s="90" t="s">
        <v>2345</v>
      </c>
      <c r="F833" s="89" t="s">
        <v>31</v>
      </c>
      <c r="G833" t="s">
        <v>2</v>
      </c>
      <c r="H833" t="s">
        <v>30</v>
      </c>
      <c r="I833">
        <v>23.983611109999998</v>
      </c>
      <c r="J833">
        <v>90.402222219999999</v>
      </c>
      <c r="K833" t="s">
        <v>29</v>
      </c>
      <c r="AV833" t="s">
        <v>2344</v>
      </c>
      <c r="AW833">
        <f t="shared" si="0"/>
        <v>1435</v>
      </c>
      <c r="AX833" t="s">
        <v>29</v>
      </c>
      <c r="AY833">
        <v>3</v>
      </c>
      <c r="AZ833" t="s">
        <v>2343</v>
      </c>
      <c r="BA833">
        <v>2009</v>
      </c>
      <c r="BB833">
        <v>2012</v>
      </c>
      <c r="BC833">
        <v>2009.2</v>
      </c>
      <c r="BD833" t="s">
        <v>274</v>
      </c>
      <c r="BE833" t="s">
        <v>2332</v>
      </c>
      <c r="BF833" t="s">
        <v>64</v>
      </c>
      <c r="BG833" t="s">
        <v>1243</v>
      </c>
      <c r="BH833" t="s">
        <v>1913</v>
      </c>
      <c r="BI833" t="s">
        <v>2342</v>
      </c>
      <c r="BJ833" t="s">
        <v>2281</v>
      </c>
      <c r="BK833">
        <v>1614</v>
      </c>
      <c r="BL833" t="s">
        <v>275</v>
      </c>
      <c r="BM833" t="s">
        <v>23</v>
      </c>
      <c r="BN833" t="s">
        <v>2341</v>
      </c>
      <c r="BO833" t="s">
        <v>2281</v>
      </c>
      <c r="BP833">
        <v>20</v>
      </c>
      <c r="BQ833" t="s">
        <v>275</v>
      </c>
      <c r="BR833" t="s">
        <v>1936</v>
      </c>
      <c r="BS833" t="s">
        <v>2340</v>
      </c>
      <c r="BT833" t="s">
        <v>2281</v>
      </c>
      <c r="BU833">
        <v>30</v>
      </c>
      <c r="BV833" t="s">
        <v>275</v>
      </c>
      <c r="BW833" t="s">
        <v>2338</v>
      </c>
      <c r="BX833" t="s">
        <v>2339</v>
      </c>
      <c r="BY833" t="s">
        <v>2281</v>
      </c>
      <c r="BZ833">
        <v>35</v>
      </c>
      <c r="CA833" t="s">
        <v>275</v>
      </c>
      <c r="CB833" t="s">
        <v>2338</v>
      </c>
      <c r="CC833" t="s">
        <v>2337</v>
      </c>
      <c r="CD833" t="s">
        <v>2281</v>
      </c>
      <c r="CE833">
        <v>19</v>
      </c>
      <c r="HL833" t="s">
        <v>2336</v>
      </c>
      <c r="HM833" t="s">
        <v>2335</v>
      </c>
      <c r="HP833" t="s">
        <v>29</v>
      </c>
      <c r="HQ833">
        <v>9</v>
      </c>
      <c r="HR833" t="s">
        <v>2334</v>
      </c>
      <c r="HT833" t="s">
        <v>2333</v>
      </c>
      <c r="HU833" s="58">
        <v>40153</v>
      </c>
      <c r="IN833" t="s">
        <v>2332</v>
      </c>
      <c r="IO833" t="s">
        <v>2331</v>
      </c>
      <c r="IR833">
        <v>2009</v>
      </c>
      <c r="IS833" t="s">
        <v>2330</v>
      </c>
      <c r="IT833" s="4" t="s">
        <v>1898</v>
      </c>
      <c r="JK833" t="s">
        <v>14</v>
      </c>
      <c r="KD833" t="s">
        <v>2329</v>
      </c>
      <c r="KE833" t="s">
        <v>1561</v>
      </c>
      <c r="KF833" t="s">
        <v>2328</v>
      </c>
      <c r="KG833">
        <v>4</v>
      </c>
      <c r="KH833" t="s">
        <v>2327</v>
      </c>
      <c r="KI833" t="s">
        <v>2171</v>
      </c>
      <c r="KM833" t="s">
        <v>219</v>
      </c>
      <c r="KN833" t="s">
        <v>2326</v>
      </c>
      <c r="KU833" t="s">
        <v>2325</v>
      </c>
      <c r="KV833" t="s">
        <v>2324</v>
      </c>
      <c r="KZ833" t="s">
        <v>13</v>
      </c>
      <c r="LA833">
        <v>1600</v>
      </c>
      <c r="LG833" t="s">
        <v>2323</v>
      </c>
      <c r="LH833" t="s">
        <v>2322</v>
      </c>
      <c r="LI833">
        <v>30</v>
      </c>
      <c r="LO833" t="s">
        <v>2321</v>
      </c>
      <c r="LP833" t="s">
        <v>2320</v>
      </c>
      <c r="LS833" t="s">
        <v>1944</v>
      </c>
      <c r="LT833">
        <v>805</v>
      </c>
      <c r="LU833" t="s">
        <v>2319</v>
      </c>
      <c r="MA833" t="s">
        <v>2318</v>
      </c>
      <c r="MC833" s="58">
        <v>40224</v>
      </c>
      <c r="MS833" t="s">
        <v>2317</v>
      </c>
      <c r="MT833">
        <v>1435</v>
      </c>
      <c r="MV833" t="s">
        <v>2316</v>
      </c>
      <c r="MW833" s="2"/>
      <c r="MX833" s="2" t="s">
        <v>2315</v>
      </c>
      <c r="MY833" t="s">
        <v>1913</v>
      </c>
      <c r="MZ833" s="2" t="s">
        <v>1936</v>
      </c>
      <c r="NA833" s="2"/>
      <c r="NE833" t="s">
        <v>2392</v>
      </c>
      <c r="NG833" s="152" t="s">
        <v>8</v>
      </c>
      <c r="NH833" s="208" t="s">
        <v>2391</v>
      </c>
      <c r="NQ833" t="s">
        <v>6</v>
      </c>
      <c r="NS833" t="s">
        <v>29</v>
      </c>
      <c r="NW833">
        <v>3</v>
      </c>
      <c r="NZ833">
        <v>4.8</v>
      </c>
      <c r="OA833" t="s">
        <v>29</v>
      </c>
      <c r="OB833">
        <v>14.8</v>
      </c>
      <c r="OC833" t="s">
        <v>29</v>
      </c>
      <c r="OD833">
        <v>0.7</v>
      </c>
      <c r="OE833" t="s">
        <v>29</v>
      </c>
      <c r="OH833" t="s">
        <v>2390</v>
      </c>
      <c r="OI833" t="s">
        <v>6</v>
      </c>
      <c r="OK833">
        <v>2011</v>
      </c>
      <c r="OL833">
        <v>2012</v>
      </c>
      <c r="OM833" t="s">
        <v>2330</v>
      </c>
      <c r="ON833" t="s">
        <v>2393</v>
      </c>
      <c r="OO833" t="s">
        <v>1178</v>
      </c>
      <c r="OP833" s="58">
        <v>46136</v>
      </c>
    </row>
    <row r="834" spans="1:406" ht="15.75" thickBot="1">
      <c r="A834" t="s">
        <v>248</v>
      </c>
      <c r="B834" t="s">
        <v>2346</v>
      </c>
      <c r="C834" t="s">
        <v>1904</v>
      </c>
      <c r="D834" t="s">
        <v>1955</v>
      </c>
      <c r="E834" s="90" t="s">
        <v>2345</v>
      </c>
      <c r="F834" s="89" t="s">
        <v>31</v>
      </c>
      <c r="G834" t="s">
        <v>2</v>
      </c>
      <c r="H834" t="s">
        <v>30</v>
      </c>
      <c r="I834">
        <v>23.983611109999998</v>
      </c>
      <c r="J834">
        <v>90.402222219999999</v>
      </c>
      <c r="K834" t="s">
        <v>29</v>
      </c>
      <c r="AV834" t="s">
        <v>2344</v>
      </c>
      <c r="AW834">
        <f t="shared" si="0"/>
        <v>1435</v>
      </c>
      <c r="AX834" t="s">
        <v>29</v>
      </c>
      <c r="AY834">
        <v>3</v>
      </c>
      <c r="AZ834" t="s">
        <v>2343</v>
      </c>
      <c r="BA834">
        <v>2009</v>
      </c>
      <c r="BB834">
        <v>2012</v>
      </c>
      <c r="BC834">
        <v>2009.2</v>
      </c>
      <c r="BD834" t="s">
        <v>19</v>
      </c>
      <c r="BE834" t="s">
        <v>2373</v>
      </c>
      <c r="BF834" t="s">
        <v>39</v>
      </c>
      <c r="BG834" t="s">
        <v>1243</v>
      </c>
      <c r="BH834" t="s">
        <v>2338</v>
      </c>
      <c r="BI834" t="s">
        <v>2361</v>
      </c>
      <c r="BJ834" t="s">
        <v>2281</v>
      </c>
      <c r="BK834">
        <v>45</v>
      </c>
      <c r="BL834" t="s">
        <v>275</v>
      </c>
      <c r="BM834" t="s">
        <v>2338</v>
      </c>
      <c r="BN834" t="s">
        <v>2374</v>
      </c>
      <c r="BO834" t="s">
        <v>2281</v>
      </c>
      <c r="BP834">
        <v>49</v>
      </c>
      <c r="BQ834" t="s">
        <v>275</v>
      </c>
      <c r="BR834" t="s">
        <v>2338</v>
      </c>
      <c r="BS834" t="s">
        <v>2360</v>
      </c>
      <c r="BT834" t="s">
        <v>2281</v>
      </c>
      <c r="BU834">
        <v>49</v>
      </c>
      <c r="HL834" t="s">
        <v>2369</v>
      </c>
      <c r="HM834" t="s">
        <v>297</v>
      </c>
      <c r="HN834" t="s">
        <v>2368</v>
      </c>
      <c r="HP834" t="s">
        <v>29</v>
      </c>
      <c r="HQ834">
        <v>12</v>
      </c>
      <c r="HR834" t="s">
        <v>2367</v>
      </c>
      <c r="HT834" t="s">
        <v>2333</v>
      </c>
      <c r="HU834" s="58">
        <v>40202</v>
      </c>
      <c r="HV834" s="58"/>
      <c r="IN834" t="s">
        <v>2373</v>
      </c>
      <c r="IO834" s="54" t="s">
        <v>2356</v>
      </c>
      <c r="IR834">
        <v>2009</v>
      </c>
      <c r="IS834" t="s">
        <v>2330</v>
      </c>
      <c r="IT834" s="4" t="s">
        <v>1898</v>
      </c>
      <c r="JK834" t="s">
        <v>14</v>
      </c>
      <c r="KD834" t="s">
        <v>2372</v>
      </c>
      <c r="KE834" t="s">
        <v>1561</v>
      </c>
      <c r="KF834" t="s">
        <v>2328</v>
      </c>
      <c r="KG834">
        <v>3</v>
      </c>
      <c r="KH834" t="s">
        <v>2327</v>
      </c>
      <c r="KI834" t="s">
        <v>2171</v>
      </c>
      <c r="KM834" t="s">
        <v>219</v>
      </c>
      <c r="KN834" s="8" t="s">
        <v>2376</v>
      </c>
      <c r="KU834" t="s">
        <v>2371</v>
      </c>
      <c r="KV834" t="s">
        <v>2324</v>
      </c>
      <c r="KZ834" t="s">
        <v>13</v>
      </c>
      <c r="LA834">
        <v>1500</v>
      </c>
      <c r="LG834" t="s">
        <v>2323</v>
      </c>
      <c r="LH834" t="s">
        <v>2322</v>
      </c>
      <c r="LI834">
        <v>7.5</v>
      </c>
      <c r="LO834" t="s">
        <v>2370</v>
      </c>
      <c r="LP834" t="s">
        <v>2320</v>
      </c>
      <c r="LS834" t="s">
        <v>1944</v>
      </c>
      <c r="LT834">
        <v>2084</v>
      </c>
      <c r="LU834" t="s">
        <v>2319</v>
      </c>
      <c r="MA834" t="s">
        <v>2351</v>
      </c>
      <c r="MC834" s="58">
        <v>40292</v>
      </c>
      <c r="MS834" t="s">
        <v>2317</v>
      </c>
      <c r="MT834">
        <v>1435</v>
      </c>
      <c r="MV834" t="s">
        <v>2350</v>
      </c>
      <c r="MW834" s="2" t="s">
        <v>2315</v>
      </c>
      <c r="MX834" s="2" t="s">
        <v>2315</v>
      </c>
      <c r="MY834" s="2"/>
      <c r="MZ834" s="2"/>
      <c r="NE834" t="s">
        <v>2389</v>
      </c>
      <c r="NF834" t="s">
        <v>2388</v>
      </c>
      <c r="NG834" s="152" t="s">
        <v>1950</v>
      </c>
      <c r="NH834" s="208" t="s">
        <v>1949</v>
      </c>
      <c r="NP834" t="s">
        <v>2362</v>
      </c>
      <c r="NQ834" t="s">
        <v>6</v>
      </c>
      <c r="NR834">
        <v>0.5</v>
      </c>
      <c r="NS834" t="s">
        <v>29</v>
      </c>
      <c r="NW834">
        <v>3</v>
      </c>
      <c r="OH834" t="s">
        <v>2387</v>
      </c>
      <c r="OI834" t="s">
        <v>6</v>
      </c>
      <c r="OK834">
        <v>2009</v>
      </c>
      <c r="OL834">
        <v>2010</v>
      </c>
      <c r="OM834" t="s">
        <v>2330</v>
      </c>
      <c r="ON834" t="s">
        <v>2393</v>
      </c>
      <c r="OO834" t="s">
        <v>1178</v>
      </c>
      <c r="OP834" s="58">
        <v>46136</v>
      </c>
    </row>
    <row r="835" spans="1:406" ht="15.75" thickBot="1">
      <c r="A835" t="s">
        <v>248</v>
      </c>
      <c r="B835" t="s">
        <v>2346</v>
      </c>
      <c r="C835" t="s">
        <v>1904</v>
      </c>
      <c r="D835" t="s">
        <v>1955</v>
      </c>
      <c r="E835" s="90" t="s">
        <v>2345</v>
      </c>
      <c r="F835" s="89" t="s">
        <v>31</v>
      </c>
      <c r="G835" t="s">
        <v>2</v>
      </c>
      <c r="H835" t="s">
        <v>30</v>
      </c>
      <c r="I835">
        <v>23.983611109999998</v>
      </c>
      <c r="J835">
        <v>90.402222219999999</v>
      </c>
      <c r="K835" t="s">
        <v>29</v>
      </c>
      <c r="AV835" t="s">
        <v>2344</v>
      </c>
      <c r="AW835">
        <f t="shared" si="0"/>
        <v>1435</v>
      </c>
      <c r="AX835" t="s">
        <v>29</v>
      </c>
      <c r="AY835">
        <v>3</v>
      </c>
      <c r="AZ835" t="s">
        <v>2343</v>
      </c>
      <c r="BA835">
        <v>2009</v>
      </c>
      <c r="BB835">
        <v>2012</v>
      </c>
      <c r="BC835">
        <v>2009.2</v>
      </c>
      <c r="BD835" t="s">
        <v>19</v>
      </c>
      <c r="BE835" t="s">
        <v>2366</v>
      </c>
      <c r="BF835" t="s">
        <v>24</v>
      </c>
      <c r="BG835" t="s">
        <v>1243</v>
      </c>
      <c r="BH835" t="s">
        <v>2338</v>
      </c>
      <c r="BI835" t="s">
        <v>2361</v>
      </c>
      <c r="BJ835" t="s">
        <v>2281</v>
      </c>
      <c r="BK835">
        <v>30</v>
      </c>
      <c r="BL835" t="s">
        <v>275</v>
      </c>
      <c r="BM835" t="s">
        <v>2338</v>
      </c>
      <c r="BN835" t="s">
        <v>2360</v>
      </c>
      <c r="BO835" t="s">
        <v>2281</v>
      </c>
      <c r="BP835">
        <v>35</v>
      </c>
      <c r="HL835" t="s">
        <v>2369</v>
      </c>
      <c r="HM835" t="s">
        <v>297</v>
      </c>
      <c r="HN835" t="s">
        <v>2368</v>
      </c>
      <c r="HP835" t="s">
        <v>29</v>
      </c>
      <c r="HQ835">
        <v>12</v>
      </c>
      <c r="HR835" t="s">
        <v>2367</v>
      </c>
      <c r="HT835" t="s">
        <v>2333</v>
      </c>
      <c r="HU835" s="58">
        <v>40192</v>
      </c>
      <c r="HV835" s="58"/>
      <c r="IN835" t="s">
        <v>2366</v>
      </c>
      <c r="IO835" s="54" t="s">
        <v>2356</v>
      </c>
      <c r="IR835">
        <v>2009</v>
      </c>
      <c r="IS835" t="s">
        <v>2330</v>
      </c>
      <c r="IT835" s="4" t="s">
        <v>1898</v>
      </c>
      <c r="JK835" t="s">
        <v>14</v>
      </c>
      <c r="KD835" t="s">
        <v>2365</v>
      </c>
      <c r="KE835" t="s">
        <v>1561</v>
      </c>
      <c r="KF835" t="s">
        <v>2328</v>
      </c>
      <c r="KG835">
        <v>6</v>
      </c>
      <c r="KH835" t="s">
        <v>2327</v>
      </c>
      <c r="KI835" t="s">
        <v>222</v>
      </c>
      <c r="KJ835" s="8" t="s">
        <v>1941</v>
      </c>
      <c r="KM835" t="s">
        <v>219</v>
      </c>
      <c r="KN835" t="s">
        <v>2354</v>
      </c>
      <c r="KU835" t="s">
        <v>2364</v>
      </c>
      <c r="KV835" t="s">
        <v>2324</v>
      </c>
      <c r="KZ835" t="s">
        <v>13</v>
      </c>
      <c r="LA835">
        <v>2200</v>
      </c>
      <c r="LG835" t="s">
        <v>2323</v>
      </c>
      <c r="LH835" t="s">
        <v>2322</v>
      </c>
      <c r="LI835">
        <v>30</v>
      </c>
      <c r="LO835" t="s">
        <v>2363</v>
      </c>
      <c r="LP835" t="s">
        <v>2320</v>
      </c>
      <c r="LS835" t="s">
        <v>1944</v>
      </c>
      <c r="LT835">
        <v>1789</v>
      </c>
      <c r="LU835" t="s">
        <v>2319</v>
      </c>
      <c r="MA835" t="s">
        <v>2351</v>
      </c>
      <c r="MC835" s="58">
        <v>40298</v>
      </c>
      <c r="MS835" t="s">
        <v>2317</v>
      </c>
      <c r="MT835">
        <v>1435</v>
      </c>
      <c r="MV835" t="s">
        <v>2350</v>
      </c>
      <c r="MW835" s="2" t="s">
        <v>2315</v>
      </c>
      <c r="MX835" s="2" t="s">
        <v>2315</v>
      </c>
      <c r="MY835" s="2"/>
      <c r="MZ835" s="2"/>
      <c r="NE835" t="s">
        <v>2389</v>
      </c>
      <c r="NF835" t="s">
        <v>2388</v>
      </c>
      <c r="NG835" s="152" t="s">
        <v>1950</v>
      </c>
      <c r="NH835" s="208" t="s">
        <v>1949</v>
      </c>
      <c r="NP835" t="s">
        <v>2362</v>
      </c>
      <c r="NQ835" t="s">
        <v>6</v>
      </c>
      <c r="NR835">
        <v>0.7</v>
      </c>
      <c r="NS835" t="s">
        <v>29</v>
      </c>
      <c r="NW835">
        <v>3</v>
      </c>
      <c r="OH835" t="s">
        <v>2387</v>
      </c>
      <c r="OI835" t="s">
        <v>6</v>
      </c>
      <c r="OK835">
        <v>2009</v>
      </c>
      <c r="OL835">
        <v>2010</v>
      </c>
      <c r="OM835" t="s">
        <v>2330</v>
      </c>
      <c r="ON835" t="s">
        <v>2393</v>
      </c>
      <c r="OO835" t="s">
        <v>1178</v>
      </c>
      <c r="OP835" s="58">
        <v>46136</v>
      </c>
    </row>
    <row r="836" spans="1:406" ht="15.75" thickBot="1">
      <c r="A836" t="s">
        <v>248</v>
      </c>
      <c r="B836" t="s">
        <v>2346</v>
      </c>
      <c r="C836" t="s">
        <v>1904</v>
      </c>
      <c r="D836" t="s">
        <v>1955</v>
      </c>
      <c r="E836" s="90" t="s">
        <v>2345</v>
      </c>
      <c r="F836" s="89" t="s">
        <v>31</v>
      </c>
      <c r="G836" t="s">
        <v>2</v>
      </c>
      <c r="H836" t="s">
        <v>30</v>
      </c>
      <c r="I836">
        <v>23.983611109999998</v>
      </c>
      <c r="J836">
        <v>90.402222219999999</v>
      </c>
      <c r="K836" t="s">
        <v>29</v>
      </c>
      <c r="AV836" t="s">
        <v>2344</v>
      </c>
      <c r="AW836">
        <f t="shared" si="0"/>
        <v>1435</v>
      </c>
      <c r="AX836" t="s">
        <v>29</v>
      </c>
      <c r="AY836">
        <v>3</v>
      </c>
      <c r="AZ836" t="s">
        <v>2343</v>
      </c>
      <c r="BA836">
        <v>2009</v>
      </c>
      <c r="BB836">
        <v>2012</v>
      </c>
      <c r="BC836">
        <v>2009.2</v>
      </c>
      <c r="BD836" t="s">
        <v>19</v>
      </c>
      <c r="BE836" t="s">
        <v>2357</v>
      </c>
      <c r="BF836" t="s">
        <v>299</v>
      </c>
      <c r="BG836" t="s">
        <v>1243</v>
      </c>
      <c r="BH836" t="s">
        <v>2338</v>
      </c>
      <c r="BI836" t="s">
        <v>2361</v>
      </c>
      <c r="BJ836" t="s">
        <v>2281</v>
      </c>
      <c r="BK836">
        <v>30</v>
      </c>
      <c r="BL836" t="s">
        <v>275</v>
      </c>
      <c r="BM836" t="s">
        <v>2338</v>
      </c>
      <c r="BN836" t="s">
        <v>2360</v>
      </c>
      <c r="BO836" t="s">
        <v>2281</v>
      </c>
      <c r="BP836">
        <v>19</v>
      </c>
      <c r="HL836" t="s">
        <v>2359</v>
      </c>
      <c r="HM836" t="s">
        <v>2335</v>
      </c>
      <c r="HP836" t="s">
        <v>29</v>
      </c>
      <c r="HQ836">
        <v>4</v>
      </c>
      <c r="HR836" t="s">
        <v>2358</v>
      </c>
      <c r="HT836" t="s">
        <v>2333</v>
      </c>
      <c r="HU836" s="58">
        <v>40192</v>
      </c>
      <c r="HV836" s="58"/>
      <c r="IN836" t="s">
        <v>2357</v>
      </c>
      <c r="IO836" s="54" t="s">
        <v>2356</v>
      </c>
      <c r="IR836">
        <v>2009</v>
      </c>
      <c r="IS836" t="s">
        <v>2330</v>
      </c>
      <c r="IT836" s="4" t="s">
        <v>1898</v>
      </c>
      <c r="JK836" t="s">
        <v>14</v>
      </c>
      <c r="KD836" t="s">
        <v>2355</v>
      </c>
      <c r="KE836" t="s">
        <v>1561</v>
      </c>
      <c r="KF836" t="s">
        <v>2328</v>
      </c>
      <c r="KG836">
        <v>7</v>
      </c>
      <c r="KH836" t="s">
        <v>2327</v>
      </c>
      <c r="KI836" t="s">
        <v>222</v>
      </c>
      <c r="KJ836" s="8" t="s">
        <v>1941</v>
      </c>
      <c r="KM836" t="s">
        <v>219</v>
      </c>
      <c r="KN836" t="s">
        <v>2354</v>
      </c>
      <c r="KU836" t="s">
        <v>2353</v>
      </c>
      <c r="KV836" t="s">
        <v>2324</v>
      </c>
      <c r="KZ836" t="s">
        <v>13</v>
      </c>
      <c r="LA836">
        <v>2600</v>
      </c>
      <c r="LG836" t="s">
        <v>2323</v>
      </c>
      <c r="LH836" t="s">
        <v>2322</v>
      </c>
      <c r="LI836">
        <v>30</v>
      </c>
      <c r="LO836" t="s">
        <v>2352</v>
      </c>
      <c r="LP836" t="s">
        <v>2320</v>
      </c>
      <c r="LS836" t="s">
        <v>1944</v>
      </c>
      <c r="LT836">
        <v>1898</v>
      </c>
      <c r="LU836" t="s">
        <v>2319</v>
      </c>
      <c r="MA836" t="s">
        <v>2351</v>
      </c>
      <c r="MC836" s="58">
        <v>40299</v>
      </c>
      <c r="MS836" t="s">
        <v>2317</v>
      </c>
      <c r="MT836">
        <v>1435</v>
      </c>
      <c r="MV836" t="s">
        <v>2350</v>
      </c>
      <c r="MW836" s="2" t="s">
        <v>2315</v>
      </c>
      <c r="MX836" s="2" t="s">
        <v>2315</v>
      </c>
      <c r="MY836" s="2"/>
      <c r="MZ836" s="2"/>
      <c r="NE836" t="s">
        <v>2389</v>
      </c>
      <c r="NF836" t="s">
        <v>2388</v>
      </c>
      <c r="NG836" s="152" t="s">
        <v>1950</v>
      </c>
      <c r="NH836" s="208" t="s">
        <v>1949</v>
      </c>
      <c r="NP836" t="s">
        <v>64</v>
      </c>
      <c r="NQ836" t="s">
        <v>6</v>
      </c>
      <c r="NR836">
        <v>0.6</v>
      </c>
      <c r="NS836" t="s">
        <v>29</v>
      </c>
      <c r="NW836">
        <v>3</v>
      </c>
      <c r="OH836" t="s">
        <v>2387</v>
      </c>
      <c r="OI836" t="s">
        <v>6</v>
      </c>
      <c r="OK836">
        <v>2009</v>
      </c>
      <c r="OL836">
        <v>2010</v>
      </c>
      <c r="OM836" t="s">
        <v>2330</v>
      </c>
      <c r="ON836" t="s">
        <v>2393</v>
      </c>
      <c r="OO836" t="s">
        <v>1178</v>
      </c>
      <c r="OP836" s="58">
        <v>46136</v>
      </c>
    </row>
    <row r="837" spans="1:406" ht="15.75" thickBot="1">
      <c r="A837" t="s">
        <v>248</v>
      </c>
      <c r="B837" t="s">
        <v>2346</v>
      </c>
      <c r="C837" t="s">
        <v>1904</v>
      </c>
      <c r="D837" t="s">
        <v>1955</v>
      </c>
      <c r="E837" s="90" t="s">
        <v>2345</v>
      </c>
      <c r="F837" s="89" t="s">
        <v>31</v>
      </c>
      <c r="G837" t="s">
        <v>2</v>
      </c>
      <c r="H837" t="s">
        <v>30</v>
      </c>
      <c r="I837">
        <v>23.983611109999998</v>
      </c>
      <c r="J837">
        <v>90.402222219999999</v>
      </c>
      <c r="K837" t="s">
        <v>29</v>
      </c>
      <c r="AV837" t="s">
        <v>2344</v>
      </c>
      <c r="AW837">
        <f t="shared" si="0"/>
        <v>1435</v>
      </c>
      <c r="AX837" t="s">
        <v>29</v>
      </c>
      <c r="AY837">
        <v>3</v>
      </c>
      <c r="AZ837" t="s">
        <v>2343</v>
      </c>
      <c r="BA837">
        <v>2009</v>
      </c>
      <c r="BB837">
        <v>2012</v>
      </c>
      <c r="BC837">
        <v>2009.2</v>
      </c>
      <c r="BD837" t="s">
        <v>274</v>
      </c>
      <c r="BE837" t="s">
        <v>2332</v>
      </c>
      <c r="BF837" t="s">
        <v>64</v>
      </c>
      <c r="BG837" t="s">
        <v>1243</v>
      </c>
      <c r="BH837" t="s">
        <v>1913</v>
      </c>
      <c r="BI837" t="s">
        <v>2342</v>
      </c>
      <c r="BJ837" t="s">
        <v>2281</v>
      </c>
      <c r="BK837">
        <v>1614</v>
      </c>
      <c r="BL837" t="s">
        <v>275</v>
      </c>
      <c r="BM837" t="s">
        <v>23</v>
      </c>
      <c r="BN837" t="s">
        <v>2341</v>
      </c>
      <c r="BO837" t="s">
        <v>2281</v>
      </c>
      <c r="BP837">
        <v>20</v>
      </c>
      <c r="BQ837" t="s">
        <v>275</v>
      </c>
      <c r="BR837" t="s">
        <v>1936</v>
      </c>
      <c r="BS837" t="s">
        <v>2340</v>
      </c>
      <c r="BT837" t="s">
        <v>2281</v>
      </c>
      <c r="BU837">
        <v>30</v>
      </c>
      <c r="BV837" t="s">
        <v>275</v>
      </c>
      <c r="BW837" t="s">
        <v>2338</v>
      </c>
      <c r="BX837" t="s">
        <v>2339</v>
      </c>
      <c r="BY837" t="s">
        <v>2281</v>
      </c>
      <c r="BZ837">
        <v>35</v>
      </c>
      <c r="CA837" t="s">
        <v>275</v>
      </c>
      <c r="CB837" t="s">
        <v>2338</v>
      </c>
      <c r="CC837" t="s">
        <v>2337</v>
      </c>
      <c r="CD837" t="s">
        <v>2281</v>
      </c>
      <c r="CE837">
        <v>19</v>
      </c>
      <c r="HL837" t="s">
        <v>2336</v>
      </c>
      <c r="HM837" t="s">
        <v>2335</v>
      </c>
      <c r="HP837" t="s">
        <v>29</v>
      </c>
      <c r="HQ837">
        <v>9</v>
      </c>
      <c r="HR837" t="s">
        <v>2334</v>
      </c>
      <c r="HT837" t="s">
        <v>2333</v>
      </c>
      <c r="HU837" s="58">
        <v>40153</v>
      </c>
      <c r="IN837" t="s">
        <v>2332</v>
      </c>
      <c r="IO837" t="s">
        <v>2331</v>
      </c>
      <c r="IR837">
        <v>2009</v>
      </c>
      <c r="IS837" t="s">
        <v>2330</v>
      </c>
      <c r="IT837" s="4" t="s">
        <v>1898</v>
      </c>
      <c r="JK837" t="s">
        <v>14</v>
      </c>
      <c r="KD837" t="s">
        <v>2329</v>
      </c>
      <c r="KE837" t="s">
        <v>1561</v>
      </c>
      <c r="KF837" t="s">
        <v>2328</v>
      </c>
      <c r="KG837">
        <v>4</v>
      </c>
      <c r="KH837" t="s">
        <v>2327</v>
      </c>
      <c r="KI837" t="s">
        <v>2171</v>
      </c>
      <c r="KM837" t="s">
        <v>219</v>
      </c>
      <c r="KN837" t="s">
        <v>2326</v>
      </c>
      <c r="KU837" t="s">
        <v>2325</v>
      </c>
      <c r="KV837" t="s">
        <v>2324</v>
      </c>
      <c r="KZ837" t="s">
        <v>13</v>
      </c>
      <c r="LA837">
        <v>4600</v>
      </c>
      <c r="LG837" t="s">
        <v>2323</v>
      </c>
      <c r="LH837" t="s">
        <v>2322</v>
      </c>
      <c r="LI837">
        <v>30</v>
      </c>
      <c r="LO837" t="s">
        <v>2321</v>
      </c>
      <c r="LP837" t="s">
        <v>2320</v>
      </c>
      <c r="LS837" t="s">
        <v>1944</v>
      </c>
      <c r="LT837">
        <v>1426</v>
      </c>
      <c r="LU837" t="s">
        <v>2319</v>
      </c>
      <c r="MA837" t="s">
        <v>2318</v>
      </c>
      <c r="MC837" s="58">
        <v>40224</v>
      </c>
      <c r="MS837" t="s">
        <v>2317</v>
      </c>
      <c r="MT837">
        <v>1435</v>
      </c>
      <c r="MV837" t="s">
        <v>2316</v>
      </c>
      <c r="MW837" s="2"/>
      <c r="MX837" s="2" t="s">
        <v>2315</v>
      </c>
      <c r="MY837" t="s">
        <v>1913</v>
      </c>
      <c r="MZ837" s="2" t="s">
        <v>168</v>
      </c>
      <c r="NE837" t="s">
        <v>2389</v>
      </c>
      <c r="NF837" t="s">
        <v>2388</v>
      </c>
      <c r="NG837" s="152" t="s">
        <v>1950</v>
      </c>
      <c r="NH837" s="208" t="s">
        <v>1949</v>
      </c>
      <c r="NQ837" t="s">
        <v>6</v>
      </c>
      <c r="NR837">
        <v>1.4</v>
      </c>
      <c r="NS837" t="s">
        <v>29</v>
      </c>
      <c r="NW837">
        <v>3</v>
      </c>
      <c r="OH837" t="s">
        <v>2387</v>
      </c>
      <c r="OI837" t="s">
        <v>6</v>
      </c>
      <c r="OK837">
        <v>2009</v>
      </c>
      <c r="OL837">
        <v>2010</v>
      </c>
      <c r="OM837" t="s">
        <v>2330</v>
      </c>
      <c r="ON837" t="s">
        <v>2393</v>
      </c>
      <c r="OO837" t="s">
        <v>1178</v>
      </c>
      <c r="OP837" s="58">
        <v>46136</v>
      </c>
    </row>
    <row r="838" spans="1:406" ht="15.75" thickBot="1">
      <c r="A838" t="s">
        <v>248</v>
      </c>
      <c r="B838" t="s">
        <v>2346</v>
      </c>
      <c r="C838" t="s">
        <v>1904</v>
      </c>
      <c r="D838" t="s">
        <v>1955</v>
      </c>
      <c r="E838" s="90" t="s">
        <v>2345</v>
      </c>
      <c r="F838" s="89" t="s">
        <v>31</v>
      </c>
      <c r="G838" t="s">
        <v>2</v>
      </c>
      <c r="H838" t="s">
        <v>30</v>
      </c>
      <c r="I838">
        <v>23.983611109999998</v>
      </c>
      <c r="J838">
        <v>90.402222219999999</v>
      </c>
      <c r="K838" t="s">
        <v>29</v>
      </c>
      <c r="AV838" t="s">
        <v>2344</v>
      </c>
      <c r="AW838">
        <f t="shared" si="0"/>
        <v>1435</v>
      </c>
      <c r="AX838" t="s">
        <v>29</v>
      </c>
      <c r="AY838">
        <v>3</v>
      </c>
      <c r="AZ838" t="s">
        <v>2343</v>
      </c>
      <c r="BA838">
        <v>2009</v>
      </c>
      <c r="BB838">
        <v>2012</v>
      </c>
      <c r="BC838">
        <v>2009.2</v>
      </c>
      <c r="BD838" t="s">
        <v>19</v>
      </c>
      <c r="BE838" t="s">
        <v>2373</v>
      </c>
      <c r="BF838" t="s">
        <v>39</v>
      </c>
      <c r="BG838" t="s">
        <v>1243</v>
      </c>
      <c r="BH838" t="s">
        <v>2338</v>
      </c>
      <c r="BI838" t="s">
        <v>2361</v>
      </c>
      <c r="BJ838" t="s">
        <v>2281</v>
      </c>
      <c r="BK838">
        <v>45</v>
      </c>
      <c r="BL838" t="s">
        <v>275</v>
      </c>
      <c r="BM838" t="s">
        <v>2338</v>
      </c>
      <c r="BN838" t="s">
        <v>2374</v>
      </c>
      <c r="BO838" t="s">
        <v>2281</v>
      </c>
      <c r="BP838">
        <v>49</v>
      </c>
      <c r="BQ838" t="s">
        <v>275</v>
      </c>
      <c r="BR838" t="s">
        <v>2338</v>
      </c>
      <c r="BS838" t="s">
        <v>2360</v>
      </c>
      <c r="BT838" t="s">
        <v>2281</v>
      </c>
      <c r="BU838">
        <v>49</v>
      </c>
      <c r="HL838" t="s">
        <v>2369</v>
      </c>
      <c r="HM838" t="s">
        <v>297</v>
      </c>
      <c r="HN838" t="s">
        <v>2368</v>
      </c>
      <c r="HP838" t="s">
        <v>29</v>
      </c>
      <c r="HQ838">
        <v>12</v>
      </c>
      <c r="HR838" t="s">
        <v>2367</v>
      </c>
      <c r="HT838" t="s">
        <v>2333</v>
      </c>
      <c r="HU838" s="58">
        <v>40202</v>
      </c>
      <c r="HV838" s="58"/>
      <c r="IN838" t="s">
        <v>2373</v>
      </c>
      <c r="IO838" s="54" t="s">
        <v>2356</v>
      </c>
      <c r="IR838">
        <v>2009</v>
      </c>
      <c r="IS838" t="s">
        <v>2330</v>
      </c>
      <c r="IT838" s="4" t="s">
        <v>1898</v>
      </c>
      <c r="JK838" t="s">
        <v>14</v>
      </c>
      <c r="KD838" t="s">
        <v>2372</v>
      </c>
      <c r="KE838" t="s">
        <v>1561</v>
      </c>
      <c r="KF838" t="s">
        <v>2328</v>
      </c>
      <c r="KG838">
        <v>3</v>
      </c>
      <c r="KH838" t="s">
        <v>2327</v>
      </c>
      <c r="KI838" t="s">
        <v>2171</v>
      </c>
      <c r="KM838" t="s">
        <v>219</v>
      </c>
      <c r="KN838" s="8" t="s">
        <v>2376</v>
      </c>
      <c r="KU838" t="s">
        <v>2371</v>
      </c>
      <c r="KV838" t="s">
        <v>2324</v>
      </c>
      <c r="KZ838" t="s">
        <v>13</v>
      </c>
      <c r="LA838">
        <v>0</v>
      </c>
      <c r="LG838" t="s">
        <v>2323</v>
      </c>
      <c r="LH838" t="s">
        <v>2322</v>
      </c>
      <c r="LI838">
        <v>7.5</v>
      </c>
      <c r="LO838" t="s">
        <v>2370</v>
      </c>
      <c r="LP838" t="s">
        <v>2320</v>
      </c>
      <c r="LS838" t="s">
        <v>1944</v>
      </c>
      <c r="LT838">
        <v>2172</v>
      </c>
      <c r="LU838" t="s">
        <v>2319</v>
      </c>
      <c r="MA838" t="s">
        <v>2351</v>
      </c>
      <c r="MC838" s="58">
        <v>40292</v>
      </c>
      <c r="MS838" t="s">
        <v>2317</v>
      </c>
      <c r="MT838">
        <v>1435</v>
      </c>
      <c r="MV838" t="s">
        <v>2350</v>
      </c>
      <c r="MW838" s="2" t="s">
        <v>2315</v>
      </c>
      <c r="MX838" s="2" t="s">
        <v>2315</v>
      </c>
      <c r="MY838" s="2"/>
      <c r="MZ838" s="2"/>
      <c r="NE838" t="s">
        <v>2389</v>
      </c>
      <c r="NF838" t="s">
        <v>2388</v>
      </c>
      <c r="NG838" s="152" t="s">
        <v>1950</v>
      </c>
      <c r="NH838" s="208" t="s">
        <v>1949</v>
      </c>
      <c r="NP838" t="s">
        <v>2362</v>
      </c>
      <c r="NQ838" t="s">
        <v>6</v>
      </c>
      <c r="NR838">
        <v>0.4</v>
      </c>
      <c r="NS838" t="s">
        <v>29</v>
      </c>
      <c r="NW838">
        <v>3</v>
      </c>
      <c r="OH838" t="s">
        <v>2387</v>
      </c>
      <c r="OI838" t="s">
        <v>6</v>
      </c>
      <c r="OK838">
        <v>2010</v>
      </c>
      <c r="OL838">
        <v>2011</v>
      </c>
      <c r="OM838" t="s">
        <v>2330</v>
      </c>
      <c r="ON838" t="s">
        <v>2393</v>
      </c>
      <c r="OO838" t="s">
        <v>1178</v>
      </c>
      <c r="OP838" s="58">
        <v>46136</v>
      </c>
    </row>
    <row r="839" spans="1:406" ht="15.75" thickBot="1">
      <c r="A839" t="s">
        <v>248</v>
      </c>
      <c r="B839" t="s">
        <v>2346</v>
      </c>
      <c r="C839" t="s">
        <v>1904</v>
      </c>
      <c r="D839" t="s">
        <v>1955</v>
      </c>
      <c r="E839" s="90" t="s">
        <v>2345</v>
      </c>
      <c r="F839" s="89" t="s">
        <v>31</v>
      </c>
      <c r="G839" t="s">
        <v>2</v>
      </c>
      <c r="H839" t="s">
        <v>30</v>
      </c>
      <c r="I839">
        <v>23.983611109999998</v>
      </c>
      <c r="J839">
        <v>90.402222219999999</v>
      </c>
      <c r="K839" t="s">
        <v>29</v>
      </c>
      <c r="AV839" t="s">
        <v>2344</v>
      </c>
      <c r="AW839">
        <f t="shared" si="0"/>
        <v>1435</v>
      </c>
      <c r="AX839" t="s">
        <v>29</v>
      </c>
      <c r="AY839">
        <v>3</v>
      </c>
      <c r="AZ839" t="s">
        <v>2343</v>
      </c>
      <c r="BA839">
        <v>2009</v>
      </c>
      <c r="BB839">
        <v>2012</v>
      </c>
      <c r="BC839">
        <v>2009.2</v>
      </c>
      <c r="BD839" t="s">
        <v>19</v>
      </c>
      <c r="BE839" t="s">
        <v>2366</v>
      </c>
      <c r="BF839" t="s">
        <v>24</v>
      </c>
      <c r="BG839" t="s">
        <v>1243</v>
      </c>
      <c r="BH839" t="s">
        <v>2338</v>
      </c>
      <c r="BI839" t="s">
        <v>2361</v>
      </c>
      <c r="BJ839" t="s">
        <v>2281</v>
      </c>
      <c r="BK839">
        <v>30</v>
      </c>
      <c r="BL839" t="s">
        <v>275</v>
      </c>
      <c r="BM839" t="s">
        <v>2338</v>
      </c>
      <c r="BN839" t="s">
        <v>2360</v>
      </c>
      <c r="BO839" t="s">
        <v>2281</v>
      </c>
      <c r="BP839">
        <v>35</v>
      </c>
      <c r="HL839" t="s">
        <v>2369</v>
      </c>
      <c r="HM839" t="s">
        <v>297</v>
      </c>
      <c r="HN839" t="s">
        <v>2368</v>
      </c>
      <c r="HP839" t="s">
        <v>29</v>
      </c>
      <c r="HQ839">
        <v>12</v>
      </c>
      <c r="HR839" t="s">
        <v>2367</v>
      </c>
      <c r="HT839" t="s">
        <v>2333</v>
      </c>
      <c r="HU839" s="58">
        <v>40192</v>
      </c>
      <c r="HV839" s="58"/>
      <c r="IN839" t="s">
        <v>2366</v>
      </c>
      <c r="IO839" s="54" t="s">
        <v>2356</v>
      </c>
      <c r="IR839">
        <v>2009</v>
      </c>
      <c r="IS839" t="s">
        <v>2330</v>
      </c>
      <c r="IT839" s="4" t="s">
        <v>1898</v>
      </c>
      <c r="JK839" t="s">
        <v>14</v>
      </c>
      <c r="KD839" t="s">
        <v>2365</v>
      </c>
      <c r="KE839" t="s">
        <v>1561</v>
      </c>
      <c r="KF839" t="s">
        <v>2328</v>
      </c>
      <c r="KG839">
        <v>6</v>
      </c>
      <c r="KH839" t="s">
        <v>2327</v>
      </c>
      <c r="KI839" t="s">
        <v>222</v>
      </c>
      <c r="KJ839" s="8" t="s">
        <v>1941</v>
      </c>
      <c r="KM839" t="s">
        <v>219</v>
      </c>
      <c r="KN839" t="s">
        <v>2354</v>
      </c>
      <c r="KU839" t="s">
        <v>2364</v>
      </c>
      <c r="KV839" t="s">
        <v>2324</v>
      </c>
      <c r="KZ839" t="s">
        <v>13</v>
      </c>
      <c r="LA839">
        <v>1600</v>
      </c>
      <c r="LG839" t="s">
        <v>2323</v>
      </c>
      <c r="LH839" t="s">
        <v>2322</v>
      </c>
      <c r="LI839">
        <v>30</v>
      </c>
      <c r="LO839" t="s">
        <v>2363</v>
      </c>
      <c r="LP839" t="s">
        <v>2320</v>
      </c>
      <c r="LS839" t="s">
        <v>1944</v>
      </c>
      <c r="LT839">
        <v>1946</v>
      </c>
      <c r="LU839" t="s">
        <v>2319</v>
      </c>
      <c r="MA839" t="s">
        <v>2351</v>
      </c>
      <c r="MC839" s="58">
        <v>40298</v>
      </c>
      <c r="MS839" t="s">
        <v>2317</v>
      </c>
      <c r="MT839">
        <v>1435</v>
      </c>
      <c r="MV839" t="s">
        <v>2350</v>
      </c>
      <c r="MW839" s="2" t="s">
        <v>2315</v>
      </c>
      <c r="MX839" s="2" t="s">
        <v>2315</v>
      </c>
      <c r="MY839" s="2"/>
      <c r="MZ839" s="2"/>
      <c r="NE839" t="s">
        <v>2389</v>
      </c>
      <c r="NF839" t="s">
        <v>2388</v>
      </c>
      <c r="NG839" s="152" t="s">
        <v>1950</v>
      </c>
      <c r="NH839" s="208" t="s">
        <v>1949</v>
      </c>
      <c r="NP839" t="s">
        <v>2362</v>
      </c>
      <c r="NQ839" t="s">
        <v>6</v>
      </c>
      <c r="NR839">
        <v>0.6</v>
      </c>
      <c r="NS839" t="s">
        <v>29</v>
      </c>
      <c r="NW839">
        <v>3</v>
      </c>
      <c r="OH839" t="s">
        <v>2387</v>
      </c>
      <c r="OI839" t="s">
        <v>6</v>
      </c>
      <c r="OK839">
        <v>2010</v>
      </c>
      <c r="OL839">
        <v>2011</v>
      </c>
      <c r="OM839" t="s">
        <v>2330</v>
      </c>
      <c r="ON839" t="s">
        <v>2393</v>
      </c>
      <c r="OO839" t="s">
        <v>1178</v>
      </c>
      <c r="OP839" s="58">
        <v>46136</v>
      </c>
    </row>
    <row r="840" spans="1:406" ht="15.75" thickBot="1">
      <c r="A840" t="s">
        <v>248</v>
      </c>
      <c r="B840" t="s">
        <v>2346</v>
      </c>
      <c r="C840" t="s">
        <v>1904</v>
      </c>
      <c r="D840" t="s">
        <v>1955</v>
      </c>
      <c r="E840" s="90" t="s">
        <v>2345</v>
      </c>
      <c r="F840" s="89" t="s">
        <v>31</v>
      </c>
      <c r="G840" t="s">
        <v>2</v>
      </c>
      <c r="H840" t="s">
        <v>30</v>
      </c>
      <c r="I840">
        <v>23.983611109999998</v>
      </c>
      <c r="J840">
        <v>90.402222219999999</v>
      </c>
      <c r="K840" t="s">
        <v>29</v>
      </c>
      <c r="AV840" t="s">
        <v>2344</v>
      </c>
      <c r="AW840">
        <f t="shared" si="0"/>
        <v>1435</v>
      </c>
      <c r="AX840" t="s">
        <v>29</v>
      </c>
      <c r="AY840">
        <v>3</v>
      </c>
      <c r="AZ840" t="s">
        <v>2343</v>
      </c>
      <c r="BA840">
        <v>2009</v>
      </c>
      <c r="BB840">
        <v>2012</v>
      </c>
      <c r="BC840">
        <v>2009.2</v>
      </c>
      <c r="BD840" t="s">
        <v>19</v>
      </c>
      <c r="BE840" t="s">
        <v>2357</v>
      </c>
      <c r="BF840" t="s">
        <v>299</v>
      </c>
      <c r="BG840" t="s">
        <v>1243</v>
      </c>
      <c r="BH840" t="s">
        <v>2338</v>
      </c>
      <c r="BI840" t="s">
        <v>2361</v>
      </c>
      <c r="BJ840" t="s">
        <v>2281</v>
      </c>
      <c r="BK840">
        <v>30</v>
      </c>
      <c r="BL840" t="s">
        <v>275</v>
      </c>
      <c r="BM840" t="s">
        <v>2338</v>
      </c>
      <c r="BN840" t="s">
        <v>2360</v>
      </c>
      <c r="BO840" t="s">
        <v>2281</v>
      </c>
      <c r="BP840">
        <v>19</v>
      </c>
      <c r="HL840" t="s">
        <v>2359</v>
      </c>
      <c r="HM840" t="s">
        <v>2335</v>
      </c>
      <c r="HP840" t="s">
        <v>29</v>
      </c>
      <c r="HQ840">
        <v>4</v>
      </c>
      <c r="HR840" t="s">
        <v>2358</v>
      </c>
      <c r="HT840" t="s">
        <v>2333</v>
      </c>
      <c r="HU840" s="58">
        <v>40192</v>
      </c>
      <c r="HV840" s="58"/>
      <c r="IN840" t="s">
        <v>2357</v>
      </c>
      <c r="IO840" s="54" t="s">
        <v>2356</v>
      </c>
      <c r="IR840">
        <v>2009</v>
      </c>
      <c r="IS840" t="s">
        <v>2330</v>
      </c>
      <c r="IT840" s="4" t="s">
        <v>1898</v>
      </c>
      <c r="JK840" t="s">
        <v>14</v>
      </c>
      <c r="KD840" t="s">
        <v>2355</v>
      </c>
      <c r="KE840" t="s">
        <v>1561</v>
      </c>
      <c r="KF840" t="s">
        <v>2328</v>
      </c>
      <c r="KG840">
        <v>7</v>
      </c>
      <c r="KH840" t="s">
        <v>2327</v>
      </c>
      <c r="KI840" t="s">
        <v>222</v>
      </c>
      <c r="KJ840" s="8" t="s">
        <v>1941</v>
      </c>
      <c r="KM840" t="s">
        <v>219</v>
      </c>
      <c r="KN840" t="s">
        <v>2354</v>
      </c>
      <c r="KU840" t="s">
        <v>2353</v>
      </c>
      <c r="KV840" t="s">
        <v>2324</v>
      </c>
      <c r="KZ840" t="s">
        <v>13</v>
      </c>
      <c r="LA840">
        <v>1400</v>
      </c>
      <c r="LG840" t="s">
        <v>2323</v>
      </c>
      <c r="LH840" t="s">
        <v>2322</v>
      </c>
      <c r="LI840">
        <v>30</v>
      </c>
      <c r="LO840" t="s">
        <v>2352</v>
      </c>
      <c r="LP840" t="s">
        <v>2320</v>
      </c>
      <c r="LS840" t="s">
        <v>1944</v>
      </c>
      <c r="LT840">
        <v>2001</v>
      </c>
      <c r="LU840" t="s">
        <v>2319</v>
      </c>
      <c r="MA840" t="s">
        <v>2351</v>
      </c>
      <c r="MC840" s="58">
        <v>40299</v>
      </c>
      <c r="MS840" t="s">
        <v>2317</v>
      </c>
      <c r="MT840">
        <v>1435</v>
      </c>
      <c r="MV840" t="s">
        <v>2350</v>
      </c>
      <c r="MW840" s="2" t="s">
        <v>2315</v>
      </c>
      <c r="MX840" s="2" t="s">
        <v>2315</v>
      </c>
      <c r="MY840" s="2"/>
      <c r="MZ840" s="2"/>
      <c r="NE840" t="s">
        <v>2389</v>
      </c>
      <c r="NF840" t="s">
        <v>2388</v>
      </c>
      <c r="NG840" s="152" t="s">
        <v>1950</v>
      </c>
      <c r="NH840" s="208" t="s">
        <v>1949</v>
      </c>
      <c r="NP840" t="s">
        <v>64</v>
      </c>
      <c r="NQ840" t="s">
        <v>6</v>
      </c>
      <c r="NR840">
        <v>0.5</v>
      </c>
      <c r="NS840" t="s">
        <v>29</v>
      </c>
      <c r="NW840">
        <v>3</v>
      </c>
      <c r="OH840" t="s">
        <v>2387</v>
      </c>
      <c r="OI840" t="s">
        <v>6</v>
      </c>
      <c r="OK840">
        <v>2010</v>
      </c>
      <c r="OL840">
        <v>2011</v>
      </c>
      <c r="OM840" t="s">
        <v>2330</v>
      </c>
      <c r="ON840" t="s">
        <v>2393</v>
      </c>
      <c r="OO840" t="s">
        <v>1178</v>
      </c>
      <c r="OP840" s="58">
        <v>46136</v>
      </c>
    </row>
    <row r="841" spans="1:406" ht="15.75" thickBot="1">
      <c r="A841" t="s">
        <v>248</v>
      </c>
      <c r="B841" t="s">
        <v>2346</v>
      </c>
      <c r="C841" t="s">
        <v>1904</v>
      </c>
      <c r="D841" t="s">
        <v>1955</v>
      </c>
      <c r="E841" s="90" t="s">
        <v>2345</v>
      </c>
      <c r="F841" s="89" t="s">
        <v>31</v>
      </c>
      <c r="G841" t="s">
        <v>2</v>
      </c>
      <c r="H841" t="s">
        <v>30</v>
      </c>
      <c r="I841">
        <v>23.983611109999998</v>
      </c>
      <c r="J841">
        <v>90.402222219999999</v>
      </c>
      <c r="K841" t="s">
        <v>29</v>
      </c>
      <c r="AV841" t="s">
        <v>2344</v>
      </c>
      <c r="AW841">
        <f t="shared" si="0"/>
        <v>1435</v>
      </c>
      <c r="AX841" t="s">
        <v>29</v>
      </c>
      <c r="AY841">
        <v>3</v>
      </c>
      <c r="AZ841" t="s">
        <v>2343</v>
      </c>
      <c r="BA841">
        <v>2009</v>
      </c>
      <c r="BB841">
        <v>2012</v>
      </c>
      <c r="BC841">
        <v>2009.2</v>
      </c>
      <c r="BD841" t="s">
        <v>274</v>
      </c>
      <c r="BE841" t="s">
        <v>2332</v>
      </c>
      <c r="BF841" t="s">
        <v>64</v>
      </c>
      <c r="BG841" t="s">
        <v>1243</v>
      </c>
      <c r="BH841" t="s">
        <v>1913</v>
      </c>
      <c r="BI841" t="s">
        <v>2342</v>
      </c>
      <c r="BJ841" t="s">
        <v>2281</v>
      </c>
      <c r="BK841">
        <v>1614</v>
      </c>
      <c r="BL841" t="s">
        <v>275</v>
      </c>
      <c r="BM841" t="s">
        <v>23</v>
      </c>
      <c r="BN841" t="s">
        <v>2341</v>
      </c>
      <c r="BO841" t="s">
        <v>2281</v>
      </c>
      <c r="BP841">
        <v>20</v>
      </c>
      <c r="BQ841" t="s">
        <v>275</v>
      </c>
      <c r="BR841" t="s">
        <v>1936</v>
      </c>
      <c r="BS841" t="s">
        <v>2340</v>
      </c>
      <c r="BT841" t="s">
        <v>2281</v>
      </c>
      <c r="BU841">
        <v>30</v>
      </c>
      <c r="BV841" t="s">
        <v>275</v>
      </c>
      <c r="BW841" t="s">
        <v>2338</v>
      </c>
      <c r="BX841" t="s">
        <v>2339</v>
      </c>
      <c r="BY841" t="s">
        <v>2281</v>
      </c>
      <c r="BZ841">
        <v>35</v>
      </c>
      <c r="CA841" t="s">
        <v>275</v>
      </c>
      <c r="CB841" t="s">
        <v>2338</v>
      </c>
      <c r="CC841" t="s">
        <v>2337</v>
      </c>
      <c r="CD841" t="s">
        <v>2281</v>
      </c>
      <c r="CE841">
        <v>19</v>
      </c>
      <c r="HL841" t="s">
        <v>2336</v>
      </c>
      <c r="HM841" t="s">
        <v>2335</v>
      </c>
      <c r="HP841" t="s">
        <v>29</v>
      </c>
      <c r="HQ841">
        <v>9</v>
      </c>
      <c r="HR841" t="s">
        <v>2334</v>
      </c>
      <c r="HT841" t="s">
        <v>2333</v>
      </c>
      <c r="HU841" s="58">
        <v>40153</v>
      </c>
      <c r="IN841" t="s">
        <v>2332</v>
      </c>
      <c r="IO841" t="s">
        <v>2331</v>
      </c>
      <c r="IR841">
        <v>2009</v>
      </c>
      <c r="IS841" t="s">
        <v>2330</v>
      </c>
      <c r="IT841" s="4" t="s">
        <v>1898</v>
      </c>
      <c r="JK841" t="s">
        <v>14</v>
      </c>
      <c r="KD841" t="s">
        <v>2329</v>
      </c>
      <c r="KE841" t="s">
        <v>1561</v>
      </c>
      <c r="KF841" t="s">
        <v>2328</v>
      </c>
      <c r="KG841">
        <v>4</v>
      </c>
      <c r="KH841" t="s">
        <v>2327</v>
      </c>
      <c r="KI841" t="s">
        <v>2171</v>
      </c>
      <c r="KM841" t="s">
        <v>219</v>
      </c>
      <c r="KN841" t="s">
        <v>2326</v>
      </c>
      <c r="KQ841" t="s">
        <v>219</v>
      </c>
      <c r="KR841" s="8" t="s">
        <v>2375</v>
      </c>
      <c r="KU841" t="s">
        <v>2325</v>
      </c>
      <c r="KV841" t="s">
        <v>2324</v>
      </c>
      <c r="KZ841" t="s">
        <v>13</v>
      </c>
      <c r="LA841">
        <v>1600</v>
      </c>
      <c r="LG841" t="s">
        <v>2323</v>
      </c>
      <c r="LH841" t="s">
        <v>2322</v>
      </c>
      <c r="LI841">
        <v>30</v>
      </c>
      <c r="LO841" t="s">
        <v>2321</v>
      </c>
      <c r="LP841" t="s">
        <v>2320</v>
      </c>
      <c r="LS841" t="s">
        <v>1944</v>
      </c>
      <c r="LT841">
        <v>1186</v>
      </c>
      <c r="LU841" t="s">
        <v>2319</v>
      </c>
      <c r="MA841" t="s">
        <v>2318</v>
      </c>
      <c r="MC841" s="58">
        <v>40224</v>
      </c>
      <c r="MS841" t="s">
        <v>2317</v>
      </c>
      <c r="MT841">
        <v>1435</v>
      </c>
      <c r="MV841" t="s">
        <v>2316</v>
      </c>
      <c r="MW841" s="2"/>
      <c r="MX841" s="2" t="s">
        <v>2315</v>
      </c>
      <c r="MY841" s="2"/>
      <c r="MZ841" s="2"/>
      <c r="NE841" t="s">
        <v>2389</v>
      </c>
      <c r="NF841" t="s">
        <v>2388</v>
      </c>
      <c r="NG841" s="152" t="s">
        <v>1950</v>
      </c>
      <c r="NH841" s="208" t="s">
        <v>1949</v>
      </c>
      <c r="NQ841" t="s">
        <v>6</v>
      </c>
      <c r="NR841">
        <v>1</v>
      </c>
      <c r="NS841" t="s">
        <v>29</v>
      </c>
      <c r="NW841">
        <v>3</v>
      </c>
      <c r="OH841" t="s">
        <v>2387</v>
      </c>
      <c r="OI841" t="s">
        <v>6</v>
      </c>
      <c r="OK841">
        <v>2010</v>
      </c>
      <c r="OL841">
        <v>2011</v>
      </c>
      <c r="OM841" t="s">
        <v>2330</v>
      </c>
      <c r="ON841" t="s">
        <v>2393</v>
      </c>
      <c r="OO841" t="s">
        <v>1178</v>
      </c>
      <c r="OP841" s="58">
        <v>46136</v>
      </c>
    </row>
    <row r="842" spans="1:406" ht="15.75" thickBot="1">
      <c r="A842" t="s">
        <v>248</v>
      </c>
      <c r="B842" t="s">
        <v>2346</v>
      </c>
      <c r="C842" t="s">
        <v>1904</v>
      </c>
      <c r="D842" t="s">
        <v>1955</v>
      </c>
      <c r="E842" s="90" t="s">
        <v>2345</v>
      </c>
      <c r="F842" s="89" t="s">
        <v>31</v>
      </c>
      <c r="G842" t="s">
        <v>2</v>
      </c>
      <c r="H842" t="s">
        <v>30</v>
      </c>
      <c r="I842">
        <v>23.983611109999998</v>
      </c>
      <c r="J842">
        <v>90.402222219999999</v>
      </c>
      <c r="K842" t="s">
        <v>29</v>
      </c>
      <c r="AV842" t="s">
        <v>2344</v>
      </c>
      <c r="AW842">
        <f t="shared" si="0"/>
        <v>1435</v>
      </c>
      <c r="AX842" t="s">
        <v>29</v>
      </c>
      <c r="AY842">
        <v>3</v>
      </c>
      <c r="AZ842" t="s">
        <v>2343</v>
      </c>
      <c r="BA842">
        <v>2009</v>
      </c>
      <c r="BB842">
        <v>2012</v>
      </c>
      <c r="BC842">
        <v>2009.2</v>
      </c>
      <c r="BD842" t="s">
        <v>19</v>
      </c>
      <c r="BE842" t="s">
        <v>2373</v>
      </c>
      <c r="BF842" t="s">
        <v>39</v>
      </c>
      <c r="BG842" t="s">
        <v>1243</v>
      </c>
      <c r="BH842" t="s">
        <v>2338</v>
      </c>
      <c r="BI842" t="s">
        <v>2361</v>
      </c>
      <c r="BJ842" t="s">
        <v>2281</v>
      </c>
      <c r="BK842">
        <v>45</v>
      </c>
      <c r="BL842" t="s">
        <v>275</v>
      </c>
      <c r="BM842" t="s">
        <v>2338</v>
      </c>
      <c r="BN842" t="s">
        <v>2374</v>
      </c>
      <c r="BO842" t="s">
        <v>2281</v>
      </c>
      <c r="BP842">
        <v>49</v>
      </c>
      <c r="BQ842" t="s">
        <v>275</v>
      </c>
      <c r="BR842" t="s">
        <v>2338</v>
      </c>
      <c r="BS842" t="s">
        <v>2360</v>
      </c>
      <c r="BT842" t="s">
        <v>2281</v>
      </c>
      <c r="BU842">
        <v>49</v>
      </c>
      <c r="HL842" t="s">
        <v>2369</v>
      </c>
      <c r="HM842" t="s">
        <v>297</v>
      </c>
      <c r="HN842" t="s">
        <v>2368</v>
      </c>
      <c r="HP842" t="s">
        <v>29</v>
      </c>
      <c r="HQ842">
        <v>12</v>
      </c>
      <c r="HR842" t="s">
        <v>2367</v>
      </c>
      <c r="HT842" t="s">
        <v>2333</v>
      </c>
      <c r="HU842" s="58">
        <v>40202</v>
      </c>
      <c r="HV842" s="58"/>
      <c r="IN842" t="s">
        <v>2373</v>
      </c>
      <c r="IO842" s="54" t="s">
        <v>2356</v>
      </c>
      <c r="IR842">
        <v>2009</v>
      </c>
      <c r="IS842" t="s">
        <v>2330</v>
      </c>
      <c r="IT842" s="4" t="s">
        <v>1898</v>
      </c>
      <c r="JK842" t="s">
        <v>14</v>
      </c>
      <c r="KD842" t="s">
        <v>2372</v>
      </c>
      <c r="KE842" t="s">
        <v>1561</v>
      </c>
      <c r="KF842" t="s">
        <v>2328</v>
      </c>
      <c r="KG842">
        <v>3</v>
      </c>
      <c r="KH842" t="s">
        <v>2327</v>
      </c>
      <c r="KI842" t="s">
        <v>2171</v>
      </c>
      <c r="KM842" t="s">
        <v>219</v>
      </c>
      <c r="KN842" t="s">
        <v>2354</v>
      </c>
      <c r="KU842" t="s">
        <v>2371</v>
      </c>
      <c r="KV842" t="s">
        <v>2324</v>
      </c>
      <c r="KZ842" t="s">
        <v>13</v>
      </c>
      <c r="LA842">
        <v>1600</v>
      </c>
      <c r="LG842" t="s">
        <v>2323</v>
      </c>
      <c r="LH842" t="s">
        <v>2322</v>
      </c>
      <c r="LI842">
        <v>7.5</v>
      </c>
      <c r="LO842" t="s">
        <v>2370</v>
      </c>
      <c r="LP842" t="s">
        <v>2320</v>
      </c>
      <c r="LS842" t="s">
        <v>1944</v>
      </c>
      <c r="LT842">
        <v>1450</v>
      </c>
      <c r="LU842" t="s">
        <v>2319</v>
      </c>
      <c r="MA842" t="s">
        <v>2351</v>
      </c>
      <c r="MC842" s="58">
        <v>40292</v>
      </c>
      <c r="MS842" t="s">
        <v>2317</v>
      </c>
      <c r="MT842">
        <v>1435</v>
      </c>
      <c r="MV842" t="s">
        <v>2350</v>
      </c>
      <c r="MW842" s="2" t="s">
        <v>2315</v>
      </c>
      <c r="MX842" s="2" t="s">
        <v>2315</v>
      </c>
      <c r="MY842" s="2"/>
      <c r="MZ842" s="2"/>
      <c r="NE842" t="s">
        <v>2389</v>
      </c>
      <c r="NF842" t="s">
        <v>2388</v>
      </c>
      <c r="NG842" s="152" t="s">
        <v>1950</v>
      </c>
      <c r="NH842" s="208" t="s">
        <v>1949</v>
      </c>
      <c r="NP842" t="s">
        <v>2362</v>
      </c>
      <c r="NQ842" t="s">
        <v>6</v>
      </c>
      <c r="NR842">
        <v>0.6</v>
      </c>
      <c r="NS842" t="s">
        <v>29</v>
      </c>
      <c r="NW842">
        <v>3</v>
      </c>
      <c r="OH842" t="s">
        <v>2387</v>
      </c>
      <c r="OI842" t="s">
        <v>6</v>
      </c>
      <c r="OK842">
        <v>2011</v>
      </c>
      <c r="OL842">
        <v>2012</v>
      </c>
      <c r="OM842" t="s">
        <v>2330</v>
      </c>
      <c r="ON842" t="s">
        <v>2393</v>
      </c>
      <c r="OO842" t="s">
        <v>1178</v>
      </c>
      <c r="OP842" s="58">
        <v>46136</v>
      </c>
    </row>
    <row r="843" spans="1:406" ht="15.75" thickBot="1">
      <c r="A843" t="s">
        <v>248</v>
      </c>
      <c r="B843" t="s">
        <v>2346</v>
      </c>
      <c r="C843" t="s">
        <v>1904</v>
      </c>
      <c r="D843" t="s">
        <v>1955</v>
      </c>
      <c r="E843" s="90" t="s">
        <v>2345</v>
      </c>
      <c r="F843" s="89" t="s">
        <v>31</v>
      </c>
      <c r="G843" t="s">
        <v>2</v>
      </c>
      <c r="H843" t="s">
        <v>30</v>
      </c>
      <c r="I843">
        <v>23.983611109999998</v>
      </c>
      <c r="J843">
        <v>90.402222219999999</v>
      </c>
      <c r="K843" t="s">
        <v>29</v>
      </c>
      <c r="AV843" t="s">
        <v>2344</v>
      </c>
      <c r="AW843">
        <f t="shared" si="0"/>
        <v>1435</v>
      </c>
      <c r="AX843" t="s">
        <v>29</v>
      </c>
      <c r="AY843">
        <v>3</v>
      </c>
      <c r="AZ843" t="s">
        <v>2343</v>
      </c>
      <c r="BA843">
        <v>2009</v>
      </c>
      <c r="BB843">
        <v>2012</v>
      </c>
      <c r="BC843">
        <v>2009.2</v>
      </c>
      <c r="BD843" t="s">
        <v>19</v>
      </c>
      <c r="BE843" t="s">
        <v>2366</v>
      </c>
      <c r="BF843" t="s">
        <v>24</v>
      </c>
      <c r="BG843" t="s">
        <v>1243</v>
      </c>
      <c r="BH843" t="s">
        <v>2338</v>
      </c>
      <c r="BI843" t="s">
        <v>2361</v>
      </c>
      <c r="BJ843" t="s">
        <v>2281</v>
      </c>
      <c r="BK843">
        <v>30</v>
      </c>
      <c r="BL843" t="s">
        <v>275</v>
      </c>
      <c r="BM843" t="s">
        <v>2338</v>
      </c>
      <c r="BN843" t="s">
        <v>2360</v>
      </c>
      <c r="BO843" t="s">
        <v>2281</v>
      </c>
      <c r="BP843">
        <v>35</v>
      </c>
      <c r="HL843" t="s">
        <v>2369</v>
      </c>
      <c r="HM843" t="s">
        <v>297</v>
      </c>
      <c r="HN843" t="s">
        <v>2368</v>
      </c>
      <c r="HP843" t="s">
        <v>29</v>
      </c>
      <c r="HQ843">
        <v>12</v>
      </c>
      <c r="HR843" t="s">
        <v>2367</v>
      </c>
      <c r="HT843" t="s">
        <v>2333</v>
      </c>
      <c r="HU843" s="58">
        <v>40192</v>
      </c>
      <c r="HV843" s="58"/>
      <c r="IN843" t="s">
        <v>2366</v>
      </c>
      <c r="IO843" s="54" t="s">
        <v>2356</v>
      </c>
      <c r="IR843">
        <v>2009</v>
      </c>
      <c r="IS843" t="s">
        <v>2330</v>
      </c>
      <c r="IT843" s="4" t="s">
        <v>1898</v>
      </c>
      <c r="JK843" t="s">
        <v>14</v>
      </c>
      <c r="KD843" t="s">
        <v>2365</v>
      </c>
      <c r="KE843" t="s">
        <v>1561</v>
      </c>
      <c r="KF843" t="s">
        <v>2328</v>
      </c>
      <c r="KG843">
        <v>6</v>
      </c>
      <c r="KH843" t="s">
        <v>2327</v>
      </c>
      <c r="KI843" t="s">
        <v>222</v>
      </c>
      <c r="KJ843" s="8" t="s">
        <v>1941</v>
      </c>
      <c r="KM843" t="s">
        <v>219</v>
      </c>
      <c r="KN843" t="s">
        <v>2354</v>
      </c>
      <c r="KU843" t="s">
        <v>2364</v>
      </c>
      <c r="KV843" t="s">
        <v>2324</v>
      </c>
      <c r="KZ843" t="s">
        <v>13</v>
      </c>
      <c r="LA843">
        <v>2000</v>
      </c>
      <c r="LG843" t="s">
        <v>2323</v>
      </c>
      <c r="LH843" t="s">
        <v>2322</v>
      </c>
      <c r="LI843">
        <v>30</v>
      </c>
      <c r="LO843" t="s">
        <v>2363</v>
      </c>
      <c r="LP843" t="s">
        <v>2320</v>
      </c>
      <c r="LS843" t="s">
        <v>1944</v>
      </c>
      <c r="LT843">
        <v>1481</v>
      </c>
      <c r="LU843" t="s">
        <v>2319</v>
      </c>
      <c r="MA843" t="s">
        <v>2351</v>
      </c>
      <c r="MC843" s="58">
        <v>40298</v>
      </c>
      <c r="MS843" t="s">
        <v>2317</v>
      </c>
      <c r="MT843">
        <v>1435</v>
      </c>
      <c r="MV843" t="s">
        <v>2350</v>
      </c>
      <c r="MW843" s="2" t="s">
        <v>2315</v>
      </c>
      <c r="MX843" s="2" t="s">
        <v>2315</v>
      </c>
      <c r="MY843" s="2"/>
      <c r="MZ843" s="2"/>
      <c r="NE843" t="s">
        <v>2389</v>
      </c>
      <c r="NF843" t="s">
        <v>2388</v>
      </c>
      <c r="NG843" s="152" t="s">
        <v>1950</v>
      </c>
      <c r="NH843" s="208" t="s">
        <v>1949</v>
      </c>
      <c r="NP843" t="s">
        <v>2362</v>
      </c>
      <c r="NQ843" t="s">
        <v>6</v>
      </c>
      <c r="NR843">
        <v>0.7</v>
      </c>
      <c r="NS843" t="s">
        <v>29</v>
      </c>
      <c r="NW843">
        <v>3</v>
      </c>
      <c r="OH843" t="s">
        <v>2387</v>
      </c>
      <c r="OI843" t="s">
        <v>6</v>
      </c>
      <c r="OK843">
        <v>2011</v>
      </c>
      <c r="OL843">
        <v>2012</v>
      </c>
      <c r="OM843" t="s">
        <v>2330</v>
      </c>
      <c r="ON843" t="s">
        <v>2393</v>
      </c>
      <c r="OO843" t="s">
        <v>1178</v>
      </c>
      <c r="OP843" s="58">
        <v>46136</v>
      </c>
    </row>
    <row r="844" spans="1:406" ht="15.75" thickBot="1">
      <c r="A844" t="s">
        <v>248</v>
      </c>
      <c r="B844" t="s">
        <v>2346</v>
      </c>
      <c r="C844" t="s">
        <v>1904</v>
      </c>
      <c r="D844" t="s">
        <v>1955</v>
      </c>
      <c r="E844" s="90" t="s">
        <v>2345</v>
      </c>
      <c r="F844" s="89" t="s">
        <v>31</v>
      </c>
      <c r="G844" t="s">
        <v>2</v>
      </c>
      <c r="H844" t="s">
        <v>30</v>
      </c>
      <c r="I844">
        <v>23.983611109999998</v>
      </c>
      <c r="J844">
        <v>90.402222219999999</v>
      </c>
      <c r="K844" t="s">
        <v>29</v>
      </c>
      <c r="AV844" t="s">
        <v>2344</v>
      </c>
      <c r="AW844">
        <f t="shared" si="0"/>
        <v>1435</v>
      </c>
      <c r="AX844" t="s">
        <v>29</v>
      </c>
      <c r="AY844">
        <v>3</v>
      </c>
      <c r="AZ844" t="s">
        <v>2343</v>
      </c>
      <c r="BA844">
        <v>2009</v>
      </c>
      <c r="BB844">
        <v>2012</v>
      </c>
      <c r="BC844">
        <v>2009.2</v>
      </c>
      <c r="BD844" t="s">
        <v>19</v>
      </c>
      <c r="BE844" t="s">
        <v>2357</v>
      </c>
      <c r="BF844" t="s">
        <v>299</v>
      </c>
      <c r="BG844" t="s">
        <v>1243</v>
      </c>
      <c r="BH844" t="s">
        <v>2338</v>
      </c>
      <c r="BI844" t="s">
        <v>2361</v>
      </c>
      <c r="BJ844" t="s">
        <v>2281</v>
      </c>
      <c r="BK844">
        <v>30</v>
      </c>
      <c r="BL844" t="s">
        <v>275</v>
      </c>
      <c r="BM844" t="s">
        <v>2338</v>
      </c>
      <c r="BN844" t="s">
        <v>2360</v>
      </c>
      <c r="BO844" t="s">
        <v>2281</v>
      </c>
      <c r="BP844">
        <v>19</v>
      </c>
      <c r="HL844" t="s">
        <v>2359</v>
      </c>
      <c r="HM844" t="s">
        <v>2335</v>
      </c>
      <c r="HP844" t="s">
        <v>29</v>
      </c>
      <c r="HQ844">
        <v>4</v>
      </c>
      <c r="HR844" t="s">
        <v>2358</v>
      </c>
      <c r="HT844" t="s">
        <v>2333</v>
      </c>
      <c r="HU844" s="58">
        <v>40192</v>
      </c>
      <c r="HV844" s="58"/>
      <c r="IN844" t="s">
        <v>2357</v>
      </c>
      <c r="IO844" s="54" t="s">
        <v>2356</v>
      </c>
      <c r="IR844">
        <v>2009</v>
      </c>
      <c r="IS844" t="s">
        <v>2330</v>
      </c>
      <c r="IT844" s="4" t="s">
        <v>1898</v>
      </c>
      <c r="JK844" t="s">
        <v>14</v>
      </c>
      <c r="KD844" t="s">
        <v>2355</v>
      </c>
      <c r="KE844" t="s">
        <v>1561</v>
      </c>
      <c r="KF844" t="s">
        <v>2328</v>
      </c>
      <c r="KG844">
        <v>7</v>
      </c>
      <c r="KH844" t="s">
        <v>2327</v>
      </c>
      <c r="KI844" t="s">
        <v>222</v>
      </c>
      <c r="KJ844" s="8" t="s">
        <v>1941</v>
      </c>
      <c r="KM844" t="s">
        <v>219</v>
      </c>
      <c r="KN844" t="s">
        <v>2354</v>
      </c>
      <c r="KU844" t="s">
        <v>2353</v>
      </c>
      <c r="KV844" t="s">
        <v>2324</v>
      </c>
      <c r="KZ844" t="s">
        <v>13</v>
      </c>
      <c r="LA844">
        <v>1900</v>
      </c>
      <c r="LG844" t="s">
        <v>2323</v>
      </c>
      <c r="LH844" t="s">
        <v>2322</v>
      </c>
      <c r="LI844">
        <v>30</v>
      </c>
      <c r="LO844" t="s">
        <v>2352</v>
      </c>
      <c r="LP844" t="s">
        <v>2320</v>
      </c>
      <c r="LS844" t="s">
        <v>1944</v>
      </c>
      <c r="LT844">
        <v>1530</v>
      </c>
      <c r="LU844" t="s">
        <v>2319</v>
      </c>
      <c r="MA844" t="s">
        <v>2351</v>
      </c>
      <c r="MC844" s="58">
        <v>40299</v>
      </c>
      <c r="MS844" t="s">
        <v>2317</v>
      </c>
      <c r="MT844">
        <v>1435</v>
      </c>
      <c r="MV844" t="s">
        <v>2350</v>
      </c>
      <c r="MW844" s="2" t="s">
        <v>2315</v>
      </c>
      <c r="MX844" s="2" t="s">
        <v>2315</v>
      </c>
      <c r="MY844" s="2"/>
      <c r="MZ844" s="2"/>
      <c r="NE844" t="s">
        <v>2389</v>
      </c>
      <c r="NF844" t="s">
        <v>2388</v>
      </c>
      <c r="NG844" s="152" t="s">
        <v>1950</v>
      </c>
      <c r="NH844" s="208" t="s">
        <v>1949</v>
      </c>
      <c r="NP844" t="s">
        <v>64</v>
      </c>
      <c r="NQ844" t="s">
        <v>6</v>
      </c>
      <c r="NR844">
        <v>0.7</v>
      </c>
      <c r="NS844" t="s">
        <v>29</v>
      </c>
      <c r="NW844">
        <v>3</v>
      </c>
      <c r="OH844" t="s">
        <v>2387</v>
      </c>
      <c r="OI844" t="s">
        <v>6</v>
      </c>
      <c r="OK844">
        <v>2011</v>
      </c>
      <c r="OL844">
        <v>2012</v>
      </c>
      <c r="OM844" t="s">
        <v>2330</v>
      </c>
      <c r="ON844" t="s">
        <v>2393</v>
      </c>
      <c r="OO844" t="s">
        <v>1178</v>
      </c>
      <c r="OP844" s="58">
        <v>46136</v>
      </c>
    </row>
    <row r="845" spans="1:406" ht="15.75" thickBot="1">
      <c r="A845" t="s">
        <v>248</v>
      </c>
      <c r="B845" t="s">
        <v>2346</v>
      </c>
      <c r="C845" t="s">
        <v>1904</v>
      </c>
      <c r="D845" t="s">
        <v>1955</v>
      </c>
      <c r="E845" s="90" t="s">
        <v>2345</v>
      </c>
      <c r="F845" s="89" t="s">
        <v>31</v>
      </c>
      <c r="G845" t="s">
        <v>2</v>
      </c>
      <c r="H845" t="s">
        <v>30</v>
      </c>
      <c r="I845">
        <v>23.983611109999998</v>
      </c>
      <c r="J845">
        <v>90.402222219999999</v>
      </c>
      <c r="K845" t="s">
        <v>29</v>
      </c>
      <c r="AV845" t="s">
        <v>2344</v>
      </c>
      <c r="AW845">
        <f t="shared" si="0"/>
        <v>1435</v>
      </c>
      <c r="AX845" t="s">
        <v>29</v>
      </c>
      <c r="AY845">
        <v>3</v>
      </c>
      <c r="AZ845" t="s">
        <v>2343</v>
      </c>
      <c r="BA845">
        <v>2009</v>
      </c>
      <c r="BB845">
        <v>2012</v>
      </c>
      <c r="BC845">
        <v>2009.2</v>
      </c>
      <c r="BD845" t="s">
        <v>274</v>
      </c>
      <c r="BE845" t="s">
        <v>2332</v>
      </c>
      <c r="BF845" t="s">
        <v>64</v>
      </c>
      <c r="BG845" t="s">
        <v>1243</v>
      </c>
      <c r="BH845" t="s">
        <v>1913</v>
      </c>
      <c r="BI845" t="s">
        <v>2342</v>
      </c>
      <c r="BJ845" t="s">
        <v>2281</v>
      </c>
      <c r="BK845">
        <v>1614</v>
      </c>
      <c r="BL845" t="s">
        <v>275</v>
      </c>
      <c r="BM845" t="s">
        <v>23</v>
      </c>
      <c r="BN845" t="s">
        <v>2341</v>
      </c>
      <c r="BO845" t="s">
        <v>2281</v>
      </c>
      <c r="BP845">
        <v>20</v>
      </c>
      <c r="BQ845" t="s">
        <v>275</v>
      </c>
      <c r="BR845" t="s">
        <v>1936</v>
      </c>
      <c r="BS845" t="s">
        <v>2340</v>
      </c>
      <c r="BT845" t="s">
        <v>2281</v>
      </c>
      <c r="BU845">
        <v>30</v>
      </c>
      <c r="BV845" t="s">
        <v>275</v>
      </c>
      <c r="BW845" t="s">
        <v>2338</v>
      </c>
      <c r="BX845" t="s">
        <v>2339</v>
      </c>
      <c r="BY845" t="s">
        <v>2281</v>
      </c>
      <c r="BZ845">
        <v>35</v>
      </c>
      <c r="CA845" t="s">
        <v>275</v>
      </c>
      <c r="CB845" t="s">
        <v>2338</v>
      </c>
      <c r="CC845" t="s">
        <v>2337</v>
      </c>
      <c r="CD845" t="s">
        <v>2281</v>
      </c>
      <c r="CE845">
        <v>19</v>
      </c>
      <c r="HL845" t="s">
        <v>2336</v>
      </c>
      <c r="HM845" t="s">
        <v>2335</v>
      </c>
      <c r="HP845" t="s">
        <v>29</v>
      </c>
      <c r="HQ845">
        <v>9</v>
      </c>
      <c r="HR845" t="s">
        <v>2334</v>
      </c>
      <c r="HT845" t="s">
        <v>2333</v>
      </c>
      <c r="HU845" s="58">
        <v>40153</v>
      </c>
      <c r="IN845" t="s">
        <v>2332</v>
      </c>
      <c r="IO845" t="s">
        <v>2331</v>
      </c>
      <c r="IR845">
        <v>2009</v>
      </c>
      <c r="IS845" t="s">
        <v>2330</v>
      </c>
      <c r="IT845" s="4" t="s">
        <v>1898</v>
      </c>
      <c r="JK845" t="s">
        <v>14</v>
      </c>
      <c r="KD845" t="s">
        <v>2329</v>
      </c>
      <c r="KE845" t="s">
        <v>1561</v>
      </c>
      <c r="KF845" t="s">
        <v>2328</v>
      </c>
      <c r="KG845">
        <v>4</v>
      </c>
      <c r="KH845" t="s">
        <v>2327</v>
      </c>
      <c r="KI845" t="s">
        <v>2171</v>
      </c>
      <c r="KM845" t="s">
        <v>219</v>
      </c>
      <c r="KN845" t="s">
        <v>2326</v>
      </c>
      <c r="KU845" t="s">
        <v>2325</v>
      </c>
      <c r="KV845" t="s">
        <v>2324</v>
      </c>
      <c r="KZ845" t="s">
        <v>13</v>
      </c>
      <c r="LA845">
        <v>1600</v>
      </c>
      <c r="LG845" t="s">
        <v>2323</v>
      </c>
      <c r="LH845" t="s">
        <v>2322</v>
      </c>
      <c r="LI845">
        <v>30</v>
      </c>
      <c r="LO845" t="s">
        <v>2321</v>
      </c>
      <c r="LP845" t="s">
        <v>2320</v>
      </c>
      <c r="LS845" t="s">
        <v>1944</v>
      </c>
      <c r="LT845">
        <v>805</v>
      </c>
      <c r="LU845" t="s">
        <v>2319</v>
      </c>
      <c r="MA845" t="s">
        <v>2318</v>
      </c>
      <c r="MC845" s="58">
        <v>40224</v>
      </c>
      <c r="MS845" t="s">
        <v>2317</v>
      </c>
      <c r="MT845">
        <v>1435</v>
      </c>
      <c r="MV845" t="s">
        <v>2316</v>
      </c>
      <c r="MW845" s="2"/>
      <c r="MX845" s="2" t="s">
        <v>2315</v>
      </c>
      <c r="MY845" t="s">
        <v>1913</v>
      </c>
      <c r="MZ845" s="2" t="s">
        <v>1936</v>
      </c>
      <c r="NE845" t="s">
        <v>2389</v>
      </c>
      <c r="NF845" t="s">
        <v>2388</v>
      </c>
      <c r="NG845" s="152" t="s">
        <v>1950</v>
      </c>
      <c r="NH845" s="208" t="s">
        <v>1949</v>
      </c>
      <c r="NQ845" t="s">
        <v>6</v>
      </c>
      <c r="NR845">
        <v>1.9</v>
      </c>
      <c r="NS845" t="s">
        <v>29</v>
      </c>
      <c r="NW845">
        <v>3</v>
      </c>
      <c r="OH845" t="s">
        <v>2387</v>
      </c>
      <c r="OI845" t="s">
        <v>6</v>
      </c>
      <c r="OK845">
        <v>2011</v>
      </c>
      <c r="OL845">
        <v>2012</v>
      </c>
      <c r="OM845" t="s">
        <v>2330</v>
      </c>
      <c r="ON845" t="s">
        <v>2393</v>
      </c>
      <c r="OO845" t="s">
        <v>1178</v>
      </c>
      <c r="OP845" s="58">
        <v>46136</v>
      </c>
    </row>
    <row r="846" spans="1:406" ht="15.75" thickBot="1">
      <c r="A846" t="s">
        <v>248</v>
      </c>
      <c r="B846" t="s">
        <v>2346</v>
      </c>
      <c r="C846" t="s">
        <v>1904</v>
      </c>
      <c r="D846" t="s">
        <v>1955</v>
      </c>
      <c r="E846" s="90" t="s">
        <v>2345</v>
      </c>
      <c r="F846" s="89" t="s">
        <v>31</v>
      </c>
      <c r="G846" t="s">
        <v>2</v>
      </c>
      <c r="H846" t="s">
        <v>30</v>
      </c>
      <c r="I846">
        <v>23.983611109999998</v>
      </c>
      <c r="J846">
        <v>90.402222219999999</v>
      </c>
      <c r="K846" t="s">
        <v>29</v>
      </c>
      <c r="AV846" t="s">
        <v>2344</v>
      </c>
      <c r="AW846">
        <f t="shared" si="0"/>
        <v>1435</v>
      </c>
      <c r="AX846" t="s">
        <v>29</v>
      </c>
      <c r="AY846">
        <v>3</v>
      </c>
      <c r="AZ846" t="s">
        <v>2343</v>
      </c>
      <c r="BA846">
        <v>2009</v>
      </c>
      <c r="BB846">
        <v>2012</v>
      </c>
      <c r="BC846">
        <v>2009.2</v>
      </c>
      <c r="BD846" t="s">
        <v>19</v>
      </c>
      <c r="BE846" t="s">
        <v>2373</v>
      </c>
      <c r="BF846" t="s">
        <v>39</v>
      </c>
      <c r="BG846" t="s">
        <v>1243</v>
      </c>
      <c r="BH846" t="s">
        <v>2338</v>
      </c>
      <c r="BI846" t="s">
        <v>2361</v>
      </c>
      <c r="BJ846" t="s">
        <v>2281</v>
      </c>
      <c r="BK846">
        <v>45</v>
      </c>
      <c r="BL846" t="s">
        <v>275</v>
      </c>
      <c r="BM846" t="s">
        <v>2338</v>
      </c>
      <c r="BN846" t="s">
        <v>2374</v>
      </c>
      <c r="BO846" t="s">
        <v>2281</v>
      </c>
      <c r="BP846">
        <v>49</v>
      </c>
      <c r="BQ846" t="s">
        <v>275</v>
      </c>
      <c r="BR846" t="s">
        <v>2338</v>
      </c>
      <c r="BS846" t="s">
        <v>2360</v>
      </c>
      <c r="BT846" t="s">
        <v>2281</v>
      </c>
      <c r="BU846">
        <v>49</v>
      </c>
      <c r="HL846" t="s">
        <v>2369</v>
      </c>
      <c r="HM846" t="s">
        <v>297</v>
      </c>
      <c r="HN846" t="s">
        <v>2368</v>
      </c>
      <c r="HP846" t="s">
        <v>29</v>
      </c>
      <c r="HQ846">
        <v>12</v>
      </c>
      <c r="HR846" t="s">
        <v>2367</v>
      </c>
      <c r="HT846" t="s">
        <v>2333</v>
      </c>
      <c r="HU846" s="58">
        <v>40202</v>
      </c>
      <c r="HV846" s="58"/>
      <c r="IN846" t="s">
        <v>2373</v>
      </c>
      <c r="IO846" s="54" t="s">
        <v>2356</v>
      </c>
      <c r="IR846">
        <v>2009</v>
      </c>
      <c r="IS846" t="s">
        <v>2330</v>
      </c>
      <c r="IT846" s="4" t="s">
        <v>1898</v>
      </c>
      <c r="JK846" t="s">
        <v>14</v>
      </c>
      <c r="KD846" t="s">
        <v>2372</v>
      </c>
      <c r="KE846" t="s">
        <v>1561</v>
      </c>
      <c r="KF846" t="s">
        <v>2328</v>
      </c>
      <c r="KG846">
        <v>3</v>
      </c>
      <c r="KH846" t="s">
        <v>2327</v>
      </c>
      <c r="KI846" t="s">
        <v>2171</v>
      </c>
      <c r="KM846" t="s">
        <v>219</v>
      </c>
      <c r="KN846" s="8" t="s">
        <v>2376</v>
      </c>
      <c r="KU846" t="s">
        <v>2371</v>
      </c>
      <c r="KV846" t="s">
        <v>2324</v>
      </c>
      <c r="KZ846" t="s">
        <v>13</v>
      </c>
      <c r="LA846">
        <v>1500</v>
      </c>
      <c r="LG846" t="s">
        <v>2323</v>
      </c>
      <c r="LH846" t="s">
        <v>2322</v>
      </c>
      <c r="LI846">
        <v>7.5</v>
      </c>
      <c r="LO846" t="s">
        <v>2370</v>
      </c>
      <c r="LP846" t="s">
        <v>2320</v>
      </c>
      <c r="LS846" t="s">
        <v>1944</v>
      </c>
      <c r="LT846">
        <v>2084</v>
      </c>
      <c r="LU846" t="s">
        <v>2319</v>
      </c>
      <c r="MA846" t="s">
        <v>2351</v>
      </c>
      <c r="MC846" s="58">
        <v>40292</v>
      </c>
      <c r="MS846" t="s">
        <v>2317</v>
      </c>
      <c r="MT846">
        <v>1435</v>
      </c>
      <c r="ND846" t="s">
        <v>2314</v>
      </c>
      <c r="NE846" t="s">
        <v>2386</v>
      </c>
      <c r="NF846" t="s">
        <v>2385</v>
      </c>
      <c r="NG846" t="s">
        <v>1426</v>
      </c>
      <c r="NH846" t="s">
        <v>265</v>
      </c>
      <c r="NP846" t="s">
        <v>2362</v>
      </c>
      <c r="NQ846" t="s">
        <v>6</v>
      </c>
      <c r="NR846">
        <v>1916</v>
      </c>
      <c r="NS846" t="s">
        <v>29</v>
      </c>
      <c r="NW846">
        <v>3</v>
      </c>
      <c r="OH846" t="s">
        <v>2384</v>
      </c>
      <c r="OI846" t="s">
        <v>6</v>
      </c>
      <c r="OK846">
        <v>2009</v>
      </c>
      <c r="OL846">
        <v>2010</v>
      </c>
      <c r="OM846" t="s">
        <v>2330</v>
      </c>
      <c r="ON846" t="s">
        <v>2393</v>
      </c>
      <c r="OO846" t="s">
        <v>1178</v>
      </c>
      <c r="OP846" s="58">
        <v>46136</v>
      </c>
    </row>
    <row r="847" spans="1:406" ht="15.75" thickBot="1">
      <c r="A847" t="s">
        <v>248</v>
      </c>
      <c r="B847" t="s">
        <v>2346</v>
      </c>
      <c r="C847" t="s">
        <v>1904</v>
      </c>
      <c r="D847" t="s">
        <v>1955</v>
      </c>
      <c r="E847" s="90" t="s">
        <v>2345</v>
      </c>
      <c r="F847" s="89" t="s">
        <v>31</v>
      </c>
      <c r="G847" t="s">
        <v>2</v>
      </c>
      <c r="H847" t="s">
        <v>30</v>
      </c>
      <c r="I847">
        <v>23.983611109999998</v>
      </c>
      <c r="J847">
        <v>90.402222219999999</v>
      </c>
      <c r="K847" t="s">
        <v>29</v>
      </c>
      <c r="AV847" t="s">
        <v>2344</v>
      </c>
      <c r="AW847">
        <f t="shared" si="0"/>
        <v>1435</v>
      </c>
      <c r="AX847" t="s">
        <v>29</v>
      </c>
      <c r="AY847">
        <v>3</v>
      </c>
      <c r="AZ847" t="s">
        <v>2343</v>
      </c>
      <c r="BA847">
        <v>2009</v>
      </c>
      <c r="BB847">
        <v>2012</v>
      </c>
      <c r="BC847">
        <v>2009.2</v>
      </c>
      <c r="BD847" t="s">
        <v>19</v>
      </c>
      <c r="BE847" t="s">
        <v>2366</v>
      </c>
      <c r="BF847" t="s">
        <v>24</v>
      </c>
      <c r="BG847" t="s">
        <v>1243</v>
      </c>
      <c r="BH847" t="s">
        <v>2338</v>
      </c>
      <c r="BI847" t="s">
        <v>2361</v>
      </c>
      <c r="BJ847" t="s">
        <v>2281</v>
      </c>
      <c r="BK847">
        <v>30</v>
      </c>
      <c r="BL847" t="s">
        <v>275</v>
      </c>
      <c r="BM847" t="s">
        <v>2338</v>
      </c>
      <c r="BN847" t="s">
        <v>2360</v>
      </c>
      <c r="BO847" t="s">
        <v>2281</v>
      </c>
      <c r="BP847">
        <v>35</v>
      </c>
      <c r="HL847" t="s">
        <v>2369</v>
      </c>
      <c r="HM847" t="s">
        <v>297</v>
      </c>
      <c r="HN847" t="s">
        <v>2368</v>
      </c>
      <c r="HP847" t="s">
        <v>29</v>
      </c>
      <c r="HQ847">
        <v>12</v>
      </c>
      <c r="HR847" t="s">
        <v>2367</v>
      </c>
      <c r="HT847" t="s">
        <v>2333</v>
      </c>
      <c r="HU847" s="58">
        <v>40192</v>
      </c>
      <c r="HV847" s="58"/>
      <c r="IN847" t="s">
        <v>2366</v>
      </c>
      <c r="IO847" s="54" t="s">
        <v>2356</v>
      </c>
      <c r="IR847">
        <v>2009</v>
      </c>
      <c r="IS847" t="s">
        <v>2330</v>
      </c>
      <c r="IT847" s="4" t="s">
        <v>1898</v>
      </c>
      <c r="JK847" t="s">
        <v>14</v>
      </c>
      <c r="KD847" t="s">
        <v>2365</v>
      </c>
      <c r="KE847" t="s">
        <v>1561</v>
      </c>
      <c r="KF847" t="s">
        <v>2328</v>
      </c>
      <c r="KG847">
        <v>6</v>
      </c>
      <c r="KH847" t="s">
        <v>2327</v>
      </c>
      <c r="KI847" t="s">
        <v>222</v>
      </c>
      <c r="KJ847" s="8" t="s">
        <v>1941</v>
      </c>
      <c r="KM847" t="s">
        <v>219</v>
      </c>
      <c r="KN847" t="s">
        <v>2354</v>
      </c>
      <c r="KU847" t="s">
        <v>2364</v>
      </c>
      <c r="KV847" t="s">
        <v>2324</v>
      </c>
      <c r="KZ847" t="s">
        <v>13</v>
      </c>
      <c r="LA847">
        <v>2200</v>
      </c>
      <c r="LG847" t="s">
        <v>2323</v>
      </c>
      <c r="LH847" t="s">
        <v>2322</v>
      </c>
      <c r="LI847">
        <v>30</v>
      </c>
      <c r="LO847" t="s">
        <v>2363</v>
      </c>
      <c r="LP847" t="s">
        <v>2320</v>
      </c>
      <c r="LS847" t="s">
        <v>1944</v>
      </c>
      <c r="LT847">
        <v>1789</v>
      </c>
      <c r="LU847" t="s">
        <v>2319</v>
      </c>
      <c r="MA847" t="s">
        <v>2351</v>
      </c>
      <c r="MC847" s="58">
        <v>40298</v>
      </c>
      <c r="MS847" t="s">
        <v>2317</v>
      </c>
      <c r="MT847">
        <v>1435</v>
      </c>
      <c r="ND847" t="s">
        <v>2314</v>
      </c>
      <c r="NE847" t="s">
        <v>2386</v>
      </c>
      <c r="NF847" t="s">
        <v>2385</v>
      </c>
      <c r="NG847" t="s">
        <v>1426</v>
      </c>
      <c r="NH847" t="s">
        <v>265</v>
      </c>
      <c r="NP847" t="s">
        <v>2362</v>
      </c>
      <c r="NQ847" t="s">
        <v>6</v>
      </c>
      <c r="NR847">
        <v>1964</v>
      </c>
      <c r="NS847" t="s">
        <v>29</v>
      </c>
      <c r="NW847">
        <v>3</v>
      </c>
      <c r="OH847" t="s">
        <v>2384</v>
      </c>
      <c r="OI847" t="s">
        <v>6</v>
      </c>
      <c r="OK847">
        <v>2009</v>
      </c>
      <c r="OL847">
        <v>2010</v>
      </c>
      <c r="OM847" t="s">
        <v>2330</v>
      </c>
      <c r="ON847" t="s">
        <v>2393</v>
      </c>
      <c r="OO847" t="s">
        <v>1178</v>
      </c>
      <c r="OP847" s="58">
        <v>46136</v>
      </c>
    </row>
    <row r="848" spans="1:406" ht="15.75" thickBot="1">
      <c r="A848" t="s">
        <v>248</v>
      </c>
      <c r="B848" t="s">
        <v>2346</v>
      </c>
      <c r="C848" t="s">
        <v>1904</v>
      </c>
      <c r="D848" t="s">
        <v>1955</v>
      </c>
      <c r="E848" s="90" t="s">
        <v>2345</v>
      </c>
      <c r="F848" s="89" t="s">
        <v>31</v>
      </c>
      <c r="G848" t="s">
        <v>2</v>
      </c>
      <c r="H848" t="s">
        <v>30</v>
      </c>
      <c r="I848">
        <v>23.983611109999998</v>
      </c>
      <c r="J848">
        <v>90.402222219999999</v>
      </c>
      <c r="K848" t="s">
        <v>29</v>
      </c>
      <c r="AV848" t="s">
        <v>2344</v>
      </c>
      <c r="AW848">
        <f t="shared" si="0"/>
        <v>1435</v>
      </c>
      <c r="AX848" t="s">
        <v>29</v>
      </c>
      <c r="AY848">
        <v>3</v>
      </c>
      <c r="AZ848" t="s">
        <v>2343</v>
      </c>
      <c r="BA848">
        <v>2009</v>
      </c>
      <c r="BB848">
        <v>2012</v>
      </c>
      <c r="BC848">
        <v>2009.2</v>
      </c>
      <c r="BD848" t="s">
        <v>19</v>
      </c>
      <c r="BE848" t="s">
        <v>2357</v>
      </c>
      <c r="BF848" t="s">
        <v>299</v>
      </c>
      <c r="BG848" t="s">
        <v>1243</v>
      </c>
      <c r="BH848" t="s">
        <v>2338</v>
      </c>
      <c r="BI848" t="s">
        <v>2361</v>
      </c>
      <c r="BJ848" t="s">
        <v>2281</v>
      </c>
      <c r="BK848">
        <v>30</v>
      </c>
      <c r="BL848" t="s">
        <v>275</v>
      </c>
      <c r="BM848" t="s">
        <v>2338</v>
      </c>
      <c r="BN848" t="s">
        <v>2360</v>
      </c>
      <c r="BO848" t="s">
        <v>2281</v>
      </c>
      <c r="BP848">
        <v>19</v>
      </c>
      <c r="HL848" t="s">
        <v>2359</v>
      </c>
      <c r="HM848" t="s">
        <v>2335</v>
      </c>
      <c r="HP848" t="s">
        <v>29</v>
      </c>
      <c r="HQ848">
        <v>4</v>
      </c>
      <c r="HR848" t="s">
        <v>2358</v>
      </c>
      <c r="HT848" t="s">
        <v>2333</v>
      </c>
      <c r="HU848" s="58">
        <v>40192</v>
      </c>
      <c r="HV848" s="58"/>
      <c r="IN848" t="s">
        <v>2357</v>
      </c>
      <c r="IO848" s="54" t="s">
        <v>2356</v>
      </c>
      <c r="IR848">
        <v>2009</v>
      </c>
      <c r="IS848" t="s">
        <v>2330</v>
      </c>
      <c r="IT848" s="4" t="s">
        <v>1898</v>
      </c>
      <c r="JK848" t="s">
        <v>14</v>
      </c>
      <c r="KD848" t="s">
        <v>2355</v>
      </c>
      <c r="KE848" t="s">
        <v>1561</v>
      </c>
      <c r="KF848" t="s">
        <v>2328</v>
      </c>
      <c r="KG848">
        <v>7</v>
      </c>
      <c r="KH848" t="s">
        <v>2327</v>
      </c>
      <c r="KI848" t="s">
        <v>222</v>
      </c>
      <c r="KJ848" s="8" t="s">
        <v>1941</v>
      </c>
      <c r="KM848" t="s">
        <v>219</v>
      </c>
      <c r="KN848" t="s">
        <v>2354</v>
      </c>
      <c r="KU848" t="s">
        <v>2353</v>
      </c>
      <c r="KV848" t="s">
        <v>2324</v>
      </c>
      <c r="KZ848" t="s">
        <v>13</v>
      </c>
      <c r="LA848">
        <v>2600</v>
      </c>
      <c r="LG848" t="s">
        <v>2323</v>
      </c>
      <c r="LH848" t="s">
        <v>2322</v>
      </c>
      <c r="LI848">
        <v>30</v>
      </c>
      <c r="LO848" t="s">
        <v>2352</v>
      </c>
      <c r="LP848" t="s">
        <v>2320</v>
      </c>
      <c r="LS848" t="s">
        <v>1944</v>
      </c>
      <c r="LT848">
        <v>1898</v>
      </c>
      <c r="LU848" t="s">
        <v>2319</v>
      </c>
      <c r="MA848" t="s">
        <v>2351</v>
      </c>
      <c r="MC848" s="58">
        <v>40299</v>
      </c>
      <c r="MS848" t="s">
        <v>2317</v>
      </c>
      <c r="MT848">
        <v>1435</v>
      </c>
      <c r="ND848" t="s">
        <v>2314</v>
      </c>
      <c r="NE848" t="s">
        <v>2386</v>
      </c>
      <c r="NF848" t="s">
        <v>2385</v>
      </c>
      <c r="NG848" t="s">
        <v>1426</v>
      </c>
      <c r="NH848" t="s">
        <v>265</v>
      </c>
      <c r="NP848" t="s">
        <v>64</v>
      </c>
      <c r="NQ848" t="s">
        <v>6</v>
      </c>
      <c r="NR848">
        <v>1896</v>
      </c>
      <c r="NS848" t="s">
        <v>29</v>
      </c>
      <c r="NW848">
        <v>3</v>
      </c>
      <c r="OH848" t="s">
        <v>2384</v>
      </c>
      <c r="OI848" t="s">
        <v>6</v>
      </c>
      <c r="OK848">
        <v>2009</v>
      </c>
      <c r="OL848">
        <v>2010</v>
      </c>
      <c r="OM848" t="s">
        <v>2330</v>
      </c>
      <c r="ON848" t="s">
        <v>2393</v>
      </c>
      <c r="OO848" t="s">
        <v>1178</v>
      </c>
      <c r="OP848" s="58">
        <v>46136</v>
      </c>
    </row>
    <row r="849" spans="1:406" ht="15.75" thickBot="1">
      <c r="A849" t="s">
        <v>248</v>
      </c>
      <c r="B849" t="s">
        <v>2346</v>
      </c>
      <c r="C849" t="s">
        <v>1904</v>
      </c>
      <c r="D849" t="s">
        <v>1955</v>
      </c>
      <c r="E849" s="90" t="s">
        <v>2345</v>
      </c>
      <c r="F849" s="89" t="s">
        <v>31</v>
      </c>
      <c r="G849" t="s">
        <v>2</v>
      </c>
      <c r="H849" t="s">
        <v>30</v>
      </c>
      <c r="I849">
        <v>23.983611109999998</v>
      </c>
      <c r="J849">
        <v>90.402222219999999</v>
      </c>
      <c r="K849" t="s">
        <v>29</v>
      </c>
      <c r="AV849" t="s">
        <v>2344</v>
      </c>
      <c r="AW849">
        <f t="shared" si="0"/>
        <v>1435</v>
      </c>
      <c r="AX849" t="s">
        <v>29</v>
      </c>
      <c r="AY849">
        <v>3</v>
      </c>
      <c r="AZ849" t="s">
        <v>2343</v>
      </c>
      <c r="BA849">
        <v>2009</v>
      </c>
      <c r="BB849">
        <v>2012</v>
      </c>
      <c r="BC849">
        <v>2009.2</v>
      </c>
      <c r="BD849" t="s">
        <v>274</v>
      </c>
      <c r="BE849" t="s">
        <v>2332</v>
      </c>
      <c r="BF849" t="s">
        <v>64</v>
      </c>
      <c r="BG849" t="s">
        <v>1243</v>
      </c>
      <c r="BH849" t="s">
        <v>1913</v>
      </c>
      <c r="BI849" t="s">
        <v>2342</v>
      </c>
      <c r="BJ849" t="s">
        <v>2281</v>
      </c>
      <c r="BK849">
        <v>1614</v>
      </c>
      <c r="BL849" t="s">
        <v>275</v>
      </c>
      <c r="BM849" t="s">
        <v>23</v>
      </c>
      <c r="BN849" t="s">
        <v>2341</v>
      </c>
      <c r="BO849" t="s">
        <v>2281</v>
      </c>
      <c r="BP849">
        <v>20</v>
      </c>
      <c r="BQ849" t="s">
        <v>275</v>
      </c>
      <c r="BR849" t="s">
        <v>1936</v>
      </c>
      <c r="BS849" t="s">
        <v>2340</v>
      </c>
      <c r="BT849" t="s">
        <v>2281</v>
      </c>
      <c r="BU849">
        <v>30</v>
      </c>
      <c r="BV849" t="s">
        <v>275</v>
      </c>
      <c r="BW849" t="s">
        <v>2338</v>
      </c>
      <c r="BX849" t="s">
        <v>2339</v>
      </c>
      <c r="BY849" t="s">
        <v>2281</v>
      </c>
      <c r="BZ849">
        <v>35</v>
      </c>
      <c r="CA849" t="s">
        <v>275</v>
      </c>
      <c r="CB849" t="s">
        <v>2338</v>
      </c>
      <c r="CC849" t="s">
        <v>2337</v>
      </c>
      <c r="CD849" t="s">
        <v>2281</v>
      </c>
      <c r="CE849">
        <v>19</v>
      </c>
      <c r="HL849" t="s">
        <v>2336</v>
      </c>
      <c r="HM849" t="s">
        <v>2335</v>
      </c>
      <c r="HP849" t="s">
        <v>29</v>
      </c>
      <c r="HQ849">
        <v>9</v>
      </c>
      <c r="HR849" t="s">
        <v>2334</v>
      </c>
      <c r="HT849" t="s">
        <v>2333</v>
      </c>
      <c r="HU849" s="58">
        <v>40153</v>
      </c>
      <c r="IN849" t="s">
        <v>2332</v>
      </c>
      <c r="IO849" t="s">
        <v>2331</v>
      </c>
      <c r="IR849">
        <v>2009</v>
      </c>
      <c r="IS849" t="s">
        <v>2330</v>
      </c>
      <c r="IT849" s="4" t="s">
        <v>1898</v>
      </c>
      <c r="JK849" t="s">
        <v>14</v>
      </c>
      <c r="KD849" t="s">
        <v>2329</v>
      </c>
      <c r="KE849" t="s">
        <v>1561</v>
      </c>
      <c r="KF849" t="s">
        <v>2328</v>
      </c>
      <c r="KG849">
        <v>4</v>
      </c>
      <c r="KH849" t="s">
        <v>2327</v>
      </c>
      <c r="KI849" t="s">
        <v>2171</v>
      </c>
      <c r="KM849" t="s">
        <v>219</v>
      </c>
      <c r="KN849" t="s">
        <v>2326</v>
      </c>
      <c r="KU849" t="s">
        <v>2325</v>
      </c>
      <c r="KV849" t="s">
        <v>2324</v>
      </c>
      <c r="KZ849" t="s">
        <v>13</v>
      </c>
      <c r="LA849">
        <v>4600</v>
      </c>
      <c r="LG849" t="s">
        <v>2323</v>
      </c>
      <c r="LH849" t="s">
        <v>2322</v>
      </c>
      <c r="LI849">
        <v>30</v>
      </c>
      <c r="LO849" t="s">
        <v>2321</v>
      </c>
      <c r="LP849" t="s">
        <v>2320</v>
      </c>
      <c r="LS849" t="s">
        <v>1944</v>
      </c>
      <c r="LT849">
        <v>1426</v>
      </c>
      <c r="LU849" t="s">
        <v>2319</v>
      </c>
      <c r="MA849" t="s">
        <v>2318</v>
      </c>
      <c r="MC849" s="58">
        <v>40224</v>
      </c>
      <c r="MS849" t="s">
        <v>2317</v>
      </c>
      <c r="MT849">
        <v>1435</v>
      </c>
      <c r="ND849" t="s">
        <v>2314</v>
      </c>
      <c r="NE849" t="s">
        <v>2386</v>
      </c>
      <c r="NF849" t="s">
        <v>2385</v>
      </c>
      <c r="NG849" t="s">
        <v>1426</v>
      </c>
      <c r="NH849" t="s">
        <v>265</v>
      </c>
      <c r="NQ849" t="s">
        <v>6</v>
      </c>
      <c r="NR849">
        <v>4059</v>
      </c>
      <c r="NS849" t="s">
        <v>29</v>
      </c>
      <c r="NW849">
        <v>3</v>
      </c>
      <c r="OH849" t="s">
        <v>2384</v>
      </c>
      <c r="OI849" t="s">
        <v>6</v>
      </c>
      <c r="OK849">
        <v>2009</v>
      </c>
      <c r="OL849">
        <v>2010</v>
      </c>
      <c r="OM849" t="s">
        <v>2330</v>
      </c>
      <c r="ON849" t="s">
        <v>2393</v>
      </c>
      <c r="OO849" t="s">
        <v>1178</v>
      </c>
      <c r="OP849" s="58">
        <v>46136</v>
      </c>
    </row>
    <row r="850" spans="1:406" ht="15.75" thickBot="1">
      <c r="A850" t="s">
        <v>248</v>
      </c>
      <c r="B850" t="s">
        <v>2346</v>
      </c>
      <c r="C850" t="s">
        <v>1904</v>
      </c>
      <c r="D850" t="s">
        <v>1955</v>
      </c>
      <c r="E850" s="90" t="s">
        <v>2345</v>
      </c>
      <c r="F850" s="89" t="s">
        <v>31</v>
      </c>
      <c r="G850" t="s">
        <v>2</v>
      </c>
      <c r="H850" t="s">
        <v>30</v>
      </c>
      <c r="I850">
        <v>23.983611109999998</v>
      </c>
      <c r="J850">
        <v>90.402222219999999</v>
      </c>
      <c r="K850" t="s">
        <v>29</v>
      </c>
      <c r="AV850" t="s">
        <v>2344</v>
      </c>
      <c r="AW850">
        <f t="shared" si="0"/>
        <v>1435</v>
      </c>
      <c r="AX850" t="s">
        <v>29</v>
      </c>
      <c r="AY850">
        <v>3</v>
      </c>
      <c r="AZ850" t="s">
        <v>2343</v>
      </c>
      <c r="BA850">
        <v>2009</v>
      </c>
      <c r="BB850">
        <v>2012</v>
      </c>
      <c r="BC850">
        <v>2009.2</v>
      </c>
      <c r="BD850" t="s">
        <v>19</v>
      </c>
      <c r="BE850" t="s">
        <v>2373</v>
      </c>
      <c r="BF850" t="s">
        <v>39</v>
      </c>
      <c r="BG850" t="s">
        <v>1243</v>
      </c>
      <c r="BH850" t="s">
        <v>2338</v>
      </c>
      <c r="BI850" t="s">
        <v>2361</v>
      </c>
      <c r="BJ850" t="s">
        <v>2281</v>
      </c>
      <c r="BK850">
        <v>45</v>
      </c>
      <c r="BL850" t="s">
        <v>275</v>
      </c>
      <c r="BM850" t="s">
        <v>2338</v>
      </c>
      <c r="BN850" t="s">
        <v>2374</v>
      </c>
      <c r="BO850" t="s">
        <v>2281</v>
      </c>
      <c r="BP850">
        <v>49</v>
      </c>
      <c r="BQ850" t="s">
        <v>275</v>
      </c>
      <c r="BR850" t="s">
        <v>2338</v>
      </c>
      <c r="BS850" t="s">
        <v>2360</v>
      </c>
      <c r="BT850" t="s">
        <v>2281</v>
      </c>
      <c r="BU850">
        <v>49</v>
      </c>
      <c r="HL850" t="s">
        <v>2369</v>
      </c>
      <c r="HM850" t="s">
        <v>297</v>
      </c>
      <c r="HN850" t="s">
        <v>2368</v>
      </c>
      <c r="HP850" t="s">
        <v>29</v>
      </c>
      <c r="HQ850">
        <v>12</v>
      </c>
      <c r="HR850" t="s">
        <v>2367</v>
      </c>
      <c r="HT850" t="s">
        <v>2333</v>
      </c>
      <c r="HU850" s="58">
        <v>40202</v>
      </c>
      <c r="HV850" s="58"/>
      <c r="IN850" t="s">
        <v>2373</v>
      </c>
      <c r="IO850" s="54" t="s">
        <v>2356</v>
      </c>
      <c r="IR850">
        <v>2009</v>
      </c>
      <c r="IS850" t="s">
        <v>2330</v>
      </c>
      <c r="IT850" s="4" t="s">
        <v>1898</v>
      </c>
      <c r="JK850" t="s">
        <v>14</v>
      </c>
      <c r="KD850" t="s">
        <v>2372</v>
      </c>
      <c r="KE850" t="s">
        <v>1561</v>
      </c>
      <c r="KF850" t="s">
        <v>2328</v>
      </c>
      <c r="KG850">
        <v>3</v>
      </c>
      <c r="KH850" t="s">
        <v>2327</v>
      </c>
      <c r="KI850" t="s">
        <v>2171</v>
      </c>
      <c r="KM850" t="s">
        <v>219</v>
      </c>
      <c r="KN850" s="8" t="s">
        <v>2376</v>
      </c>
      <c r="KU850" t="s">
        <v>2371</v>
      </c>
      <c r="KV850" t="s">
        <v>2324</v>
      </c>
      <c r="KZ850" t="s">
        <v>13</v>
      </c>
      <c r="LA850">
        <v>0</v>
      </c>
      <c r="LG850" t="s">
        <v>2323</v>
      </c>
      <c r="LH850" t="s">
        <v>2322</v>
      </c>
      <c r="LI850">
        <v>7.5</v>
      </c>
      <c r="LO850" t="s">
        <v>2370</v>
      </c>
      <c r="LP850" t="s">
        <v>2320</v>
      </c>
      <c r="LS850" t="s">
        <v>1944</v>
      </c>
      <c r="LT850">
        <v>2172</v>
      </c>
      <c r="LU850" t="s">
        <v>2319</v>
      </c>
      <c r="MA850" t="s">
        <v>2351</v>
      </c>
      <c r="MC850" s="58">
        <v>40292</v>
      </c>
      <c r="MS850" t="s">
        <v>2317</v>
      </c>
      <c r="MT850">
        <v>1435</v>
      </c>
      <c r="ND850" t="s">
        <v>2314</v>
      </c>
      <c r="NE850" t="s">
        <v>2386</v>
      </c>
      <c r="NF850" t="s">
        <v>2385</v>
      </c>
      <c r="NG850" t="s">
        <v>1426</v>
      </c>
      <c r="NH850" t="s">
        <v>265</v>
      </c>
      <c r="NP850" t="s">
        <v>2362</v>
      </c>
      <c r="NQ850" t="s">
        <v>6</v>
      </c>
      <c r="NR850">
        <v>1782</v>
      </c>
      <c r="NS850" t="s">
        <v>29</v>
      </c>
      <c r="NW850">
        <v>3</v>
      </c>
      <c r="OH850" t="s">
        <v>2384</v>
      </c>
      <c r="OI850" t="s">
        <v>6</v>
      </c>
      <c r="OK850">
        <v>2010</v>
      </c>
      <c r="OL850">
        <v>2011</v>
      </c>
      <c r="OM850" t="s">
        <v>2330</v>
      </c>
      <c r="ON850" t="s">
        <v>2393</v>
      </c>
      <c r="OO850" t="s">
        <v>1178</v>
      </c>
      <c r="OP850" s="58">
        <v>46136</v>
      </c>
    </row>
    <row r="851" spans="1:406" ht="15.75" thickBot="1">
      <c r="A851" t="s">
        <v>248</v>
      </c>
      <c r="B851" t="s">
        <v>2346</v>
      </c>
      <c r="C851" t="s">
        <v>1904</v>
      </c>
      <c r="D851" t="s">
        <v>1955</v>
      </c>
      <c r="E851" s="90" t="s">
        <v>2345</v>
      </c>
      <c r="F851" s="89" t="s">
        <v>31</v>
      </c>
      <c r="G851" t="s">
        <v>2</v>
      </c>
      <c r="H851" t="s">
        <v>30</v>
      </c>
      <c r="I851">
        <v>23.983611109999998</v>
      </c>
      <c r="J851">
        <v>90.402222219999999</v>
      </c>
      <c r="K851" t="s">
        <v>29</v>
      </c>
      <c r="AV851" t="s">
        <v>2344</v>
      </c>
      <c r="AW851">
        <f t="shared" si="0"/>
        <v>1435</v>
      </c>
      <c r="AX851" t="s">
        <v>29</v>
      </c>
      <c r="AY851">
        <v>3</v>
      </c>
      <c r="AZ851" t="s">
        <v>2343</v>
      </c>
      <c r="BA851">
        <v>2009</v>
      </c>
      <c r="BB851">
        <v>2012</v>
      </c>
      <c r="BC851">
        <v>2009.2</v>
      </c>
      <c r="BD851" t="s">
        <v>19</v>
      </c>
      <c r="BE851" t="s">
        <v>2366</v>
      </c>
      <c r="BF851" t="s">
        <v>24</v>
      </c>
      <c r="BG851" t="s">
        <v>1243</v>
      </c>
      <c r="BH851" t="s">
        <v>2338</v>
      </c>
      <c r="BI851" t="s">
        <v>2361</v>
      </c>
      <c r="BJ851" t="s">
        <v>2281</v>
      </c>
      <c r="BK851">
        <v>30</v>
      </c>
      <c r="BL851" t="s">
        <v>275</v>
      </c>
      <c r="BM851" t="s">
        <v>2338</v>
      </c>
      <c r="BN851" t="s">
        <v>2360</v>
      </c>
      <c r="BO851" t="s">
        <v>2281</v>
      </c>
      <c r="BP851">
        <v>35</v>
      </c>
      <c r="HL851" t="s">
        <v>2369</v>
      </c>
      <c r="HM851" t="s">
        <v>297</v>
      </c>
      <c r="HN851" t="s">
        <v>2368</v>
      </c>
      <c r="HP851" t="s">
        <v>29</v>
      </c>
      <c r="HQ851">
        <v>12</v>
      </c>
      <c r="HR851" t="s">
        <v>2367</v>
      </c>
      <c r="HT851" t="s">
        <v>2333</v>
      </c>
      <c r="HU851" s="58">
        <v>40192</v>
      </c>
      <c r="HV851" s="58"/>
      <c r="IN851" t="s">
        <v>2366</v>
      </c>
      <c r="IO851" s="54" t="s">
        <v>2356</v>
      </c>
      <c r="IR851">
        <v>2009</v>
      </c>
      <c r="IS851" t="s">
        <v>2330</v>
      </c>
      <c r="IT851" s="4" t="s">
        <v>1898</v>
      </c>
      <c r="JK851" t="s">
        <v>14</v>
      </c>
      <c r="KD851" t="s">
        <v>2365</v>
      </c>
      <c r="KE851" t="s">
        <v>1561</v>
      </c>
      <c r="KF851" t="s">
        <v>2328</v>
      </c>
      <c r="KG851">
        <v>6</v>
      </c>
      <c r="KH851" t="s">
        <v>2327</v>
      </c>
      <c r="KI851" t="s">
        <v>222</v>
      </c>
      <c r="KJ851" s="8" t="s">
        <v>1941</v>
      </c>
      <c r="KM851" t="s">
        <v>219</v>
      </c>
      <c r="KN851" t="s">
        <v>2354</v>
      </c>
      <c r="KU851" t="s">
        <v>2364</v>
      </c>
      <c r="KV851" t="s">
        <v>2324</v>
      </c>
      <c r="KZ851" t="s">
        <v>13</v>
      </c>
      <c r="LA851">
        <v>1600</v>
      </c>
      <c r="LG851" t="s">
        <v>2323</v>
      </c>
      <c r="LH851" t="s">
        <v>2322</v>
      </c>
      <c r="LI851">
        <v>30</v>
      </c>
      <c r="LO851" t="s">
        <v>2363</v>
      </c>
      <c r="LP851" t="s">
        <v>2320</v>
      </c>
      <c r="LS851" t="s">
        <v>1944</v>
      </c>
      <c r="LT851">
        <v>1946</v>
      </c>
      <c r="LU851" t="s">
        <v>2319</v>
      </c>
      <c r="MA851" t="s">
        <v>2351</v>
      </c>
      <c r="MC851" s="58">
        <v>40298</v>
      </c>
      <c r="MS851" t="s">
        <v>2317</v>
      </c>
      <c r="MT851">
        <v>1435</v>
      </c>
      <c r="ND851" t="s">
        <v>2314</v>
      </c>
      <c r="NE851" t="s">
        <v>2386</v>
      </c>
      <c r="NF851" t="s">
        <v>2385</v>
      </c>
      <c r="NG851" t="s">
        <v>1426</v>
      </c>
      <c r="NH851" t="s">
        <v>265</v>
      </c>
      <c r="NP851" t="s">
        <v>2362</v>
      </c>
      <c r="NQ851" t="s">
        <v>6</v>
      </c>
      <c r="NR851">
        <v>1900</v>
      </c>
      <c r="NS851" t="s">
        <v>29</v>
      </c>
      <c r="NW851">
        <v>3</v>
      </c>
      <c r="OH851" t="s">
        <v>2384</v>
      </c>
      <c r="OI851" t="s">
        <v>6</v>
      </c>
      <c r="OK851">
        <v>2010</v>
      </c>
      <c r="OL851">
        <v>2011</v>
      </c>
      <c r="OM851" t="s">
        <v>2330</v>
      </c>
      <c r="ON851" t="s">
        <v>2393</v>
      </c>
      <c r="OO851" t="s">
        <v>1178</v>
      </c>
      <c r="OP851" s="58">
        <v>46136</v>
      </c>
    </row>
    <row r="852" spans="1:406" ht="15.75" thickBot="1">
      <c r="A852" t="s">
        <v>248</v>
      </c>
      <c r="B852" t="s">
        <v>2346</v>
      </c>
      <c r="C852" t="s">
        <v>1904</v>
      </c>
      <c r="D852" t="s">
        <v>1955</v>
      </c>
      <c r="E852" s="90" t="s">
        <v>2345</v>
      </c>
      <c r="F852" s="89" t="s">
        <v>31</v>
      </c>
      <c r="G852" t="s">
        <v>2</v>
      </c>
      <c r="H852" t="s">
        <v>30</v>
      </c>
      <c r="I852">
        <v>23.983611109999998</v>
      </c>
      <c r="J852">
        <v>90.402222219999999</v>
      </c>
      <c r="K852" t="s">
        <v>29</v>
      </c>
      <c r="AV852" t="s">
        <v>2344</v>
      </c>
      <c r="AW852">
        <f t="shared" si="0"/>
        <v>1435</v>
      </c>
      <c r="AX852" t="s">
        <v>29</v>
      </c>
      <c r="AY852">
        <v>3</v>
      </c>
      <c r="AZ852" t="s">
        <v>2343</v>
      </c>
      <c r="BA852">
        <v>2009</v>
      </c>
      <c r="BB852">
        <v>2012</v>
      </c>
      <c r="BC852">
        <v>2009.2</v>
      </c>
      <c r="BD852" t="s">
        <v>19</v>
      </c>
      <c r="BE852" t="s">
        <v>2357</v>
      </c>
      <c r="BF852" t="s">
        <v>299</v>
      </c>
      <c r="BG852" t="s">
        <v>1243</v>
      </c>
      <c r="BH852" t="s">
        <v>2338</v>
      </c>
      <c r="BI852" t="s">
        <v>2361</v>
      </c>
      <c r="BJ852" t="s">
        <v>2281</v>
      </c>
      <c r="BK852">
        <v>30</v>
      </c>
      <c r="BL852" t="s">
        <v>275</v>
      </c>
      <c r="BM852" t="s">
        <v>2338</v>
      </c>
      <c r="BN852" t="s">
        <v>2360</v>
      </c>
      <c r="BO852" t="s">
        <v>2281</v>
      </c>
      <c r="BP852">
        <v>19</v>
      </c>
      <c r="HL852" t="s">
        <v>2359</v>
      </c>
      <c r="HM852" t="s">
        <v>2335</v>
      </c>
      <c r="HP852" t="s">
        <v>29</v>
      </c>
      <c r="HQ852">
        <v>4</v>
      </c>
      <c r="HR852" t="s">
        <v>2358</v>
      </c>
      <c r="HT852" t="s">
        <v>2333</v>
      </c>
      <c r="HU852" s="58">
        <v>40192</v>
      </c>
      <c r="HV852" s="58"/>
      <c r="IN852" t="s">
        <v>2357</v>
      </c>
      <c r="IO852" s="54" t="s">
        <v>2356</v>
      </c>
      <c r="IR852">
        <v>2009</v>
      </c>
      <c r="IS852" t="s">
        <v>2330</v>
      </c>
      <c r="IT852" s="4" t="s">
        <v>1898</v>
      </c>
      <c r="JK852" t="s">
        <v>14</v>
      </c>
      <c r="KD852" t="s">
        <v>2355</v>
      </c>
      <c r="KE852" t="s">
        <v>1561</v>
      </c>
      <c r="KF852" t="s">
        <v>2328</v>
      </c>
      <c r="KG852">
        <v>7</v>
      </c>
      <c r="KH852" t="s">
        <v>2327</v>
      </c>
      <c r="KI852" t="s">
        <v>222</v>
      </c>
      <c r="KJ852" s="8" t="s">
        <v>1941</v>
      </c>
      <c r="KM852" t="s">
        <v>219</v>
      </c>
      <c r="KN852" t="s">
        <v>2354</v>
      </c>
      <c r="KU852" t="s">
        <v>2353</v>
      </c>
      <c r="KV852" t="s">
        <v>2324</v>
      </c>
      <c r="KZ852" t="s">
        <v>13</v>
      </c>
      <c r="LA852">
        <v>1400</v>
      </c>
      <c r="LG852" t="s">
        <v>2323</v>
      </c>
      <c r="LH852" t="s">
        <v>2322</v>
      </c>
      <c r="LI852">
        <v>30</v>
      </c>
      <c r="LO852" t="s">
        <v>2352</v>
      </c>
      <c r="LP852" t="s">
        <v>2320</v>
      </c>
      <c r="LS852" t="s">
        <v>1944</v>
      </c>
      <c r="LT852">
        <v>2001</v>
      </c>
      <c r="LU852" t="s">
        <v>2319</v>
      </c>
      <c r="MA852" t="s">
        <v>2351</v>
      </c>
      <c r="MC852" s="58">
        <v>40299</v>
      </c>
      <c r="MS852" t="s">
        <v>2317</v>
      </c>
      <c r="MT852">
        <v>1435</v>
      </c>
      <c r="ND852" t="s">
        <v>2314</v>
      </c>
      <c r="NE852" t="s">
        <v>2386</v>
      </c>
      <c r="NF852" t="s">
        <v>2385</v>
      </c>
      <c r="NG852" t="s">
        <v>1426</v>
      </c>
      <c r="NH852" t="s">
        <v>265</v>
      </c>
      <c r="NP852" t="s">
        <v>64</v>
      </c>
      <c r="NQ852" t="s">
        <v>6</v>
      </c>
      <c r="NR852">
        <v>1735</v>
      </c>
      <c r="NS852" t="s">
        <v>29</v>
      </c>
      <c r="NW852">
        <v>3</v>
      </c>
      <c r="OH852" t="s">
        <v>2384</v>
      </c>
      <c r="OI852" t="s">
        <v>6</v>
      </c>
      <c r="OK852">
        <v>2010</v>
      </c>
      <c r="OL852">
        <v>2011</v>
      </c>
      <c r="OM852" t="s">
        <v>2330</v>
      </c>
      <c r="ON852" t="s">
        <v>2393</v>
      </c>
      <c r="OO852" t="s">
        <v>1178</v>
      </c>
      <c r="OP852" s="58">
        <v>46136</v>
      </c>
    </row>
    <row r="853" spans="1:406" ht="15.75" thickBot="1">
      <c r="A853" t="s">
        <v>248</v>
      </c>
      <c r="B853" t="s">
        <v>2346</v>
      </c>
      <c r="C853" t="s">
        <v>1904</v>
      </c>
      <c r="D853" t="s">
        <v>1955</v>
      </c>
      <c r="E853" s="90" t="s">
        <v>2345</v>
      </c>
      <c r="F853" s="89" t="s">
        <v>31</v>
      </c>
      <c r="G853" t="s">
        <v>2</v>
      </c>
      <c r="H853" t="s">
        <v>30</v>
      </c>
      <c r="I853">
        <v>23.983611109999998</v>
      </c>
      <c r="J853">
        <v>90.402222219999999</v>
      </c>
      <c r="K853" t="s">
        <v>29</v>
      </c>
      <c r="AV853" t="s">
        <v>2344</v>
      </c>
      <c r="AW853">
        <f t="shared" si="0"/>
        <v>1435</v>
      </c>
      <c r="AX853" t="s">
        <v>29</v>
      </c>
      <c r="AY853">
        <v>3</v>
      </c>
      <c r="AZ853" t="s">
        <v>2343</v>
      </c>
      <c r="BA853">
        <v>2009</v>
      </c>
      <c r="BB853">
        <v>2012</v>
      </c>
      <c r="BC853">
        <v>2009.2</v>
      </c>
      <c r="BD853" t="s">
        <v>274</v>
      </c>
      <c r="BE853" t="s">
        <v>2332</v>
      </c>
      <c r="BF853" t="s">
        <v>64</v>
      </c>
      <c r="BG853" t="s">
        <v>1243</v>
      </c>
      <c r="BH853" t="s">
        <v>1913</v>
      </c>
      <c r="BI853" t="s">
        <v>2342</v>
      </c>
      <c r="BJ853" t="s">
        <v>2281</v>
      </c>
      <c r="BK853">
        <v>1614</v>
      </c>
      <c r="BL853" t="s">
        <v>275</v>
      </c>
      <c r="BM853" t="s">
        <v>23</v>
      </c>
      <c r="BN853" t="s">
        <v>2341</v>
      </c>
      <c r="BO853" t="s">
        <v>2281</v>
      </c>
      <c r="BP853">
        <v>20</v>
      </c>
      <c r="BQ853" t="s">
        <v>275</v>
      </c>
      <c r="BR853" t="s">
        <v>1936</v>
      </c>
      <c r="BS853" t="s">
        <v>2340</v>
      </c>
      <c r="BT853" t="s">
        <v>2281</v>
      </c>
      <c r="BU853">
        <v>30</v>
      </c>
      <c r="BV853" t="s">
        <v>275</v>
      </c>
      <c r="BW853" t="s">
        <v>2338</v>
      </c>
      <c r="BX853" t="s">
        <v>2339</v>
      </c>
      <c r="BY853" t="s">
        <v>2281</v>
      </c>
      <c r="BZ853">
        <v>35</v>
      </c>
      <c r="CA853" t="s">
        <v>275</v>
      </c>
      <c r="CB853" t="s">
        <v>2338</v>
      </c>
      <c r="CC853" t="s">
        <v>2337</v>
      </c>
      <c r="CD853" t="s">
        <v>2281</v>
      </c>
      <c r="CE853">
        <v>19</v>
      </c>
      <c r="HL853" t="s">
        <v>2336</v>
      </c>
      <c r="HM853" t="s">
        <v>2335</v>
      </c>
      <c r="HP853" t="s">
        <v>29</v>
      </c>
      <c r="HQ853">
        <v>9</v>
      </c>
      <c r="HR853" t="s">
        <v>2334</v>
      </c>
      <c r="HT853" t="s">
        <v>2333</v>
      </c>
      <c r="HU853" s="58">
        <v>40153</v>
      </c>
      <c r="IN853" t="s">
        <v>2332</v>
      </c>
      <c r="IO853" t="s">
        <v>2331</v>
      </c>
      <c r="IR853">
        <v>2009</v>
      </c>
      <c r="IS853" t="s">
        <v>2330</v>
      </c>
      <c r="IT853" s="4" t="s">
        <v>1898</v>
      </c>
      <c r="JK853" t="s">
        <v>14</v>
      </c>
      <c r="KD853" t="s">
        <v>2329</v>
      </c>
      <c r="KE853" t="s">
        <v>1561</v>
      </c>
      <c r="KF853" t="s">
        <v>2328</v>
      </c>
      <c r="KG853">
        <v>4</v>
      </c>
      <c r="KH853" t="s">
        <v>2327</v>
      </c>
      <c r="KI853" t="s">
        <v>2171</v>
      </c>
      <c r="KM853" t="s">
        <v>219</v>
      </c>
      <c r="KN853" t="s">
        <v>2326</v>
      </c>
      <c r="KQ853" t="s">
        <v>219</v>
      </c>
      <c r="KR853" s="8" t="s">
        <v>2375</v>
      </c>
      <c r="KU853" t="s">
        <v>2325</v>
      </c>
      <c r="KV853" t="s">
        <v>2324</v>
      </c>
      <c r="KZ853" t="s">
        <v>13</v>
      </c>
      <c r="LA853">
        <v>1600</v>
      </c>
      <c r="LG853" t="s">
        <v>2323</v>
      </c>
      <c r="LH853" t="s">
        <v>2322</v>
      </c>
      <c r="LI853">
        <v>30</v>
      </c>
      <c r="LO853" t="s">
        <v>2321</v>
      </c>
      <c r="LP853" t="s">
        <v>2320</v>
      </c>
      <c r="LS853" t="s">
        <v>1944</v>
      </c>
      <c r="LT853">
        <v>1186</v>
      </c>
      <c r="LU853" t="s">
        <v>2319</v>
      </c>
      <c r="MA853" t="s">
        <v>2318</v>
      </c>
      <c r="MC853" s="58">
        <v>40224</v>
      </c>
      <c r="MS853" t="s">
        <v>2317</v>
      </c>
      <c r="MT853">
        <v>1435</v>
      </c>
      <c r="ND853" t="s">
        <v>2314</v>
      </c>
      <c r="NE853" t="s">
        <v>2386</v>
      </c>
      <c r="NF853" t="s">
        <v>2385</v>
      </c>
      <c r="NG853" t="s">
        <v>1426</v>
      </c>
      <c r="NH853" t="s">
        <v>265</v>
      </c>
      <c r="NQ853" t="s">
        <v>6</v>
      </c>
      <c r="NR853">
        <v>3140</v>
      </c>
      <c r="NS853" t="s">
        <v>29</v>
      </c>
      <c r="NW853">
        <v>3</v>
      </c>
      <c r="OH853" t="s">
        <v>2384</v>
      </c>
      <c r="OI853" t="s">
        <v>6</v>
      </c>
      <c r="OK853">
        <v>2010</v>
      </c>
      <c r="OL853">
        <v>2011</v>
      </c>
      <c r="OM853" t="s">
        <v>2330</v>
      </c>
      <c r="ON853" t="s">
        <v>2393</v>
      </c>
      <c r="OO853" t="s">
        <v>1178</v>
      </c>
      <c r="OP853" s="58">
        <v>46136</v>
      </c>
    </row>
    <row r="854" spans="1:406" ht="15.75" thickBot="1">
      <c r="A854" t="s">
        <v>248</v>
      </c>
      <c r="B854" t="s">
        <v>2346</v>
      </c>
      <c r="C854" t="s">
        <v>1904</v>
      </c>
      <c r="D854" t="s">
        <v>1955</v>
      </c>
      <c r="E854" s="90" t="s">
        <v>2345</v>
      </c>
      <c r="F854" s="89" t="s">
        <v>31</v>
      </c>
      <c r="G854" t="s">
        <v>2</v>
      </c>
      <c r="H854" t="s">
        <v>30</v>
      </c>
      <c r="I854">
        <v>23.983611109999998</v>
      </c>
      <c r="J854">
        <v>90.402222219999999</v>
      </c>
      <c r="K854" t="s">
        <v>29</v>
      </c>
      <c r="AV854" t="s">
        <v>2344</v>
      </c>
      <c r="AW854">
        <f t="shared" ref="AW854:AW885" si="1">35*41</f>
        <v>1435</v>
      </c>
      <c r="AX854" t="s">
        <v>29</v>
      </c>
      <c r="AY854">
        <v>3</v>
      </c>
      <c r="AZ854" t="s">
        <v>2343</v>
      </c>
      <c r="BA854">
        <v>2009</v>
      </c>
      <c r="BB854">
        <v>2012</v>
      </c>
      <c r="BC854">
        <v>2009.2</v>
      </c>
      <c r="BD854" t="s">
        <v>19</v>
      </c>
      <c r="BE854" t="s">
        <v>2373</v>
      </c>
      <c r="BF854" t="s">
        <v>39</v>
      </c>
      <c r="BG854" t="s">
        <v>1243</v>
      </c>
      <c r="BH854" t="s">
        <v>2338</v>
      </c>
      <c r="BI854" t="s">
        <v>2361</v>
      </c>
      <c r="BJ854" t="s">
        <v>2281</v>
      </c>
      <c r="BK854">
        <v>45</v>
      </c>
      <c r="BL854" t="s">
        <v>275</v>
      </c>
      <c r="BM854" t="s">
        <v>2338</v>
      </c>
      <c r="BN854" t="s">
        <v>2374</v>
      </c>
      <c r="BO854" t="s">
        <v>2281</v>
      </c>
      <c r="BP854">
        <v>49</v>
      </c>
      <c r="BQ854" t="s">
        <v>275</v>
      </c>
      <c r="BR854" t="s">
        <v>2338</v>
      </c>
      <c r="BS854" t="s">
        <v>2360</v>
      </c>
      <c r="BT854" t="s">
        <v>2281</v>
      </c>
      <c r="BU854">
        <v>49</v>
      </c>
      <c r="HL854" t="s">
        <v>2369</v>
      </c>
      <c r="HM854" t="s">
        <v>297</v>
      </c>
      <c r="HN854" t="s">
        <v>2368</v>
      </c>
      <c r="HP854" t="s">
        <v>29</v>
      </c>
      <c r="HQ854">
        <v>12</v>
      </c>
      <c r="HR854" t="s">
        <v>2367</v>
      </c>
      <c r="HT854" t="s">
        <v>2333</v>
      </c>
      <c r="HU854" s="58">
        <v>40202</v>
      </c>
      <c r="HV854" s="58"/>
      <c r="IN854" t="s">
        <v>2373</v>
      </c>
      <c r="IO854" s="54" t="s">
        <v>2356</v>
      </c>
      <c r="IR854">
        <v>2009</v>
      </c>
      <c r="IS854" t="s">
        <v>2330</v>
      </c>
      <c r="IT854" s="4" t="s">
        <v>1898</v>
      </c>
      <c r="JK854" t="s">
        <v>14</v>
      </c>
      <c r="KD854" t="s">
        <v>2372</v>
      </c>
      <c r="KE854" t="s">
        <v>1561</v>
      </c>
      <c r="KF854" t="s">
        <v>2328</v>
      </c>
      <c r="KG854">
        <v>3</v>
      </c>
      <c r="KH854" t="s">
        <v>2327</v>
      </c>
      <c r="KI854" t="s">
        <v>2171</v>
      </c>
      <c r="KM854" t="s">
        <v>219</v>
      </c>
      <c r="KN854" t="s">
        <v>2354</v>
      </c>
      <c r="KU854" t="s">
        <v>2371</v>
      </c>
      <c r="KV854" t="s">
        <v>2324</v>
      </c>
      <c r="KZ854" t="s">
        <v>13</v>
      </c>
      <c r="LA854">
        <v>1600</v>
      </c>
      <c r="LG854" t="s">
        <v>2323</v>
      </c>
      <c r="LH854" t="s">
        <v>2322</v>
      </c>
      <c r="LI854">
        <v>7.5</v>
      </c>
      <c r="LO854" t="s">
        <v>2370</v>
      </c>
      <c r="LP854" t="s">
        <v>2320</v>
      </c>
      <c r="LS854" t="s">
        <v>1944</v>
      </c>
      <c r="LT854">
        <v>1450</v>
      </c>
      <c r="LU854" t="s">
        <v>2319</v>
      </c>
      <c r="MA854" t="s">
        <v>2351</v>
      </c>
      <c r="MC854" s="58">
        <v>40292</v>
      </c>
      <c r="MS854" t="s">
        <v>2317</v>
      </c>
      <c r="MT854">
        <v>1435</v>
      </c>
      <c r="ND854" t="s">
        <v>2314</v>
      </c>
      <c r="NE854" t="s">
        <v>2386</v>
      </c>
      <c r="NF854" t="s">
        <v>2385</v>
      </c>
      <c r="NG854" t="s">
        <v>1426</v>
      </c>
      <c r="NH854" t="s">
        <v>265</v>
      </c>
      <c r="NP854" t="s">
        <v>2362</v>
      </c>
      <c r="NQ854" t="s">
        <v>6</v>
      </c>
      <c r="NR854">
        <v>1608</v>
      </c>
      <c r="NS854" t="s">
        <v>29</v>
      </c>
      <c r="NW854">
        <v>3</v>
      </c>
      <c r="OH854" t="s">
        <v>2384</v>
      </c>
      <c r="OI854" t="s">
        <v>6</v>
      </c>
      <c r="OK854">
        <v>2011</v>
      </c>
      <c r="OL854">
        <v>2012</v>
      </c>
      <c r="OM854" t="s">
        <v>2330</v>
      </c>
      <c r="ON854" t="s">
        <v>2393</v>
      </c>
      <c r="OO854" t="s">
        <v>1178</v>
      </c>
      <c r="OP854" s="58">
        <v>46136</v>
      </c>
    </row>
    <row r="855" spans="1:406" ht="15.75" thickBot="1">
      <c r="A855" t="s">
        <v>248</v>
      </c>
      <c r="B855" t="s">
        <v>2346</v>
      </c>
      <c r="C855" t="s">
        <v>1904</v>
      </c>
      <c r="D855" t="s">
        <v>1955</v>
      </c>
      <c r="E855" s="90" t="s">
        <v>2345</v>
      </c>
      <c r="F855" s="89" t="s">
        <v>31</v>
      </c>
      <c r="G855" t="s">
        <v>2</v>
      </c>
      <c r="H855" t="s">
        <v>30</v>
      </c>
      <c r="I855">
        <v>23.983611109999998</v>
      </c>
      <c r="J855">
        <v>90.402222219999999</v>
      </c>
      <c r="K855" t="s">
        <v>29</v>
      </c>
      <c r="AV855" t="s">
        <v>2344</v>
      </c>
      <c r="AW855">
        <f t="shared" si="1"/>
        <v>1435</v>
      </c>
      <c r="AX855" t="s">
        <v>29</v>
      </c>
      <c r="AY855">
        <v>3</v>
      </c>
      <c r="AZ855" t="s">
        <v>2343</v>
      </c>
      <c r="BA855">
        <v>2009</v>
      </c>
      <c r="BB855">
        <v>2012</v>
      </c>
      <c r="BC855">
        <v>2009.2</v>
      </c>
      <c r="BD855" t="s">
        <v>19</v>
      </c>
      <c r="BE855" t="s">
        <v>2366</v>
      </c>
      <c r="BF855" t="s">
        <v>24</v>
      </c>
      <c r="BG855" t="s">
        <v>1243</v>
      </c>
      <c r="BH855" t="s">
        <v>2338</v>
      </c>
      <c r="BI855" t="s">
        <v>2361</v>
      </c>
      <c r="BJ855" t="s">
        <v>2281</v>
      </c>
      <c r="BK855">
        <v>30</v>
      </c>
      <c r="BL855" t="s">
        <v>275</v>
      </c>
      <c r="BM855" t="s">
        <v>2338</v>
      </c>
      <c r="BN855" t="s">
        <v>2360</v>
      </c>
      <c r="BO855" t="s">
        <v>2281</v>
      </c>
      <c r="BP855">
        <v>35</v>
      </c>
      <c r="HL855" t="s">
        <v>2369</v>
      </c>
      <c r="HM855" t="s">
        <v>297</v>
      </c>
      <c r="HN855" t="s">
        <v>2368</v>
      </c>
      <c r="HP855" t="s">
        <v>29</v>
      </c>
      <c r="HQ855">
        <v>12</v>
      </c>
      <c r="HR855" t="s">
        <v>2367</v>
      </c>
      <c r="HT855" t="s">
        <v>2333</v>
      </c>
      <c r="HU855" s="58">
        <v>40192</v>
      </c>
      <c r="HV855" s="58"/>
      <c r="IN855" t="s">
        <v>2366</v>
      </c>
      <c r="IO855" s="54" t="s">
        <v>2356</v>
      </c>
      <c r="IR855">
        <v>2009</v>
      </c>
      <c r="IS855" t="s">
        <v>2330</v>
      </c>
      <c r="IT855" s="4" t="s">
        <v>1898</v>
      </c>
      <c r="JK855" t="s">
        <v>14</v>
      </c>
      <c r="KD855" t="s">
        <v>2365</v>
      </c>
      <c r="KE855" t="s">
        <v>1561</v>
      </c>
      <c r="KF855" t="s">
        <v>2328</v>
      </c>
      <c r="KG855">
        <v>6</v>
      </c>
      <c r="KH855" t="s">
        <v>2327</v>
      </c>
      <c r="KI855" t="s">
        <v>222</v>
      </c>
      <c r="KJ855" s="8" t="s">
        <v>1941</v>
      </c>
      <c r="KM855" t="s">
        <v>219</v>
      </c>
      <c r="KN855" t="s">
        <v>2354</v>
      </c>
      <c r="KU855" t="s">
        <v>2364</v>
      </c>
      <c r="KV855" t="s">
        <v>2324</v>
      </c>
      <c r="KZ855" t="s">
        <v>13</v>
      </c>
      <c r="LA855">
        <v>2000</v>
      </c>
      <c r="LG855" t="s">
        <v>2323</v>
      </c>
      <c r="LH855" t="s">
        <v>2322</v>
      </c>
      <c r="LI855">
        <v>30</v>
      </c>
      <c r="LO855" t="s">
        <v>2363</v>
      </c>
      <c r="LP855" t="s">
        <v>2320</v>
      </c>
      <c r="LS855" t="s">
        <v>1944</v>
      </c>
      <c r="LT855">
        <v>1481</v>
      </c>
      <c r="LU855" t="s">
        <v>2319</v>
      </c>
      <c r="MA855" t="s">
        <v>2351</v>
      </c>
      <c r="MC855" s="58">
        <v>40298</v>
      </c>
      <c r="MS855" t="s">
        <v>2317</v>
      </c>
      <c r="MT855">
        <v>1435</v>
      </c>
      <c r="ND855" t="s">
        <v>2314</v>
      </c>
      <c r="NE855" t="s">
        <v>2386</v>
      </c>
      <c r="NF855" t="s">
        <v>2385</v>
      </c>
      <c r="NG855" t="s">
        <v>1426</v>
      </c>
      <c r="NH855" t="s">
        <v>265</v>
      </c>
      <c r="NP855" t="s">
        <v>2362</v>
      </c>
      <c r="NQ855" t="s">
        <v>6</v>
      </c>
      <c r="NR855">
        <v>1900</v>
      </c>
      <c r="NS855" t="s">
        <v>29</v>
      </c>
      <c r="NW855">
        <v>3</v>
      </c>
      <c r="OH855" t="s">
        <v>2384</v>
      </c>
      <c r="OI855" t="s">
        <v>6</v>
      </c>
      <c r="OK855">
        <v>2011</v>
      </c>
      <c r="OL855">
        <v>2012</v>
      </c>
      <c r="OM855" t="s">
        <v>2330</v>
      </c>
      <c r="ON855" t="s">
        <v>2393</v>
      </c>
      <c r="OO855" t="s">
        <v>1178</v>
      </c>
      <c r="OP855" s="58">
        <v>46136</v>
      </c>
    </row>
    <row r="856" spans="1:406" ht="15.75" thickBot="1">
      <c r="A856" t="s">
        <v>248</v>
      </c>
      <c r="B856" t="s">
        <v>2346</v>
      </c>
      <c r="C856" t="s">
        <v>1904</v>
      </c>
      <c r="D856" t="s">
        <v>1955</v>
      </c>
      <c r="E856" s="90" t="s">
        <v>2345</v>
      </c>
      <c r="F856" s="89" t="s">
        <v>31</v>
      </c>
      <c r="G856" t="s">
        <v>2</v>
      </c>
      <c r="H856" t="s">
        <v>30</v>
      </c>
      <c r="I856">
        <v>23.983611109999998</v>
      </c>
      <c r="J856">
        <v>90.402222219999999</v>
      </c>
      <c r="K856" t="s">
        <v>29</v>
      </c>
      <c r="AV856" t="s">
        <v>2344</v>
      </c>
      <c r="AW856">
        <f t="shared" si="1"/>
        <v>1435</v>
      </c>
      <c r="AX856" t="s">
        <v>29</v>
      </c>
      <c r="AY856">
        <v>3</v>
      </c>
      <c r="AZ856" t="s">
        <v>2343</v>
      </c>
      <c r="BA856">
        <v>2009</v>
      </c>
      <c r="BB856">
        <v>2012</v>
      </c>
      <c r="BC856">
        <v>2009.2</v>
      </c>
      <c r="BD856" t="s">
        <v>19</v>
      </c>
      <c r="BE856" t="s">
        <v>2357</v>
      </c>
      <c r="BF856" t="s">
        <v>299</v>
      </c>
      <c r="BG856" t="s">
        <v>1243</v>
      </c>
      <c r="BH856" t="s">
        <v>2338</v>
      </c>
      <c r="BI856" t="s">
        <v>2361</v>
      </c>
      <c r="BJ856" t="s">
        <v>2281</v>
      </c>
      <c r="BK856">
        <v>30</v>
      </c>
      <c r="BL856" t="s">
        <v>275</v>
      </c>
      <c r="BM856" t="s">
        <v>2338</v>
      </c>
      <c r="BN856" t="s">
        <v>2360</v>
      </c>
      <c r="BO856" t="s">
        <v>2281</v>
      </c>
      <c r="BP856">
        <v>19</v>
      </c>
      <c r="HL856" t="s">
        <v>2359</v>
      </c>
      <c r="HM856" t="s">
        <v>2335</v>
      </c>
      <c r="HP856" t="s">
        <v>29</v>
      </c>
      <c r="HQ856">
        <v>4</v>
      </c>
      <c r="HR856" t="s">
        <v>2358</v>
      </c>
      <c r="HT856" t="s">
        <v>2333</v>
      </c>
      <c r="HU856" s="58">
        <v>40192</v>
      </c>
      <c r="HV856" s="58"/>
      <c r="IN856" t="s">
        <v>2357</v>
      </c>
      <c r="IO856" s="54" t="s">
        <v>2356</v>
      </c>
      <c r="IR856">
        <v>2009</v>
      </c>
      <c r="IS856" t="s">
        <v>2330</v>
      </c>
      <c r="IT856" s="4" t="s">
        <v>1898</v>
      </c>
      <c r="JK856" t="s">
        <v>14</v>
      </c>
      <c r="KD856" t="s">
        <v>2355</v>
      </c>
      <c r="KE856" t="s">
        <v>1561</v>
      </c>
      <c r="KF856" t="s">
        <v>2328</v>
      </c>
      <c r="KG856">
        <v>7</v>
      </c>
      <c r="KH856" t="s">
        <v>2327</v>
      </c>
      <c r="KI856" t="s">
        <v>222</v>
      </c>
      <c r="KJ856" s="8" t="s">
        <v>1941</v>
      </c>
      <c r="KM856" t="s">
        <v>219</v>
      </c>
      <c r="KN856" t="s">
        <v>2354</v>
      </c>
      <c r="KU856" t="s">
        <v>2353</v>
      </c>
      <c r="KV856" t="s">
        <v>2324</v>
      </c>
      <c r="KZ856" t="s">
        <v>13</v>
      </c>
      <c r="LA856">
        <v>1900</v>
      </c>
      <c r="LG856" t="s">
        <v>2323</v>
      </c>
      <c r="LH856" t="s">
        <v>2322</v>
      </c>
      <c r="LI856">
        <v>30</v>
      </c>
      <c r="LO856" t="s">
        <v>2352</v>
      </c>
      <c r="LP856" t="s">
        <v>2320</v>
      </c>
      <c r="LS856" t="s">
        <v>1944</v>
      </c>
      <c r="LT856">
        <v>1530</v>
      </c>
      <c r="LU856" t="s">
        <v>2319</v>
      </c>
      <c r="MA856" t="s">
        <v>2351</v>
      </c>
      <c r="MC856" s="58">
        <v>40299</v>
      </c>
      <c r="MS856" t="s">
        <v>2317</v>
      </c>
      <c r="MT856">
        <v>1435</v>
      </c>
      <c r="ND856" t="s">
        <v>2314</v>
      </c>
      <c r="NE856" t="s">
        <v>2386</v>
      </c>
      <c r="NF856" t="s">
        <v>2385</v>
      </c>
      <c r="NG856" t="s">
        <v>1426</v>
      </c>
      <c r="NH856" t="s">
        <v>265</v>
      </c>
      <c r="NP856" t="s">
        <v>64</v>
      </c>
      <c r="NQ856" t="s">
        <v>6</v>
      </c>
      <c r="NR856">
        <v>1656</v>
      </c>
      <c r="NS856" t="s">
        <v>29</v>
      </c>
      <c r="NW856">
        <v>3</v>
      </c>
      <c r="OH856" t="s">
        <v>2384</v>
      </c>
      <c r="OI856" t="s">
        <v>6</v>
      </c>
      <c r="OK856">
        <v>2011</v>
      </c>
      <c r="OL856">
        <v>2012</v>
      </c>
      <c r="OM856" t="s">
        <v>2330</v>
      </c>
      <c r="ON856" t="s">
        <v>2393</v>
      </c>
      <c r="OO856" t="s">
        <v>1178</v>
      </c>
      <c r="OP856" s="58">
        <v>46136</v>
      </c>
    </row>
    <row r="857" spans="1:406" ht="15.75" thickBot="1">
      <c r="A857" t="s">
        <v>248</v>
      </c>
      <c r="B857" t="s">
        <v>2346</v>
      </c>
      <c r="C857" t="s">
        <v>1904</v>
      </c>
      <c r="D857" t="s">
        <v>1955</v>
      </c>
      <c r="E857" s="90" t="s">
        <v>2345</v>
      </c>
      <c r="F857" s="89" t="s">
        <v>31</v>
      </c>
      <c r="G857" t="s">
        <v>2</v>
      </c>
      <c r="H857" t="s">
        <v>30</v>
      </c>
      <c r="I857">
        <v>23.983611109999998</v>
      </c>
      <c r="J857">
        <v>90.402222219999999</v>
      </c>
      <c r="K857" t="s">
        <v>29</v>
      </c>
      <c r="AV857" t="s">
        <v>2344</v>
      </c>
      <c r="AW857">
        <f t="shared" si="1"/>
        <v>1435</v>
      </c>
      <c r="AX857" t="s">
        <v>29</v>
      </c>
      <c r="AY857">
        <v>3</v>
      </c>
      <c r="AZ857" t="s">
        <v>2343</v>
      </c>
      <c r="BA857">
        <v>2009</v>
      </c>
      <c r="BB857">
        <v>2012</v>
      </c>
      <c r="BC857">
        <v>2009.2</v>
      </c>
      <c r="BD857" t="s">
        <v>274</v>
      </c>
      <c r="BE857" t="s">
        <v>2332</v>
      </c>
      <c r="BF857" t="s">
        <v>64</v>
      </c>
      <c r="BG857" t="s">
        <v>1243</v>
      </c>
      <c r="BH857" t="s">
        <v>1913</v>
      </c>
      <c r="BI857" t="s">
        <v>2342</v>
      </c>
      <c r="BJ857" t="s">
        <v>2281</v>
      </c>
      <c r="BK857">
        <v>1614</v>
      </c>
      <c r="BL857" t="s">
        <v>275</v>
      </c>
      <c r="BM857" t="s">
        <v>23</v>
      </c>
      <c r="BN857" t="s">
        <v>2341</v>
      </c>
      <c r="BO857" t="s">
        <v>2281</v>
      </c>
      <c r="BP857">
        <v>20</v>
      </c>
      <c r="BQ857" t="s">
        <v>275</v>
      </c>
      <c r="BR857" t="s">
        <v>1936</v>
      </c>
      <c r="BS857" t="s">
        <v>2340</v>
      </c>
      <c r="BT857" t="s">
        <v>2281</v>
      </c>
      <c r="BU857">
        <v>30</v>
      </c>
      <c r="BV857" t="s">
        <v>275</v>
      </c>
      <c r="BW857" t="s">
        <v>2338</v>
      </c>
      <c r="BX857" t="s">
        <v>2339</v>
      </c>
      <c r="BY857" t="s">
        <v>2281</v>
      </c>
      <c r="BZ857">
        <v>35</v>
      </c>
      <c r="CA857" t="s">
        <v>275</v>
      </c>
      <c r="CB857" t="s">
        <v>2338</v>
      </c>
      <c r="CC857" t="s">
        <v>2337</v>
      </c>
      <c r="CD857" t="s">
        <v>2281</v>
      </c>
      <c r="CE857">
        <v>19</v>
      </c>
      <c r="HL857" t="s">
        <v>2336</v>
      </c>
      <c r="HM857" t="s">
        <v>2335</v>
      </c>
      <c r="HP857" t="s">
        <v>29</v>
      </c>
      <c r="HQ857">
        <v>9</v>
      </c>
      <c r="HR857" t="s">
        <v>2334</v>
      </c>
      <c r="HT857" t="s">
        <v>2333</v>
      </c>
      <c r="HU857" s="58">
        <v>40153</v>
      </c>
      <c r="IN857" t="s">
        <v>2332</v>
      </c>
      <c r="IO857" t="s">
        <v>2331</v>
      </c>
      <c r="IR857">
        <v>2009</v>
      </c>
      <c r="IS857" t="s">
        <v>2330</v>
      </c>
      <c r="IT857" s="4" t="s">
        <v>1898</v>
      </c>
      <c r="JK857" t="s">
        <v>14</v>
      </c>
      <c r="KD857" t="s">
        <v>2329</v>
      </c>
      <c r="KE857" t="s">
        <v>1561</v>
      </c>
      <c r="KF857" t="s">
        <v>2328</v>
      </c>
      <c r="KG857">
        <v>4</v>
      </c>
      <c r="KH857" t="s">
        <v>2327</v>
      </c>
      <c r="KI857" t="s">
        <v>2171</v>
      </c>
      <c r="KM857" t="s">
        <v>219</v>
      </c>
      <c r="KN857" t="s">
        <v>2326</v>
      </c>
      <c r="KU857" t="s">
        <v>2325</v>
      </c>
      <c r="KV857" t="s">
        <v>2324</v>
      </c>
      <c r="KZ857" t="s">
        <v>13</v>
      </c>
      <c r="LA857">
        <v>1600</v>
      </c>
      <c r="LG857" t="s">
        <v>2323</v>
      </c>
      <c r="LH857" t="s">
        <v>2322</v>
      </c>
      <c r="LI857">
        <v>30</v>
      </c>
      <c r="LO857" t="s">
        <v>2321</v>
      </c>
      <c r="LP857" t="s">
        <v>2320</v>
      </c>
      <c r="LS857" t="s">
        <v>1944</v>
      </c>
      <c r="LT857">
        <v>805</v>
      </c>
      <c r="LU857" t="s">
        <v>2319</v>
      </c>
      <c r="MA857" t="s">
        <v>2318</v>
      </c>
      <c r="MC857" s="58">
        <v>40224</v>
      </c>
      <c r="MS857" t="s">
        <v>2317</v>
      </c>
      <c r="MT857">
        <v>1435</v>
      </c>
      <c r="ND857" t="s">
        <v>2314</v>
      </c>
      <c r="NE857" t="s">
        <v>2386</v>
      </c>
      <c r="NF857" t="s">
        <v>2385</v>
      </c>
      <c r="NG857" t="s">
        <v>1426</v>
      </c>
      <c r="NH857" t="s">
        <v>265</v>
      </c>
      <c r="NQ857" t="s">
        <v>6</v>
      </c>
      <c r="NR857">
        <v>3068</v>
      </c>
      <c r="NS857" t="s">
        <v>29</v>
      </c>
      <c r="NW857">
        <v>3</v>
      </c>
      <c r="OH857" t="s">
        <v>2384</v>
      </c>
      <c r="OI857" t="s">
        <v>6</v>
      </c>
      <c r="OK857">
        <v>2011</v>
      </c>
      <c r="OL857">
        <v>2012</v>
      </c>
      <c r="OM857" t="s">
        <v>2330</v>
      </c>
      <c r="ON857" t="s">
        <v>2393</v>
      </c>
      <c r="OO857" t="s">
        <v>1178</v>
      </c>
      <c r="OP857" s="58">
        <v>46136</v>
      </c>
    </row>
    <row r="858" spans="1:406" ht="15.75" thickBot="1">
      <c r="A858" t="s">
        <v>248</v>
      </c>
      <c r="B858" t="s">
        <v>2346</v>
      </c>
      <c r="C858" t="s">
        <v>1904</v>
      </c>
      <c r="D858" t="s">
        <v>1955</v>
      </c>
      <c r="E858" s="90" t="s">
        <v>2345</v>
      </c>
      <c r="F858" s="89" t="s">
        <v>31</v>
      </c>
      <c r="G858" t="s">
        <v>2</v>
      </c>
      <c r="H858" t="s">
        <v>30</v>
      </c>
      <c r="I858">
        <v>23.983611109999998</v>
      </c>
      <c r="J858">
        <v>90.402222219999999</v>
      </c>
      <c r="K858" t="s">
        <v>29</v>
      </c>
      <c r="AV858" t="s">
        <v>2344</v>
      </c>
      <c r="AW858">
        <f t="shared" si="1"/>
        <v>1435</v>
      </c>
      <c r="AX858" t="s">
        <v>29</v>
      </c>
      <c r="AY858">
        <v>3</v>
      </c>
      <c r="AZ858" t="s">
        <v>2343</v>
      </c>
      <c r="BA858">
        <v>2009</v>
      </c>
      <c r="BB858">
        <v>2012</v>
      </c>
      <c r="BC858">
        <v>2009.2</v>
      </c>
      <c r="BD858" t="s">
        <v>19</v>
      </c>
      <c r="BE858" t="s">
        <v>2373</v>
      </c>
      <c r="BF858" t="s">
        <v>39</v>
      </c>
      <c r="BG858" t="s">
        <v>1243</v>
      </c>
      <c r="BH858" t="s">
        <v>2338</v>
      </c>
      <c r="BI858" t="s">
        <v>2361</v>
      </c>
      <c r="BJ858" t="s">
        <v>2281</v>
      </c>
      <c r="BK858">
        <v>45</v>
      </c>
      <c r="BL858" t="s">
        <v>275</v>
      </c>
      <c r="BM858" t="s">
        <v>2338</v>
      </c>
      <c r="BN858" t="s">
        <v>2374</v>
      </c>
      <c r="BO858" t="s">
        <v>2281</v>
      </c>
      <c r="BP858">
        <v>49</v>
      </c>
      <c r="BQ858" t="s">
        <v>275</v>
      </c>
      <c r="BR858" t="s">
        <v>2338</v>
      </c>
      <c r="BS858" t="s">
        <v>2360</v>
      </c>
      <c r="BT858" t="s">
        <v>2281</v>
      </c>
      <c r="BU858">
        <v>49</v>
      </c>
      <c r="HL858" t="s">
        <v>2369</v>
      </c>
      <c r="HM858" t="s">
        <v>297</v>
      </c>
      <c r="HN858" t="s">
        <v>2368</v>
      </c>
      <c r="HP858" t="s">
        <v>29</v>
      </c>
      <c r="HQ858">
        <v>12</v>
      </c>
      <c r="HR858" t="s">
        <v>2367</v>
      </c>
      <c r="HT858" t="s">
        <v>2333</v>
      </c>
      <c r="HU858" s="58">
        <v>40202</v>
      </c>
      <c r="HV858" s="58"/>
      <c r="IN858" t="s">
        <v>2373</v>
      </c>
      <c r="IO858" s="54" t="s">
        <v>2356</v>
      </c>
      <c r="IR858">
        <v>2009</v>
      </c>
      <c r="IS858" t="s">
        <v>2330</v>
      </c>
      <c r="IT858" s="4" t="s">
        <v>1898</v>
      </c>
      <c r="JK858" t="s">
        <v>14</v>
      </c>
      <c r="KD858" t="s">
        <v>2372</v>
      </c>
      <c r="KE858" t="s">
        <v>1561</v>
      </c>
      <c r="KF858" t="s">
        <v>2328</v>
      </c>
      <c r="KG858">
        <v>3</v>
      </c>
      <c r="KH858" t="s">
        <v>2327</v>
      </c>
      <c r="KI858" t="s">
        <v>2171</v>
      </c>
      <c r="KM858" t="s">
        <v>219</v>
      </c>
      <c r="KN858" s="8" t="s">
        <v>2376</v>
      </c>
      <c r="KU858" t="s">
        <v>2371</v>
      </c>
      <c r="KV858" t="s">
        <v>2324</v>
      </c>
      <c r="KZ858" t="s">
        <v>13</v>
      </c>
      <c r="LA858">
        <v>1500</v>
      </c>
      <c r="LG858" t="s">
        <v>2323</v>
      </c>
      <c r="LH858" t="s">
        <v>2322</v>
      </c>
      <c r="LI858">
        <v>7.5</v>
      </c>
      <c r="LO858" t="s">
        <v>2370</v>
      </c>
      <c r="LP858" t="s">
        <v>2320</v>
      </c>
      <c r="LS858" t="s">
        <v>1944</v>
      </c>
      <c r="LT858">
        <v>2084</v>
      </c>
      <c r="LU858" t="s">
        <v>2319</v>
      </c>
      <c r="MA858" t="s">
        <v>2351</v>
      </c>
      <c r="MC858" s="58">
        <v>40292</v>
      </c>
      <c r="MS858" t="s">
        <v>2317</v>
      </c>
      <c r="MT858">
        <v>1435</v>
      </c>
      <c r="MV858" t="s">
        <v>2350</v>
      </c>
      <c r="MW858" s="2" t="s">
        <v>2315</v>
      </c>
      <c r="MX858" s="2" t="s">
        <v>2315</v>
      </c>
      <c r="MY858" s="2"/>
      <c r="MZ858" s="2"/>
      <c r="NE858" t="s">
        <v>2383</v>
      </c>
      <c r="NF858" t="s">
        <v>2382</v>
      </c>
      <c r="NG858" t="s">
        <v>1531</v>
      </c>
      <c r="NH858" t="s">
        <v>265</v>
      </c>
      <c r="NP858" t="s">
        <v>2362</v>
      </c>
      <c r="NQ858" t="s">
        <v>6</v>
      </c>
      <c r="NR858">
        <v>2312</v>
      </c>
      <c r="NS858" t="s">
        <v>29</v>
      </c>
      <c r="NW858">
        <v>3</v>
      </c>
      <c r="OH858" t="s">
        <v>2377</v>
      </c>
      <c r="OI858" t="s">
        <v>6</v>
      </c>
      <c r="OK858">
        <v>2009</v>
      </c>
      <c r="OL858">
        <v>2010</v>
      </c>
      <c r="OM858" t="s">
        <v>2330</v>
      </c>
      <c r="ON858" t="s">
        <v>2393</v>
      </c>
      <c r="OO858" t="s">
        <v>1178</v>
      </c>
      <c r="OP858" s="58">
        <v>46136</v>
      </c>
    </row>
    <row r="859" spans="1:406" ht="15.75" thickBot="1">
      <c r="A859" t="s">
        <v>248</v>
      </c>
      <c r="B859" t="s">
        <v>2346</v>
      </c>
      <c r="C859" t="s">
        <v>1904</v>
      </c>
      <c r="D859" t="s">
        <v>1955</v>
      </c>
      <c r="E859" s="90" t="s">
        <v>2345</v>
      </c>
      <c r="F859" s="89" t="s">
        <v>31</v>
      </c>
      <c r="G859" t="s">
        <v>2</v>
      </c>
      <c r="H859" t="s">
        <v>30</v>
      </c>
      <c r="I859">
        <v>23.983611109999998</v>
      </c>
      <c r="J859">
        <v>90.402222219999999</v>
      </c>
      <c r="K859" t="s">
        <v>29</v>
      </c>
      <c r="AV859" t="s">
        <v>2344</v>
      </c>
      <c r="AW859">
        <f t="shared" si="1"/>
        <v>1435</v>
      </c>
      <c r="AX859" t="s">
        <v>29</v>
      </c>
      <c r="AY859">
        <v>3</v>
      </c>
      <c r="AZ859" t="s">
        <v>2343</v>
      </c>
      <c r="BA859">
        <v>2009</v>
      </c>
      <c r="BB859">
        <v>2012</v>
      </c>
      <c r="BC859">
        <v>2009.2</v>
      </c>
      <c r="BD859" t="s">
        <v>19</v>
      </c>
      <c r="BE859" t="s">
        <v>2366</v>
      </c>
      <c r="BF859" t="s">
        <v>24</v>
      </c>
      <c r="BG859" t="s">
        <v>1243</v>
      </c>
      <c r="BH859" t="s">
        <v>2338</v>
      </c>
      <c r="BI859" t="s">
        <v>2361</v>
      </c>
      <c r="BJ859" t="s">
        <v>2281</v>
      </c>
      <c r="BK859">
        <v>30</v>
      </c>
      <c r="BL859" t="s">
        <v>275</v>
      </c>
      <c r="BM859" t="s">
        <v>2338</v>
      </c>
      <c r="BN859" t="s">
        <v>2360</v>
      </c>
      <c r="BO859" t="s">
        <v>2281</v>
      </c>
      <c r="BP859">
        <v>35</v>
      </c>
      <c r="HL859" t="s">
        <v>2369</v>
      </c>
      <c r="HM859" t="s">
        <v>297</v>
      </c>
      <c r="HN859" t="s">
        <v>2368</v>
      </c>
      <c r="HP859" t="s">
        <v>29</v>
      </c>
      <c r="HQ859">
        <v>12</v>
      </c>
      <c r="HR859" t="s">
        <v>2367</v>
      </c>
      <c r="HT859" t="s">
        <v>2333</v>
      </c>
      <c r="HU859" s="58">
        <v>40192</v>
      </c>
      <c r="HV859" s="58"/>
      <c r="IN859" t="s">
        <v>2366</v>
      </c>
      <c r="IO859" s="54" t="s">
        <v>2356</v>
      </c>
      <c r="IR859">
        <v>2009</v>
      </c>
      <c r="IS859" t="s">
        <v>2330</v>
      </c>
      <c r="IT859" s="4" t="s">
        <v>1898</v>
      </c>
      <c r="JK859" t="s">
        <v>14</v>
      </c>
      <c r="KD859" t="s">
        <v>2365</v>
      </c>
      <c r="KE859" t="s">
        <v>1561</v>
      </c>
      <c r="KF859" t="s">
        <v>2328</v>
      </c>
      <c r="KG859">
        <v>6</v>
      </c>
      <c r="KH859" t="s">
        <v>2327</v>
      </c>
      <c r="KI859" t="s">
        <v>222</v>
      </c>
      <c r="KJ859" s="8" t="s">
        <v>1941</v>
      </c>
      <c r="KM859" t="s">
        <v>219</v>
      </c>
      <c r="KN859" t="s">
        <v>2354</v>
      </c>
      <c r="KU859" t="s">
        <v>2364</v>
      </c>
      <c r="KV859" t="s">
        <v>2324</v>
      </c>
      <c r="KZ859" t="s">
        <v>13</v>
      </c>
      <c r="LA859">
        <v>2200</v>
      </c>
      <c r="LG859" t="s">
        <v>2323</v>
      </c>
      <c r="LH859" t="s">
        <v>2322</v>
      </c>
      <c r="LI859">
        <v>30</v>
      </c>
      <c r="LO859" t="s">
        <v>2363</v>
      </c>
      <c r="LP859" t="s">
        <v>2320</v>
      </c>
      <c r="LS859" t="s">
        <v>1944</v>
      </c>
      <c r="LT859">
        <v>1789</v>
      </c>
      <c r="LU859" t="s">
        <v>2319</v>
      </c>
      <c r="MA859" t="s">
        <v>2351</v>
      </c>
      <c r="MC859" s="58">
        <v>40298</v>
      </c>
      <c r="MS859" t="s">
        <v>2317</v>
      </c>
      <c r="MT859">
        <v>1435</v>
      </c>
      <c r="MV859" t="s">
        <v>2350</v>
      </c>
      <c r="MW859" s="2" t="s">
        <v>2315</v>
      </c>
      <c r="MX859" s="2" t="s">
        <v>2315</v>
      </c>
      <c r="MY859" s="2"/>
      <c r="MZ859" s="2"/>
      <c r="NE859" t="s">
        <v>2383</v>
      </c>
      <c r="NF859" t="s">
        <v>2382</v>
      </c>
      <c r="NG859" t="s">
        <v>1531</v>
      </c>
      <c r="NH859" t="s">
        <v>265</v>
      </c>
      <c r="NP859" t="s">
        <v>2362</v>
      </c>
      <c r="NQ859" t="s">
        <v>6</v>
      </c>
      <c r="NR859">
        <v>2929</v>
      </c>
      <c r="NS859" t="s">
        <v>29</v>
      </c>
      <c r="NW859">
        <v>3</v>
      </c>
      <c r="OH859" t="s">
        <v>2377</v>
      </c>
      <c r="OI859" t="s">
        <v>6</v>
      </c>
      <c r="OK859">
        <v>2009</v>
      </c>
      <c r="OL859">
        <v>2010</v>
      </c>
      <c r="OM859" t="s">
        <v>2330</v>
      </c>
      <c r="ON859" t="s">
        <v>2393</v>
      </c>
      <c r="OO859" t="s">
        <v>1178</v>
      </c>
      <c r="OP859" s="58">
        <v>46136</v>
      </c>
    </row>
    <row r="860" spans="1:406" ht="15.75" thickBot="1">
      <c r="A860" t="s">
        <v>248</v>
      </c>
      <c r="B860" t="s">
        <v>2346</v>
      </c>
      <c r="C860" t="s">
        <v>1904</v>
      </c>
      <c r="D860" t="s">
        <v>1955</v>
      </c>
      <c r="E860" s="90" t="s">
        <v>2345</v>
      </c>
      <c r="F860" s="89" t="s">
        <v>31</v>
      </c>
      <c r="G860" t="s">
        <v>2</v>
      </c>
      <c r="H860" t="s">
        <v>30</v>
      </c>
      <c r="I860">
        <v>23.983611109999998</v>
      </c>
      <c r="J860">
        <v>90.402222219999999</v>
      </c>
      <c r="K860" t="s">
        <v>29</v>
      </c>
      <c r="AV860" t="s">
        <v>2344</v>
      </c>
      <c r="AW860">
        <f t="shared" si="1"/>
        <v>1435</v>
      </c>
      <c r="AX860" t="s">
        <v>29</v>
      </c>
      <c r="AY860">
        <v>3</v>
      </c>
      <c r="AZ860" t="s">
        <v>2343</v>
      </c>
      <c r="BA860">
        <v>2009</v>
      </c>
      <c r="BB860">
        <v>2012</v>
      </c>
      <c r="BC860">
        <v>2009.2</v>
      </c>
      <c r="BD860" t="s">
        <v>19</v>
      </c>
      <c r="BE860" t="s">
        <v>2357</v>
      </c>
      <c r="BF860" t="s">
        <v>299</v>
      </c>
      <c r="BG860" t="s">
        <v>1243</v>
      </c>
      <c r="BH860" t="s">
        <v>2338</v>
      </c>
      <c r="BI860" t="s">
        <v>2361</v>
      </c>
      <c r="BJ860" t="s">
        <v>2281</v>
      </c>
      <c r="BK860">
        <v>30</v>
      </c>
      <c r="BL860" t="s">
        <v>275</v>
      </c>
      <c r="BM860" t="s">
        <v>2338</v>
      </c>
      <c r="BN860" t="s">
        <v>2360</v>
      </c>
      <c r="BO860" t="s">
        <v>2281</v>
      </c>
      <c r="BP860">
        <v>19</v>
      </c>
      <c r="HL860" t="s">
        <v>2359</v>
      </c>
      <c r="HM860" t="s">
        <v>2335</v>
      </c>
      <c r="HP860" t="s">
        <v>29</v>
      </c>
      <c r="HQ860">
        <v>4</v>
      </c>
      <c r="HR860" t="s">
        <v>2358</v>
      </c>
      <c r="HT860" t="s">
        <v>2333</v>
      </c>
      <c r="HU860" s="58">
        <v>40192</v>
      </c>
      <c r="HV860" s="58"/>
      <c r="IN860" t="s">
        <v>2357</v>
      </c>
      <c r="IO860" s="54" t="s">
        <v>2356</v>
      </c>
      <c r="IR860">
        <v>2009</v>
      </c>
      <c r="IS860" t="s">
        <v>2330</v>
      </c>
      <c r="IT860" s="4" t="s">
        <v>1898</v>
      </c>
      <c r="JK860" t="s">
        <v>14</v>
      </c>
      <c r="KD860" t="s">
        <v>2355</v>
      </c>
      <c r="KE860" t="s">
        <v>1561</v>
      </c>
      <c r="KF860" t="s">
        <v>2328</v>
      </c>
      <c r="KG860">
        <v>7</v>
      </c>
      <c r="KH860" t="s">
        <v>2327</v>
      </c>
      <c r="KI860" t="s">
        <v>222</v>
      </c>
      <c r="KJ860" s="8" t="s">
        <v>1941</v>
      </c>
      <c r="KM860" t="s">
        <v>219</v>
      </c>
      <c r="KN860" t="s">
        <v>2354</v>
      </c>
      <c r="KU860" t="s">
        <v>2353</v>
      </c>
      <c r="KV860" t="s">
        <v>2324</v>
      </c>
      <c r="KZ860" t="s">
        <v>13</v>
      </c>
      <c r="LA860">
        <v>2600</v>
      </c>
      <c r="LG860" t="s">
        <v>2323</v>
      </c>
      <c r="LH860" t="s">
        <v>2322</v>
      </c>
      <c r="LI860">
        <v>30</v>
      </c>
      <c r="LO860" t="s">
        <v>2352</v>
      </c>
      <c r="LP860" t="s">
        <v>2320</v>
      </c>
      <c r="LS860" t="s">
        <v>1944</v>
      </c>
      <c r="LT860">
        <v>1898</v>
      </c>
      <c r="LU860" t="s">
        <v>2319</v>
      </c>
      <c r="MA860" t="s">
        <v>2351</v>
      </c>
      <c r="MC860" s="58">
        <v>40299</v>
      </c>
      <c r="MS860" t="s">
        <v>2317</v>
      </c>
      <c r="MT860">
        <v>1435</v>
      </c>
      <c r="MV860" t="s">
        <v>2350</v>
      </c>
      <c r="MW860" s="2" t="s">
        <v>2315</v>
      </c>
      <c r="MX860" s="2" t="s">
        <v>2315</v>
      </c>
      <c r="MY860" s="2"/>
      <c r="MZ860" s="2"/>
      <c r="NE860" t="s">
        <v>2383</v>
      </c>
      <c r="NF860" t="s">
        <v>2382</v>
      </c>
      <c r="NG860" t="s">
        <v>1531</v>
      </c>
      <c r="NH860" t="s">
        <v>265</v>
      </c>
      <c r="NP860" t="s">
        <v>64</v>
      </c>
      <c r="NQ860" t="s">
        <v>6</v>
      </c>
      <c r="NR860">
        <v>2892</v>
      </c>
      <c r="NS860" t="s">
        <v>29</v>
      </c>
      <c r="NW860">
        <v>3</v>
      </c>
      <c r="OH860" t="s">
        <v>2377</v>
      </c>
      <c r="OI860" t="s">
        <v>6</v>
      </c>
      <c r="OK860">
        <v>2009</v>
      </c>
      <c r="OL860">
        <v>2010</v>
      </c>
      <c r="OM860" t="s">
        <v>2330</v>
      </c>
      <c r="ON860" t="s">
        <v>2393</v>
      </c>
      <c r="OO860" t="s">
        <v>1178</v>
      </c>
      <c r="OP860" s="58">
        <v>46136</v>
      </c>
    </row>
    <row r="861" spans="1:406" ht="15.75" thickBot="1">
      <c r="A861" t="s">
        <v>248</v>
      </c>
      <c r="B861" t="s">
        <v>2346</v>
      </c>
      <c r="C861" t="s">
        <v>1904</v>
      </c>
      <c r="D861" t="s">
        <v>1955</v>
      </c>
      <c r="E861" s="90" t="s">
        <v>2345</v>
      </c>
      <c r="F861" s="89" t="s">
        <v>31</v>
      </c>
      <c r="G861" t="s">
        <v>2</v>
      </c>
      <c r="H861" t="s">
        <v>30</v>
      </c>
      <c r="I861">
        <v>23.983611109999998</v>
      </c>
      <c r="J861">
        <v>90.402222219999999</v>
      </c>
      <c r="K861" t="s">
        <v>29</v>
      </c>
      <c r="AV861" t="s">
        <v>2344</v>
      </c>
      <c r="AW861">
        <f t="shared" si="1"/>
        <v>1435</v>
      </c>
      <c r="AX861" t="s">
        <v>29</v>
      </c>
      <c r="AY861">
        <v>3</v>
      </c>
      <c r="AZ861" t="s">
        <v>2343</v>
      </c>
      <c r="BA861">
        <v>2009</v>
      </c>
      <c r="BB861">
        <v>2012</v>
      </c>
      <c r="BC861">
        <v>2009.2</v>
      </c>
      <c r="BD861" t="s">
        <v>274</v>
      </c>
      <c r="BE861" t="s">
        <v>2332</v>
      </c>
      <c r="BF861" t="s">
        <v>64</v>
      </c>
      <c r="BG861" t="s">
        <v>1243</v>
      </c>
      <c r="BH861" t="s">
        <v>1913</v>
      </c>
      <c r="BI861" t="s">
        <v>2342</v>
      </c>
      <c r="BJ861" t="s">
        <v>2281</v>
      </c>
      <c r="BK861">
        <v>1614</v>
      </c>
      <c r="BL861" t="s">
        <v>275</v>
      </c>
      <c r="BM861" t="s">
        <v>23</v>
      </c>
      <c r="BN861" t="s">
        <v>2341</v>
      </c>
      <c r="BO861" t="s">
        <v>2281</v>
      </c>
      <c r="BP861">
        <v>20</v>
      </c>
      <c r="BQ861" t="s">
        <v>275</v>
      </c>
      <c r="BR861" t="s">
        <v>1936</v>
      </c>
      <c r="BS861" t="s">
        <v>2340</v>
      </c>
      <c r="BT861" t="s">
        <v>2281</v>
      </c>
      <c r="BU861">
        <v>30</v>
      </c>
      <c r="BV861" t="s">
        <v>275</v>
      </c>
      <c r="BW861" t="s">
        <v>2338</v>
      </c>
      <c r="BX861" t="s">
        <v>2339</v>
      </c>
      <c r="BY861" t="s">
        <v>2281</v>
      </c>
      <c r="BZ861">
        <v>35</v>
      </c>
      <c r="CA861" t="s">
        <v>275</v>
      </c>
      <c r="CB861" t="s">
        <v>2338</v>
      </c>
      <c r="CC861" t="s">
        <v>2337</v>
      </c>
      <c r="CD861" t="s">
        <v>2281</v>
      </c>
      <c r="CE861">
        <v>19</v>
      </c>
      <c r="HL861" t="s">
        <v>2336</v>
      </c>
      <c r="HM861" t="s">
        <v>2335</v>
      </c>
      <c r="HP861" t="s">
        <v>29</v>
      </c>
      <c r="HQ861">
        <v>9</v>
      </c>
      <c r="HR861" t="s">
        <v>2334</v>
      </c>
      <c r="HT861" t="s">
        <v>2333</v>
      </c>
      <c r="HU861" s="58">
        <v>40153</v>
      </c>
      <c r="IN861" t="s">
        <v>2332</v>
      </c>
      <c r="IO861" t="s">
        <v>2331</v>
      </c>
      <c r="IR861">
        <v>2009</v>
      </c>
      <c r="IS861" t="s">
        <v>2330</v>
      </c>
      <c r="IT861" s="4" t="s">
        <v>1898</v>
      </c>
      <c r="JK861" t="s">
        <v>14</v>
      </c>
      <c r="KD861" t="s">
        <v>2329</v>
      </c>
      <c r="KE861" t="s">
        <v>1561</v>
      </c>
      <c r="KF861" t="s">
        <v>2328</v>
      </c>
      <c r="KG861">
        <v>4</v>
      </c>
      <c r="KH861" t="s">
        <v>2327</v>
      </c>
      <c r="KI861" t="s">
        <v>2171</v>
      </c>
      <c r="KM861" t="s">
        <v>219</v>
      </c>
      <c r="KN861" t="s">
        <v>2326</v>
      </c>
      <c r="KU861" t="s">
        <v>2325</v>
      </c>
      <c r="KV861" t="s">
        <v>2324</v>
      </c>
      <c r="KZ861" t="s">
        <v>13</v>
      </c>
      <c r="LA861">
        <v>4600</v>
      </c>
      <c r="LG861" t="s">
        <v>2323</v>
      </c>
      <c r="LH861" t="s">
        <v>2322</v>
      </c>
      <c r="LI861">
        <v>30</v>
      </c>
      <c r="LO861" t="s">
        <v>2321</v>
      </c>
      <c r="LP861" t="s">
        <v>2320</v>
      </c>
      <c r="LS861" t="s">
        <v>1944</v>
      </c>
      <c r="LT861">
        <v>1426</v>
      </c>
      <c r="LU861" t="s">
        <v>2319</v>
      </c>
      <c r="MA861" t="s">
        <v>2318</v>
      </c>
      <c r="MC861" s="58">
        <v>40224</v>
      </c>
      <c r="MS861" t="s">
        <v>2317</v>
      </c>
      <c r="MT861">
        <v>1435</v>
      </c>
      <c r="MV861" t="s">
        <v>2316</v>
      </c>
      <c r="MW861" s="2"/>
      <c r="MX861" s="2" t="s">
        <v>2315</v>
      </c>
      <c r="MY861" t="s">
        <v>1913</v>
      </c>
      <c r="MZ861" s="2" t="s">
        <v>168</v>
      </c>
      <c r="NE861" t="s">
        <v>2383</v>
      </c>
      <c r="NF861" t="s">
        <v>2382</v>
      </c>
      <c r="NG861" t="s">
        <v>1531</v>
      </c>
      <c r="NH861" t="s">
        <v>265</v>
      </c>
      <c r="NQ861" t="s">
        <v>6</v>
      </c>
      <c r="NR861">
        <v>5545</v>
      </c>
      <c r="NS861" t="s">
        <v>29</v>
      </c>
      <c r="NW861">
        <v>3</v>
      </c>
      <c r="OH861" t="s">
        <v>2377</v>
      </c>
      <c r="OI861" t="s">
        <v>6</v>
      </c>
      <c r="OK861">
        <v>2009</v>
      </c>
      <c r="OL861">
        <v>2010</v>
      </c>
      <c r="OM861" t="s">
        <v>2330</v>
      </c>
      <c r="ON861" t="s">
        <v>2393</v>
      </c>
      <c r="OO861" t="s">
        <v>1178</v>
      </c>
      <c r="OP861" s="58">
        <v>46136</v>
      </c>
    </row>
    <row r="862" spans="1:406" ht="15.75" thickBot="1">
      <c r="A862" t="s">
        <v>248</v>
      </c>
      <c r="B862" t="s">
        <v>2346</v>
      </c>
      <c r="C862" t="s">
        <v>1904</v>
      </c>
      <c r="D862" t="s">
        <v>1955</v>
      </c>
      <c r="E862" s="90" t="s">
        <v>2345</v>
      </c>
      <c r="F862" s="89" t="s">
        <v>31</v>
      </c>
      <c r="G862" t="s">
        <v>2</v>
      </c>
      <c r="H862" t="s">
        <v>30</v>
      </c>
      <c r="I862">
        <v>23.983611109999998</v>
      </c>
      <c r="J862">
        <v>90.402222219999999</v>
      </c>
      <c r="K862" t="s">
        <v>29</v>
      </c>
      <c r="AV862" t="s">
        <v>2344</v>
      </c>
      <c r="AW862">
        <f t="shared" si="1"/>
        <v>1435</v>
      </c>
      <c r="AX862" t="s">
        <v>29</v>
      </c>
      <c r="AY862">
        <v>3</v>
      </c>
      <c r="AZ862" t="s">
        <v>2343</v>
      </c>
      <c r="BA862">
        <v>2009</v>
      </c>
      <c r="BB862">
        <v>2012</v>
      </c>
      <c r="BC862">
        <v>2009.2</v>
      </c>
      <c r="BD862" t="s">
        <v>19</v>
      </c>
      <c r="BE862" t="s">
        <v>2373</v>
      </c>
      <c r="BF862" t="s">
        <v>39</v>
      </c>
      <c r="BG862" t="s">
        <v>1243</v>
      </c>
      <c r="BH862" t="s">
        <v>2338</v>
      </c>
      <c r="BI862" t="s">
        <v>2361</v>
      </c>
      <c r="BJ862" t="s">
        <v>2281</v>
      </c>
      <c r="BK862">
        <v>45</v>
      </c>
      <c r="BL862" t="s">
        <v>275</v>
      </c>
      <c r="BM862" t="s">
        <v>2338</v>
      </c>
      <c r="BN862" t="s">
        <v>2374</v>
      </c>
      <c r="BO862" t="s">
        <v>2281</v>
      </c>
      <c r="BP862">
        <v>49</v>
      </c>
      <c r="BQ862" t="s">
        <v>275</v>
      </c>
      <c r="BR862" t="s">
        <v>2338</v>
      </c>
      <c r="BS862" t="s">
        <v>2360</v>
      </c>
      <c r="BT862" t="s">
        <v>2281</v>
      </c>
      <c r="BU862">
        <v>49</v>
      </c>
      <c r="HL862" t="s">
        <v>2369</v>
      </c>
      <c r="HM862" t="s">
        <v>297</v>
      </c>
      <c r="HN862" t="s">
        <v>2368</v>
      </c>
      <c r="HP862" t="s">
        <v>29</v>
      </c>
      <c r="HQ862">
        <v>12</v>
      </c>
      <c r="HR862" t="s">
        <v>2367</v>
      </c>
      <c r="HT862" t="s">
        <v>2333</v>
      </c>
      <c r="HU862" s="58">
        <v>40202</v>
      </c>
      <c r="HV862" s="58"/>
      <c r="IN862" t="s">
        <v>2373</v>
      </c>
      <c r="IO862" s="54" t="s">
        <v>2356</v>
      </c>
      <c r="IR862">
        <v>2009</v>
      </c>
      <c r="IS862" t="s">
        <v>2330</v>
      </c>
      <c r="IT862" s="4" t="s">
        <v>1898</v>
      </c>
      <c r="JK862" t="s">
        <v>14</v>
      </c>
      <c r="KD862" t="s">
        <v>2372</v>
      </c>
      <c r="KE862" t="s">
        <v>1561</v>
      </c>
      <c r="KF862" t="s">
        <v>2328</v>
      </c>
      <c r="KG862">
        <v>3</v>
      </c>
      <c r="KH862" t="s">
        <v>2327</v>
      </c>
      <c r="KI862" t="s">
        <v>2171</v>
      </c>
      <c r="KM862" t="s">
        <v>219</v>
      </c>
      <c r="KN862" s="8" t="s">
        <v>2376</v>
      </c>
      <c r="KU862" t="s">
        <v>2371</v>
      </c>
      <c r="KV862" t="s">
        <v>2324</v>
      </c>
      <c r="KZ862" t="s">
        <v>13</v>
      </c>
      <c r="LA862">
        <v>0</v>
      </c>
      <c r="LG862" t="s">
        <v>2323</v>
      </c>
      <c r="LH862" t="s">
        <v>2322</v>
      </c>
      <c r="LI862">
        <v>7.5</v>
      </c>
      <c r="LO862" t="s">
        <v>2370</v>
      </c>
      <c r="LP862" t="s">
        <v>2320</v>
      </c>
      <c r="LS862" t="s">
        <v>1944</v>
      </c>
      <c r="LT862">
        <v>2172</v>
      </c>
      <c r="LU862" t="s">
        <v>2319</v>
      </c>
      <c r="MA862" t="s">
        <v>2351</v>
      </c>
      <c r="MC862" s="58">
        <v>40292</v>
      </c>
      <c r="MS862" t="s">
        <v>2317</v>
      </c>
      <c r="MT862">
        <v>1435</v>
      </c>
      <c r="MV862" t="s">
        <v>2350</v>
      </c>
      <c r="MW862" s="2" t="s">
        <v>2315</v>
      </c>
      <c r="MX862" s="2" t="s">
        <v>2315</v>
      </c>
      <c r="MY862" s="2"/>
      <c r="MZ862" s="2"/>
      <c r="NE862" t="s">
        <v>2383</v>
      </c>
      <c r="NF862" t="s">
        <v>2382</v>
      </c>
      <c r="NG862" t="s">
        <v>1531</v>
      </c>
      <c r="NH862" t="s">
        <v>265</v>
      </c>
      <c r="NP862" t="s">
        <v>2362</v>
      </c>
      <c r="NQ862" t="s">
        <v>6</v>
      </c>
      <c r="NR862">
        <v>2128</v>
      </c>
      <c r="NS862" t="s">
        <v>29</v>
      </c>
      <c r="NW862">
        <v>3</v>
      </c>
      <c r="OH862" t="s">
        <v>2377</v>
      </c>
      <c r="OI862" t="s">
        <v>6</v>
      </c>
      <c r="OK862">
        <v>2010</v>
      </c>
      <c r="OL862">
        <v>2011</v>
      </c>
      <c r="OM862" t="s">
        <v>2330</v>
      </c>
      <c r="ON862" t="s">
        <v>2393</v>
      </c>
      <c r="OO862" t="s">
        <v>1178</v>
      </c>
      <c r="OP862" s="58">
        <v>46136</v>
      </c>
    </row>
    <row r="863" spans="1:406" ht="15.75" thickBot="1">
      <c r="A863" t="s">
        <v>248</v>
      </c>
      <c r="B863" t="s">
        <v>2346</v>
      </c>
      <c r="C863" t="s">
        <v>1904</v>
      </c>
      <c r="D863" t="s">
        <v>1955</v>
      </c>
      <c r="E863" s="90" t="s">
        <v>2345</v>
      </c>
      <c r="F863" s="89" t="s">
        <v>31</v>
      </c>
      <c r="G863" t="s">
        <v>2</v>
      </c>
      <c r="H863" t="s">
        <v>30</v>
      </c>
      <c r="I863">
        <v>23.983611109999998</v>
      </c>
      <c r="J863">
        <v>90.402222219999999</v>
      </c>
      <c r="K863" t="s">
        <v>29</v>
      </c>
      <c r="AV863" t="s">
        <v>2344</v>
      </c>
      <c r="AW863">
        <f t="shared" si="1"/>
        <v>1435</v>
      </c>
      <c r="AX863" t="s">
        <v>29</v>
      </c>
      <c r="AY863">
        <v>3</v>
      </c>
      <c r="AZ863" t="s">
        <v>2343</v>
      </c>
      <c r="BA863">
        <v>2009</v>
      </c>
      <c r="BB863">
        <v>2012</v>
      </c>
      <c r="BC863">
        <v>2009.2</v>
      </c>
      <c r="BD863" t="s">
        <v>19</v>
      </c>
      <c r="BE863" t="s">
        <v>2366</v>
      </c>
      <c r="BF863" t="s">
        <v>24</v>
      </c>
      <c r="BG863" t="s">
        <v>1243</v>
      </c>
      <c r="BH863" t="s">
        <v>2338</v>
      </c>
      <c r="BI863" t="s">
        <v>2361</v>
      </c>
      <c r="BJ863" t="s">
        <v>2281</v>
      </c>
      <c r="BK863">
        <v>30</v>
      </c>
      <c r="BL863" t="s">
        <v>275</v>
      </c>
      <c r="BM863" t="s">
        <v>2338</v>
      </c>
      <c r="BN863" t="s">
        <v>2360</v>
      </c>
      <c r="BO863" t="s">
        <v>2281</v>
      </c>
      <c r="BP863">
        <v>35</v>
      </c>
      <c r="HL863" t="s">
        <v>2369</v>
      </c>
      <c r="HM863" t="s">
        <v>297</v>
      </c>
      <c r="HN863" t="s">
        <v>2368</v>
      </c>
      <c r="HP863" t="s">
        <v>29</v>
      </c>
      <c r="HQ863">
        <v>12</v>
      </c>
      <c r="HR863" t="s">
        <v>2367</v>
      </c>
      <c r="HT863" t="s">
        <v>2333</v>
      </c>
      <c r="HU863" s="58">
        <v>40192</v>
      </c>
      <c r="HV863" s="58"/>
      <c r="IN863" t="s">
        <v>2366</v>
      </c>
      <c r="IO863" s="54" t="s">
        <v>2356</v>
      </c>
      <c r="IR863">
        <v>2009</v>
      </c>
      <c r="IS863" t="s">
        <v>2330</v>
      </c>
      <c r="IT863" s="4" t="s">
        <v>1898</v>
      </c>
      <c r="JK863" t="s">
        <v>14</v>
      </c>
      <c r="KD863" t="s">
        <v>2365</v>
      </c>
      <c r="KE863" t="s">
        <v>1561</v>
      </c>
      <c r="KF863" t="s">
        <v>2328</v>
      </c>
      <c r="KG863">
        <v>6</v>
      </c>
      <c r="KH863" t="s">
        <v>2327</v>
      </c>
      <c r="KI863" t="s">
        <v>222</v>
      </c>
      <c r="KJ863" s="8" t="s">
        <v>1941</v>
      </c>
      <c r="KM863" t="s">
        <v>219</v>
      </c>
      <c r="KN863" t="s">
        <v>2354</v>
      </c>
      <c r="KU863" t="s">
        <v>2364</v>
      </c>
      <c r="KV863" t="s">
        <v>2324</v>
      </c>
      <c r="KZ863" t="s">
        <v>13</v>
      </c>
      <c r="LA863">
        <v>1600</v>
      </c>
      <c r="LG863" t="s">
        <v>2323</v>
      </c>
      <c r="LH863" t="s">
        <v>2322</v>
      </c>
      <c r="LI863">
        <v>30</v>
      </c>
      <c r="LO863" t="s">
        <v>2363</v>
      </c>
      <c r="LP863" t="s">
        <v>2320</v>
      </c>
      <c r="LS863" t="s">
        <v>1944</v>
      </c>
      <c r="LT863">
        <v>1946</v>
      </c>
      <c r="LU863" t="s">
        <v>2319</v>
      </c>
      <c r="MA863" t="s">
        <v>2351</v>
      </c>
      <c r="MC863" s="58">
        <v>40298</v>
      </c>
      <c r="MS863" t="s">
        <v>2317</v>
      </c>
      <c r="MT863">
        <v>1435</v>
      </c>
      <c r="MV863" t="s">
        <v>2350</v>
      </c>
      <c r="MW863" s="2" t="s">
        <v>2315</v>
      </c>
      <c r="MX863" s="2" t="s">
        <v>2315</v>
      </c>
      <c r="MY863" s="2"/>
      <c r="MZ863" s="2"/>
      <c r="NE863" t="s">
        <v>2383</v>
      </c>
      <c r="NF863" t="s">
        <v>2382</v>
      </c>
      <c r="NG863" t="s">
        <v>1531</v>
      </c>
      <c r="NH863" t="s">
        <v>265</v>
      </c>
      <c r="NP863" t="s">
        <v>2362</v>
      </c>
      <c r="NQ863" t="s">
        <v>6</v>
      </c>
      <c r="NR863">
        <v>2833</v>
      </c>
      <c r="NS863" t="s">
        <v>29</v>
      </c>
      <c r="NW863">
        <v>3</v>
      </c>
      <c r="OH863" t="s">
        <v>2377</v>
      </c>
      <c r="OI863" t="s">
        <v>6</v>
      </c>
      <c r="OK863">
        <v>2010</v>
      </c>
      <c r="OL863">
        <v>2011</v>
      </c>
      <c r="OM863" t="s">
        <v>2330</v>
      </c>
      <c r="ON863" t="s">
        <v>2393</v>
      </c>
      <c r="OO863" t="s">
        <v>1178</v>
      </c>
      <c r="OP863" s="58">
        <v>46136</v>
      </c>
    </row>
    <row r="864" spans="1:406" ht="15.75" thickBot="1">
      <c r="A864" t="s">
        <v>248</v>
      </c>
      <c r="B864" t="s">
        <v>2346</v>
      </c>
      <c r="C864" t="s">
        <v>1904</v>
      </c>
      <c r="D864" t="s">
        <v>1955</v>
      </c>
      <c r="E864" s="90" t="s">
        <v>2345</v>
      </c>
      <c r="F864" s="89" t="s">
        <v>31</v>
      </c>
      <c r="G864" t="s">
        <v>2</v>
      </c>
      <c r="H864" t="s">
        <v>30</v>
      </c>
      <c r="I864">
        <v>23.983611109999998</v>
      </c>
      <c r="J864">
        <v>90.402222219999999</v>
      </c>
      <c r="K864" t="s">
        <v>29</v>
      </c>
      <c r="AV864" t="s">
        <v>2344</v>
      </c>
      <c r="AW864">
        <f t="shared" si="1"/>
        <v>1435</v>
      </c>
      <c r="AX864" t="s">
        <v>29</v>
      </c>
      <c r="AY864">
        <v>3</v>
      </c>
      <c r="AZ864" t="s">
        <v>2343</v>
      </c>
      <c r="BA864">
        <v>2009</v>
      </c>
      <c r="BB864">
        <v>2012</v>
      </c>
      <c r="BC864">
        <v>2009.2</v>
      </c>
      <c r="BD864" t="s">
        <v>19</v>
      </c>
      <c r="BE864" t="s">
        <v>2357</v>
      </c>
      <c r="BF864" t="s">
        <v>299</v>
      </c>
      <c r="BG864" t="s">
        <v>1243</v>
      </c>
      <c r="BH864" t="s">
        <v>2338</v>
      </c>
      <c r="BI864" t="s">
        <v>2361</v>
      </c>
      <c r="BJ864" t="s">
        <v>2281</v>
      </c>
      <c r="BK864">
        <v>30</v>
      </c>
      <c r="BL864" t="s">
        <v>275</v>
      </c>
      <c r="BM864" t="s">
        <v>2338</v>
      </c>
      <c r="BN864" t="s">
        <v>2360</v>
      </c>
      <c r="BO864" t="s">
        <v>2281</v>
      </c>
      <c r="BP864">
        <v>19</v>
      </c>
      <c r="HL864" t="s">
        <v>2359</v>
      </c>
      <c r="HM864" t="s">
        <v>2335</v>
      </c>
      <c r="HP864" t="s">
        <v>29</v>
      </c>
      <c r="HQ864">
        <v>4</v>
      </c>
      <c r="HR864" t="s">
        <v>2358</v>
      </c>
      <c r="HT864" t="s">
        <v>2333</v>
      </c>
      <c r="HU864" s="58">
        <v>40192</v>
      </c>
      <c r="HV864" s="58"/>
      <c r="IN864" t="s">
        <v>2357</v>
      </c>
      <c r="IO864" s="54" t="s">
        <v>2356</v>
      </c>
      <c r="IR864">
        <v>2009</v>
      </c>
      <c r="IS864" t="s">
        <v>2330</v>
      </c>
      <c r="IT864" s="4" t="s">
        <v>1898</v>
      </c>
      <c r="JK864" t="s">
        <v>14</v>
      </c>
      <c r="KD864" t="s">
        <v>2355</v>
      </c>
      <c r="KE864" t="s">
        <v>1561</v>
      </c>
      <c r="KF864" t="s">
        <v>2328</v>
      </c>
      <c r="KG864">
        <v>7</v>
      </c>
      <c r="KH864" t="s">
        <v>2327</v>
      </c>
      <c r="KI864" t="s">
        <v>222</v>
      </c>
      <c r="KJ864" s="8" t="s">
        <v>1941</v>
      </c>
      <c r="KM864" t="s">
        <v>219</v>
      </c>
      <c r="KN864" t="s">
        <v>2354</v>
      </c>
      <c r="KU864" t="s">
        <v>2353</v>
      </c>
      <c r="KV864" t="s">
        <v>2324</v>
      </c>
      <c r="KZ864" t="s">
        <v>13</v>
      </c>
      <c r="LA864">
        <v>1400</v>
      </c>
      <c r="LG864" t="s">
        <v>2323</v>
      </c>
      <c r="LH864" t="s">
        <v>2322</v>
      </c>
      <c r="LI864">
        <v>30</v>
      </c>
      <c r="LO864" t="s">
        <v>2352</v>
      </c>
      <c r="LP864" t="s">
        <v>2320</v>
      </c>
      <c r="LS864" t="s">
        <v>1944</v>
      </c>
      <c r="LT864">
        <v>2001</v>
      </c>
      <c r="LU864" t="s">
        <v>2319</v>
      </c>
      <c r="MA864" t="s">
        <v>2351</v>
      </c>
      <c r="MC864" s="58">
        <v>40299</v>
      </c>
      <c r="MS864" t="s">
        <v>2317</v>
      </c>
      <c r="MT864">
        <v>1435</v>
      </c>
      <c r="MV864" t="s">
        <v>2350</v>
      </c>
      <c r="MW864" s="2" t="s">
        <v>2315</v>
      </c>
      <c r="MX864" s="2" t="s">
        <v>2315</v>
      </c>
      <c r="MY864" s="2"/>
      <c r="MZ864" s="2"/>
      <c r="NE864" t="s">
        <v>2383</v>
      </c>
      <c r="NF864" t="s">
        <v>2382</v>
      </c>
      <c r="NG864" t="s">
        <v>1531</v>
      </c>
      <c r="NH864" t="s">
        <v>265</v>
      </c>
      <c r="NP864" t="s">
        <v>64</v>
      </c>
      <c r="NQ864" t="s">
        <v>6</v>
      </c>
      <c r="NR864">
        <v>2781</v>
      </c>
      <c r="NS864" t="s">
        <v>29</v>
      </c>
      <c r="NW864">
        <v>3</v>
      </c>
      <c r="OH864" t="s">
        <v>2377</v>
      </c>
      <c r="OI864" t="s">
        <v>6</v>
      </c>
      <c r="OK864">
        <v>2010</v>
      </c>
      <c r="OL864">
        <v>2011</v>
      </c>
      <c r="OM864" t="s">
        <v>2330</v>
      </c>
      <c r="ON864" t="s">
        <v>2393</v>
      </c>
      <c r="OO864" t="s">
        <v>1178</v>
      </c>
      <c r="OP864" s="58">
        <v>46136</v>
      </c>
    </row>
    <row r="865" spans="1:406" ht="15.75" thickBot="1">
      <c r="A865" t="s">
        <v>248</v>
      </c>
      <c r="B865" t="s">
        <v>2346</v>
      </c>
      <c r="C865" t="s">
        <v>1904</v>
      </c>
      <c r="D865" t="s">
        <v>1955</v>
      </c>
      <c r="E865" s="90" t="s">
        <v>2345</v>
      </c>
      <c r="F865" s="89" t="s">
        <v>31</v>
      </c>
      <c r="G865" t="s">
        <v>2</v>
      </c>
      <c r="H865" t="s">
        <v>30</v>
      </c>
      <c r="I865">
        <v>23.983611109999998</v>
      </c>
      <c r="J865">
        <v>90.402222219999999</v>
      </c>
      <c r="K865" t="s">
        <v>29</v>
      </c>
      <c r="AV865" t="s">
        <v>2344</v>
      </c>
      <c r="AW865">
        <f t="shared" si="1"/>
        <v>1435</v>
      </c>
      <c r="AX865" t="s">
        <v>29</v>
      </c>
      <c r="AY865">
        <v>3</v>
      </c>
      <c r="AZ865" t="s">
        <v>2343</v>
      </c>
      <c r="BA865">
        <v>2009</v>
      </c>
      <c r="BB865">
        <v>2012</v>
      </c>
      <c r="BC865">
        <v>2009.2</v>
      </c>
      <c r="BD865" t="s">
        <v>274</v>
      </c>
      <c r="BE865" t="s">
        <v>2332</v>
      </c>
      <c r="BF865" t="s">
        <v>64</v>
      </c>
      <c r="BG865" t="s">
        <v>1243</v>
      </c>
      <c r="BH865" t="s">
        <v>1913</v>
      </c>
      <c r="BI865" t="s">
        <v>2342</v>
      </c>
      <c r="BJ865" t="s">
        <v>2281</v>
      </c>
      <c r="BK865">
        <v>1614</v>
      </c>
      <c r="BL865" t="s">
        <v>275</v>
      </c>
      <c r="BM865" t="s">
        <v>23</v>
      </c>
      <c r="BN865" t="s">
        <v>2341</v>
      </c>
      <c r="BO865" t="s">
        <v>2281</v>
      </c>
      <c r="BP865">
        <v>20</v>
      </c>
      <c r="BQ865" t="s">
        <v>275</v>
      </c>
      <c r="BR865" t="s">
        <v>1936</v>
      </c>
      <c r="BS865" t="s">
        <v>2340</v>
      </c>
      <c r="BT865" t="s">
        <v>2281</v>
      </c>
      <c r="BU865">
        <v>30</v>
      </c>
      <c r="BV865" t="s">
        <v>275</v>
      </c>
      <c r="BW865" t="s">
        <v>2338</v>
      </c>
      <c r="BX865" t="s">
        <v>2339</v>
      </c>
      <c r="BY865" t="s">
        <v>2281</v>
      </c>
      <c r="BZ865">
        <v>35</v>
      </c>
      <c r="CA865" t="s">
        <v>275</v>
      </c>
      <c r="CB865" t="s">
        <v>2338</v>
      </c>
      <c r="CC865" t="s">
        <v>2337</v>
      </c>
      <c r="CD865" t="s">
        <v>2281</v>
      </c>
      <c r="CE865">
        <v>19</v>
      </c>
      <c r="HL865" t="s">
        <v>2336</v>
      </c>
      <c r="HM865" t="s">
        <v>2335</v>
      </c>
      <c r="HP865" t="s">
        <v>29</v>
      </c>
      <c r="HQ865">
        <v>9</v>
      </c>
      <c r="HR865" t="s">
        <v>2334</v>
      </c>
      <c r="HT865" t="s">
        <v>2333</v>
      </c>
      <c r="HU865" s="58">
        <v>40153</v>
      </c>
      <c r="IN865" t="s">
        <v>2332</v>
      </c>
      <c r="IO865" t="s">
        <v>2331</v>
      </c>
      <c r="IR865">
        <v>2009</v>
      </c>
      <c r="IS865" t="s">
        <v>2330</v>
      </c>
      <c r="IT865" s="4" t="s">
        <v>1898</v>
      </c>
      <c r="JK865" t="s">
        <v>14</v>
      </c>
      <c r="KD865" t="s">
        <v>2329</v>
      </c>
      <c r="KE865" t="s">
        <v>1561</v>
      </c>
      <c r="KF865" t="s">
        <v>2328</v>
      </c>
      <c r="KG865">
        <v>4</v>
      </c>
      <c r="KH865" t="s">
        <v>2327</v>
      </c>
      <c r="KI865" t="s">
        <v>2171</v>
      </c>
      <c r="KM865" t="s">
        <v>219</v>
      </c>
      <c r="KN865" t="s">
        <v>2326</v>
      </c>
      <c r="KQ865" t="s">
        <v>219</v>
      </c>
      <c r="KR865" s="8" t="s">
        <v>2375</v>
      </c>
      <c r="KU865" t="s">
        <v>2325</v>
      </c>
      <c r="KV865" t="s">
        <v>2324</v>
      </c>
      <c r="KZ865" t="s">
        <v>13</v>
      </c>
      <c r="LA865">
        <v>1600</v>
      </c>
      <c r="LG865" t="s">
        <v>2323</v>
      </c>
      <c r="LH865" t="s">
        <v>2322</v>
      </c>
      <c r="LI865">
        <v>30</v>
      </c>
      <c r="LO865" t="s">
        <v>2321</v>
      </c>
      <c r="LP865" t="s">
        <v>2320</v>
      </c>
      <c r="LS865" t="s">
        <v>1944</v>
      </c>
      <c r="LT865">
        <v>1186</v>
      </c>
      <c r="LU865" t="s">
        <v>2319</v>
      </c>
      <c r="MA865" t="s">
        <v>2318</v>
      </c>
      <c r="MC865" s="58">
        <v>40224</v>
      </c>
      <c r="MS865" t="s">
        <v>2317</v>
      </c>
      <c r="MT865">
        <v>1435</v>
      </c>
      <c r="MV865" t="s">
        <v>2316</v>
      </c>
      <c r="MW865" s="2"/>
      <c r="MX865" s="2" t="s">
        <v>2315</v>
      </c>
      <c r="MY865" s="2"/>
      <c r="MZ865" s="2"/>
      <c r="NE865" t="s">
        <v>2383</v>
      </c>
      <c r="NF865" t="s">
        <v>2382</v>
      </c>
      <c r="NG865" t="s">
        <v>1531</v>
      </c>
      <c r="NH865" t="s">
        <v>265</v>
      </c>
      <c r="NQ865" t="s">
        <v>6</v>
      </c>
      <c r="NR865">
        <v>3871</v>
      </c>
      <c r="NS865" t="s">
        <v>29</v>
      </c>
      <c r="NW865">
        <v>3</v>
      </c>
      <c r="OH865" t="s">
        <v>2377</v>
      </c>
      <c r="OI865" t="s">
        <v>6</v>
      </c>
      <c r="OK865">
        <v>2010</v>
      </c>
      <c r="OL865">
        <v>2011</v>
      </c>
      <c r="OM865" t="s">
        <v>2330</v>
      </c>
      <c r="ON865" t="s">
        <v>2393</v>
      </c>
      <c r="OO865" t="s">
        <v>1178</v>
      </c>
      <c r="OP865" s="58">
        <v>46136</v>
      </c>
    </row>
    <row r="866" spans="1:406" ht="15.75" thickBot="1">
      <c r="A866" t="s">
        <v>248</v>
      </c>
      <c r="B866" t="s">
        <v>2346</v>
      </c>
      <c r="C866" t="s">
        <v>1904</v>
      </c>
      <c r="D866" t="s">
        <v>1955</v>
      </c>
      <c r="E866" s="90" t="s">
        <v>2345</v>
      </c>
      <c r="F866" s="89" t="s">
        <v>31</v>
      </c>
      <c r="G866" t="s">
        <v>2</v>
      </c>
      <c r="H866" t="s">
        <v>30</v>
      </c>
      <c r="I866">
        <v>23.983611109999998</v>
      </c>
      <c r="J866">
        <v>90.402222219999999</v>
      </c>
      <c r="K866" t="s">
        <v>29</v>
      </c>
      <c r="AV866" t="s">
        <v>2344</v>
      </c>
      <c r="AW866">
        <f t="shared" si="1"/>
        <v>1435</v>
      </c>
      <c r="AX866" t="s">
        <v>29</v>
      </c>
      <c r="AY866">
        <v>3</v>
      </c>
      <c r="AZ866" t="s">
        <v>2343</v>
      </c>
      <c r="BA866">
        <v>2009</v>
      </c>
      <c r="BB866">
        <v>2012</v>
      </c>
      <c r="BC866">
        <v>2009.2</v>
      </c>
      <c r="BD866" t="s">
        <v>19</v>
      </c>
      <c r="BE866" t="s">
        <v>2373</v>
      </c>
      <c r="BF866" t="s">
        <v>39</v>
      </c>
      <c r="BG866" t="s">
        <v>1243</v>
      </c>
      <c r="BH866" t="s">
        <v>2338</v>
      </c>
      <c r="BI866" t="s">
        <v>2361</v>
      </c>
      <c r="BJ866" t="s">
        <v>2281</v>
      </c>
      <c r="BK866">
        <v>45</v>
      </c>
      <c r="BL866" t="s">
        <v>275</v>
      </c>
      <c r="BM866" t="s">
        <v>2338</v>
      </c>
      <c r="BN866" t="s">
        <v>2374</v>
      </c>
      <c r="BO866" t="s">
        <v>2281</v>
      </c>
      <c r="BP866">
        <v>49</v>
      </c>
      <c r="BQ866" t="s">
        <v>275</v>
      </c>
      <c r="BR866" t="s">
        <v>2338</v>
      </c>
      <c r="BS866" t="s">
        <v>2360</v>
      </c>
      <c r="BT866" t="s">
        <v>2281</v>
      </c>
      <c r="BU866">
        <v>49</v>
      </c>
      <c r="HL866" t="s">
        <v>2369</v>
      </c>
      <c r="HM866" t="s">
        <v>297</v>
      </c>
      <c r="HN866" t="s">
        <v>2368</v>
      </c>
      <c r="HP866" t="s">
        <v>29</v>
      </c>
      <c r="HQ866">
        <v>12</v>
      </c>
      <c r="HR866" t="s">
        <v>2367</v>
      </c>
      <c r="HT866" t="s">
        <v>2333</v>
      </c>
      <c r="HU866" s="58">
        <v>40202</v>
      </c>
      <c r="HV866" s="58"/>
      <c r="IN866" t="s">
        <v>2373</v>
      </c>
      <c r="IO866" s="54" t="s">
        <v>2356</v>
      </c>
      <c r="IR866">
        <v>2009</v>
      </c>
      <c r="IS866" t="s">
        <v>2330</v>
      </c>
      <c r="IT866" s="4" t="s">
        <v>1898</v>
      </c>
      <c r="JK866" t="s">
        <v>14</v>
      </c>
      <c r="KD866" t="s">
        <v>2372</v>
      </c>
      <c r="KE866" t="s">
        <v>1561</v>
      </c>
      <c r="KF866" t="s">
        <v>2328</v>
      </c>
      <c r="KG866">
        <v>3</v>
      </c>
      <c r="KH866" t="s">
        <v>2327</v>
      </c>
      <c r="KI866" t="s">
        <v>2171</v>
      </c>
      <c r="KM866" t="s">
        <v>219</v>
      </c>
      <c r="KN866" t="s">
        <v>2354</v>
      </c>
      <c r="KU866" t="s">
        <v>2371</v>
      </c>
      <c r="KV866" t="s">
        <v>2324</v>
      </c>
      <c r="KZ866" t="s">
        <v>13</v>
      </c>
      <c r="LA866">
        <v>1600</v>
      </c>
      <c r="LG866" t="s">
        <v>2323</v>
      </c>
      <c r="LH866" t="s">
        <v>2322</v>
      </c>
      <c r="LI866">
        <v>7.5</v>
      </c>
      <c r="LO866" t="s">
        <v>2370</v>
      </c>
      <c r="LP866" t="s">
        <v>2320</v>
      </c>
      <c r="LS866" t="s">
        <v>1944</v>
      </c>
      <c r="LT866">
        <v>1450</v>
      </c>
      <c r="LU866" t="s">
        <v>2319</v>
      </c>
      <c r="MA866" t="s">
        <v>2351</v>
      </c>
      <c r="MC866" s="58">
        <v>40292</v>
      </c>
      <c r="MS866" t="s">
        <v>2317</v>
      </c>
      <c r="MT866">
        <v>1435</v>
      </c>
      <c r="MV866" t="s">
        <v>2350</v>
      </c>
      <c r="MW866" s="2" t="s">
        <v>2315</v>
      </c>
      <c r="MX866" s="2" t="s">
        <v>2315</v>
      </c>
      <c r="MY866" s="2"/>
      <c r="MZ866" s="2"/>
      <c r="NE866" t="s">
        <v>2383</v>
      </c>
      <c r="NF866" t="s">
        <v>2382</v>
      </c>
      <c r="NG866" t="s">
        <v>1531</v>
      </c>
      <c r="NH866" t="s">
        <v>265</v>
      </c>
      <c r="NP866" t="s">
        <v>2362</v>
      </c>
      <c r="NQ866" t="s">
        <v>6</v>
      </c>
      <c r="NR866">
        <v>1882</v>
      </c>
      <c r="NS866" t="s">
        <v>29</v>
      </c>
      <c r="NW866">
        <v>3</v>
      </c>
      <c r="OH866" t="s">
        <v>2377</v>
      </c>
      <c r="OI866" t="s">
        <v>6</v>
      </c>
      <c r="OK866">
        <v>2011</v>
      </c>
      <c r="OL866">
        <v>2012</v>
      </c>
      <c r="OM866" t="s">
        <v>2330</v>
      </c>
      <c r="ON866" t="s">
        <v>2393</v>
      </c>
      <c r="OO866" t="s">
        <v>1178</v>
      </c>
      <c r="OP866" s="58">
        <v>46136</v>
      </c>
    </row>
    <row r="867" spans="1:406" ht="15.75" thickBot="1">
      <c r="A867" t="s">
        <v>248</v>
      </c>
      <c r="B867" t="s">
        <v>2346</v>
      </c>
      <c r="C867" t="s">
        <v>1904</v>
      </c>
      <c r="D867" t="s">
        <v>1955</v>
      </c>
      <c r="E867" s="90" t="s">
        <v>2345</v>
      </c>
      <c r="F867" s="89" t="s">
        <v>31</v>
      </c>
      <c r="G867" t="s">
        <v>2</v>
      </c>
      <c r="H867" t="s">
        <v>30</v>
      </c>
      <c r="I867">
        <v>23.983611109999998</v>
      </c>
      <c r="J867">
        <v>90.402222219999999</v>
      </c>
      <c r="K867" t="s">
        <v>29</v>
      </c>
      <c r="AV867" t="s">
        <v>2344</v>
      </c>
      <c r="AW867">
        <f t="shared" si="1"/>
        <v>1435</v>
      </c>
      <c r="AX867" t="s">
        <v>29</v>
      </c>
      <c r="AY867">
        <v>3</v>
      </c>
      <c r="AZ867" t="s">
        <v>2343</v>
      </c>
      <c r="BA867">
        <v>2009</v>
      </c>
      <c r="BB867">
        <v>2012</v>
      </c>
      <c r="BC867">
        <v>2009.2</v>
      </c>
      <c r="BD867" t="s">
        <v>19</v>
      </c>
      <c r="BE867" t="s">
        <v>2366</v>
      </c>
      <c r="BF867" t="s">
        <v>24</v>
      </c>
      <c r="BG867" t="s">
        <v>1243</v>
      </c>
      <c r="BH867" t="s">
        <v>2338</v>
      </c>
      <c r="BI867" t="s">
        <v>2361</v>
      </c>
      <c r="BJ867" t="s">
        <v>2281</v>
      </c>
      <c r="BK867">
        <v>30</v>
      </c>
      <c r="BL867" t="s">
        <v>275</v>
      </c>
      <c r="BM867" t="s">
        <v>2338</v>
      </c>
      <c r="BN867" t="s">
        <v>2360</v>
      </c>
      <c r="BO867" t="s">
        <v>2281</v>
      </c>
      <c r="BP867">
        <v>35</v>
      </c>
      <c r="HL867" t="s">
        <v>2369</v>
      </c>
      <c r="HM867" t="s">
        <v>297</v>
      </c>
      <c r="HN867" t="s">
        <v>2368</v>
      </c>
      <c r="HP867" t="s">
        <v>29</v>
      </c>
      <c r="HQ867">
        <v>12</v>
      </c>
      <c r="HR867" t="s">
        <v>2367</v>
      </c>
      <c r="HT867" t="s">
        <v>2333</v>
      </c>
      <c r="HU867" s="58">
        <v>40192</v>
      </c>
      <c r="HV867" s="58"/>
      <c r="IN867" t="s">
        <v>2366</v>
      </c>
      <c r="IO867" s="54" t="s">
        <v>2356</v>
      </c>
      <c r="IR867">
        <v>2009</v>
      </c>
      <c r="IS867" t="s">
        <v>2330</v>
      </c>
      <c r="IT867" s="4" t="s">
        <v>1898</v>
      </c>
      <c r="JK867" t="s">
        <v>14</v>
      </c>
      <c r="KD867" t="s">
        <v>2365</v>
      </c>
      <c r="KE867" t="s">
        <v>1561</v>
      </c>
      <c r="KF867" t="s">
        <v>2328</v>
      </c>
      <c r="KG867">
        <v>6</v>
      </c>
      <c r="KH867" t="s">
        <v>2327</v>
      </c>
      <c r="KI867" t="s">
        <v>222</v>
      </c>
      <c r="KJ867" s="8" t="s">
        <v>1941</v>
      </c>
      <c r="KM867" t="s">
        <v>219</v>
      </c>
      <c r="KN867" t="s">
        <v>2354</v>
      </c>
      <c r="KU867" t="s">
        <v>2364</v>
      </c>
      <c r="KV867" t="s">
        <v>2324</v>
      </c>
      <c r="KZ867" t="s">
        <v>13</v>
      </c>
      <c r="LA867">
        <v>2000</v>
      </c>
      <c r="LG867" t="s">
        <v>2323</v>
      </c>
      <c r="LH867" t="s">
        <v>2322</v>
      </c>
      <c r="LI867">
        <v>30</v>
      </c>
      <c r="LO867" t="s">
        <v>2363</v>
      </c>
      <c r="LP867" t="s">
        <v>2320</v>
      </c>
      <c r="LS867" t="s">
        <v>1944</v>
      </c>
      <c r="LT867">
        <v>1481</v>
      </c>
      <c r="LU867" t="s">
        <v>2319</v>
      </c>
      <c r="MA867" t="s">
        <v>2351</v>
      </c>
      <c r="MC867" s="58">
        <v>40298</v>
      </c>
      <c r="MS867" t="s">
        <v>2317</v>
      </c>
      <c r="MT867">
        <v>1435</v>
      </c>
      <c r="MV867" t="s">
        <v>2350</v>
      </c>
      <c r="MW867" s="2" t="s">
        <v>2315</v>
      </c>
      <c r="MX867" s="2" t="s">
        <v>2315</v>
      </c>
      <c r="MY867" s="2"/>
      <c r="MZ867" s="2"/>
      <c r="NE867" t="s">
        <v>2383</v>
      </c>
      <c r="NF867" t="s">
        <v>2382</v>
      </c>
      <c r="NG867" t="s">
        <v>1531</v>
      </c>
      <c r="NH867" t="s">
        <v>265</v>
      </c>
      <c r="NP867" t="s">
        <v>2362</v>
      </c>
      <c r="NQ867" t="s">
        <v>6</v>
      </c>
      <c r="NR867">
        <v>2407</v>
      </c>
      <c r="NS867" t="s">
        <v>29</v>
      </c>
      <c r="NW867">
        <v>3</v>
      </c>
      <c r="OH867" t="s">
        <v>2377</v>
      </c>
      <c r="OI867" t="s">
        <v>6</v>
      </c>
      <c r="OK867">
        <v>2011</v>
      </c>
      <c r="OL867">
        <v>2012</v>
      </c>
      <c r="OM867" t="s">
        <v>2330</v>
      </c>
      <c r="ON867" t="s">
        <v>2393</v>
      </c>
      <c r="OO867" t="s">
        <v>1178</v>
      </c>
      <c r="OP867" s="58">
        <v>46136</v>
      </c>
    </row>
    <row r="868" spans="1:406" ht="15.75" thickBot="1">
      <c r="A868" t="s">
        <v>248</v>
      </c>
      <c r="B868" t="s">
        <v>2346</v>
      </c>
      <c r="C868" t="s">
        <v>1904</v>
      </c>
      <c r="D868" t="s">
        <v>1955</v>
      </c>
      <c r="E868" s="90" t="s">
        <v>2345</v>
      </c>
      <c r="F868" s="89" t="s">
        <v>31</v>
      </c>
      <c r="G868" t="s">
        <v>2</v>
      </c>
      <c r="H868" t="s">
        <v>30</v>
      </c>
      <c r="I868">
        <v>23.983611109999998</v>
      </c>
      <c r="J868">
        <v>90.402222219999999</v>
      </c>
      <c r="K868" t="s">
        <v>29</v>
      </c>
      <c r="AV868" t="s">
        <v>2344</v>
      </c>
      <c r="AW868">
        <f t="shared" si="1"/>
        <v>1435</v>
      </c>
      <c r="AX868" t="s">
        <v>29</v>
      </c>
      <c r="AY868">
        <v>3</v>
      </c>
      <c r="AZ868" t="s">
        <v>2343</v>
      </c>
      <c r="BA868">
        <v>2009</v>
      </c>
      <c r="BB868">
        <v>2012</v>
      </c>
      <c r="BC868">
        <v>2009.2</v>
      </c>
      <c r="BD868" t="s">
        <v>19</v>
      </c>
      <c r="BE868" t="s">
        <v>2357</v>
      </c>
      <c r="BF868" t="s">
        <v>299</v>
      </c>
      <c r="BG868" t="s">
        <v>1243</v>
      </c>
      <c r="BH868" t="s">
        <v>2338</v>
      </c>
      <c r="BI868" t="s">
        <v>2361</v>
      </c>
      <c r="BJ868" t="s">
        <v>2281</v>
      </c>
      <c r="BK868">
        <v>30</v>
      </c>
      <c r="BL868" t="s">
        <v>275</v>
      </c>
      <c r="BM868" t="s">
        <v>2338</v>
      </c>
      <c r="BN868" t="s">
        <v>2360</v>
      </c>
      <c r="BO868" t="s">
        <v>2281</v>
      </c>
      <c r="BP868">
        <v>19</v>
      </c>
      <c r="HL868" t="s">
        <v>2359</v>
      </c>
      <c r="HM868" t="s">
        <v>2335</v>
      </c>
      <c r="HP868" t="s">
        <v>29</v>
      </c>
      <c r="HQ868">
        <v>4</v>
      </c>
      <c r="HR868" t="s">
        <v>2358</v>
      </c>
      <c r="HT868" t="s">
        <v>2333</v>
      </c>
      <c r="HU868" s="58">
        <v>40192</v>
      </c>
      <c r="HV868" s="58"/>
      <c r="IN868" t="s">
        <v>2357</v>
      </c>
      <c r="IO868" s="54" t="s">
        <v>2356</v>
      </c>
      <c r="IR868">
        <v>2009</v>
      </c>
      <c r="IS868" t="s">
        <v>2330</v>
      </c>
      <c r="IT868" s="4" t="s">
        <v>1898</v>
      </c>
      <c r="JK868" t="s">
        <v>14</v>
      </c>
      <c r="KD868" t="s">
        <v>2355</v>
      </c>
      <c r="KE868" t="s">
        <v>1561</v>
      </c>
      <c r="KF868" t="s">
        <v>2328</v>
      </c>
      <c r="KG868">
        <v>7</v>
      </c>
      <c r="KH868" t="s">
        <v>2327</v>
      </c>
      <c r="KI868" t="s">
        <v>222</v>
      </c>
      <c r="KJ868" s="8" t="s">
        <v>1941</v>
      </c>
      <c r="KM868" t="s">
        <v>219</v>
      </c>
      <c r="KN868" t="s">
        <v>2354</v>
      </c>
      <c r="KU868" t="s">
        <v>2353</v>
      </c>
      <c r="KV868" t="s">
        <v>2324</v>
      </c>
      <c r="KZ868" t="s">
        <v>13</v>
      </c>
      <c r="LA868">
        <v>1900</v>
      </c>
      <c r="LG868" t="s">
        <v>2323</v>
      </c>
      <c r="LH868" t="s">
        <v>2322</v>
      </c>
      <c r="LI868">
        <v>30</v>
      </c>
      <c r="LO868" t="s">
        <v>2352</v>
      </c>
      <c r="LP868" t="s">
        <v>2320</v>
      </c>
      <c r="LS868" t="s">
        <v>1944</v>
      </c>
      <c r="LT868">
        <v>1530</v>
      </c>
      <c r="LU868" t="s">
        <v>2319</v>
      </c>
      <c r="MA868" t="s">
        <v>2351</v>
      </c>
      <c r="MC868" s="58">
        <v>40299</v>
      </c>
      <c r="MS868" t="s">
        <v>2317</v>
      </c>
      <c r="MT868">
        <v>1435</v>
      </c>
      <c r="MV868" t="s">
        <v>2350</v>
      </c>
      <c r="MW868" s="2" t="s">
        <v>2315</v>
      </c>
      <c r="MX868" s="2" t="s">
        <v>2315</v>
      </c>
      <c r="MY868" s="2"/>
      <c r="MZ868" s="2"/>
      <c r="NE868" t="s">
        <v>2383</v>
      </c>
      <c r="NF868" t="s">
        <v>2382</v>
      </c>
      <c r="NG868" t="s">
        <v>1531</v>
      </c>
      <c r="NH868" t="s">
        <v>265</v>
      </c>
      <c r="NP868" t="s">
        <v>64</v>
      </c>
      <c r="NQ868" t="s">
        <v>6</v>
      </c>
      <c r="NR868">
        <v>2314</v>
      </c>
      <c r="NS868" t="s">
        <v>29</v>
      </c>
      <c r="NW868">
        <v>3</v>
      </c>
      <c r="OH868" t="s">
        <v>2377</v>
      </c>
      <c r="OI868" t="s">
        <v>6</v>
      </c>
      <c r="OK868">
        <v>2011</v>
      </c>
      <c r="OL868">
        <v>2012</v>
      </c>
      <c r="OM868" t="s">
        <v>2330</v>
      </c>
      <c r="ON868" t="s">
        <v>2393</v>
      </c>
      <c r="OO868" t="s">
        <v>1178</v>
      </c>
      <c r="OP868" s="58">
        <v>46136</v>
      </c>
    </row>
    <row r="869" spans="1:406" ht="15.75" thickBot="1">
      <c r="A869" t="s">
        <v>248</v>
      </c>
      <c r="B869" t="s">
        <v>2346</v>
      </c>
      <c r="C869" t="s">
        <v>1904</v>
      </c>
      <c r="D869" t="s">
        <v>1955</v>
      </c>
      <c r="E869" s="90" t="s">
        <v>2345</v>
      </c>
      <c r="F869" s="89" t="s">
        <v>31</v>
      </c>
      <c r="G869" t="s">
        <v>2</v>
      </c>
      <c r="H869" t="s">
        <v>30</v>
      </c>
      <c r="I869">
        <v>23.983611109999998</v>
      </c>
      <c r="J869">
        <v>90.402222219999999</v>
      </c>
      <c r="K869" t="s">
        <v>29</v>
      </c>
      <c r="AV869" t="s">
        <v>2344</v>
      </c>
      <c r="AW869">
        <f t="shared" si="1"/>
        <v>1435</v>
      </c>
      <c r="AX869" t="s">
        <v>29</v>
      </c>
      <c r="AY869">
        <v>3</v>
      </c>
      <c r="AZ869" t="s">
        <v>2343</v>
      </c>
      <c r="BA869">
        <v>2009</v>
      </c>
      <c r="BB869">
        <v>2012</v>
      </c>
      <c r="BC869">
        <v>2009.2</v>
      </c>
      <c r="BD869" t="s">
        <v>274</v>
      </c>
      <c r="BE869" t="s">
        <v>2332</v>
      </c>
      <c r="BF869" t="s">
        <v>64</v>
      </c>
      <c r="BG869" t="s">
        <v>1243</v>
      </c>
      <c r="BH869" t="s">
        <v>1913</v>
      </c>
      <c r="BI869" t="s">
        <v>2342</v>
      </c>
      <c r="BJ869" t="s">
        <v>2281</v>
      </c>
      <c r="BK869">
        <v>1614</v>
      </c>
      <c r="BL869" t="s">
        <v>275</v>
      </c>
      <c r="BM869" t="s">
        <v>23</v>
      </c>
      <c r="BN869" t="s">
        <v>2341</v>
      </c>
      <c r="BO869" t="s">
        <v>2281</v>
      </c>
      <c r="BP869">
        <v>20</v>
      </c>
      <c r="BQ869" t="s">
        <v>275</v>
      </c>
      <c r="BR869" t="s">
        <v>1936</v>
      </c>
      <c r="BS869" t="s">
        <v>2340</v>
      </c>
      <c r="BT869" t="s">
        <v>2281</v>
      </c>
      <c r="BU869">
        <v>30</v>
      </c>
      <c r="BV869" t="s">
        <v>275</v>
      </c>
      <c r="BW869" t="s">
        <v>2338</v>
      </c>
      <c r="BX869" t="s">
        <v>2339</v>
      </c>
      <c r="BY869" t="s">
        <v>2281</v>
      </c>
      <c r="BZ869">
        <v>35</v>
      </c>
      <c r="CA869" t="s">
        <v>275</v>
      </c>
      <c r="CB869" t="s">
        <v>2338</v>
      </c>
      <c r="CC869" t="s">
        <v>2337</v>
      </c>
      <c r="CD869" t="s">
        <v>2281</v>
      </c>
      <c r="CE869">
        <v>19</v>
      </c>
      <c r="HL869" t="s">
        <v>2336</v>
      </c>
      <c r="HM869" t="s">
        <v>2335</v>
      </c>
      <c r="HP869" t="s">
        <v>29</v>
      </c>
      <c r="HQ869">
        <v>9</v>
      </c>
      <c r="HR869" t="s">
        <v>2334</v>
      </c>
      <c r="HT869" t="s">
        <v>2333</v>
      </c>
      <c r="HU869" s="58">
        <v>40153</v>
      </c>
      <c r="IN869" t="s">
        <v>2332</v>
      </c>
      <c r="IO869" t="s">
        <v>2331</v>
      </c>
      <c r="IR869">
        <v>2009</v>
      </c>
      <c r="IS869" t="s">
        <v>2330</v>
      </c>
      <c r="IT869" s="4" t="s">
        <v>1898</v>
      </c>
      <c r="JK869" t="s">
        <v>14</v>
      </c>
      <c r="KD869" t="s">
        <v>2329</v>
      </c>
      <c r="KE869" t="s">
        <v>1561</v>
      </c>
      <c r="KF869" t="s">
        <v>2328</v>
      </c>
      <c r="KG869">
        <v>4</v>
      </c>
      <c r="KH869" t="s">
        <v>2327</v>
      </c>
      <c r="KI869" t="s">
        <v>2171</v>
      </c>
      <c r="KM869" t="s">
        <v>219</v>
      </c>
      <c r="KN869" t="s">
        <v>2326</v>
      </c>
      <c r="KU869" t="s">
        <v>2325</v>
      </c>
      <c r="KV869" t="s">
        <v>2324</v>
      </c>
      <c r="KZ869" t="s">
        <v>13</v>
      </c>
      <c r="LA869">
        <v>1600</v>
      </c>
      <c r="LG869" t="s">
        <v>2323</v>
      </c>
      <c r="LH869" t="s">
        <v>2322</v>
      </c>
      <c r="LI869">
        <v>30</v>
      </c>
      <c r="LO869" t="s">
        <v>2321</v>
      </c>
      <c r="LP869" t="s">
        <v>2320</v>
      </c>
      <c r="LS869" t="s">
        <v>1944</v>
      </c>
      <c r="LT869">
        <v>805</v>
      </c>
      <c r="LU869" t="s">
        <v>2319</v>
      </c>
      <c r="MA869" t="s">
        <v>2318</v>
      </c>
      <c r="MC869" s="58">
        <v>40224</v>
      </c>
      <c r="MS869" t="s">
        <v>2317</v>
      </c>
      <c r="MT869">
        <v>1435</v>
      </c>
      <c r="MV869" t="s">
        <v>2316</v>
      </c>
      <c r="MW869" s="2"/>
      <c r="MX869" s="2" t="s">
        <v>2315</v>
      </c>
      <c r="MY869" t="s">
        <v>1913</v>
      </c>
      <c r="MZ869" s="2" t="s">
        <v>1936</v>
      </c>
      <c r="NE869" t="s">
        <v>2383</v>
      </c>
      <c r="NF869" t="s">
        <v>2382</v>
      </c>
      <c r="NG869" t="s">
        <v>1531</v>
      </c>
      <c r="NH869" t="s">
        <v>265</v>
      </c>
      <c r="NQ869" t="s">
        <v>6</v>
      </c>
      <c r="NR869">
        <v>3766</v>
      </c>
      <c r="NS869" t="s">
        <v>29</v>
      </c>
      <c r="NW869">
        <v>3</v>
      </c>
      <c r="OH869" t="s">
        <v>2377</v>
      </c>
      <c r="OI869" t="s">
        <v>6</v>
      </c>
      <c r="OK869">
        <v>2011</v>
      </c>
      <c r="OL869">
        <v>2012</v>
      </c>
      <c r="OM869" t="s">
        <v>2330</v>
      </c>
      <c r="ON869" t="s">
        <v>2393</v>
      </c>
      <c r="OO869" t="s">
        <v>1178</v>
      </c>
      <c r="OP869" s="58">
        <v>46136</v>
      </c>
    </row>
    <row r="870" spans="1:406" ht="15.75" thickBot="1">
      <c r="A870" t="s">
        <v>248</v>
      </c>
      <c r="B870" t="s">
        <v>2346</v>
      </c>
      <c r="C870" t="s">
        <v>1904</v>
      </c>
      <c r="D870" t="s">
        <v>1955</v>
      </c>
      <c r="E870" s="90" t="s">
        <v>2345</v>
      </c>
      <c r="F870" s="89" t="s">
        <v>31</v>
      </c>
      <c r="G870" t="s">
        <v>2</v>
      </c>
      <c r="H870" t="s">
        <v>30</v>
      </c>
      <c r="I870">
        <v>23.983611109999998</v>
      </c>
      <c r="J870">
        <v>90.402222219999999</v>
      </c>
      <c r="K870" t="s">
        <v>29</v>
      </c>
      <c r="AV870" t="s">
        <v>2344</v>
      </c>
      <c r="AW870">
        <f t="shared" si="1"/>
        <v>1435</v>
      </c>
      <c r="AX870" t="s">
        <v>29</v>
      </c>
      <c r="AY870">
        <v>3</v>
      </c>
      <c r="AZ870" t="s">
        <v>2343</v>
      </c>
      <c r="BA870">
        <v>2009</v>
      </c>
      <c r="BB870">
        <v>2012</v>
      </c>
      <c r="BC870">
        <v>2009.2</v>
      </c>
      <c r="BD870" t="s">
        <v>19</v>
      </c>
      <c r="BE870" t="s">
        <v>2373</v>
      </c>
      <c r="BF870" t="s">
        <v>39</v>
      </c>
      <c r="BG870" t="s">
        <v>1243</v>
      </c>
      <c r="BH870" t="s">
        <v>2338</v>
      </c>
      <c r="BI870" t="s">
        <v>2361</v>
      </c>
      <c r="BJ870" t="s">
        <v>2281</v>
      </c>
      <c r="BK870">
        <v>45</v>
      </c>
      <c r="BL870" t="s">
        <v>275</v>
      </c>
      <c r="BM870" t="s">
        <v>2338</v>
      </c>
      <c r="BN870" t="s">
        <v>2374</v>
      </c>
      <c r="BO870" t="s">
        <v>2281</v>
      </c>
      <c r="BP870">
        <v>49</v>
      </c>
      <c r="BQ870" t="s">
        <v>275</v>
      </c>
      <c r="BR870" t="s">
        <v>2338</v>
      </c>
      <c r="BS870" t="s">
        <v>2360</v>
      </c>
      <c r="BT870" t="s">
        <v>2281</v>
      </c>
      <c r="BU870">
        <v>49</v>
      </c>
      <c r="HL870" t="s">
        <v>2369</v>
      </c>
      <c r="HM870" t="s">
        <v>297</v>
      </c>
      <c r="HN870" t="s">
        <v>2368</v>
      </c>
      <c r="HP870" t="s">
        <v>29</v>
      </c>
      <c r="HQ870">
        <v>12</v>
      </c>
      <c r="HR870" t="s">
        <v>2367</v>
      </c>
      <c r="HT870" t="s">
        <v>2333</v>
      </c>
      <c r="HU870" s="58">
        <v>40202</v>
      </c>
      <c r="HV870" s="58"/>
      <c r="IN870" t="s">
        <v>2373</v>
      </c>
      <c r="IO870" s="54" t="s">
        <v>2356</v>
      </c>
      <c r="IR870">
        <v>2009</v>
      </c>
      <c r="IS870" t="s">
        <v>2330</v>
      </c>
      <c r="IT870" s="4" t="s">
        <v>1898</v>
      </c>
      <c r="JK870" t="s">
        <v>14</v>
      </c>
      <c r="KD870" t="s">
        <v>2372</v>
      </c>
      <c r="KE870" t="s">
        <v>1561</v>
      </c>
      <c r="KF870" t="s">
        <v>2328</v>
      </c>
      <c r="KG870">
        <v>3</v>
      </c>
      <c r="KH870" t="s">
        <v>2327</v>
      </c>
      <c r="KI870" t="s">
        <v>2171</v>
      </c>
      <c r="KM870" t="s">
        <v>219</v>
      </c>
      <c r="KN870" s="8" t="s">
        <v>2376</v>
      </c>
      <c r="KU870" t="s">
        <v>2371</v>
      </c>
      <c r="KV870" t="s">
        <v>2324</v>
      </c>
      <c r="KZ870" t="s">
        <v>13</v>
      </c>
      <c r="LA870">
        <v>1500</v>
      </c>
      <c r="LG870" t="s">
        <v>2323</v>
      </c>
      <c r="LH870" t="s">
        <v>2322</v>
      </c>
      <c r="LI870">
        <v>7.5</v>
      </c>
      <c r="LO870" t="s">
        <v>2370</v>
      </c>
      <c r="LP870" t="s">
        <v>2320</v>
      </c>
      <c r="LS870" t="s">
        <v>1944</v>
      </c>
      <c r="LT870">
        <v>2084</v>
      </c>
      <c r="LU870" t="s">
        <v>2319</v>
      </c>
      <c r="MA870" t="s">
        <v>2351</v>
      </c>
      <c r="MC870" s="58">
        <v>40292</v>
      </c>
      <c r="MS870" t="s">
        <v>2317</v>
      </c>
      <c r="MT870">
        <v>1435</v>
      </c>
      <c r="MV870" t="s">
        <v>2350</v>
      </c>
      <c r="MW870" s="2" t="s">
        <v>2315</v>
      </c>
      <c r="MX870" s="2" t="s">
        <v>2315</v>
      </c>
      <c r="MY870" s="2"/>
      <c r="MZ870" s="2"/>
      <c r="NE870" t="s">
        <v>2381</v>
      </c>
      <c r="NF870" t="s">
        <v>2394</v>
      </c>
      <c r="NG870" t="s">
        <v>266</v>
      </c>
      <c r="NH870" t="s">
        <v>265</v>
      </c>
      <c r="NP870" t="s">
        <v>2362</v>
      </c>
      <c r="NQ870" t="s">
        <v>6</v>
      </c>
      <c r="NR870">
        <v>396</v>
      </c>
      <c r="NS870" t="s">
        <v>29</v>
      </c>
      <c r="NW870">
        <v>3</v>
      </c>
      <c r="OH870" t="s">
        <v>2377</v>
      </c>
      <c r="OI870" t="s">
        <v>6</v>
      </c>
      <c r="OK870">
        <v>2009</v>
      </c>
      <c r="OL870">
        <v>2010</v>
      </c>
      <c r="OM870" t="s">
        <v>2330</v>
      </c>
      <c r="ON870" t="s">
        <v>2393</v>
      </c>
      <c r="OO870" t="s">
        <v>1178</v>
      </c>
      <c r="OP870" s="58">
        <v>46136</v>
      </c>
    </row>
    <row r="871" spans="1:406" ht="15.75" thickBot="1">
      <c r="A871" t="s">
        <v>248</v>
      </c>
      <c r="B871" t="s">
        <v>2346</v>
      </c>
      <c r="C871" t="s">
        <v>1904</v>
      </c>
      <c r="D871" t="s">
        <v>1955</v>
      </c>
      <c r="E871" s="90" t="s">
        <v>2345</v>
      </c>
      <c r="F871" s="89" t="s">
        <v>31</v>
      </c>
      <c r="G871" t="s">
        <v>2</v>
      </c>
      <c r="H871" t="s">
        <v>30</v>
      </c>
      <c r="I871">
        <v>23.983611109999998</v>
      </c>
      <c r="J871">
        <v>90.402222219999999</v>
      </c>
      <c r="K871" t="s">
        <v>29</v>
      </c>
      <c r="AV871" t="s">
        <v>2344</v>
      </c>
      <c r="AW871">
        <f t="shared" si="1"/>
        <v>1435</v>
      </c>
      <c r="AX871" t="s">
        <v>29</v>
      </c>
      <c r="AY871">
        <v>3</v>
      </c>
      <c r="AZ871" t="s">
        <v>2343</v>
      </c>
      <c r="BA871">
        <v>2009</v>
      </c>
      <c r="BB871">
        <v>2012</v>
      </c>
      <c r="BC871">
        <v>2009.2</v>
      </c>
      <c r="BD871" t="s">
        <v>19</v>
      </c>
      <c r="BE871" t="s">
        <v>2366</v>
      </c>
      <c r="BF871" t="s">
        <v>24</v>
      </c>
      <c r="BG871" t="s">
        <v>1243</v>
      </c>
      <c r="BH871" t="s">
        <v>2338</v>
      </c>
      <c r="BI871" t="s">
        <v>2361</v>
      </c>
      <c r="BJ871" t="s">
        <v>2281</v>
      </c>
      <c r="BK871">
        <v>30</v>
      </c>
      <c r="BL871" t="s">
        <v>275</v>
      </c>
      <c r="BM871" t="s">
        <v>2338</v>
      </c>
      <c r="BN871" t="s">
        <v>2360</v>
      </c>
      <c r="BO871" t="s">
        <v>2281</v>
      </c>
      <c r="BP871">
        <v>35</v>
      </c>
      <c r="HL871" t="s">
        <v>2369</v>
      </c>
      <c r="HM871" t="s">
        <v>297</v>
      </c>
      <c r="HN871" t="s">
        <v>2368</v>
      </c>
      <c r="HP871" t="s">
        <v>29</v>
      </c>
      <c r="HQ871">
        <v>12</v>
      </c>
      <c r="HR871" t="s">
        <v>2367</v>
      </c>
      <c r="HT871" t="s">
        <v>2333</v>
      </c>
      <c r="HU871" s="58">
        <v>40192</v>
      </c>
      <c r="HV871" s="58"/>
      <c r="IN871" t="s">
        <v>2366</v>
      </c>
      <c r="IO871" s="54" t="s">
        <v>2356</v>
      </c>
      <c r="IR871">
        <v>2009</v>
      </c>
      <c r="IS871" t="s">
        <v>2330</v>
      </c>
      <c r="IT871" s="4" t="s">
        <v>1898</v>
      </c>
      <c r="JK871" t="s">
        <v>14</v>
      </c>
      <c r="KD871" t="s">
        <v>2365</v>
      </c>
      <c r="KE871" t="s">
        <v>1561</v>
      </c>
      <c r="KF871" t="s">
        <v>2328</v>
      </c>
      <c r="KG871">
        <v>6</v>
      </c>
      <c r="KH871" t="s">
        <v>2327</v>
      </c>
      <c r="KI871" t="s">
        <v>222</v>
      </c>
      <c r="KJ871" s="8" t="s">
        <v>1941</v>
      </c>
      <c r="KM871" t="s">
        <v>219</v>
      </c>
      <c r="KN871" t="s">
        <v>2354</v>
      </c>
      <c r="KU871" t="s">
        <v>2364</v>
      </c>
      <c r="KV871" t="s">
        <v>2324</v>
      </c>
      <c r="KZ871" t="s">
        <v>13</v>
      </c>
      <c r="LA871">
        <v>2200</v>
      </c>
      <c r="LG871" t="s">
        <v>2323</v>
      </c>
      <c r="LH871" t="s">
        <v>2322</v>
      </c>
      <c r="LI871">
        <v>30</v>
      </c>
      <c r="LO871" t="s">
        <v>2363</v>
      </c>
      <c r="LP871" t="s">
        <v>2320</v>
      </c>
      <c r="LS871" t="s">
        <v>1944</v>
      </c>
      <c r="LT871">
        <v>1789</v>
      </c>
      <c r="LU871" t="s">
        <v>2319</v>
      </c>
      <c r="MA871" t="s">
        <v>2351</v>
      </c>
      <c r="MC871" s="58">
        <v>40298</v>
      </c>
      <c r="MS871" t="s">
        <v>2317</v>
      </c>
      <c r="MT871">
        <v>1435</v>
      </c>
      <c r="MV871" t="s">
        <v>2350</v>
      </c>
      <c r="MW871" s="2" t="s">
        <v>2315</v>
      </c>
      <c r="MX871" s="2" t="s">
        <v>2315</v>
      </c>
      <c r="MY871" s="2"/>
      <c r="MZ871" s="2"/>
      <c r="NE871" t="s">
        <v>2381</v>
      </c>
      <c r="NF871" t="s">
        <v>2394</v>
      </c>
      <c r="NG871" t="s">
        <v>266</v>
      </c>
      <c r="NH871" t="s">
        <v>265</v>
      </c>
      <c r="NP871" t="s">
        <v>2362</v>
      </c>
      <c r="NQ871" t="s">
        <v>6</v>
      </c>
      <c r="NR871">
        <v>966</v>
      </c>
      <c r="NS871" t="s">
        <v>29</v>
      </c>
      <c r="NW871">
        <v>3</v>
      </c>
      <c r="OH871" t="s">
        <v>2377</v>
      </c>
      <c r="OI871" t="s">
        <v>6</v>
      </c>
      <c r="OK871">
        <v>2009</v>
      </c>
      <c r="OL871">
        <v>2010</v>
      </c>
      <c r="OM871" t="s">
        <v>2330</v>
      </c>
      <c r="ON871" t="s">
        <v>2393</v>
      </c>
      <c r="OO871" t="s">
        <v>1178</v>
      </c>
      <c r="OP871" s="58">
        <v>46136</v>
      </c>
    </row>
    <row r="872" spans="1:406" ht="15.75" thickBot="1">
      <c r="A872" t="s">
        <v>248</v>
      </c>
      <c r="B872" t="s">
        <v>2346</v>
      </c>
      <c r="C872" t="s">
        <v>1904</v>
      </c>
      <c r="D872" t="s">
        <v>1955</v>
      </c>
      <c r="E872" s="90" t="s">
        <v>2345</v>
      </c>
      <c r="F872" s="89" t="s">
        <v>31</v>
      </c>
      <c r="G872" t="s">
        <v>2</v>
      </c>
      <c r="H872" t="s">
        <v>30</v>
      </c>
      <c r="I872">
        <v>23.983611109999998</v>
      </c>
      <c r="J872">
        <v>90.402222219999999</v>
      </c>
      <c r="K872" t="s">
        <v>29</v>
      </c>
      <c r="AV872" t="s">
        <v>2344</v>
      </c>
      <c r="AW872">
        <f t="shared" si="1"/>
        <v>1435</v>
      </c>
      <c r="AX872" t="s">
        <v>29</v>
      </c>
      <c r="AY872">
        <v>3</v>
      </c>
      <c r="AZ872" t="s">
        <v>2343</v>
      </c>
      <c r="BA872">
        <v>2009</v>
      </c>
      <c r="BB872">
        <v>2012</v>
      </c>
      <c r="BC872">
        <v>2009.2</v>
      </c>
      <c r="BD872" t="s">
        <v>19</v>
      </c>
      <c r="BE872" t="s">
        <v>2357</v>
      </c>
      <c r="BF872" t="s">
        <v>299</v>
      </c>
      <c r="BG872" t="s">
        <v>1243</v>
      </c>
      <c r="BH872" t="s">
        <v>2338</v>
      </c>
      <c r="BI872" t="s">
        <v>2361</v>
      </c>
      <c r="BJ872" t="s">
        <v>2281</v>
      </c>
      <c r="BK872">
        <v>30</v>
      </c>
      <c r="BL872" t="s">
        <v>275</v>
      </c>
      <c r="BM872" t="s">
        <v>2338</v>
      </c>
      <c r="BN872" t="s">
        <v>2360</v>
      </c>
      <c r="BO872" t="s">
        <v>2281</v>
      </c>
      <c r="BP872">
        <v>19</v>
      </c>
      <c r="HL872" t="s">
        <v>2359</v>
      </c>
      <c r="HM872" t="s">
        <v>2335</v>
      </c>
      <c r="HP872" t="s">
        <v>29</v>
      </c>
      <c r="HQ872">
        <v>4</v>
      </c>
      <c r="HR872" t="s">
        <v>2358</v>
      </c>
      <c r="HT872" t="s">
        <v>2333</v>
      </c>
      <c r="HU872" s="58">
        <v>40192</v>
      </c>
      <c r="HV872" s="58"/>
      <c r="IN872" t="s">
        <v>2357</v>
      </c>
      <c r="IO872" s="54" t="s">
        <v>2356</v>
      </c>
      <c r="IR872">
        <v>2009</v>
      </c>
      <c r="IS872" t="s">
        <v>2330</v>
      </c>
      <c r="IT872" s="4" t="s">
        <v>1898</v>
      </c>
      <c r="JK872" t="s">
        <v>14</v>
      </c>
      <c r="KD872" t="s">
        <v>2355</v>
      </c>
      <c r="KE872" t="s">
        <v>1561</v>
      </c>
      <c r="KF872" t="s">
        <v>2328</v>
      </c>
      <c r="KG872">
        <v>7</v>
      </c>
      <c r="KH872" t="s">
        <v>2327</v>
      </c>
      <c r="KI872" t="s">
        <v>222</v>
      </c>
      <c r="KJ872" s="8" t="s">
        <v>1941</v>
      </c>
      <c r="KM872" t="s">
        <v>219</v>
      </c>
      <c r="KN872" t="s">
        <v>2354</v>
      </c>
      <c r="KU872" t="s">
        <v>2353</v>
      </c>
      <c r="KV872" t="s">
        <v>2324</v>
      </c>
      <c r="KZ872" t="s">
        <v>13</v>
      </c>
      <c r="LA872">
        <v>2600</v>
      </c>
      <c r="LG872" t="s">
        <v>2323</v>
      </c>
      <c r="LH872" t="s">
        <v>2322</v>
      </c>
      <c r="LI872">
        <v>30</v>
      </c>
      <c r="LO872" t="s">
        <v>2352</v>
      </c>
      <c r="LP872" t="s">
        <v>2320</v>
      </c>
      <c r="LS872" t="s">
        <v>1944</v>
      </c>
      <c r="LT872">
        <v>1898</v>
      </c>
      <c r="LU872" t="s">
        <v>2319</v>
      </c>
      <c r="MA872" t="s">
        <v>2351</v>
      </c>
      <c r="MC872" s="58">
        <v>40299</v>
      </c>
      <c r="MS872" t="s">
        <v>2317</v>
      </c>
      <c r="MT872">
        <v>1435</v>
      </c>
      <c r="MV872" t="s">
        <v>2350</v>
      </c>
      <c r="MW872" s="2" t="s">
        <v>2315</v>
      </c>
      <c r="MX872" s="2" t="s">
        <v>2315</v>
      </c>
      <c r="MY872" s="2"/>
      <c r="MZ872" s="2"/>
      <c r="NE872" t="s">
        <v>2381</v>
      </c>
      <c r="NF872" t="s">
        <v>2394</v>
      </c>
      <c r="NG872" t="s">
        <v>266</v>
      </c>
      <c r="NH872" t="s">
        <v>265</v>
      </c>
      <c r="NP872" t="s">
        <v>64</v>
      </c>
      <c r="NQ872" t="s">
        <v>6</v>
      </c>
      <c r="NR872">
        <v>996</v>
      </c>
      <c r="NS872" t="s">
        <v>29</v>
      </c>
      <c r="NW872">
        <v>3</v>
      </c>
      <c r="OH872" t="s">
        <v>2377</v>
      </c>
      <c r="OI872" t="s">
        <v>6</v>
      </c>
      <c r="OK872">
        <v>2009</v>
      </c>
      <c r="OL872">
        <v>2010</v>
      </c>
      <c r="OM872" t="s">
        <v>2330</v>
      </c>
      <c r="ON872" t="s">
        <v>2393</v>
      </c>
      <c r="OO872" t="s">
        <v>1178</v>
      </c>
      <c r="OP872" s="58">
        <v>46136</v>
      </c>
    </row>
    <row r="873" spans="1:406" ht="15.75" thickBot="1">
      <c r="A873" t="s">
        <v>248</v>
      </c>
      <c r="B873" t="s">
        <v>2346</v>
      </c>
      <c r="C873" t="s">
        <v>1904</v>
      </c>
      <c r="D873" t="s">
        <v>1955</v>
      </c>
      <c r="E873" s="90" t="s">
        <v>2345</v>
      </c>
      <c r="F873" s="89" t="s">
        <v>31</v>
      </c>
      <c r="G873" t="s">
        <v>2</v>
      </c>
      <c r="H873" t="s">
        <v>30</v>
      </c>
      <c r="I873">
        <v>23.983611109999998</v>
      </c>
      <c r="J873">
        <v>90.402222219999999</v>
      </c>
      <c r="K873" t="s">
        <v>29</v>
      </c>
      <c r="AV873" t="s">
        <v>2344</v>
      </c>
      <c r="AW873">
        <f t="shared" si="1"/>
        <v>1435</v>
      </c>
      <c r="AX873" t="s">
        <v>29</v>
      </c>
      <c r="AY873">
        <v>3</v>
      </c>
      <c r="AZ873" t="s">
        <v>2343</v>
      </c>
      <c r="BA873">
        <v>2009</v>
      </c>
      <c r="BB873">
        <v>2012</v>
      </c>
      <c r="BC873">
        <v>2009.2</v>
      </c>
      <c r="BD873" t="s">
        <v>274</v>
      </c>
      <c r="BE873" t="s">
        <v>2332</v>
      </c>
      <c r="BF873" t="s">
        <v>64</v>
      </c>
      <c r="BG873" t="s">
        <v>1243</v>
      </c>
      <c r="BH873" t="s">
        <v>1913</v>
      </c>
      <c r="BI873" t="s">
        <v>2342</v>
      </c>
      <c r="BJ873" t="s">
        <v>2281</v>
      </c>
      <c r="BK873">
        <v>1614</v>
      </c>
      <c r="BL873" t="s">
        <v>275</v>
      </c>
      <c r="BM873" t="s">
        <v>23</v>
      </c>
      <c r="BN873" t="s">
        <v>2341</v>
      </c>
      <c r="BO873" t="s">
        <v>2281</v>
      </c>
      <c r="BP873">
        <v>20</v>
      </c>
      <c r="BQ873" t="s">
        <v>275</v>
      </c>
      <c r="BR873" t="s">
        <v>1936</v>
      </c>
      <c r="BS873" t="s">
        <v>2340</v>
      </c>
      <c r="BT873" t="s">
        <v>2281</v>
      </c>
      <c r="BU873">
        <v>30</v>
      </c>
      <c r="BV873" t="s">
        <v>275</v>
      </c>
      <c r="BW873" t="s">
        <v>2338</v>
      </c>
      <c r="BX873" t="s">
        <v>2339</v>
      </c>
      <c r="BY873" t="s">
        <v>2281</v>
      </c>
      <c r="BZ873">
        <v>35</v>
      </c>
      <c r="CA873" t="s">
        <v>275</v>
      </c>
      <c r="CB873" t="s">
        <v>2338</v>
      </c>
      <c r="CC873" t="s">
        <v>2337</v>
      </c>
      <c r="CD873" t="s">
        <v>2281</v>
      </c>
      <c r="CE873">
        <v>19</v>
      </c>
      <c r="HL873" t="s">
        <v>2336</v>
      </c>
      <c r="HM873" t="s">
        <v>2335</v>
      </c>
      <c r="HP873" t="s">
        <v>29</v>
      </c>
      <c r="HQ873">
        <v>9</v>
      </c>
      <c r="HR873" t="s">
        <v>2334</v>
      </c>
      <c r="HT873" t="s">
        <v>2333</v>
      </c>
      <c r="HU873" s="58">
        <v>40153</v>
      </c>
      <c r="IN873" t="s">
        <v>2332</v>
      </c>
      <c r="IO873" t="s">
        <v>2331</v>
      </c>
      <c r="IR873">
        <v>2009</v>
      </c>
      <c r="IS873" t="s">
        <v>2330</v>
      </c>
      <c r="IT873" s="4" t="s">
        <v>1898</v>
      </c>
      <c r="JK873" t="s">
        <v>14</v>
      </c>
      <c r="KD873" t="s">
        <v>2329</v>
      </c>
      <c r="KE873" t="s">
        <v>1561</v>
      </c>
      <c r="KF873" t="s">
        <v>2328</v>
      </c>
      <c r="KG873">
        <v>4</v>
      </c>
      <c r="KH873" t="s">
        <v>2327</v>
      </c>
      <c r="KI873" t="s">
        <v>2171</v>
      </c>
      <c r="KM873" t="s">
        <v>219</v>
      </c>
      <c r="KN873" t="s">
        <v>2326</v>
      </c>
      <c r="KU873" t="s">
        <v>2325</v>
      </c>
      <c r="KV873" t="s">
        <v>2324</v>
      </c>
      <c r="KZ873" t="s">
        <v>13</v>
      </c>
      <c r="LA873">
        <v>4600</v>
      </c>
      <c r="LG873" t="s">
        <v>2323</v>
      </c>
      <c r="LH873" t="s">
        <v>2322</v>
      </c>
      <c r="LI873">
        <v>30</v>
      </c>
      <c r="LO873" t="s">
        <v>2321</v>
      </c>
      <c r="LP873" t="s">
        <v>2320</v>
      </c>
      <c r="LS873" t="s">
        <v>1944</v>
      </c>
      <c r="LT873">
        <v>1426</v>
      </c>
      <c r="LU873" t="s">
        <v>2319</v>
      </c>
      <c r="MA873" t="s">
        <v>2318</v>
      </c>
      <c r="MC873" s="58">
        <v>40224</v>
      </c>
      <c r="MS873" t="s">
        <v>2317</v>
      </c>
      <c r="MT873">
        <v>1435</v>
      </c>
      <c r="MV873" t="s">
        <v>2316</v>
      </c>
      <c r="MW873" s="2"/>
      <c r="MX873" s="2" t="s">
        <v>2315</v>
      </c>
      <c r="MY873" t="s">
        <v>1913</v>
      </c>
      <c r="MZ873" s="2" t="s">
        <v>168</v>
      </c>
      <c r="NE873" t="s">
        <v>2381</v>
      </c>
      <c r="NF873" t="s">
        <v>2394</v>
      </c>
      <c r="NG873" t="s">
        <v>266</v>
      </c>
      <c r="NH873" t="s">
        <v>265</v>
      </c>
      <c r="NQ873" t="s">
        <v>6</v>
      </c>
      <c r="NR873">
        <v>1486</v>
      </c>
      <c r="NS873" t="s">
        <v>29</v>
      </c>
      <c r="NW873">
        <v>3</v>
      </c>
      <c r="OH873" t="s">
        <v>2377</v>
      </c>
      <c r="OI873" t="s">
        <v>6</v>
      </c>
      <c r="OK873">
        <v>2009</v>
      </c>
      <c r="OL873">
        <v>2010</v>
      </c>
      <c r="OM873" t="s">
        <v>2330</v>
      </c>
      <c r="ON873" t="s">
        <v>2393</v>
      </c>
      <c r="OO873" t="s">
        <v>1178</v>
      </c>
      <c r="OP873" s="58">
        <v>46136</v>
      </c>
    </row>
    <row r="874" spans="1:406" ht="15.75" thickBot="1">
      <c r="A874" t="s">
        <v>248</v>
      </c>
      <c r="B874" t="s">
        <v>2346</v>
      </c>
      <c r="C874" t="s">
        <v>1904</v>
      </c>
      <c r="D874" t="s">
        <v>1955</v>
      </c>
      <c r="E874" s="90" t="s">
        <v>2345</v>
      </c>
      <c r="F874" s="89" t="s">
        <v>31</v>
      </c>
      <c r="G874" t="s">
        <v>2</v>
      </c>
      <c r="H874" t="s">
        <v>30</v>
      </c>
      <c r="I874">
        <v>23.983611109999998</v>
      </c>
      <c r="J874">
        <v>90.402222219999999</v>
      </c>
      <c r="K874" t="s">
        <v>29</v>
      </c>
      <c r="AV874" t="s">
        <v>2344</v>
      </c>
      <c r="AW874">
        <f t="shared" si="1"/>
        <v>1435</v>
      </c>
      <c r="AX874" t="s">
        <v>29</v>
      </c>
      <c r="AY874">
        <v>3</v>
      </c>
      <c r="AZ874" t="s">
        <v>2343</v>
      </c>
      <c r="BA874">
        <v>2009</v>
      </c>
      <c r="BB874">
        <v>2012</v>
      </c>
      <c r="BC874">
        <v>2009.2</v>
      </c>
      <c r="BD874" t="s">
        <v>19</v>
      </c>
      <c r="BE874" t="s">
        <v>2373</v>
      </c>
      <c r="BF874" t="s">
        <v>39</v>
      </c>
      <c r="BG874" t="s">
        <v>1243</v>
      </c>
      <c r="BH874" t="s">
        <v>2338</v>
      </c>
      <c r="BI874" t="s">
        <v>2361</v>
      </c>
      <c r="BJ874" t="s">
        <v>2281</v>
      </c>
      <c r="BK874">
        <v>45</v>
      </c>
      <c r="BL874" t="s">
        <v>275</v>
      </c>
      <c r="BM874" t="s">
        <v>2338</v>
      </c>
      <c r="BN874" t="s">
        <v>2374</v>
      </c>
      <c r="BO874" t="s">
        <v>2281</v>
      </c>
      <c r="BP874">
        <v>49</v>
      </c>
      <c r="BQ874" t="s">
        <v>275</v>
      </c>
      <c r="BR874" t="s">
        <v>2338</v>
      </c>
      <c r="BS874" t="s">
        <v>2360</v>
      </c>
      <c r="BT874" t="s">
        <v>2281</v>
      </c>
      <c r="BU874">
        <v>49</v>
      </c>
      <c r="HL874" t="s">
        <v>2369</v>
      </c>
      <c r="HM874" t="s">
        <v>297</v>
      </c>
      <c r="HN874" t="s">
        <v>2368</v>
      </c>
      <c r="HP874" t="s">
        <v>29</v>
      </c>
      <c r="HQ874">
        <v>12</v>
      </c>
      <c r="HR874" t="s">
        <v>2367</v>
      </c>
      <c r="HT874" t="s">
        <v>2333</v>
      </c>
      <c r="HU874" s="58">
        <v>40202</v>
      </c>
      <c r="HV874" s="58"/>
      <c r="IN874" t="s">
        <v>2373</v>
      </c>
      <c r="IO874" s="54" t="s">
        <v>2356</v>
      </c>
      <c r="IR874">
        <v>2009</v>
      </c>
      <c r="IS874" t="s">
        <v>2330</v>
      </c>
      <c r="IT874" s="4" t="s">
        <v>1898</v>
      </c>
      <c r="JK874" t="s">
        <v>14</v>
      </c>
      <c r="KD874" t="s">
        <v>2372</v>
      </c>
      <c r="KE874" t="s">
        <v>1561</v>
      </c>
      <c r="KF874" t="s">
        <v>2328</v>
      </c>
      <c r="KG874">
        <v>3</v>
      </c>
      <c r="KH874" t="s">
        <v>2327</v>
      </c>
      <c r="KI874" t="s">
        <v>2171</v>
      </c>
      <c r="KM874" t="s">
        <v>219</v>
      </c>
      <c r="KN874" s="8" t="s">
        <v>2376</v>
      </c>
      <c r="KU874" t="s">
        <v>2371</v>
      </c>
      <c r="KV874" t="s">
        <v>2324</v>
      </c>
      <c r="KZ874" t="s">
        <v>13</v>
      </c>
      <c r="LA874">
        <v>0</v>
      </c>
      <c r="LG874" t="s">
        <v>2323</v>
      </c>
      <c r="LH874" t="s">
        <v>2322</v>
      </c>
      <c r="LI874">
        <v>7.5</v>
      </c>
      <c r="LO874" t="s">
        <v>2370</v>
      </c>
      <c r="LP874" t="s">
        <v>2320</v>
      </c>
      <c r="LS874" t="s">
        <v>1944</v>
      </c>
      <c r="LT874">
        <v>2172</v>
      </c>
      <c r="LU874" t="s">
        <v>2319</v>
      </c>
      <c r="MA874" t="s">
        <v>2351</v>
      </c>
      <c r="MC874" s="58">
        <v>40292</v>
      </c>
      <c r="MS874" t="s">
        <v>2317</v>
      </c>
      <c r="MT874">
        <v>1435</v>
      </c>
      <c r="MV874" t="s">
        <v>2350</v>
      </c>
      <c r="MW874" s="2" t="s">
        <v>2315</v>
      </c>
      <c r="MX874" s="2" t="s">
        <v>2315</v>
      </c>
      <c r="MY874" s="2"/>
      <c r="MZ874" s="2"/>
      <c r="NE874" t="s">
        <v>2381</v>
      </c>
      <c r="NF874" t="s">
        <v>2394</v>
      </c>
      <c r="NG874" t="s">
        <v>266</v>
      </c>
      <c r="NH874" t="s">
        <v>265</v>
      </c>
      <c r="NP874" t="s">
        <v>2362</v>
      </c>
      <c r="NQ874" t="s">
        <v>6</v>
      </c>
      <c r="NR874">
        <v>346</v>
      </c>
      <c r="NS874" t="s">
        <v>29</v>
      </c>
      <c r="NW874">
        <v>3</v>
      </c>
      <c r="OH874" t="s">
        <v>2377</v>
      </c>
      <c r="OI874" t="s">
        <v>6</v>
      </c>
      <c r="OK874">
        <v>2010</v>
      </c>
      <c r="OL874">
        <v>2011</v>
      </c>
      <c r="OM874" t="s">
        <v>2330</v>
      </c>
      <c r="ON874" t="s">
        <v>2393</v>
      </c>
      <c r="OO874" t="s">
        <v>1178</v>
      </c>
      <c r="OP874" s="58">
        <v>46136</v>
      </c>
    </row>
    <row r="875" spans="1:406" ht="15.75" thickBot="1">
      <c r="A875" t="s">
        <v>248</v>
      </c>
      <c r="B875" t="s">
        <v>2346</v>
      </c>
      <c r="C875" t="s">
        <v>1904</v>
      </c>
      <c r="D875" t="s">
        <v>1955</v>
      </c>
      <c r="E875" s="90" t="s">
        <v>2345</v>
      </c>
      <c r="F875" s="89" t="s">
        <v>31</v>
      </c>
      <c r="G875" t="s">
        <v>2</v>
      </c>
      <c r="H875" t="s">
        <v>30</v>
      </c>
      <c r="I875">
        <v>23.983611109999998</v>
      </c>
      <c r="J875">
        <v>90.402222219999999</v>
      </c>
      <c r="K875" t="s">
        <v>29</v>
      </c>
      <c r="AV875" t="s">
        <v>2344</v>
      </c>
      <c r="AW875">
        <f t="shared" si="1"/>
        <v>1435</v>
      </c>
      <c r="AX875" t="s">
        <v>29</v>
      </c>
      <c r="AY875">
        <v>3</v>
      </c>
      <c r="AZ875" t="s">
        <v>2343</v>
      </c>
      <c r="BA875">
        <v>2009</v>
      </c>
      <c r="BB875">
        <v>2012</v>
      </c>
      <c r="BC875">
        <v>2009.2</v>
      </c>
      <c r="BD875" t="s">
        <v>19</v>
      </c>
      <c r="BE875" t="s">
        <v>2366</v>
      </c>
      <c r="BF875" t="s">
        <v>24</v>
      </c>
      <c r="BG875" t="s">
        <v>1243</v>
      </c>
      <c r="BH875" t="s">
        <v>2338</v>
      </c>
      <c r="BI875" t="s">
        <v>2361</v>
      </c>
      <c r="BJ875" t="s">
        <v>2281</v>
      </c>
      <c r="BK875">
        <v>30</v>
      </c>
      <c r="BL875" t="s">
        <v>275</v>
      </c>
      <c r="BM875" t="s">
        <v>2338</v>
      </c>
      <c r="BN875" t="s">
        <v>2360</v>
      </c>
      <c r="BO875" t="s">
        <v>2281</v>
      </c>
      <c r="BP875">
        <v>35</v>
      </c>
      <c r="HL875" t="s">
        <v>2369</v>
      </c>
      <c r="HM875" t="s">
        <v>297</v>
      </c>
      <c r="HN875" t="s">
        <v>2368</v>
      </c>
      <c r="HP875" t="s">
        <v>29</v>
      </c>
      <c r="HQ875">
        <v>12</v>
      </c>
      <c r="HR875" t="s">
        <v>2367</v>
      </c>
      <c r="HT875" t="s">
        <v>2333</v>
      </c>
      <c r="HU875" s="58">
        <v>40192</v>
      </c>
      <c r="HV875" s="58"/>
      <c r="IN875" t="s">
        <v>2366</v>
      </c>
      <c r="IO875" s="54" t="s">
        <v>2356</v>
      </c>
      <c r="IR875">
        <v>2009</v>
      </c>
      <c r="IS875" t="s">
        <v>2330</v>
      </c>
      <c r="IT875" s="4" t="s">
        <v>1898</v>
      </c>
      <c r="JK875" t="s">
        <v>14</v>
      </c>
      <c r="KD875" t="s">
        <v>2365</v>
      </c>
      <c r="KE875" t="s">
        <v>1561</v>
      </c>
      <c r="KF875" t="s">
        <v>2328</v>
      </c>
      <c r="KG875">
        <v>6</v>
      </c>
      <c r="KH875" t="s">
        <v>2327</v>
      </c>
      <c r="KI875" t="s">
        <v>222</v>
      </c>
      <c r="KJ875" s="8" t="s">
        <v>1941</v>
      </c>
      <c r="KM875" t="s">
        <v>219</v>
      </c>
      <c r="KN875" t="s">
        <v>2354</v>
      </c>
      <c r="KU875" t="s">
        <v>2364</v>
      </c>
      <c r="KV875" t="s">
        <v>2324</v>
      </c>
      <c r="KZ875" t="s">
        <v>13</v>
      </c>
      <c r="LA875">
        <v>1600</v>
      </c>
      <c r="LG875" t="s">
        <v>2323</v>
      </c>
      <c r="LH875" t="s">
        <v>2322</v>
      </c>
      <c r="LI875">
        <v>30</v>
      </c>
      <c r="LO875" t="s">
        <v>2363</v>
      </c>
      <c r="LP875" t="s">
        <v>2320</v>
      </c>
      <c r="LS875" t="s">
        <v>1944</v>
      </c>
      <c r="LT875">
        <v>1946</v>
      </c>
      <c r="LU875" t="s">
        <v>2319</v>
      </c>
      <c r="MA875" t="s">
        <v>2351</v>
      </c>
      <c r="MC875" s="58">
        <v>40298</v>
      </c>
      <c r="MS875" t="s">
        <v>2317</v>
      </c>
      <c r="MT875">
        <v>1435</v>
      </c>
      <c r="MV875" t="s">
        <v>2350</v>
      </c>
      <c r="MW875" s="2" t="s">
        <v>2315</v>
      </c>
      <c r="MX875" s="2" t="s">
        <v>2315</v>
      </c>
      <c r="MY875" s="2"/>
      <c r="MZ875" s="2"/>
      <c r="NE875" t="s">
        <v>2381</v>
      </c>
      <c r="NF875" t="s">
        <v>2394</v>
      </c>
      <c r="NG875" t="s">
        <v>266</v>
      </c>
      <c r="NH875" t="s">
        <v>265</v>
      </c>
      <c r="NP875" t="s">
        <v>2362</v>
      </c>
      <c r="NQ875" t="s">
        <v>6</v>
      </c>
      <c r="NR875">
        <v>933</v>
      </c>
      <c r="NS875" t="s">
        <v>29</v>
      </c>
      <c r="NW875">
        <v>3</v>
      </c>
      <c r="OH875" t="s">
        <v>2377</v>
      </c>
      <c r="OI875" t="s">
        <v>6</v>
      </c>
      <c r="OK875">
        <v>2010</v>
      </c>
      <c r="OL875">
        <v>2011</v>
      </c>
      <c r="OM875" t="s">
        <v>2330</v>
      </c>
      <c r="ON875" t="s">
        <v>2393</v>
      </c>
      <c r="OO875" t="s">
        <v>1178</v>
      </c>
      <c r="OP875" s="58">
        <v>46136</v>
      </c>
    </row>
    <row r="876" spans="1:406" ht="15.75" thickBot="1">
      <c r="A876" t="s">
        <v>248</v>
      </c>
      <c r="B876" t="s">
        <v>2346</v>
      </c>
      <c r="C876" t="s">
        <v>1904</v>
      </c>
      <c r="D876" t="s">
        <v>1955</v>
      </c>
      <c r="E876" s="90" t="s">
        <v>2345</v>
      </c>
      <c r="F876" s="89" t="s">
        <v>31</v>
      </c>
      <c r="G876" t="s">
        <v>2</v>
      </c>
      <c r="H876" t="s">
        <v>30</v>
      </c>
      <c r="I876">
        <v>23.983611109999998</v>
      </c>
      <c r="J876">
        <v>90.402222219999999</v>
      </c>
      <c r="K876" t="s">
        <v>29</v>
      </c>
      <c r="AV876" t="s">
        <v>2344</v>
      </c>
      <c r="AW876">
        <f t="shared" si="1"/>
        <v>1435</v>
      </c>
      <c r="AX876" t="s">
        <v>29</v>
      </c>
      <c r="AY876">
        <v>3</v>
      </c>
      <c r="AZ876" t="s">
        <v>2343</v>
      </c>
      <c r="BA876">
        <v>2009</v>
      </c>
      <c r="BB876">
        <v>2012</v>
      </c>
      <c r="BC876">
        <v>2009.2</v>
      </c>
      <c r="BD876" t="s">
        <v>19</v>
      </c>
      <c r="BE876" t="s">
        <v>2357</v>
      </c>
      <c r="BF876" t="s">
        <v>299</v>
      </c>
      <c r="BG876" t="s">
        <v>1243</v>
      </c>
      <c r="BH876" t="s">
        <v>2338</v>
      </c>
      <c r="BI876" t="s">
        <v>2361</v>
      </c>
      <c r="BJ876" t="s">
        <v>2281</v>
      </c>
      <c r="BK876">
        <v>30</v>
      </c>
      <c r="BL876" t="s">
        <v>275</v>
      </c>
      <c r="BM876" t="s">
        <v>2338</v>
      </c>
      <c r="BN876" t="s">
        <v>2360</v>
      </c>
      <c r="BO876" t="s">
        <v>2281</v>
      </c>
      <c r="BP876">
        <v>19</v>
      </c>
      <c r="HL876" t="s">
        <v>2359</v>
      </c>
      <c r="HM876" t="s">
        <v>2335</v>
      </c>
      <c r="HP876" t="s">
        <v>29</v>
      </c>
      <c r="HQ876">
        <v>4</v>
      </c>
      <c r="HR876" t="s">
        <v>2358</v>
      </c>
      <c r="HT876" t="s">
        <v>2333</v>
      </c>
      <c r="HU876" s="58">
        <v>40192</v>
      </c>
      <c r="HV876" s="58"/>
      <c r="IN876" t="s">
        <v>2357</v>
      </c>
      <c r="IO876" s="54" t="s">
        <v>2356</v>
      </c>
      <c r="IR876">
        <v>2009</v>
      </c>
      <c r="IS876" t="s">
        <v>2330</v>
      </c>
      <c r="IT876" s="4" t="s">
        <v>1898</v>
      </c>
      <c r="JK876" t="s">
        <v>14</v>
      </c>
      <c r="KD876" t="s">
        <v>2355</v>
      </c>
      <c r="KE876" t="s">
        <v>1561</v>
      </c>
      <c r="KF876" t="s">
        <v>2328</v>
      </c>
      <c r="KG876">
        <v>7</v>
      </c>
      <c r="KH876" t="s">
        <v>2327</v>
      </c>
      <c r="KI876" t="s">
        <v>222</v>
      </c>
      <c r="KJ876" s="8" t="s">
        <v>1941</v>
      </c>
      <c r="KM876" t="s">
        <v>219</v>
      </c>
      <c r="KN876" t="s">
        <v>2354</v>
      </c>
      <c r="KU876" t="s">
        <v>2353</v>
      </c>
      <c r="KV876" t="s">
        <v>2324</v>
      </c>
      <c r="KZ876" t="s">
        <v>13</v>
      </c>
      <c r="LA876">
        <v>1400</v>
      </c>
      <c r="LG876" t="s">
        <v>2323</v>
      </c>
      <c r="LH876" t="s">
        <v>2322</v>
      </c>
      <c r="LI876">
        <v>30</v>
      </c>
      <c r="LO876" t="s">
        <v>2352</v>
      </c>
      <c r="LP876" t="s">
        <v>2320</v>
      </c>
      <c r="LS876" t="s">
        <v>1944</v>
      </c>
      <c r="LT876">
        <v>2001</v>
      </c>
      <c r="LU876" t="s">
        <v>2319</v>
      </c>
      <c r="MA876" t="s">
        <v>2351</v>
      </c>
      <c r="MC876" s="58">
        <v>40299</v>
      </c>
      <c r="MS876" t="s">
        <v>2317</v>
      </c>
      <c r="MT876">
        <v>1435</v>
      </c>
      <c r="MV876" t="s">
        <v>2350</v>
      </c>
      <c r="MW876" s="2" t="s">
        <v>2315</v>
      </c>
      <c r="MX876" s="2" t="s">
        <v>2315</v>
      </c>
      <c r="MY876" s="2"/>
      <c r="MZ876" s="2"/>
      <c r="NE876" t="s">
        <v>2381</v>
      </c>
      <c r="NF876" t="s">
        <v>2394</v>
      </c>
      <c r="NG876" t="s">
        <v>266</v>
      </c>
      <c r="NH876" t="s">
        <v>265</v>
      </c>
      <c r="NP876" t="s">
        <v>64</v>
      </c>
      <c r="NQ876" t="s">
        <v>6</v>
      </c>
      <c r="NR876">
        <v>1046</v>
      </c>
      <c r="NS876" t="s">
        <v>29</v>
      </c>
      <c r="NW876">
        <v>3</v>
      </c>
      <c r="OH876" t="s">
        <v>2377</v>
      </c>
      <c r="OI876" t="s">
        <v>6</v>
      </c>
      <c r="OK876">
        <v>2010</v>
      </c>
      <c r="OL876">
        <v>2011</v>
      </c>
      <c r="OM876" t="s">
        <v>2330</v>
      </c>
      <c r="ON876" t="s">
        <v>2393</v>
      </c>
      <c r="OO876" t="s">
        <v>1178</v>
      </c>
      <c r="OP876" s="58">
        <v>46136</v>
      </c>
    </row>
    <row r="877" spans="1:406" ht="15.75" thickBot="1">
      <c r="A877" t="s">
        <v>248</v>
      </c>
      <c r="B877" t="s">
        <v>2346</v>
      </c>
      <c r="C877" t="s">
        <v>1904</v>
      </c>
      <c r="D877" t="s">
        <v>1955</v>
      </c>
      <c r="E877" s="90" t="s">
        <v>2345</v>
      </c>
      <c r="F877" s="89" t="s">
        <v>31</v>
      </c>
      <c r="G877" t="s">
        <v>2</v>
      </c>
      <c r="H877" t="s">
        <v>30</v>
      </c>
      <c r="I877">
        <v>23.983611109999998</v>
      </c>
      <c r="J877">
        <v>90.402222219999999</v>
      </c>
      <c r="K877" t="s">
        <v>29</v>
      </c>
      <c r="AV877" t="s">
        <v>2344</v>
      </c>
      <c r="AW877">
        <f t="shared" si="1"/>
        <v>1435</v>
      </c>
      <c r="AX877" t="s">
        <v>29</v>
      </c>
      <c r="AY877">
        <v>3</v>
      </c>
      <c r="AZ877" t="s">
        <v>2343</v>
      </c>
      <c r="BA877">
        <v>2009</v>
      </c>
      <c r="BB877">
        <v>2012</v>
      </c>
      <c r="BC877">
        <v>2009.2</v>
      </c>
      <c r="BD877" t="s">
        <v>274</v>
      </c>
      <c r="BE877" t="s">
        <v>2332</v>
      </c>
      <c r="BF877" t="s">
        <v>64</v>
      </c>
      <c r="BG877" t="s">
        <v>1243</v>
      </c>
      <c r="BH877" t="s">
        <v>1913</v>
      </c>
      <c r="BI877" t="s">
        <v>2342</v>
      </c>
      <c r="BJ877" t="s">
        <v>2281</v>
      </c>
      <c r="BK877">
        <v>1614</v>
      </c>
      <c r="BL877" t="s">
        <v>275</v>
      </c>
      <c r="BM877" t="s">
        <v>23</v>
      </c>
      <c r="BN877" t="s">
        <v>2341</v>
      </c>
      <c r="BO877" t="s">
        <v>2281</v>
      </c>
      <c r="BP877">
        <v>20</v>
      </c>
      <c r="BQ877" t="s">
        <v>275</v>
      </c>
      <c r="BR877" t="s">
        <v>1936</v>
      </c>
      <c r="BS877" t="s">
        <v>2340</v>
      </c>
      <c r="BT877" t="s">
        <v>2281</v>
      </c>
      <c r="BU877">
        <v>30</v>
      </c>
      <c r="BV877" t="s">
        <v>275</v>
      </c>
      <c r="BW877" t="s">
        <v>2338</v>
      </c>
      <c r="BX877" t="s">
        <v>2339</v>
      </c>
      <c r="BY877" t="s">
        <v>2281</v>
      </c>
      <c r="BZ877">
        <v>35</v>
      </c>
      <c r="CA877" t="s">
        <v>275</v>
      </c>
      <c r="CB877" t="s">
        <v>2338</v>
      </c>
      <c r="CC877" t="s">
        <v>2337</v>
      </c>
      <c r="CD877" t="s">
        <v>2281</v>
      </c>
      <c r="CE877">
        <v>19</v>
      </c>
      <c r="HL877" t="s">
        <v>2336</v>
      </c>
      <c r="HM877" t="s">
        <v>2335</v>
      </c>
      <c r="HP877" t="s">
        <v>29</v>
      </c>
      <c r="HQ877">
        <v>9</v>
      </c>
      <c r="HR877" t="s">
        <v>2334</v>
      </c>
      <c r="HT877" t="s">
        <v>2333</v>
      </c>
      <c r="HU877" s="58">
        <v>40153</v>
      </c>
      <c r="IN877" t="s">
        <v>2332</v>
      </c>
      <c r="IO877" t="s">
        <v>2331</v>
      </c>
      <c r="IR877">
        <v>2009</v>
      </c>
      <c r="IS877" t="s">
        <v>2330</v>
      </c>
      <c r="IT877" s="4" t="s">
        <v>1898</v>
      </c>
      <c r="JK877" t="s">
        <v>14</v>
      </c>
      <c r="KD877" t="s">
        <v>2329</v>
      </c>
      <c r="KE877" t="s">
        <v>1561</v>
      </c>
      <c r="KF877" t="s">
        <v>2328</v>
      </c>
      <c r="KG877">
        <v>4</v>
      </c>
      <c r="KH877" t="s">
        <v>2327</v>
      </c>
      <c r="KI877" t="s">
        <v>2171</v>
      </c>
      <c r="KM877" t="s">
        <v>219</v>
      </c>
      <c r="KN877" t="s">
        <v>2326</v>
      </c>
      <c r="KQ877" t="s">
        <v>219</v>
      </c>
      <c r="KR877" s="8" t="s">
        <v>2375</v>
      </c>
      <c r="KU877" t="s">
        <v>2325</v>
      </c>
      <c r="KV877" t="s">
        <v>2324</v>
      </c>
      <c r="KZ877" t="s">
        <v>13</v>
      </c>
      <c r="LA877">
        <v>1600</v>
      </c>
      <c r="LG877" t="s">
        <v>2323</v>
      </c>
      <c r="LH877" t="s">
        <v>2322</v>
      </c>
      <c r="LI877">
        <v>30</v>
      </c>
      <c r="LO877" t="s">
        <v>2321</v>
      </c>
      <c r="LP877" t="s">
        <v>2320</v>
      </c>
      <c r="LS877" t="s">
        <v>1944</v>
      </c>
      <c r="LT877">
        <v>1186</v>
      </c>
      <c r="LU877" t="s">
        <v>2319</v>
      </c>
      <c r="MA877" t="s">
        <v>2318</v>
      </c>
      <c r="MC877" s="58">
        <v>40224</v>
      </c>
      <c r="MS877" t="s">
        <v>2317</v>
      </c>
      <c r="MT877">
        <v>1435</v>
      </c>
      <c r="MV877" t="s">
        <v>2316</v>
      </c>
      <c r="MW877" s="2"/>
      <c r="MX877" s="2" t="s">
        <v>2315</v>
      </c>
      <c r="MY877" s="2"/>
      <c r="MZ877" s="2"/>
      <c r="NE877" t="s">
        <v>2381</v>
      </c>
      <c r="NF877" t="s">
        <v>2394</v>
      </c>
      <c r="NG877" t="s">
        <v>266</v>
      </c>
      <c r="NH877" t="s">
        <v>265</v>
      </c>
      <c r="NQ877" t="s">
        <v>6</v>
      </c>
      <c r="NR877">
        <v>677</v>
      </c>
      <c r="NS877" t="s">
        <v>29</v>
      </c>
      <c r="NW877">
        <v>3</v>
      </c>
      <c r="OH877" t="s">
        <v>2377</v>
      </c>
      <c r="OI877" t="s">
        <v>6</v>
      </c>
      <c r="OK877">
        <v>2010</v>
      </c>
      <c r="OL877">
        <v>2011</v>
      </c>
      <c r="OM877" t="s">
        <v>2330</v>
      </c>
      <c r="ON877" t="s">
        <v>2393</v>
      </c>
      <c r="OO877" t="s">
        <v>1178</v>
      </c>
      <c r="OP877" s="58">
        <v>46136</v>
      </c>
    </row>
    <row r="878" spans="1:406" ht="15.75" thickBot="1">
      <c r="A878" t="s">
        <v>248</v>
      </c>
      <c r="B878" t="s">
        <v>2346</v>
      </c>
      <c r="C878" t="s">
        <v>1904</v>
      </c>
      <c r="D878" t="s">
        <v>1955</v>
      </c>
      <c r="E878" s="90" t="s">
        <v>2345</v>
      </c>
      <c r="F878" s="89" t="s">
        <v>31</v>
      </c>
      <c r="G878" t="s">
        <v>2</v>
      </c>
      <c r="H878" t="s">
        <v>30</v>
      </c>
      <c r="I878">
        <v>23.983611109999998</v>
      </c>
      <c r="J878">
        <v>90.402222219999999</v>
      </c>
      <c r="K878" t="s">
        <v>29</v>
      </c>
      <c r="AV878" t="s">
        <v>2344</v>
      </c>
      <c r="AW878">
        <f t="shared" si="1"/>
        <v>1435</v>
      </c>
      <c r="AX878" t="s">
        <v>29</v>
      </c>
      <c r="AY878">
        <v>3</v>
      </c>
      <c r="AZ878" t="s">
        <v>2343</v>
      </c>
      <c r="BA878">
        <v>2009</v>
      </c>
      <c r="BB878">
        <v>2012</v>
      </c>
      <c r="BC878">
        <v>2009.2</v>
      </c>
      <c r="BD878" t="s">
        <v>19</v>
      </c>
      <c r="BE878" t="s">
        <v>2373</v>
      </c>
      <c r="BF878" t="s">
        <v>39</v>
      </c>
      <c r="BG878" t="s">
        <v>1243</v>
      </c>
      <c r="BH878" t="s">
        <v>2338</v>
      </c>
      <c r="BI878" t="s">
        <v>2361</v>
      </c>
      <c r="BJ878" t="s">
        <v>2281</v>
      </c>
      <c r="BK878">
        <v>45</v>
      </c>
      <c r="BL878" t="s">
        <v>275</v>
      </c>
      <c r="BM878" t="s">
        <v>2338</v>
      </c>
      <c r="BN878" t="s">
        <v>2374</v>
      </c>
      <c r="BO878" t="s">
        <v>2281</v>
      </c>
      <c r="BP878">
        <v>49</v>
      </c>
      <c r="BQ878" t="s">
        <v>275</v>
      </c>
      <c r="BR878" t="s">
        <v>2338</v>
      </c>
      <c r="BS878" t="s">
        <v>2360</v>
      </c>
      <c r="BT878" t="s">
        <v>2281</v>
      </c>
      <c r="BU878">
        <v>49</v>
      </c>
      <c r="HL878" t="s">
        <v>2369</v>
      </c>
      <c r="HM878" t="s">
        <v>297</v>
      </c>
      <c r="HN878" t="s">
        <v>2368</v>
      </c>
      <c r="HP878" t="s">
        <v>29</v>
      </c>
      <c r="HQ878">
        <v>12</v>
      </c>
      <c r="HR878" t="s">
        <v>2367</v>
      </c>
      <c r="HT878" t="s">
        <v>2333</v>
      </c>
      <c r="HU878" s="58">
        <v>40202</v>
      </c>
      <c r="HV878" s="58"/>
      <c r="IN878" t="s">
        <v>2373</v>
      </c>
      <c r="IO878" s="54" t="s">
        <v>2356</v>
      </c>
      <c r="IR878">
        <v>2009</v>
      </c>
      <c r="IS878" t="s">
        <v>2330</v>
      </c>
      <c r="IT878" s="4" t="s">
        <v>1898</v>
      </c>
      <c r="JK878" t="s">
        <v>14</v>
      </c>
      <c r="KD878" t="s">
        <v>2372</v>
      </c>
      <c r="KE878" t="s">
        <v>1561</v>
      </c>
      <c r="KF878" t="s">
        <v>2328</v>
      </c>
      <c r="KG878">
        <v>3</v>
      </c>
      <c r="KH878" t="s">
        <v>2327</v>
      </c>
      <c r="KI878" t="s">
        <v>2171</v>
      </c>
      <c r="KM878" t="s">
        <v>219</v>
      </c>
      <c r="KN878" t="s">
        <v>2354</v>
      </c>
      <c r="KU878" t="s">
        <v>2371</v>
      </c>
      <c r="KV878" t="s">
        <v>2324</v>
      </c>
      <c r="KZ878" t="s">
        <v>13</v>
      </c>
      <c r="LA878">
        <v>1600</v>
      </c>
      <c r="LG878" t="s">
        <v>2323</v>
      </c>
      <c r="LH878" t="s">
        <v>2322</v>
      </c>
      <c r="LI878">
        <v>7.5</v>
      </c>
      <c r="LO878" t="s">
        <v>2370</v>
      </c>
      <c r="LP878" t="s">
        <v>2320</v>
      </c>
      <c r="LS878" t="s">
        <v>1944</v>
      </c>
      <c r="LT878">
        <v>1450</v>
      </c>
      <c r="LU878" t="s">
        <v>2319</v>
      </c>
      <c r="MA878" t="s">
        <v>2351</v>
      </c>
      <c r="MC878" s="58">
        <v>40292</v>
      </c>
      <c r="MS878" t="s">
        <v>2317</v>
      </c>
      <c r="MT878">
        <v>1435</v>
      </c>
      <c r="MV878" t="s">
        <v>2350</v>
      </c>
      <c r="MW878" s="2" t="s">
        <v>2315</v>
      </c>
      <c r="MX878" s="2" t="s">
        <v>2315</v>
      </c>
      <c r="MY878" s="2"/>
      <c r="MZ878" s="2"/>
      <c r="NE878" t="s">
        <v>2381</v>
      </c>
      <c r="NF878" t="s">
        <v>2394</v>
      </c>
      <c r="NG878" t="s">
        <v>266</v>
      </c>
      <c r="NH878" t="s">
        <v>265</v>
      </c>
      <c r="NP878" t="s">
        <v>2362</v>
      </c>
      <c r="NQ878" t="s">
        <v>6</v>
      </c>
      <c r="NR878">
        <v>274</v>
      </c>
      <c r="NS878" t="s">
        <v>29</v>
      </c>
      <c r="NW878">
        <v>3</v>
      </c>
      <c r="OH878" t="s">
        <v>2377</v>
      </c>
      <c r="OI878" t="s">
        <v>6</v>
      </c>
      <c r="OK878">
        <v>2011</v>
      </c>
      <c r="OL878">
        <v>2012</v>
      </c>
      <c r="OM878" t="s">
        <v>2330</v>
      </c>
      <c r="ON878" t="s">
        <v>2393</v>
      </c>
      <c r="OO878" t="s">
        <v>1178</v>
      </c>
      <c r="OP878" s="58">
        <v>46136</v>
      </c>
    </row>
    <row r="879" spans="1:406" ht="15.75" thickBot="1">
      <c r="A879" t="s">
        <v>248</v>
      </c>
      <c r="B879" t="s">
        <v>2346</v>
      </c>
      <c r="C879" t="s">
        <v>1904</v>
      </c>
      <c r="D879" t="s">
        <v>1955</v>
      </c>
      <c r="E879" s="90" t="s">
        <v>2345</v>
      </c>
      <c r="F879" s="89" t="s">
        <v>31</v>
      </c>
      <c r="G879" t="s">
        <v>2</v>
      </c>
      <c r="H879" t="s">
        <v>30</v>
      </c>
      <c r="I879">
        <v>23.983611109999998</v>
      </c>
      <c r="J879">
        <v>90.402222219999999</v>
      </c>
      <c r="K879" t="s">
        <v>29</v>
      </c>
      <c r="AV879" t="s">
        <v>2344</v>
      </c>
      <c r="AW879">
        <f t="shared" si="1"/>
        <v>1435</v>
      </c>
      <c r="AX879" t="s">
        <v>29</v>
      </c>
      <c r="AY879">
        <v>3</v>
      </c>
      <c r="AZ879" t="s">
        <v>2343</v>
      </c>
      <c r="BA879">
        <v>2009</v>
      </c>
      <c r="BB879">
        <v>2012</v>
      </c>
      <c r="BC879">
        <v>2009.2</v>
      </c>
      <c r="BD879" t="s">
        <v>19</v>
      </c>
      <c r="BE879" t="s">
        <v>2366</v>
      </c>
      <c r="BF879" t="s">
        <v>24</v>
      </c>
      <c r="BG879" t="s">
        <v>1243</v>
      </c>
      <c r="BH879" t="s">
        <v>2338</v>
      </c>
      <c r="BI879" t="s">
        <v>2361</v>
      </c>
      <c r="BJ879" t="s">
        <v>2281</v>
      </c>
      <c r="BK879">
        <v>30</v>
      </c>
      <c r="BL879" t="s">
        <v>275</v>
      </c>
      <c r="BM879" t="s">
        <v>2338</v>
      </c>
      <c r="BN879" t="s">
        <v>2360</v>
      </c>
      <c r="BO879" t="s">
        <v>2281</v>
      </c>
      <c r="BP879">
        <v>35</v>
      </c>
      <c r="HL879" t="s">
        <v>2369</v>
      </c>
      <c r="HM879" t="s">
        <v>297</v>
      </c>
      <c r="HN879" t="s">
        <v>2368</v>
      </c>
      <c r="HP879" t="s">
        <v>29</v>
      </c>
      <c r="HQ879">
        <v>12</v>
      </c>
      <c r="HR879" t="s">
        <v>2367</v>
      </c>
      <c r="HT879" t="s">
        <v>2333</v>
      </c>
      <c r="HU879" s="58">
        <v>40192</v>
      </c>
      <c r="HV879" s="58"/>
      <c r="IN879" t="s">
        <v>2366</v>
      </c>
      <c r="IO879" s="54" t="s">
        <v>2356</v>
      </c>
      <c r="IR879">
        <v>2009</v>
      </c>
      <c r="IS879" t="s">
        <v>2330</v>
      </c>
      <c r="IT879" s="4" t="s">
        <v>1898</v>
      </c>
      <c r="JK879" t="s">
        <v>14</v>
      </c>
      <c r="KD879" t="s">
        <v>2365</v>
      </c>
      <c r="KE879" t="s">
        <v>1561</v>
      </c>
      <c r="KF879" t="s">
        <v>2328</v>
      </c>
      <c r="KG879">
        <v>6</v>
      </c>
      <c r="KH879" t="s">
        <v>2327</v>
      </c>
      <c r="KI879" t="s">
        <v>222</v>
      </c>
      <c r="KJ879" s="8" t="s">
        <v>1941</v>
      </c>
      <c r="KM879" t="s">
        <v>219</v>
      </c>
      <c r="KN879" t="s">
        <v>2354</v>
      </c>
      <c r="KU879" t="s">
        <v>2364</v>
      </c>
      <c r="KV879" t="s">
        <v>2324</v>
      </c>
      <c r="KZ879" t="s">
        <v>13</v>
      </c>
      <c r="LA879">
        <v>2000</v>
      </c>
      <c r="LG879" t="s">
        <v>2323</v>
      </c>
      <c r="LH879" t="s">
        <v>2322</v>
      </c>
      <c r="LI879">
        <v>30</v>
      </c>
      <c r="LO879" t="s">
        <v>2363</v>
      </c>
      <c r="LP879" t="s">
        <v>2320</v>
      </c>
      <c r="LS879" t="s">
        <v>1944</v>
      </c>
      <c r="LT879">
        <v>1481</v>
      </c>
      <c r="LU879" t="s">
        <v>2319</v>
      </c>
      <c r="MA879" t="s">
        <v>2351</v>
      </c>
      <c r="MC879" s="58">
        <v>40298</v>
      </c>
      <c r="MS879" t="s">
        <v>2317</v>
      </c>
      <c r="MT879">
        <v>1435</v>
      </c>
      <c r="MV879" t="s">
        <v>2350</v>
      </c>
      <c r="MW879" s="2" t="s">
        <v>2315</v>
      </c>
      <c r="MX879" s="2" t="s">
        <v>2315</v>
      </c>
      <c r="MY879" s="2"/>
      <c r="MZ879" s="2"/>
      <c r="NE879" t="s">
        <v>2381</v>
      </c>
      <c r="NF879" t="s">
        <v>2394</v>
      </c>
      <c r="NG879" t="s">
        <v>266</v>
      </c>
      <c r="NH879" t="s">
        <v>265</v>
      </c>
      <c r="NP879" t="s">
        <v>2362</v>
      </c>
      <c r="NQ879" t="s">
        <v>6</v>
      </c>
      <c r="NR879">
        <v>507</v>
      </c>
      <c r="NS879" t="s">
        <v>29</v>
      </c>
      <c r="NW879">
        <v>3</v>
      </c>
      <c r="OH879" t="s">
        <v>2377</v>
      </c>
      <c r="OI879" t="s">
        <v>6</v>
      </c>
      <c r="OK879">
        <v>2011</v>
      </c>
      <c r="OL879">
        <v>2012</v>
      </c>
      <c r="OM879" t="s">
        <v>2330</v>
      </c>
      <c r="ON879" t="s">
        <v>2393</v>
      </c>
      <c r="OO879" t="s">
        <v>1178</v>
      </c>
      <c r="OP879" s="58">
        <v>46136</v>
      </c>
    </row>
    <row r="880" spans="1:406" ht="15.75" thickBot="1">
      <c r="A880" t="s">
        <v>248</v>
      </c>
      <c r="B880" t="s">
        <v>2346</v>
      </c>
      <c r="C880" t="s">
        <v>1904</v>
      </c>
      <c r="D880" t="s">
        <v>1955</v>
      </c>
      <c r="E880" s="90" t="s">
        <v>2345</v>
      </c>
      <c r="F880" s="89" t="s">
        <v>31</v>
      </c>
      <c r="G880" t="s">
        <v>2</v>
      </c>
      <c r="H880" t="s">
        <v>30</v>
      </c>
      <c r="I880">
        <v>23.983611109999998</v>
      </c>
      <c r="J880">
        <v>90.402222219999999</v>
      </c>
      <c r="K880" t="s">
        <v>29</v>
      </c>
      <c r="AV880" t="s">
        <v>2344</v>
      </c>
      <c r="AW880">
        <f t="shared" si="1"/>
        <v>1435</v>
      </c>
      <c r="AX880" t="s">
        <v>29</v>
      </c>
      <c r="AY880">
        <v>3</v>
      </c>
      <c r="AZ880" t="s">
        <v>2343</v>
      </c>
      <c r="BA880">
        <v>2009</v>
      </c>
      <c r="BB880">
        <v>2012</v>
      </c>
      <c r="BC880">
        <v>2009.2</v>
      </c>
      <c r="BD880" t="s">
        <v>19</v>
      </c>
      <c r="BE880" t="s">
        <v>2357</v>
      </c>
      <c r="BF880" t="s">
        <v>299</v>
      </c>
      <c r="BG880" t="s">
        <v>1243</v>
      </c>
      <c r="BH880" t="s">
        <v>2338</v>
      </c>
      <c r="BI880" t="s">
        <v>2361</v>
      </c>
      <c r="BJ880" t="s">
        <v>2281</v>
      </c>
      <c r="BK880">
        <v>30</v>
      </c>
      <c r="BL880" t="s">
        <v>275</v>
      </c>
      <c r="BM880" t="s">
        <v>2338</v>
      </c>
      <c r="BN880" t="s">
        <v>2360</v>
      </c>
      <c r="BO880" t="s">
        <v>2281</v>
      </c>
      <c r="BP880">
        <v>19</v>
      </c>
      <c r="HL880" t="s">
        <v>2359</v>
      </c>
      <c r="HM880" t="s">
        <v>2335</v>
      </c>
      <c r="HP880" t="s">
        <v>29</v>
      </c>
      <c r="HQ880">
        <v>4</v>
      </c>
      <c r="HR880" t="s">
        <v>2358</v>
      </c>
      <c r="HT880" t="s">
        <v>2333</v>
      </c>
      <c r="HU880" s="58">
        <v>40192</v>
      </c>
      <c r="HV880" s="58"/>
      <c r="IN880" t="s">
        <v>2357</v>
      </c>
      <c r="IO880" s="54" t="s">
        <v>2356</v>
      </c>
      <c r="IR880">
        <v>2009</v>
      </c>
      <c r="IS880" t="s">
        <v>2330</v>
      </c>
      <c r="IT880" s="4" t="s">
        <v>1898</v>
      </c>
      <c r="JK880" t="s">
        <v>14</v>
      </c>
      <c r="KD880" t="s">
        <v>2355</v>
      </c>
      <c r="KE880" t="s">
        <v>1561</v>
      </c>
      <c r="KF880" t="s">
        <v>2328</v>
      </c>
      <c r="KG880">
        <v>7</v>
      </c>
      <c r="KH880" t="s">
        <v>2327</v>
      </c>
      <c r="KI880" t="s">
        <v>222</v>
      </c>
      <c r="KJ880" s="8" t="s">
        <v>1941</v>
      </c>
      <c r="KM880" t="s">
        <v>219</v>
      </c>
      <c r="KN880" t="s">
        <v>2354</v>
      </c>
      <c r="KU880" t="s">
        <v>2353</v>
      </c>
      <c r="KV880" t="s">
        <v>2324</v>
      </c>
      <c r="KZ880" t="s">
        <v>13</v>
      </c>
      <c r="LA880">
        <v>1900</v>
      </c>
      <c r="LG880" t="s">
        <v>2323</v>
      </c>
      <c r="LH880" t="s">
        <v>2322</v>
      </c>
      <c r="LI880">
        <v>30</v>
      </c>
      <c r="LO880" t="s">
        <v>2352</v>
      </c>
      <c r="LP880" t="s">
        <v>2320</v>
      </c>
      <c r="LS880" t="s">
        <v>1944</v>
      </c>
      <c r="LT880">
        <v>1530</v>
      </c>
      <c r="LU880" t="s">
        <v>2319</v>
      </c>
      <c r="MA880" t="s">
        <v>2351</v>
      </c>
      <c r="MC880" s="58">
        <v>40299</v>
      </c>
      <c r="MS880" t="s">
        <v>2317</v>
      </c>
      <c r="MT880">
        <v>1435</v>
      </c>
      <c r="MV880" t="s">
        <v>2350</v>
      </c>
      <c r="MW880" s="2" t="s">
        <v>2315</v>
      </c>
      <c r="MX880" s="2" t="s">
        <v>2315</v>
      </c>
      <c r="MY880" s="2"/>
      <c r="MZ880" s="2"/>
      <c r="NE880" t="s">
        <v>2381</v>
      </c>
      <c r="NF880" t="s">
        <v>2394</v>
      </c>
      <c r="NG880" t="s">
        <v>266</v>
      </c>
      <c r="NH880" t="s">
        <v>265</v>
      </c>
      <c r="NP880" t="s">
        <v>64</v>
      </c>
      <c r="NQ880" t="s">
        <v>6</v>
      </c>
      <c r="NR880">
        <v>658</v>
      </c>
      <c r="NS880" t="s">
        <v>29</v>
      </c>
      <c r="NW880">
        <v>3</v>
      </c>
      <c r="OH880" t="s">
        <v>2377</v>
      </c>
      <c r="OI880" t="s">
        <v>6</v>
      </c>
      <c r="OK880">
        <v>2011</v>
      </c>
      <c r="OL880">
        <v>2012</v>
      </c>
      <c r="OM880" t="s">
        <v>2330</v>
      </c>
      <c r="ON880" t="s">
        <v>2393</v>
      </c>
      <c r="OO880" t="s">
        <v>1178</v>
      </c>
      <c r="OP880" s="58">
        <v>46136</v>
      </c>
    </row>
    <row r="881" spans="1:406" ht="15.75" thickBot="1">
      <c r="A881" t="s">
        <v>248</v>
      </c>
      <c r="B881" t="s">
        <v>2346</v>
      </c>
      <c r="C881" t="s">
        <v>1904</v>
      </c>
      <c r="D881" t="s">
        <v>1955</v>
      </c>
      <c r="E881" s="90" t="s">
        <v>2345</v>
      </c>
      <c r="F881" s="89" t="s">
        <v>31</v>
      </c>
      <c r="G881" t="s">
        <v>2</v>
      </c>
      <c r="H881" t="s">
        <v>30</v>
      </c>
      <c r="I881">
        <v>23.983611109999998</v>
      </c>
      <c r="J881">
        <v>90.402222219999999</v>
      </c>
      <c r="K881" t="s">
        <v>29</v>
      </c>
      <c r="AV881" t="s">
        <v>2344</v>
      </c>
      <c r="AW881">
        <f t="shared" si="1"/>
        <v>1435</v>
      </c>
      <c r="AX881" t="s">
        <v>29</v>
      </c>
      <c r="AY881">
        <v>3</v>
      </c>
      <c r="AZ881" t="s">
        <v>2343</v>
      </c>
      <c r="BA881">
        <v>2009</v>
      </c>
      <c r="BB881">
        <v>2012</v>
      </c>
      <c r="BC881">
        <v>2009.2</v>
      </c>
      <c r="BD881" t="s">
        <v>274</v>
      </c>
      <c r="BE881" t="s">
        <v>2332</v>
      </c>
      <c r="BF881" t="s">
        <v>64</v>
      </c>
      <c r="BG881" t="s">
        <v>1243</v>
      </c>
      <c r="BH881" t="s">
        <v>1913</v>
      </c>
      <c r="BI881" t="s">
        <v>2342</v>
      </c>
      <c r="BJ881" t="s">
        <v>2281</v>
      </c>
      <c r="BK881">
        <v>1614</v>
      </c>
      <c r="BL881" t="s">
        <v>275</v>
      </c>
      <c r="BM881" t="s">
        <v>23</v>
      </c>
      <c r="BN881" t="s">
        <v>2341</v>
      </c>
      <c r="BO881" t="s">
        <v>2281</v>
      </c>
      <c r="BP881">
        <v>20</v>
      </c>
      <c r="BQ881" t="s">
        <v>275</v>
      </c>
      <c r="BR881" t="s">
        <v>1936</v>
      </c>
      <c r="BS881" t="s">
        <v>2340</v>
      </c>
      <c r="BT881" t="s">
        <v>2281</v>
      </c>
      <c r="BU881">
        <v>30</v>
      </c>
      <c r="BV881" t="s">
        <v>275</v>
      </c>
      <c r="BW881" t="s">
        <v>2338</v>
      </c>
      <c r="BX881" t="s">
        <v>2339</v>
      </c>
      <c r="BY881" t="s">
        <v>2281</v>
      </c>
      <c r="BZ881">
        <v>35</v>
      </c>
      <c r="CA881" t="s">
        <v>275</v>
      </c>
      <c r="CB881" t="s">
        <v>2338</v>
      </c>
      <c r="CC881" t="s">
        <v>2337</v>
      </c>
      <c r="CD881" t="s">
        <v>2281</v>
      </c>
      <c r="CE881">
        <v>19</v>
      </c>
      <c r="HL881" t="s">
        <v>2336</v>
      </c>
      <c r="HM881" t="s">
        <v>2335</v>
      </c>
      <c r="HP881" t="s">
        <v>29</v>
      </c>
      <c r="HQ881">
        <v>9</v>
      </c>
      <c r="HR881" t="s">
        <v>2334</v>
      </c>
      <c r="HT881" t="s">
        <v>2333</v>
      </c>
      <c r="HU881" s="58">
        <v>40153</v>
      </c>
      <c r="IN881" t="s">
        <v>2332</v>
      </c>
      <c r="IO881" t="s">
        <v>2331</v>
      </c>
      <c r="IR881">
        <v>2009</v>
      </c>
      <c r="IS881" t="s">
        <v>2330</v>
      </c>
      <c r="IT881" s="4" t="s">
        <v>1898</v>
      </c>
      <c r="JK881" t="s">
        <v>14</v>
      </c>
      <c r="KD881" t="s">
        <v>2329</v>
      </c>
      <c r="KE881" t="s">
        <v>1561</v>
      </c>
      <c r="KF881" t="s">
        <v>2328</v>
      </c>
      <c r="KG881">
        <v>4</v>
      </c>
      <c r="KH881" t="s">
        <v>2327</v>
      </c>
      <c r="KI881" t="s">
        <v>2171</v>
      </c>
      <c r="KM881" t="s">
        <v>219</v>
      </c>
      <c r="KN881" t="s">
        <v>2326</v>
      </c>
      <c r="KU881" t="s">
        <v>2325</v>
      </c>
      <c r="KV881" t="s">
        <v>2324</v>
      </c>
      <c r="KZ881" t="s">
        <v>13</v>
      </c>
      <c r="LA881">
        <v>1600</v>
      </c>
      <c r="LG881" t="s">
        <v>2323</v>
      </c>
      <c r="LH881" t="s">
        <v>2322</v>
      </c>
      <c r="LI881">
        <v>30</v>
      </c>
      <c r="LO881" t="s">
        <v>2321</v>
      </c>
      <c r="LP881" t="s">
        <v>2320</v>
      </c>
      <c r="LS881" t="s">
        <v>1944</v>
      </c>
      <c r="LT881">
        <v>805</v>
      </c>
      <c r="LU881" t="s">
        <v>2319</v>
      </c>
      <c r="MA881" t="s">
        <v>2318</v>
      </c>
      <c r="MC881" s="58">
        <v>40224</v>
      </c>
      <c r="MS881" t="s">
        <v>2317</v>
      </c>
      <c r="MT881">
        <v>1435</v>
      </c>
      <c r="MV881" t="s">
        <v>2316</v>
      </c>
      <c r="MW881" s="2"/>
      <c r="MX881" s="2" t="s">
        <v>2315</v>
      </c>
      <c r="MY881" t="s">
        <v>1913</v>
      </c>
      <c r="MZ881" s="2" t="s">
        <v>1936</v>
      </c>
      <c r="NE881" t="s">
        <v>2381</v>
      </c>
      <c r="NF881" t="s">
        <v>2394</v>
      </c>
      <c r="NG881" t="s">
        <v>266</v>
      </c>
      <c r="NH881" t="s">
        <v>265</v>
      </c>
      <c r="NQ881" t="s">
        <v>6</v>
      </c>
      <c r="NR881">
        <v>699</v>
      </c>
      <c r="NS881" t="s">
        <v>29</v>
      </c>
      <c r="NW881">
        <v>3</v>
      </c>
      <c r="OH881" t="s">
        <v>2377</v>
      </c>
      <c r="OI881" t="s">
        <v>6</v>
      </c>
      <c r="OK881">
        <v>2011</v>
      </c>
      <c r="OL881">
        <v>2012</v>
      </c>
      <c r="OM881" t="s">
        <v>2330</v>
      </c>
      <c r="ON881" t="s">
        <v>2393</v>
      </c>
      <c r="OO881" t="s">
        <v>1178</v>
      </c>
      <c r="OP881" s="58">
        <v>46136</v>
      </c>
    </row>
    <row r="882" spans="1:406" ht="15.75" thickBot="1">
      <c r="A882" t="s">
        <v>248</v>
      </c>
      <c r="B882" t="s">
        <v>2346</v>
      </c>
      <c r="C882" t="s">
        <v>1904</v>
      </c>
      <c r="D882" t="s">
        <v>1955</v>
      </c>
      <c r="E882" s="90" t="s">
        <v>2345</v>
      </c>
      <c r="F882" s="89" t="s">
        <v>31</v>
      </c>
      <c r="G882" t="s">
        <v>2</v>
      </c>
      <c r="H882" t="s">
        <v>30</v>
      </c>
      <c r="I882">
        <v>23.983611109999998</v>
      </c>
      <c r="J882">
        <v>90.402222219999999</v>
      </c>
      <c r="K882" t="s">
        <v>29</v>
      </c>
      <c r="AV882" t="s">
        <v>2344</v>
      </c>
      <c r="AW882">
        <f t="shared" si="1"/>
        <v>1435</v>
      </c>
      <c r="AX882" t="s">
        <v>29</v>
      </c>
      <c r="AY882">
        <v>3</v>
      </c>
      <c r="AZ882" t="s">
        <v>2343</v>
      </c>
      <c r="BA882">
        <v>2009</v>
      </c>
      <c r="BB882">
        <v>2012</v>
      </c>
      <c r="BC882">
        <v>2009.2</v>
      </c>
      <c r="BD882" t="s">
        <v>19</v>
      </c>
      <c r="BE882" t="s">
        <v>2373</v>
      </c>
      <c r="BF882" t="s">
        <v>39</v>
      </c>
      <c r="BG882" t="s">
        <v>1243</v>
      </c>
      <c r="BH882" t="s">
        <v>2338</v>
      </c>
      <c r="BI882" t="s">
        <v>2361</v>
      </c>
      <c r="BJ882" t="s">
        <v>2281</v>
      </c>
      <c r="BK882">
        <v>45</v>
      </c>
      <c r="BL882" t="s">
        <v>275</v>
      </c>
      <c r="BM882" t="s">
        <v>2338</v>
      </c>
      <c r="BN882" t="s">
        <v>2374</v>
      </c>
      <c r="BO882" t="s">
        <v>2281</v>
      </c>
      <c r="BP882">
        <v>49</v>
      </c>
      <c r="BQ882" t="s">
        <v>275</v>
      </c>
      <c r="BR882" t="s">
        <v>2338</v>
      </c>
      <c r="BS882" t="s">
        <v>2360</v>
      </c>
      <c r="BT882" t="s">
        <v>2281</v>
      </c>
      <c r="BU882">
        <v>49</v>
      </c>
      <c r="HL882" t="s">
        <v>2369</v>
      </c>
      <c r="HM882" t="s">
        <v>297</v>
      </c>
      <c r="HN882" t="s">
        <v>2368</v>
      </c>
      <c r="HP882" t="s">
        <v>29</v>
      </c>
      <c r="HQ882">
        <v>12</v>
      </c>
      <c r="HR882" t="s">
        <v>2367</v>
      </c>
      <c r="HT882" t="s">
        <v>2333</v>
      </c>
      <c r="HU882" s="58">
        <v>40202</v>
      </c>
      <c r="HV882" s="58"/>
      <c r="IN882" t="s">
        <v>2373</v>
      </c>
      <c r="IO882" s="54" t="s">
        <v>2356</v>
      </c>
      <c r="IR882">
        <v>2009</v>
      </c>
      <c r="IS882" t="s">
        <v>2330</v>
      </c>
      <c r="IT882" s="4" t="s">
        <v>1898</v>
      </c>
      <c r="JK882" t="s">
        <v>14</v>
      </c>
      <c r="KD882" t="s">
        <v>2372</v>
      </c>
      <c r="KE882" t="s">
        <v>1561</v>
      </c>
      <c r="KF882" t="s">
        <v>2328</v>
      </c>
      <c r="KG882">
        <v>3</v>
      </c>
      <c r="KH882" t="s">
        <v>2327</v>
      </c>
      <c r="KI882" t="s">
        <v>2171</v>
      </c>
      <c r="KM882" t="s">
        <v>219</v>
      </c>
      <c r="KN882" s="8" t="s">
        <v>2376</v>
      </c>
      <c r="KU882" t="s">
        <v>2371</v>
      </c>
      <c r="KV882" t="s">
        <v>2324</v>
      </c>
      <c r="KZ882" t="s">
        <v>13</v>
      </c>
      <c r="LA882">
        <v>1500</v>
      </c>
      <c r="LG882" t="s">
        <v>2323</v>
      </c>
      <c r="LH882" t="s">
        <v>2322</v>
      </c>
      <c r="LI882">
        <v>7.5</v>
      </c>
      <c r="LO882" t="s">
        <v>2370</v>
      </c>
      <c r="LP882" t="s">
        <v>2320</v>
      </c>
      <c r="LS882" t="s">
        <v>1944</v>
      </c>
      <c r="LT882">
        <v>2084</v>
      </c>
      <c r="LU882" t="s">
        <v>2319</v>
      </c>
      <c r="MA882" t="s">
        <v>2351</v>
      </c>
      <c r="MC882" s="58">
        <v>40292</v>
      </c>
      <c r="MS882" t="s">
        <v>2317</v>
      </c>
      <c r="MT882">
        <v>1435</v>
      </c>
      <c r="MV882" t="s">
        <v>2350</v>
      </c>
      <c r="MW882" s="2" t="s">
        <v>2315</v>
      </c>
      <c r="MX882" s="2" t="s">
        <v>2315</v>
      </c>
      <c r="MY882" s="2"/>
      <c r="MZ882" s="2"/>
      <c r="NE882" t="s">
        <v>2380</v>
      </c>
      <c r="NF882" t="s">
        <v>2379</v>
      </c>
      <c r="NG882" t="s">
        <v>2378</v>
      </c>
      <c r="NP882" t="s">
        <v>2362</v>
      </c>
      <c r="NQ882" t="s">
        <v>6</v>
      </c>
      <c r="NR882">
        <v>1.2</v>
      </c>
      <c r="NS882" t="s">
        <v>29</v>
      </c>
      <c r="NW882">
        <v>3</v>
      </c>
      <c r="OH882" t="s">
        <v>2377</v>
      </c>
      <c r="OI882" t="s">
        <v>6</v>
      </c>
      <c r="OK882">
        <v>2009</v>
      </c>
      <c r="OL882">
        <v>2010</v>
      </c>
      <c r="OM882" t="s">
        <v>2330</v>
      </c>
      <c r="ON882" t="s">
        <v>2393</v>
      </c>
      <c r="OO882" t="s">
        <v>1178</v>
      </c>
      <c r="OP882" s="58">
        <v>46136</v>
      </c>
    </row>
    <row r="883" spans="1:406" ht="15.75" thickBot="1">
      <c r="A883" t="s">
        <v>248</v>
      </c>
      <c r="B883" t="s">
        <v>2346</v>
      </c>
      <c r="C883" t="s">
        <v>1904</v>
      </c>
      <c r="D883" t="s">
        <v>1955</v>
      </c>
      <c r="E883" s="90" t="s">
        <v>2345</v>
      </c>
      <c r="F883" s="89" t="s">
        <v>31</v>
      </c>
      <c r="G883" t="s">
        <v>2</v>
      </c>
      <c r="H883" t="s">
        <v>30</v>
      </c>
      <c r="I883">
        <v>23.983611109999998</v>
      </c>
      <c r="J883">
        <v>90.402222219999999</v>
      </c>
      <c r="K883" t="s">
        <v>29</v>
      </c>
      <c r="AV883" t="s">
        <v>2344</v>
      </c>
      <c r="AW883">
        <f t="shared" si="1"/>
        <v>1435</v>
      </c>
      <c r="AX883" t="s">
        <v>29</v>
      </c>
      <c r="AY883">
        <v>3</v>
      </c>
      <c r="AZ883" t="s">
        <v>2343</v>
      </c>
      <c r="BA883">
        <v>2009</v>
      </c>
      <c r="BB883">
        <v>2012</v>
      </c>
      <c r="BC883">
        <v>2009.2</v>
      </c>
      <c r="BD883" t="s">
        <v>19</v>
      </c>
      <c r="BE883" t="s">
        <v>2366</v>
      </c>
      <c r="BF883" t="s">
        <v>24</v>
      </c>
      <c r="BG883" t="s">
        <v>1243</v>
      </c>
      <c r="BH883" t="s">
        <v>2338</v>
      </c>
      <c r="BI883" t="s">
        <v>2361</v>
      </c>
      <c r="BJ883" t="s">
        <v>2281</v>
      </c>
      <c r="BK883">
        <v>30</v>
      </c>
      <c r="BL883" t="s">
        <v>275</v>
      </c>
      <c r="BM883" t="s">
        <v>2338</v>
      </c>
      <c r="BN883" t="s">
        <v>2360</v>
      </c>
      <c r="BO883" t="s">
        <v>2281</v>
      </c>
      <c r="BP883">
        <v>35</v>
      </c>
      <c r="HL883" t="s">
        <v>2369</v>
      </c>
      <c r="HM883" t="s">
        <v>297</v>
      </c>
      <c r="HN883" t="s">
        <v>2368</v>
      </c>
      <c r="HP883" t="s">
        <v>29</v>
      </c>
      <c r="HQ883">
        <v>12</v>
      </c>
      <c r="HR883" t="s">
        <v>2367</v>
      </c>
      <c r="HT883" t="s">
        <v>2333</v>
      </c>
      <c r="HU883" s="58">
        <v>40192</v>
      </c>
      <c r="HV883" s="58"/>
      <c r="IN883" t="s">
        <v>2366</v>
      </c>
      <c r="IO883" s="54" t="s">
        <v>2356</v>
      </c>
      <c r="IR883">
        <v>2009</v>
      </c>
      <c r="IS883" t="s">
        <v>2330</v>
      </c>
      <c r="IT883" s="4" t="s">
        <v>1898</v>
      </c>
      <c r="JK883" t="s">
        <v>14</v>
      </c>
      <c r="KD883" t="s">
        <v>2365</v>
      </c>
      <c r="KE883" t="s">
        <v>1561</v>
      </c>
      <c r="KF883" t="s">
        <v>2328</v>
      </c>
      <c r="KG883">
        <v>6</v>
      </c>
      <c r="KH883" t="s">
        <v>2327</v>
      </c>
      <c r="KI883" t="s">
        <v>222</v>
      </c>
      <c r="KJ883" s="8" t="s">
        <v>1941</v>
      </c>
      <c r="KM883" t="s">
        <v>219</v>
      </c>
      <c r="KN883" t="s">
        <v>2354</v>
      </c>
      <c r="KU883" t="s">
        <v>2364</v>
      </c>
      <c r="KV883" t="s">
        <v>2324</v>
      </c>
      <c r="KZ883" t="s">
        <v>13</v>
      </c>
      <c r="LA883">
        <v>2200</v>
      </c>
      <c r="LG883" t="s">
        <v>2323</v>
      </c>
      <c r="LH883" t="s">
        <v>2322</v>
      </c>
      <c r="LI883">
        <v>30</v>
      </c>
      <c r="LO883" t="s">
        <v>2363</v>
      </c>
      <c r="LP883" t="s">
        <v>2320</v>
      </c>
      <c r="LS883" t="s">
        <v>1944</v>
      </c>
      <c r="LT883">
        <v>1789</v>
      </c>
      <c r="LU883" t="s">
        <v>2319</v>
      </c>
      <c r="MA883" t="s">
        <v>2351</v>
      </c>
      <c r="MC883" s="58">
        <v>40298</v>
      </c>
      <c r="MS883" t="s">
        <v>2317</v>
      </c>
      <c r="MT883">
        <v>1435</v>
      </c>
      <c r="MV883" t="s">
        <v>2350</v>
      </c>
      <c r="MW883" s="2" t="s">
        <v>2315</v>
      </c>
      <c r="MX883" s="2" t="s">
        <v>2315</v>
      </c>
      <c r="MY883" s="2"/>
      <c r="MZ883" s="2"/>
      <c r="NE883" t="s">
        <v>2380</v>
      </c>
      <c r="NF883" t="s">
        <v>2379</v>
      </c>
      <c r="NG883" t="s">
        <v>2378</v>
      </c>
      <c r="NP883" t="s">
        <v>2362</v>
      </c>
      <c r="NQ883" t="s">
        <v>6</v>
      </c>
      <c r="NR883">
        <v>1.5</v>
      </c>
      <c r="NS883" t="s">
        <v>29</v>
      </c>
      <c r="NW883">
        <v>3</v>
      </c>
      <c r="OH883" t="s">
        <v>2377</v>
      </c>
      <c r="OI883" t="s">
        <v>6</v>
      </c>
      <c r="OK883">
        <v>2009</v>
      </c>
      <c r="OL883">
        <v>2010</v>
      </c>
      <c r="OM883" t="s">
        <v>2330</v>
      </c>
      <c r="ON883" t="s">
        <v>2393</v>
      </c>
      <c r="OO883" t="s">
        <v>1178</v>
      </c>
      <c r="OP883" s="58">
        <v>46136</v>
      </c>
    </row>
    <row r="884" spans="1:406" ht="15.75" thickBot="1">
      <c r="A884" t="s">
        <v>248</v>
      </c>
      <c r="B884" t="s">
        <v>2346</v>
      </c>
      <c r="C884" t="s">
        <v>1904</v>
      </c>
      <c r="D884" t="s">
        <v>1955</v>
      </c>
      <c r="E884" s="90" t="s">
        <v>2345</v>
      </c>
      <c r="F884" s="89" t="s">
        <v>31</v>
      </c>
      <c r="G884" t="s">
        <v>2</v>
      </c>
      <c r="H884" t="s">
        <v>30</v>
      </c>
      <c r="I884">
        <v>23.983611109999998</v>
      </c>
      <c r="J884">
        <v>90.402222219999999</v>
      </c>
      <c r="K884" t="s">
        <v>29</v>
      </c>
      <c r="AV884" t="s">
        <v>2344</v>
      </c>
      <c r="AW884">
        <f t="shared" si="1"/>
        <v>1435</v>
      </c>
      <c r="AX884" t="s">
        <v>29</v>
      </c>
      <c r="AY884">
        <v>3</v>
      </c>
      <c r="AZ884" t="s">
        <v>2343</v>
      </c>
      <c r="BA884">
        <v>2009</v>
      </c>
      <c r="BB884">
        <v>2012</v>
      </c>
      <c r="BC884">
        <v>2009.2</v>
      </c>
      <c r="BD884" t="s">
        <v>19</v>
      </c>
      <c r="BE884" t="s">
        <v>2357</v>
      </c>
      <c r="BF884" t="s">
        <v>299</v>
      </c>
      <c r="BG884" t="s">
        <v>1243</v>
      </c>
      <c r="BH884" t="s">
        <v>2338</v>
      </c>
      <c r="BI884" t="s">
        <v>2361</v>
      </c>
      <c r="BJ884" t="s">
        <v>2281</v>
      </c>
      <c r="BK884">
        <v>30</v>
      </c>
      <c r="BL884" t="s">
        <v>275</v>
      </c>
      <c r="BM884" t="s">
        <v>2338</v>
      </c>
      <c r="BN884" t="s">
        <v>2360</v>
      </c>
      <c r="BO884" t="s">
        <v>2281</v>
      </c>
      <c r="BP884">
        <v>19</v>
      </c>
      <c r="HL884" t="s">
        <v>2359</v>
      </c>
      <c r="HM884" t="s">
        <v>2335</v>
      </c>
      <c r="HP884" t="s">
        <v>29</v>
      </c>
      <c r="HQ884">
        <v>4</v>
      </c>
      <c r="HR884" t="s">
        <v>2358</v>
      </c>
      <c r="HT884" t="s">
        <v>2333</v>
      </c>
      <c r="HU884" s="58">
        <v>40192</v>
      </c>
      <c r="HV884" s="58"/>
      <c r="IN884" t="s">
        <v>2357</v>
      </c>
      <c r="IO884" s="54" t="s">
        <v>2356</v>
      </c>
      <c r="IR884">
        <v>2009</v>
      </c>
      <c r="IS884" t="s">
        <v>2330</v>
      </c>
      <c r="IT884" s="4" t="s">
        <v>1898</v>
      </c>
      <c r="JK884" t="s">
        <v>14</v>
      </c>
      <c r="KD884" t="s">
        <v>2355</v>
      </c>
      <c r="KE884" t="s">
        <v>1561</v>
      </c>
      <c r="KF884" t="s">
        <v>2328</v>
      </c>
      <c r="KG884">
        <v>7</v>
      </c>
      <c r="KH884" t="s">
        <v>2327</v>
      </c>
      <c r="KI884" t="s">
        <v>222</v>
      </c>
      <c r="KJ884" s="8" t="s">
        <v>1941</v>
      </c>
      <c r="KM884" t="s">
        <v>219</v>
      </c>
      <c r="KN884" t="s">
        <v>2354</v>
      </c>
      <c r="KU884" t="s">
        <v>2353</v>
      </c>
      <c r="KV884" t="s">
        <v>2324</v>
      </c>
      <c r="KZ884" t="s">
        <v>13</v>
      </c>
      <c r="LA884">
        <v>2600</v>
      </c>
      <c r="LG884" t="s">
        <v>2323</v>
      </c>
      <c r="LH884" t="s">
        <v>2322</v>
      </c>
      <c r="LI884">
        <v>30</v>
      </c>
      <c r="LO884" t="s">
        <v>2352</v>
      </c>
      <c r="LP884" t="s">
        <v>2320</v>
      </c>
      <c r="LS884" t="s">
        <v>1944</v>
      </c>
      <c r="LT884">
        <v>1898</v>
      </c>
      <c r="LU884" t="s">
        <v>2319</v>
      </c>
      <c r="MA884" t="s">
        <v>2351</v>
      </c>
      <c r="MC884" s="58">
        <v>40299</v>
      </c>
      <c r="MS884" t="s">
        <v>2317</v>
      </c>
      <c r="MT884">
        <v>1435</v>
      </c>
      <c r="MV884" t="s">
        <v>2350</v>
      </c>
      <c r="MW884" s="2" t="s">
        <v>2315</v>
      </c>
      <c r="MX884" s="2" t="s">
        <v>2315</v>
      </c>
      <c r="MY884" s="2"/>
      <c r="MZ884" s="2"/>
      <c r="NE884" t="s">
        <v>2380</v>
      </c>
      <c r="NF884" t="s">
        <v>2379</v>
      </c>
      <c r="NG884" t="s">
        <v>2378</v>
      </c>
      <c r="NP884" t="s">
        <v>64</v>
      </c>
      <c r="NQ884" t="s">
        <v>6</v>
      </c>
      <c r="NR884">
        <v>1.5</v>
      </c>
      <c r="NS884" t="s">
        <v>29</v>
      </c>
      <c r="NW884">
        <v>3</v>
      </c>
      <c r="OH884" t="s">
        <v>2377</v>
      </c>
      <c r="OI884" t="s">
        <v>6</v>
      </c>
      <c r="OK884">
        <v>2009</v>
      </c>
      <c r="OL884">
        <v>2010</v>
      </c>
      <c r="OM884" t="s">
        <v>2330</v>
      </c>
      <c r="ON884" t="s">
        <v>2393</v>
      </c>
      <c r="OO884" t="s">
        <v>1178</v>
      </c>
      <c r="OP884" s="58">
        <v>46136</v>
      </c>
    </row>
    <row r="885" spans="1:406" ht="15.75" thickBot="1">
      <c r="A885" t="s">
        <v>248</v>
      </c>
      <c r="B885" t="s">
        <v>2346</v>
      </c>
      <c r="C885" t="s">
        <v>1904</v>
      </c>
      <c r="D885" t="s">
        <v>1955</v>
      </c>
      <c r="E885" s="90" t="s">
        <v>2345</v>
      </c>
      <c r="F885" s="89" t="s">
        <v>31</v>
      </c>
      <c r="G885" t="s">
        <v>2</v>
      </c>
      <c r="H885" t="s">
        <v>30</v>
      </c>
      <c r="I885">
        <v>23.983611109999998</v>
      </c>
      <c r="J885">
        <v>90.402222219999999</v>
      </c>
      <c r="K885" t="s">
        <v>29</v>
      </c>
      <c r="AV885" t="s">
        <v>2344</v>
      </c>
      <c r="AW885">
        <f t="shared" si="1"/>
        <v>1435</v>
      </c>
      <c r="AX885" t="s">
        <v>29</v>
      </c>
      <c r="AY885">
        <v>3</v>
      </c>
      <c r="AZ885" t="s">
        <v>2343</v>
      </c>
      <c r="BA885">
        <v>2009</v>
      </c>
      <c r="BB885">
        <v>2012</v>
      </c>
      <c r="BC885">
        <v>2009.2</v>
      </c>
      <c r="BD885" t="s">
        <v>274</v>
      </c>
      <c r="BE885" t="s">
        <v>2332</v>
      </c>
      <c r="BF885" t="s">
        <v>64</v>
      </c>
      <c r="BG885" t="s">
        <v>1243</v>
      </c>
      <c r="BH885" t="s">
        <v>1913</v>
      </c>
      <c r="BI885" t="s">
        <v>2342</v>
      </c>
      <c r="BJ885" t="s">
        <v>2281</v>
      </c>
      <c r="BK885">
        <v>1614</v>
      </c>
      <c r="BL885" t="s">
        <v>275</v>
      </c>
      <c r="BM885" t="s">
        <v>23</v>
      </c>
      <c r="BN885" t="s">
        <v>2341</v>
      </c>
      <c r="BO885" t="s">
        <v>2281</v>
      </c>
      <c r="BP885">
        <v>20</v>
      </c>
      <c r="BQ885" t="s">
        <v>275</v>
      </c>
      <c r="BR885" t="s">
        <v>1936</v>
      </c>
      <c r="BS885" t="s">
        <v>2340</v>
      </c>
      <c r="BT885" t="s">
        <v>2281</v>
      </c>
      <c r="BU885">
        <v>30</v>
      </c>
      <c r="BV885" t="s">
        <v>275</v>
      </c>
      <c r="BW885" t="s">
        <v>2338</v>
      </c>
      <c r="BX885" t="s">
        <v>2339</v>
      </c>
      <c r="BY885" t="s">
        <v>2281</v>
      </c>
      <c r="BZ885">
        <v>35</v>
      </c>
      <c r="CA885" t="s">
        <v>275</v>
      </c>
      <c r="CB885" t="s">
        <v>2338</v>
      </c>
      <c r="CC885" t="s">
        <v>2337</v>
      </c>
      <c r="CD885" t="s">
        <v>2281</v>
      </c>
      <c r="CE885">
        <v>19</v>
      </c>
      <c r="HL885" t="s">
        <v>2336</v>
      </c>
      <c r="HM885" t="s">
        <v>2335</v>
      </c>
      <c r="HP885" t="s">
        <v>29</v>
      </c>
      <c r="HQ885">
        <v>9</v>
      </c>
      <c r="HR885" t="s">
        <v>2334</v>
      </c>
      <c r="HT885" t="s">
        <v>2333</v>
      </c>
      <c r="HU885" s="58">
        <v>40153</v>
      </c>
      <c r="IN885" t="s">
        <v>2332</v>
      </c>
      <c r="IO885" t="s">
        <v>2331</v>
      </c>
      <c r="IR885">
        <v>2009</v>
      </c>
      <c r="IS885" t="s">
        <v>2330</v>
      </c>
      <c r="IT885" s="4" t="s">
        <v>1898</v>
      </c>
      <c r="JK885" t="s">
        <v>14</v>
      </c>
      <c r="KD885" t="s">
        <v>2329</v>
      </c>
      <c r="KE885" t="s">
        <v>1561</v>
      </c>
      <c r="KF885" t="s">
        <v>2328</v>
      </c>
      <c r="KG885">
        <v>4</v>
      </c>
      <c r="KH885" t="s">
        <v>2327</v>
      </c>
      <c r="KI885" t="s">
        <v>2171</v>
      </c>
      <c r="KM885" t="s">
        <v>219</v>
      </c>
      <c r="KN885" t="s">
        <v>2326</v>
      </c>
      <c r="KU885" t="s">
        <v>2325</v>
      </c>
      <c r="KV885" t="s">
        <v>2324</v>
      </c>
      <c r="KZ885" t="s">
        <v>13</v>
      </c>
      <c r="LA885">
        <v>4600</v>
      </c>
      <c r="LG885" t="s">
        <v>2323</v>
      </c>
      <c r="LH885" t="s">
        <v>2322</v>
      </c>
      <c r="LI885">
        <v>30</v>
      </c>
      <c r="LO885" t="s">
        <v>2321</v>
      </c>
      <c r="LP885" t="s">
        <v>2320</v>
      </c>
      <c r="LS885" t="s">
        <v>1944</v>
      </c>
      <c r="LT885">
        <v>1426</v>
      </c>
      <c r="LU885" t="s">
        <v>2319</v>
      </c>
      <c r="MA885" t="s">
        <v>2318</v>
      </c>
      <c r="MC885" s="58">
        <v>40224</v>
      </c>
      <c r="MS885" t="s">
        <v>2317</v>
      </c>
      <c r="MT885">
        <v>1435</v>
      </c>
      <c r="MV885" t="s">
        <v>2316</v>
      </c>
      <c r="MW885" s="2"/>
      <c r="MX885" s="2" t="s">
        <v>2315</v>
      </c>
      <c r="MY885" t="s">
        <v>1913</v>
      </c>
      <c r="MZ885" s="2" t="s">
        <v>168</v>
      </c>
      <c r="NE885" t="s">
        <v>2380</v>
      </c>
      <c r="NF885" t="s">
        <v>2379</v>
      </c>
      <c r="NG885" t="s">
        <v>2378</v>
      </c>
      <c r="NQ885" t="s">
        <v>6</v>
      </c>
      <c r="NR885">
        <v>1.4</v>
      </c>
      <c r="NS885" t="s">
        <v>29</v>
      </c>
      <c r="NW885">
        <v>3</v>
      </c>
      <c r="OH885" t="s">
        <v>2377</v>
      </c>
      <c r="OI885" t="s">
        <v>6</v>
      </c>
      <c r="OK885">
        <v>2009</v>
      </c>
      <c r="OL885">
        <v>2010</v>
      </c>
      <c r="OM885" t="s">
        <v>2330</v>
      </c>
      <c r="ON885" t="s">
        <v>2393</v>
      </c>
      <c r="OO885" t="s">
        <v>1178</v>
      </c>
      <c r="OP885" s="58">
        <v>46136</v>
      </c>
    </row>
    <row r="886" spans="1:406" ht="15.75" thickBot="1">
      <c r="A886" t="s">
        <v>248</v>
      </c>
      <c r="B886" t="s">
        <v>2346</v>
      </c>
      <c r="C886" t="s">
        <v>1904</v>
      </c>
      <c r="D886" t="s">
        <v>1955</v>
      </c>
      <c r="E886" s="90" t="s">
        <v>2345</v>
      </c>
      <c r="F886" s="89" t="s">
        <v>31</v>
      </c>
      <c r="G886" t="s">
        <v>2</v>
      </c>
      <c r="H886" t="s">
        <v>30</v>
      </c>
      <c r="I886">
        <v>23.983611109999998</v>
      </c>
      <c r="J886">
        <v>90.402222219999999</v>
      </c>
      <c r="K886" t="s">
        <v>29</v>
      </c>
      <c r="AV886" t="s">
        <v>2344</v>
      </c>
      <c r="AW886">
        <f t="shared" ref="AW886:AW905" si="2">35*41</f>
        <v>1435</v>
      </c>
      <c r="AX886" t="s">
        <v>29</v>
      </c>
      <c r="AY886">
        <v>3</v>
      </c>
      <c r="AZ886" t="s">
        <v>2343</v>
      </c>
      <c r="BA886">
        <v>2009</v>
      </c>
      <c r="BB886">
        <v>2012</v>
      </c>
      <c r="BC886">
        <v>2009.2</v>
      </c>
      <c r="BD886" t="s">
        <v>19</v>
      </c>
      <c r="BE886" t="s">
        <v>2373</v>
      </c>
      <c r="BF886" t="s">
        <v>39</v>
      </c>
      <c r="BG886" t="s">
        <v>1243</v>
      </c>
      <c r="BH886" t="s">
        <v>2338</v>
      </c>
      <c r="BI886" t="s">
        <v>2361</v>
      </c>
      <c r="BJ886" t="s">
        <v>2281</v>
      </c>
      <c r="BK886">
        <v>45</v>
      </c>
      <c r="BL886" t="s">
        <v>275</v>
      </c>
      <c r="BM886" t="s">
        <v>2338</v>
      </c>
      <c r="BN886" t="s">
        <v>2374</v>
      </c>
      <c r="BO886" t="s">
        <v>2281</v>
      </c>
      <c r="BP886">
        <v>49</v>
      </c>
      <c r="BQ886" t="s">
        <v>275</v>
      </c>
      <c r="BR886" t="s">
        <v>2338</v>
      </c>
      <c r="BS886" t="s">
        <v>2360</v>
      </c>
      <c r="BT886" t="s">
        <v>2281</v>
      </c>
      <c r="BU886">
        <v>49</v>
      </c>
      <c r="HL886" t="s">
        <v>2369</v>
      </c>
      <c r="HM886" t="s">
        <v>297</v>
      </c>
      <c r="HN886" t="s">
        <v>2368</v>
      </c>
      <c r="HP886" t="s">
        <v>29</v>
      </c>
      <c r="HQ886">
        <v>12</v>
      </c>
      <c r="HR886" t="s">
        <v>2367</v>
      </c>
      <c r="HT886" t="s">
        <v>2333</v>
      </c>
      <c r="HU886" s="58">
        <v>40202</v>
      </c>
      <c r="HV886" s="58"/>
      <c r="IN886" t="s">
        <v>2373</v>
      </c>
      <c r="IO886" s="54" t="s">
        <v>2356</v>
      </c>
      <c r="IR886">
        <v>2009</v>
      </c>
      <c r="IS886" t="s">
        <v>2330</v>
      </c>
      <c r="IT886" s="4" t="s">
        <v>1898</v>
      </c>
      <c r="JK886" t="s">
        <v>14</v>
      </c>
      <c r="KD886" t="s">
        <v>2372</v>
      </c>
      <c r="KE886" t="s">
        <v>1561</v>
      </c>
      <c r="KF886" t="s">
        <v>2328</v>
      </c>
      <c r="KG886">
        <v>3</v>
      </c>
      <c r="KH886" t="s">
        <v>2327</v>
      </c>
      <c r="KI886" t="s">
        <v>2171</v>
      </c>
      <c r="KM886" t="s">
        <v>219</v>
      </c>
      <c r="KN886" s="8" t="s">
        <v>2376</v>
      </c>
      <c r="KU886" t="s">
        <v>2371</v>
      </c>
      <c r="KV886" t="s">
        <v>2324</v>
      </c>
      <c r="KZ886" t="s">
        <v>13</v>
      </c>
      <c r="LA886">
        <v>0</v>
      </c>
      <c r="LG886" t="s">
        <v>2323</v>
      </c>
      <c r="LH886" t="s">
        <v>2322</v>
      </c>
      <c r="LI886">
        <v>7.5</v>
      </c>
      <c r="LO886" t="s">
        <v>2370</v>
      </c>
      <c r="LP886" t="s">
        <v>2320</v>
      </c>
      <c r="LS886" t="s">
        <v>1944</v>
      </c>
      <c r="LT886">
        <v>2172</v>
      </c>
      <c r="LU886" t="s">
        <v>2319</v>
      </c>
      <c r="MA886" t="s">
        <v>2351</v>
      </c>
      <c r="MC886" s="58">
        <v>40292</v>
      </c>
      <c r="MS886" t="s">
        <v>2317</v>
      </c>
      <c r="MT886">
        <v>1435</v>
      </c>
      <c r="MV886" t="s">
        <v>2350</v>
      </c>
      <c r="MW886" s="2" t="s">
        <v>2315</v>
      </c>
      <c r="MX886" s="2" t="s">
        <v>2315</v>
      </c>
      <c r="MY886" s="2"/>
      <c r="MZ886" s="2"/>
      <c r="NE886" t="s">
        <v>2380</v>
      </c>
      <c r="NF886" t="s">
        <v>2379</v>
      </c>
      <c r="NG886" t="s">
        <v>2378</v>
      </c>
      <c r="NP886" t="s">
        <v>2362</v>
      </c>
      <c r="NQ886" t="s">
        <v>6</v>
      </c>
      <c r="NR886">
        <v>1.2</v>
      </c>
      <c r="NS886" t="s">
        <v>29</v>
      </c>
      <c r="NW886">
        <v>3</v>
      </c>
      <c r="OH886" t="s">
        <v>2377</v>
      </c>
      <c r="OI886" t="s">
        <v>6</v>
      </c>
      <c r="OK886">
        <v>2010</v>
      </c>
      <c r="OL886">
        <v>2011</v>
      </c>
      <c r="OM886" t="s">
        <v>2330</v>
      </c>
      <c r="ON886" t="s">
        <v>2393</v>
      </c>
      <c r="OO886" t="s">
        <v>1178</v>
      </c>
      <c r="OP886" s="58">
        <v>46136</v>
      </c>
    </row>
    <row r="887" spans="1:406" ht="15.75" thickBot="1">
      <c r="A887" t="s">
        <v>248</v>
      </c>
      <c r="B887" t="s">
        <v>2346</v>
      </c>
      <c r="C887" t="s">
        <v>1904</v>
      </c>
      <c r="D887" t="s">
        <v>1955</v>
      </c>
      <c r="E887" s="90" t="s">
        <v>2345</v>
      </c>
      <c r="F887" s="89" t="s">
        <v>31</v>
      </c>
      <c r="G887" t="s">
        <v>2</v>
      </c>
      <c r="H887" t="s">
        <v>30</v>
      </c>
      <c r="I887">
        <v>23.983611109999998</v>
      </c>
      <c r="J887">
        <v>90.402222219999999</v>
      </c>
      <c r="K887" t="s">
        <v>29</v>
      </c>
      <c r="AV887" t="s">
        <v>2344</v>
      </c>
      <c r="AW887">
        <f t="shared" si="2"/>
        <v>1435</v>
      </c>
      <c r="AX887" t="s">
        <v>29</v>
      </c>
      <c r="AY887">
        <v>3</v>
      </c>
      <c r="AZ887" t="s">
        <v>2343</v>
      </c>
      <c r="BA887">
        <v>2009</v>
      </c>
      <c r="BB887">
        <v>2012</v>
      </c>
      <c r="BC887">
        <v>2009.2</v>
      </c>
      <c r="BD887" t="s">
        <v>19</v>
      </c>
      <c r="BE887" t="s">
        <v>2366</v>
      </c>
      <c r="BF887" t="s">
        <v>24</v>
      </c>
      <c r="BG887" t="s">
        <v>1243</v>
      </c>
      <c r="BH887" t="s">
        <v>2338</v>
      </c>
      <c r="BI887" t="s">
        <v>2361</v>
      </c>
      <c r="BJ887" t="s">
        <v>2281</v>
      </c>
      <c r="BK887">
        <v>30</v>
      </c>
      <c r="BL887" t="s">
        <v>275</v>
      </c>
      <c r="BM887" t="s">
        <v>2338</v>
      </c>
      <c r="BN887" t="s">
        <v>2360</v>
      </c>
      <c r="BO887" t="s">
        <v>2281</v>
      </c>
      <c r="BP887">
        <v>35</v>
      </c>
      <c r="HL887" t="s">
        <v>2369</v>
      </c>
      <c r="HM887" t="s">
        <v>297</v>
      </c>
      <c r="HN887" t="s">
        <v>2368</v>
      </c>
      <c r="HP887" t="s">
        <v>29</v>
      </c>
      <c r="HQ887">
        <v>12</v>
      </c>
      <c r="HR887" t="s">
        <v>2367</v>
      </c>
      <c r="HT887" t="s">
        <v>2333</v>
      </c>
      <c r="HU887" s="58">
        <v>40192</v>
      </c>
      <c r="HV887" s="58"/>
      <c r="IN887" t="s">
        <v>2366</v>
      </c>
      <c r="IO887" s="54" t="s">
        <v>2356</v>
      </c>
      <c r="IR887">
        <v>2009</v>
      </c>
      <c r="IS887" t="s">
        <v>2330</v>
      </c>
      <c r="IT887" s="4" t="s">
        <v>1898</v>
      </c>
      <c r="JK887" t="s">
        <v>14</v>
      </c>
      <c r="KD887" t="s">
        <v>2365</v>
      </c>
      <c r="KE887" t="s">
        <v>1561</v>
      </c>
      <c r="KF887" t="s">
        <v>2328</v>
      </c>
      <c r="KG887">
        <v>6</v>
      </c>
      <c r="KH887" t="s">
        <v>2327</v>
      </c>
      <c r="KI887" t="s">
        <v>222</v>
      </c>
      <c r="KJ887" s="8" t="s">
        <v>1941</v>
      </c>
      <c r="KM887" t="s">
        <v>219</v>
      </c>
      <c r="KN887" t="s">
        <v>2354</v>
      </c>
      <c r="KU887" t="s">
        <v>2364</v>
      </c>
      <c r="KV887" t="s">
        <v>2324</v>
      </c>
      <c r="KZ887" t="s">
        <v>13</v>
      </c>
      <c r="LA887">
        <v>1600</v>
      </c>
      <c r="LG887" t="s">
        <v>2323</v>
      </c>
      <c r="LH887" t="s">
        <v>2322</v>
      </c>
      <c r="LI887">
        <v>30</v>
      </c>
      <c r="LO887" t="s">
        <v>2363</v>
      </c>
      <c r="LP887" t="s">
        <v>2320</v>
      </c>
      <c r="LS887" t="s">
        <v>1944</v>
      </c>
      <c r="LT887">
        <v>1946</v>
      </c>
      <c r="LU887" t="s">
        <v>2319</v>
      </c>
      <c r="MA887" t="s">
        <v>2351</v>
      </c>
      <c r="MC887" s="58">
        <v>40298</v>
      </c>
      <c r="MS887" t="s">
        <v>2317</v>
      </c>
      <c r="MT887">
        <v>1435</v>
      </c>
      <c r="MV887" t="s">
        <v>2350</v>
      </c>
      <c r="MW887" s="2" t="s">
        <v>2315</v>
      </c>
      <c r="MX887" s="2" t="s">
        <v>2315</v>
      </c>
      <c r="MY887" s="2"/>
      <c r="MZ887" s="2"/>
      <c r="NE887" t="s">
        <v>2380</v>
      </c>
      <c r="NF887" t="s">
        <v>2379</v>
      </c>
      <c r="NG887" t="s">
        <v>2378</v>
      </c>
      <c r="NP887" t="s">
        <v>2362</v>
      </c>
      <c r="NQ887" t="s">
        <v>6</v>
      </c>
      <c r="NR887">
        <v>1.5</v>
      </c>
      <c r="NS887" t="s">
        <v>29</v>
      </c>
      <c r="NW887">
        <v>3</v>
      </c>
      <c r="OH887" t="s">
        <v>2377</v>
      </c>
      <c r="OI887" t="s">
        <v>6</v>
      </c>
      <c r="OK887">
        <v>2010</v>
      </c>
      <c r="OL887">
        <v>2011</v>
      </c>
      <c r="OM887" t="s">
        <v>2330</v>
      </c>
      <c r="ON887" t="s">
        <v>2393</v>
      </c>
      <c r="OO887" t="s">
        <v>1178</v>
      </c>
      <c r="OP887" s="58">
        <v>46136</v>
      </c>
    </row>
    <row r="888" spans="1:406" ht="15.75" thickBot="1">
      <c r="A888" t="s">
        <v>248</v>
      </c>
      <c r="B888" t="s">
        <v>2346</v>
      </c>
      <c r="C888" t="s">
        <v>1904</v>
      </c>
      <c r="D888" t="s">
        <v>1955</v>
      </c>
      <c r="E888" s="90" t="s">
        <v>2345</v>
      </c>
      <c r="F888" s="89" t="s">
        <v>31</v>
      </c>
      <c r="G888" t="s">
        <v>2</v>
      </c>
      <c r="H888" t="s">
        <v>30</v>
      </c>
      <c r="I888">
        <v>23.983611109999998</v>
      </c>
      <c r="J888">
        <v>90.402222219999999</v>
      </c>
      <c r="K888" t="s">
        <v>29</v>
      </c>
      <c r="AV888" t="s">
        <v>2344</v>
      </c>
      <c r="AW888">
        <f t="shared" si="2"/>
        <v>1435</v>
      </c>
      <c r="AX888" t="s">
        <v>29</v>
      </c>
      <c r="AY888">
        <v>3</v>
      </c>
      <c r="AZ888" t="s">
        <v>2343</v>
      </c>
      <c r="BA888">
        <v>2009</v>
      </c>
      <c r="BB888">
        <v>2012</v>
      </c>
      <c r="BC888">
        <v>2009.2</v>
      </c>
      <c r="BD888" t="s">
        <v>19</v>
      </c>
      <c r="BE888" t="s">
        <v>2357</v>
      </c>
      <c r="BF888" t="s">
        <v>299</v>
      </c>
      <c r="BG888" t="s">
        <v>1243</v>
      </c>
      <c r="BH888" t="s">
        <v>2338</v>
      </c>
      <c r="BI888" t="s">
        <v>2361</v>
      </c>
      <c r="BJ888" t="s">
        <v>2281</v>
      </c>
      <c r="BK888">
        <v>30</v>
      </c>
      <c r="BL888" t="s">
        <v>275</v>
      </c>
      <c r="BM888" t="s">
        <v>2338</v>
      </c>
      <c r="BN888" t="s">
        <v>2360</v>
      </c>
      <c r="BO888" t="s">
        <v>2281</v>
      </c>
      <c r="BP888">
        <v>19</v>
      </c>
      <c r="HL888" t="s">
        <v>2359</v>
      </c>
      <c r="HM888" t="s">
        <v>2335</v>
      </c>
      <c r="HP888" t="s">
        <v>29</v>
      </c>
      <c r="HQ888">
        <v>4</v>
      </c>
      <c r="HR888" t="s">
        <v>2358</v>
      </c>
      <c r="HT888" t="s">
        <v>2333</v>
      </c>
      <c r="HU888" s="58">
        <v>40192</v>
      </c>
      <c r="HV888" s="58"/>
      <c r="IN888" t="s">
        <v>2357</v>
      </c>
      <c r="IO888" s="54" t="s">
        <v>2356</v>
      </c>
      <c r="IR888">
        <v>2009</v>
      </c>
      <c r="IS888" t="s">
        <v>2330</v>
      </c>
      <c r="IT888" s="4" t="s">
        <v>1898</v>
      </c>
      <c r="JK888" t="s">
        <v>14</v>
      </c>
      <c r="KD888" t="s">
        <v>2355</v>
      </c>
      <c r="KE888" t="s">
        <v>1561</v>
      </c>
      <c r="KF888" t="s">
        <v>2328</v>
      </c>
      <c r="KG888">
        <v>7</v>
      </c>
      <c r="KH888" t="s">
        <v>2327</v>
      </c>
      <c r="KI888" t="s">
        <v>222</v>
      </c>
      <c r="KJ888" s="8" t="s">
        <v>1941</v>
      </c>
      <c r="KM888" t="s">
        <v>219</v>
      </c>
      <c r="KN888" t="s">
        <v>2354</v>
      </c>
      <c r="KU888" t="s">
        <v>2353</v>
      </c>
      <c r="KV888" t="s">
        <v>2324</v>
      </c>
      <c r="KZ888" t="s">
        <v>13</v>
      </c>
      <c r="LA888">
        <v>1400</v>
      </c>
      <c r="LG888" t="s">
        <v>2323</v>
      </c>
      <c r="LH888" t="s">
        <v>2322</v>
      </c>
      <c r="LI888">
        <v>30</v>
      </c>
      <c r="LO888" t="s">
        <v>2352</v>
      </c>
      <c r="LP888" t="s">
        <v>2320</v>
      </c>
      <c r="LS888" t="s">
        <v>1944</v>
      </c>
      <c r="LT888">
        <v>2001</v>
      </c>
      <c r="LU888" t="s">
        <v>2319</v>
      </c>
      <c r="MA888" t="s">
        <v>2351</v>
      </c>
      <c r="MC888" s="58">
        <v>40299</v>
      </c>
      <c r="MS888" t="s">
        <v>2317</v>
      </c>
      <c r="MT888">
        <v>1435</v>
      </c>
      <c r="MV888" t="s">
        <v>2350</v>
      </c>
      <c r="MW888" s="2" t="s">
        <v>2315</v>
      </c>
      <c r="MX888" s="2" t="s">
        <v>2315</v>
      </c>
      <c r="MY888" s="2"/>
      <c r="MZ888" s="2"/>
      <c r="NE888" t="s">
        <v>2380</v>
      </c>
      <c r="NF888" t="s">
        <v>2379</v>
      </c>
      <c r="NG888" t="s">
        <v>2378</v>
      </c>
      <c r="NP888" t="s">
        <v>64</v>
      </c>
      <c r="NQ888" t="s">
        <v>6</v>
      </c>
      <c r="NR888">
        <v>1.6</v>
      </c>
      <c r="NS888" t="s">
        <v>29</v>
      </c>
      <c r="NW888">
        <v>3</v>
      </c>
      <c r="OH888" t="s">
        <v>2377</v>
      </c>
      <c r="OI888" t="s">
        <v>6</v>
      </c>
      <c r="OK888">
        <v>2010</v>
      </c>
      <c r="OL888">
        <v>2011</v>
      </c>
      <c r="OM888" t="s">
        <v>2330</v>
      </c>
      <c r="ON888" t="s">
        <v>2393</v>
      </c>
      <c r="OO888" t="s">
        <v>1178</v>
      </c>
      <c r="OP888" s="58">
        <v>46136</v>
      </c>
    </row>
    <row r="889" spans="1:406" ht="15.75" thickBot="1">
      <c r="A889" t="s">
        <v>248</v>
      </c>
      <c r="B889" t="s">
        <v>2346</v>
      </c>
      <c r="C889" t="s">
        <v>1904</v>
      </c>
      <c r="D889" t="s">
        <v>1955</v>
      </c>
      <c r="E889" s="90" t="s">
        <v>2345</v>
      </c>
      <c r="F889" s="89" t="s">
        <v>31</v>
      </c>
      <c r="G889" t="s">
        <v>2</v>
      </c>
      <c r="H889" t="s">
        <v>30</v>
      </c>
      <c r="I889">
        <v>23.983611109999998</v>
      </c>
      <c r="J889">
        <v>90.402222219999999</v>
      </c>
      <c r="K889" t="s">
        <v>29</v>
      </c>
      <c r="AV889" t="s">
        <v>2344</v>
      </c>
      <c r="AW889">
        <f t="shared" si="2"/>
        <v>1435</v>
      </c>
      <c r="AX889" t="s">
        <v>29</v>
      </c>
      <c r="AY889">
        <v>3</v>
      </c>
      <c r="AZ889" t="s">
        <v>2343</v>
      </c>
      <c r="BA889">
        <v>2009</v>
      </c>
      <c r="BB889">
        <v>2012</v>
      </c>
      <c r="BC889">
        <v>2009.2</v>
      </c>
      <c r="BD889" t="s">
        <v>274</v>
      </c>
      <c r="BE889" t="s">
        <v>2332</v>
      </c>
      <c r="BF889" t="s">
        <v>64</v>
      </c>
      <c r="BG889" t="s">
        <v>1243</v>
      </c>
      <c r="BH889" t="s">
        <v>1913</v>
      </c>
      <c r="BI889" t="s">
        <v>2342</v>
      </c>
      <c r="BJ889" t="s">
        <v>2281</v>
      </c>
      <c r="BK889">
        <v>1614</v>
      </c>
      <c r="BL889" t="s">
        <v>275</v>
      </c>
      <c r="BM889" t="s">
        <v>23</v>
      </c>
      <c r="BN889" t="s">
        <v>2341</v>
      </c>
      <c r="BO889" t="s">
        <v>2281</v>
      </c>
      <c r="BP889">
        <v>20</v>
      </c>
      <c r="BQ889" t="s">
        <v>275</v>
      </c>
      <c r="BR889" t="s">
        <v>1936</v>
      </c>
      <c r="BS889" t="s">
        <v>2340</v>
      </c>
      <c r="BT889" t="s">
        <v>2281</v>
      </c>
      <c r="BU889">
        <v>30</v>
      </c>
      <c r="BV889" t="s">
        <v>275</v>
      </c>
      <c r="BW889" t="s">
        <v>2338</v>
      </c>
      <c r="BX889" t="s">
        <v>2339</v>
      </c>
      <c r="BY889" t="s">
        <v>2281</v>
      </c>
      <c r="BZ889">
        <v>35</v>
      </c>
      <c r="CA889" t="s">
        <v>275</v>
      </c>
      <c r="CB889" t="s">
        <v>2338</v>
      </c>
      <c r="CC889" t="s">
        <v>2337</v>
      </c>
      <c r="CD889" t="s">
        <v>2281</v>
      </c>
      <c r="CE889">
        <v>19</v>
      </c>
      <c r="HL889" t="s">
        <v>2336</v>
      </c>
      <c r="HM889" t="s">
        <v>2335</v>
      </c>
      <c r="HP889" t="s">
        <v>29</v>
      </c>
      <c r="HQ889">
        <v>9</v>
      </c>
      <c r="HR889" t="s">
        <v>2334</v>
      </c>
      <c r="HT889" t="s">
        <v>2333</v>
      </c>
      <c r="HU889" s="58">
        <v>40153</v>
      </c>
      <c r="IN889" t="s">
        <v>2332</v>
      </c>
      <c r="IO889" t="s">
        <v>2331</v>
      </c>
      <c r="IR889">
        <v>2009</v>
      </c>
      <c r="IS889" t="s">
        <v>2330</v>
      </c>
      <c r="IT889" s="4" t="s">
        <v>1898</v>
      </c>
      <c r="JK889" t="s">
        <v>14</v>
      </c>
      <c r="KD889" t="s">
        <v>2329</v>
      </c>
      <c r="KE889" t="s">
        <v>1561</v>
      </c>
      <c r="KF889" t="s">
        <v>2328</v>
      </c>
      <c r="KG889">
        <v>4</v>
      </c>
      <c r="KH889" t="s">
        <v>2327</v>
      </c>
      <c r="KI889" t="s">
        <v>2171</v>
      </c>
      <c r="KM889" t="s">
        <v>219</v>
      </c>
      <c r="KN889" t="s">
        <v>2326</v>
      </c>
      <c r="KQ889" t="s">
        <v>219</v>
      </c>
      <c r="KR889" s="8" t="s">
        <v>2375</v>
      </c>
      <c r="KU889" t="s">
        <v>2325</v>
      </c>
      <c r="KV889" t="s">
        <v>2324</v>
      </c>
      <c r="KZ889" t="s">
        <v>13</v>
      </c>
      <c r="LA889">
        <v>1600</v>
      </c>
      <c r="LG889" t="s">
        <v>2323</v>
      </c>
      <c r="LH889" t="s">
        <v>2322</v>
      </c>
      <c r="LI889">
        <v>30</v>
      </c>
      <c r="LO889" t="s">
        <v>2321</v>
      </c>
      <c r="LP889" t="s">
        <v>2320</v>
      </c>
      <c r="LS889" t="s">
        <v>1944</v>
      </c>
      <c r="LT889">
        <v>1186</v>
      </c>
      <c r="LU889" t="s">
        <v>2319</v>
      </c>
      <c r="MA889" t="s">
        <v>2318</v>
      </c>
      <c r="MC889" s="58">
        <v>40224</v>
      </c>
      <c r="MS889" t="s">
        <v>2317</v>
      </c>
      <c r="MT889">
        <v>1435</v>
      </c>
      <c r="MV889" t="s">
        <v>2316</v>
      </c>
      <c r="MW889" s="2"/>
      <c r="MX889" s="2" t="s">
        <v>2315</v>
      </c>
      <c r="MY889" s="2"/>
      <c r="MZ889" s="2"/>
      <c r="NE889" t="s">
        <v>2380</v>
      </c>
      <c r="NF889" t="s">
        <v>2379</v>
      </c>
      <c r="NG889" t="s">
        <v>2378</v>
      </c>
      <c r="NQ889" t="s">
        <v>6</v>
      </c>
      <c r="NR889">
        <v>1.2</v>
      </c>
      <c r="NS889" t="s">
        <v>29</v>
      </c>
      <c r="NW889">
        <v>3</v>
      </c>
      <c r="OH889" t="s">
        <v>2377</v>
      </c>
      <c r="OI889" t="s">
        <v>6</v>
      </c>
      <c r="OK889">
        <v>2010</v>
      </c>
      <c r="OL889">
        <v>2011</v>
      </c>
      <c r="OM889" t="s">
        <v>2330</v>
      </c>
      <c r="ON889" t="s">
        <v>2393</v>
      </c>
      <c r="OO889" t="s">
        <v>1178</v>
      </c>
      <c r="OP889" s="58">
        <v>46136</v>
      </c>
    </row>
    <row r="890" spans="1:406" ht="15.75" thickBot="1">
      <c r="A890" t="s">
        <v>248</v>
      </c>
      <c r="B890" t="s">
        <v>2346</v>
      </c>
      <c r="C890" t="s">
        <v>1904</v>
      </c>
      <c r="D890" t="s">
        <v>1955</v>
      </c>
      <c r="E890" s="90" t="s">
        <v>2345</v>
      </c>
      <c r="F890" s="89" t="s">
        <v>31</v>
      </c>
      <c r="G890" t="s">
        <v>2</v>
      </c>
      <c r="H890" t="s">
        <v>30</v>
      </c>
      <c r="I890">
        <v>23.983611109999998</v>
      </c>
      <c r="J890">
        <v>90.402222219999999</v>
      </c>
      <c r="K890" t="s">
        <v>29</v>
      </c>
      <c r="AV890" t="s">
        <v>2344</v>
      </c>
      <c r="AW890">
        <f t="shared" si="2"/>
        <v>1435</v>
      </c>
      <c r="AX890" t="s">
        <v>29</v>
      </c>
      <c r="AY890">
        <v>3</v>
      </c>
      <c r="AZ890" t="s">
        <v>2343</v>
      </c>
      <c r="BA890">
        <v>2009</v>
      </c>
      <c r="BB890">
        <v>2012</v>
      </c>
      <c r="BC890">
        <v>2009.2</v>
      </c>
      <c r="BD890" t="s">
        <v>19</v>
      </c>
      <c r="BE890" t="s">
        <v>2373</v>
      </c>
      <c r="BF890" t="s">
        <v>39</v>
      </c>
      <c r="BG890" t="s">
        <v>1243</v>
      </c>
      <c r="BH890" t="s">
        <v>2338</v>
      </c>
      <c r="BI890" t="s">
        <v>2361</v>
      </c>
      <c r="BJ890" t="s">
        <v>2281</v>
      </c>
      <c r="BK890">
        <v>45</v>
      </c>
      <c r="BL890" t="s">
        <v>275</v>
      </c>
      <c r="BM890" t="s">
        <v>2338</v>
      </c>
      <c r="BN890" t="s">
        <v>2374</v>
      </c>
      <c r="BO890" t="s">
        <v>2281</v>
      </c>
      <c r="BP890">
        <v>49</v>
      </c>
      <c r="BQ890" t="s">
        <v>275</v>
      </c>
      <c r="BR890" t="s">
        <v>2338</v>
      </c>
      <c r="BS890" t="s">
        <v>2360</v>
      </c>
      <c r="BT890" t="s">
        <v>2281</v>
      </c>
      <c r="BU890">
        <v>49</v>
      </c>
      <c r="HL890" t="s">
        <v>2369</v>
      </c>
      <c r="HM890" t="s">
        <v>297</v>
      </c>
      <c r="HN890" t="s">
        <v>2368</v>
      </c>
      <c r="HP890" t="s">
        <v>29</v>
      </c>
      <c r="HQ890">
        <v>12</v>
      </c>
      <c r="HR890" t="s">
        <v>2367</v>
      </c>
      <c r="HT890" t="s">
        <v>2333</v>
      </c>
      <c r="HU890" s="58">
        <v>40202</v>
      </c>
      <c r="HV890" s="58"/>
      <c r="IN890" t="s">
        <v>2373</v>
      </c>
      <c r="IO890" s="54" t="s">
        <v>2356</v>
      </c>
      <c r="IR890">
        <v>2009</v>
      </c>
      <c r="IS890" t="s">
        <v>2330</v>
      </c>
      <c r="IT890" s="4" t="s">
        <v>1898</v>
      </c>
      <c r="JK890" t="s">
        <v>14</v>
      </c>
      <c r="KD890" t="s">
        <v>2372</v>
      </c>
      <c r="KE890" t="s">
        <v>1561</v>
      </c>
      <c r="KF890" t="s">
        <v>2328</v>
      </c>
      <c r="KG890">
        <v>3</v>
      </c>
      <c r="KH890" t="s">
        <v>2327</v>
      </c>
      <c r="KI890" t="s">
        <v>2171</v>
      </c>
      <c r="KM890" t="s">
        <v>219</v>
      </c>
      <c r="KN890" t="s">
        <v>2354</v>
      </c>
      <c r="KU890" t="s">
        <v>2371</v>
      </c>
      <c r="KV890" t="s">
        <v>2324</v>
      </c>
      <c r="KZ890" t="s">
        <v>13</v>
      </c>
      <c r="LA890">
        <v>1600</v>
      </c>
      <c r="LG890" t="s">
        <v>2323</v>
      </c>
      <c r="LH890" t="s">
        <v>2322</v>
      </c>
      <c r="LI890">
        <v>7.5</v>
      </c>
      <c r="LO890" t="s">
        <v>2370</v>
      </c>
      <c r="LP890" t="s">
        <v>2320</v>
      </c>
      <c r="LS890" t="s">
        <v>1944</v>
      </c>
      <c r="LT890">
        <v>1450</v>
      </c>
      <c r="LU890" t="s">
        <v>2319</v>
      </c>
      <c r="MA890" t="s">
        <v>2351</v>
      </c>
      <c r="MC890" s="58">
        <v>40292</v>
      </c>
      <c r="MS890" t="s">
        <v>2317</v>
      </c>
      <c r="MT890">
        <v>1435</v>
      </c>
      <c r="MV890" t="s">
        <v>2350</v>
      </c>
      <c r="MW890" s="2" t="s">
        <v>2315</v>
      </c>
      <c r="MX890" s="2" t="s">
        <v>2315</v>
      </c>
      <c r="MY890" s="2"/>
      <c r="MZ890" s="2"/>
      <c r="NE890" t="s">
        <v>2380</v>
      </c>
      <c r="NF890" t="s">
        <v>2379</v>
      </c>
      <c r="NG890" t="s">
        <v>2378</v>
      </c>
      <c r="NP890" t="s">
        <v>2362</v>
      </c>
      <c r="NQ890" t="s">
        <v>6</v>
      </c>
      <c r="NR890">
        <v>1.2</v>
      </c>
      <c r="NS890" t="s">
        <v>29</v>
      </c>
      <c r="NW890">
        <v>3</v>
      </c>
      <c r="OH890" t="s">
        <v>2377</v>
      </c>
      <c r="OI890" t="s">
        <v>6</v>
      </c>
      <c r="OK890">
        <v>2011</v>
      </c>
      <c r="OL890">
        <v>2012</v>
      </c>
      <c r="OM890" t="s">
        <v>2330</v>
      </c>
      <c r="ON890" t="s">
        <v>2393</v>
      </c>
      <c r="OO890" t="s">
        <v>1178</v>
      </c>
      <c r="OP890" s="58">
        <v>46136</v>
      </c>
    </row>
    <row r="891" spans="1:406" ht="15.75" thickBot="1">
      <c r="A891" t="s">
        <v>248</v>
      </c>
      <c r="B891" t="s">
        <v>2346</v>
      </c>
      <c r="C891" t="s">
        <v>1904</v>
      </c>
      <c r="D891" t="s">
        <v>1955</v>
      </c>
      <c r="E891" s="90" t="s">
        <v>2345</v>
      </c>
      <c r="F891" s="89" t="s">
        <v>31</v>
      </c>
      <c r="G891" t="s">
        <v>2</v>
      </c>
      <c r="H891" t="s">
        <v>30</v>
      </c>
      <c r="I891">
        <v>23.983611109999998</v>
      </c>
      <c r="J891">
        <v>90.402222219999999</v>
      </c>
      <c r="K891" t="s">
        <v>29</v>
      </c>
      <c r="AV891" t="s">
        <v>2344</v>
      </c>
      <c r="AW891">
        <f t="shared" si="2"/>
        <v>1435</v>
      </c>
      <c r="AX891" t="s">
        <v>29</v>
      </c>
      <c r="AY891">
        <v>3</v>
      </c>
      <c r="AZ891" t="s">
        <v>2343</v>
      </c>
      <c r="BA891">
        <v>2009</v>
      </c>
      <c r="BB891">
        <v>2012</v>
      </c>
      <c r="BC891">
        <v>2009.2</v>
      </c>
      <c r="BD891" t="s">
        <v>19</v>
      </c>
      <c r="BE891" t="s">
        <v>2366</v>
      </c>
      <c r="BF891" t="s">
        <v>24</v>
      </c>
      <c r="BG891" t="s">
        <v>1243</v>
      </c>
      <c r="BH891" t="s">
        <v>2338</v>
      </c>
      <c r="BI891" t="s">
        <v>2361</v>
      </c>
      <c r="BJ891" t="s">
        <v>2281</v>
      </c>
      <c r="BK891">
        <v>30</v>
      </c>
      <c r="BL891" t="s">
        <v>275</v>
      </c>
      <c r="BM891" t="s">
        <v>2338</v>
      </c>
      <c r="BN891" t="s">
        <v>2360</v>
      </c>
      <c r="BO891" t="s">
        <v>2281</v>
      </c>
      <c r="BP891">
        <v>35</v>
      </c>
      <c r="HL891" t="s">
        <v>2369</v>
      </c>
      <c r="HM891" t="s">
        <v>297</v>
      </c>
      <c r="HN891" t="s">
        <v>2368</v>
      </c>
      <c r="HP891" t="s">
        <v>29</v>
      </c>
      <c r="HQ891">
        <v>12</v>
      </c>
      <c r="HR891" t="s">
        <v>2367</v>
      </c>
      <c r="HT891" t="s">
        <v>2333</v>
      </c>
      <c r="HU891" s="58">
        <v>40192</v>
      </c>
      <c r="HV891" s="58"/>
      <c r="IN891" t="s">
        <v>2366</v>
      </c>
      <c r="IO891" s="54" t="s">
        <v>2356</v>
      </c>
      <c r="IR891">
        <v>2009</v>
      </c>
      <c r="IS891" t="s">
        <v>2330</v>
      </c>
      <c r="IT891" s="4" t="s">
        <v>1898</v>
      </c>
      <c r="JK891" t="s">
        <v>14</v>
      </c>
      <c r="KD891" t="s">
        <v>2365</v>
      </c>
      <c r="KE891" t="s">
        <v>1561</v>
      </c>
      <c r="KF891" t="s">
        <v>2328</v>
      </c>
      <c r="KG891">
        <v>6</v>
      </c>
      <c r="KH891" t="s">
        <v>2327</v>
      </c>
      <c r="KI891" t="s">
        <v>222</v>
      </c>
      <c r="KJ891" s="8" t="s">
        <v>1941</v>
      </c>
      <c r="KM891" t="s">
        <v>219</v>
      </c>
      <c r="KN891" t="s">
        <v>2354</v>
      </c>
      <c r="KU891" t="s">
        <v>2364</v>
      </c>
      <c r="KV891" t="s">
        <v>2324</v>
      </c>
      <c r="KZ891" t="s">
        <v>13</v>
      </c>
      <c r="LA891">
        <v>2000</v>
      </c>
      <c r="LG891" t="s">
        <v>2323</v>
      </c>
      <c r="LH891" t="s">
        <v>2322</v>
      </c>
      <c r="LI891">
        <v>30</v>
      </c>
      <c r="LO891" t="s">
        <v>2363</v>
      </c>
      <c r="LP891" t="s">
        <v>2320</v>
      </c>
      <c r="LS891" t="s">
        <v>1944</v>
      </c>
      <c r="LT891">
        <v>1481</v>
      </c>
      <c r="LU891" t="s">
        <v>2319</v>
      </c>
      <c r="MA891" t="s">
        <v>2351</v>
      </c>
      <c r="MC891" s="58">
        <v>40298</v>
      </c>
      <c r="MS891" t="s">
        <v>2317</v>
      </c>
      <c r="MT891">
        <v>1435</v>
      </c>
      <c r="MV891" t="s">
        <v>2350</v>
      </c>
      <c r="MW891" s="2" t="s">
        <v>2315</v>
      </c>
      <c r="MX891" s="2" t="s">
        <v>2315</v>
      </c>
      <c r="MY891" s="2"/>
      <c r="MZ891" s="2"/>
      <c r="NE891" t="s">
        <v>2380</v>
      </c>
      <c r="NF891" t="s">
        <v>2379</v>
      </c>
      <c r="NG891" t="s">
        <v>2378</v>
      </c>
      <c r="NP891" t="s">
        <v>2362</v>
      </c>
      <c r="NQ891" t="s">
        <v>6</v>
      </c>
      <c r="NR891">
        <v>1.3</v>
      </c>
      <c r="NS891" t="s">
        <v>29</v>
      </c>
      <c r="NW891">
        <v>3</v>
      </c>
      <c r="OH891" t="s">
        <v>2377</v>
      </c>
      <c r="OI891" t="s">
        <v>6</v>
      </c>
      <c r="OK891">
        <v>2011</v>
      </c>
      <c r="OL891">
        <v>2012</v>
      </c>
      <c r="OM891" t="s">
        <v>2330</v>
      </c>
      <c r="ON891" t="s">
        <v>2393</v>
      </c>
      <c r="OO891" t="s">
        <v>1178</v>
      </c>
      <c r="OP891" s="58">
        <v>46136</v>
      </c>
    </row>
    <row r="892" spans="1:406" ht="15.75" thickBot="1">
      <c r="A892" t="s">
        <v>248</v>
      </c>
      <c r="B892" t="s">
        <v>2346</v>
      </c>
      <c r="C892" t="s">
        <v>1904</v>
      </c>
      <c r="D892" t="s">
        <v>1955</v>
      </c>
      <c r="E892" s="90" t="s">
        <v>2345</v>
      </c>
      <c r="F892" s="89" t="s">
        <v>31</v>
      </c>
      <c r="G892" t="s">
        <v>2</v>
      </c>
      <c r="H892" t="s">
        <v>30</v>
      </c>
      <c r="I892">
        <v>23.983611109999998</v>
      </c>
      <c r="J892">
        <v>90.402222219999999</v>
      </c>
      <c r="K892" t="s">
        <v>29</v>
      </c>
      <c r="AV892" t="s">
        <v>2344</v>
      </c>
      <c r="AW892">
        <f t="shared" si="2"/>
        <v>1435</v>
      </c>
      <c r="AX892" t="s">
        <v>29</v>
      </c>
      <c r="AY892">
        <v>3</v>
      </c>
      <c r="AZ892" t="s">
        <v>2343</v>
      </c>
      <c r="BA892">
        <v>2009</v>
      </c>
      <c r="BB892">
        <v>2012</v>
      </c>
      <c r="BC892">
        <v>2009.2</v>
      </c>
      <c r="BD892" t="s">
        <v>19</v>
      </c>
      <c r="BE892" t="s">
        <v>2357</v>
      </c>
      <c r="BF892" t="s">
        <v>299</v>
      </c>
      <c r="BG892" t="s">
        <v>1243</v>
      </c>
      <c r="BH892" t="s">
        <v>2338</v>
      </c>
      <c r="BI892" t="s">
        <v>2361</v>
      </c>
      <c r="BJ892" t="s">
        <v>2281</v>
      </c>
      <c r="BK892">
        <v>30</v>
      </c>
      <c r="BL892" t="s">
        <v>275</v>
      </c>
      <c r="BM892" t="s">
        <v>2338</v>
      </c>
      <c r="BN892" t="s">
        <v>2360</v>
      </c>
      <c r="BO892" t="s">
        <v>2281</v>
      </c>
      <c r="BP892">
        <v>19</v>
      </c>
      <c r="HL892" t="s">
        <v>2359</v>
      </c>
      <c r="HM892" t="s">
        <v>2335</v>
      </c>
      <c r="HP892" t="s">
        <v>29</v>
      </c>
      <c r="HQ892">
        <v>4</v>
      </c>
      <c r="HR892" t="s">
        <v>2358</v>
      </c>
      <c r="HT892" t="s">
        <v>2333</v>
      </c>
      <c r="HU892" s="58">
        <v>40192</v>
      </c>
      <c r="HV892" s="58"/>
      <c r="IN892" t="s">
        <v>2357</v>
      </c>
      <c r="IO892" s="54" t="s">
        <v>2356</v>
      </c>
      <c r="IR892">
        <v>2009</v>
      </c>
      <c r="IS892" t="s">
        <v>2330</v>
      </c>
      <c r="IT892" s="4" t="s">
        <v>1898</v>
      </c>
      <c r="JK892" t="s">
        <v>14</v>
      </c>
      <c r="KD892" t="s">
        <v>2355</v>
      </c>
      <c r="KE892" t="s">
        <v>1561</v>
      </c>
      <c r="KF892" t="s">
        <v>2328</v>
      </c>
      <c r="KG892">
        <v>7</v>
      </c>
      <c r="KH892" t="s">
        <v>2327</v>
      </c>
      <c r="KI892" t="s">
        <v>222</v>
      </c>
      <c r="KJ892" s="8" t="s">
        <v>1941</v>
      </c>
      <c r="KM892" t="s">
        <v>219</v>
      </c>
      <c r="KN892" t="s">
        <v>2354</v>
      </c>
      <c r="KU892" t="s">
        <v>2353</v>
      </c>
      <c r="KV892" t="s">
        <v>2324</v>
      </c>
      <c r="KZ892" t="s">
        <v>13</v>
      </c>
      <c r="LA892">
        <v>1900</v>
      </c>
      <c r="LG892" t="s">
        <v>2323</v>
      </c>
      <c r="LH892" t="s">
        <v>2322</v>
      </c>
      <c r="LI892">
        <v>30</v>
      </c>
      <c r="LO892" t="s">
        <v>2352</v>
      </c>
      <c r="LP892" t="s">
        <v>2320</v>
      </c>
      <c r="LS892" t="s">
        <v>1944</v>
      </c>
      <c r="LT892">
        <v>1530</v>
      </c>
      <c r="LU892" t="s">
        <v>2319</v>
      </c>
      <c r="MA892" t="s">
        <v>2351</v>
      </c>
      <c r="MC892" s="58">
        <v>40299</v>
      </c>
      <c r="MS892" t="s">
        <v>2317</v>
      </c>
      <c r="MT892">
        <v>1435</v>
      </c>
      <c r="MV892" t="s">
        <v>2350</v>
      </c>
      <c r="MW892" s="2" t="s">
        <v>2315</v>
      </c>
      <c r="MX892" s="2" t="s">
        <v>2315</v>
      </c>
      <c r="MY892" s="2"/>
      <c r="MZ892" s="2"/>
      <c r="NE892" t="s">
        <v>2380</v>
      </c>
      <c r="NF892" t="s">
        <v>2379</v>
      </c>
      <c r="NG892" t="s">
        <v>2378</v>
      </c>
      <c r="NP892" t="s">
        <v>64</v>
      </c>
      <c r="NQ892" t="s">
        <v>6</v>
      </c>
      <c r="NR892">
        <v>1.4</v>
      </c>
      <c r="NS892" t="s">
        <v>29</v>
      </c>
      <c r="NW892">
        <v>3</v>
      </c>
      <c r="OH892" t="s">
        <v>2377</v>
      </c>
      <c r="OI892" t="s">
        <v>6</v>
      </c>
      <c r="OK892">
        <v>2011</v>
      </c>
      <c r="OL892">
        <v>2012</v>
      </c>
      <c r="OM892" t="s">
        <v>2330</v>
      </c>
      <c r="ON892" t="s">
        <v>2393</v>
      </c>
      <c r="OO892" t="s">
        <v>1178</v>
      </c>
      <c r="OP892" s="58">
        <v>46136</v>
      </c>
    </row>
    <row r="893" spans="1:406" ht="15.75" thickBot="1">
      <c r="A893" t="s">
        <v>248</v>
      </c>
      <c r="B893" t="s">
        <v>2346</v>
      </c>
      <c r="C893" t="s">
        <v>1904</v>
      </c>
      <c r="D893" t="s">
        <v>1955</v>
      </c>
      <c r="E893" s="90" t="s">
        <v>2345</v>
      </c>
      <c r="F893" s="89" t="s">
        <v>31</v>
      </c>
      <c r="G893" t="s">
        <v>2</v>
      </c>
      <c r="H893" t="s">
        <v>30</v>
      </c>
      <c r="I893">
        <v>23.983611109999998</v>
      </c>
      <c r="J893">
        <v>90.402222219999999</v>
      </c>
      <c r="K893" t="s">
        <v>29</v>
      </c>
      <c r="AV893" t="s">
        <v>2344</v>
      </c>
      <c r="AW893">
        <f t="shared" si="2"/>
        <v>1435</v>
      </c>
      <c r="AX893" t="s">
        <v>29</v>
      </c>
      <c r="AY893">
        <v>3</v>
      </c>
      <c r="AZ893" t="s">
        <v>2343</v>
      </c>
      <c r="BA893">
        <v>2009</v>
      </c>
      <c r="BB893">
        <v>2012</v>
      </c>
      <c r="BC893">
        <v>2009.2</v>
      </c>
      <c r="BD893" t="s">
        <v>274</v>
      </c>
      <c r="BE893" t="s">
        <v>2332</v>
      </c>
      <c r="BF893" t="s">
        <v>64</v>
      </c>
      <c r="BG893" t="s">
        <v>1243</v>
      </c>
      <c r="BH893" t="s">
        <v>1913</v>
      </c>
      <c r="BI893" t="s">
        <v>2342</v>
      </c>
      <c r="BJ893" t="s">
        <v>2281</v>
      </c>
      <c r="BK893">
        <v>1614</v>
      </c>
      <c r="BL893" t="s">
        <v>275</v>
      </c>
      <c r="BM893" t="s">
        <v>23</v>
      </c>
      <c r="BN893" t="s">
        <v>2341</v>
      </c>
      <c r="BO893" t="s">
        <v>2281</v>
      </c>
      <c r="BP893">
        <v>20</v>
      </c>
      <c r="BQ893" t="s">
        <v>275</v>
      </c>
      <c r="BR893" t="s">
        <v>1936</v>
      </c>
      <c r="BS893" t="s">
        <v>2340</v>
      </c>
      <c r="BT893" t="s">
        <v>2281</v>
      </c>
      <c r="BU893">
        <v>30</v>
      </c>
      <c r="BV893" t="s">
        <v>275</v>
      </c>
      <c r="BW893" t="s">
        <v>2338</v>
      </c>
      <c r="BX893" t="s">
        <v>2339</v>
      </c>
      <c r="BY893" t="s">
        <v>2281</v>
      </c>
      <c r="BZ893">
        <v>35</v>
      </c>
      <c r="CA893" t="s">
        <v>275</v>
      </c>
      <c r="CB893" t="s">
        <v>2338</v>
      </c>
      <c r="CC893" t="s">
        <v>2337</v>
      </c>
      <c r="CD893" t="s">
        <v>2281</v>
      </c>
      <c r="CE893">
        <v>19</v>
      </c>
      <c r="HL893" t="s">
        <v>2336</v>
      </c>
      <c r="HM893" t="s">
        <v>2335</v>
      </c>
      <c r="HP893" t="s">
        <v>29</v>
      </c>
      <c r="HQ893">
        <v>9</v>
      </c>
      <c r="HR893" t="s">
        <v>2334</v>
      </c>
      <c r="HT893" t="s">
        <v>2333</v>
      </c>
      <c r="HU893" s="58">
        <v>40153</v>
      </c>
      <c r="IN893" t="s">
        <v>2332</v>
      </c>
      <c r="IO893" t="s">
        <v>2331</v>
      </c>
      <c r="IR893">
        <v>2009</v>
      </c>
      <c r="IS893" t="s">
        <v>2330</v>
      </c>
      <c r="IT893" s="4" t="s">
        <v>1898</v>
      </c>
      <c r="JK893" t="s">
        <v>14</v>
      </c>
      <c r="KD893" t="s">
        <v>2329</v>
      </c>
      <c r="KE893" t="s">
        <v>1561</v>
      </c>
      <c r="KF893" t="s">
        <v>2328</v>
      </c>
      <c r="KG893">
        <v>4</v>
      </c>
      <c r="KH893" t="s">
        <v>2327</v>
      </c>
      <c r="KI893" t="s">
        <v>2171</v>
      </c>
      <c r="KM893" t="s">
        <v>219</v>
      </c>
      <c r="KN893" t="s">
        <v>2326</v>
      </c>
      <c r="KU893" t="s">
        <v>2325</v>
      </c>
      <c r="KV893" t="s">
        <v>2324</v>
      </c>
      <c r="KZ893" t="s">
        <v>13</v>
      </c>
      <c r="LA893">
        <v>1600</v>
      </c>
      <c r="LG893" t="s">
        <v>2323</v>
      </c>
      <c r="LH893" t="s">
        <v>2322</v>
      </c>
      <c r="LI893">
        <v>30</v>
      </c>
      <c r="LO893" t="s">
        <v>2321</v>
      </c>
      <c r="LP893" t="s">
        <v>2320</v>
      </c>
      <c r="LS893" t="s">
        <v>1944</v>
      </c>
      <c r="LT893">
        <v>805</v>
      </c>
      <c r="LU893" t="s">
        <v>2319</v>
      </c>
      <c r="MA893" t="s">
        <v>2318</v>
      </c>
      <c r="MC893" s="58">
        <v>40224</v>
      </c>
      <c r="MS893" t="s">
        <v>2317</v>
      </c>
      <c r="MT893">
        <v>1435</v>
      </c>
      <c r="MV893" t="s">
        <v>2316</v>
      </c>
      <c r="MW893" s="2"/>
      <c r="MX893" s="2" t="s">
        <v>2315</v>
      </c>
      <c r="MY893" t="s">
        <v>1913</v>
      </c>
      <c r="MZ893" s="2" t="s">
        <v>1936</v>
      </c>
      <c r="NE893" t="s">
        <v>2380</v>
      </c>
      <c r="NF893" t="s">
        <v>2379</v>
      </c>
      <c r="NG893" t="s">
        <v>2378</v>
      </c>
      <c r="NQ893" t="s">
        <v>6</v>
      </c>
      <c r="NR893">
        <v>1.2</v>
      </c>
      <c r="NS893" t="s">
        <v>29</v>
      </c>
      <c r="NW893">
        <v>3</v>
      </c>
      <c r="OH893" t="s">
        <v>2377</v>
      </c>
      <c r="OI893" t="s">
        <v>6</v>
      </c>
      <c r="OK893">
        <v>2011</v>
      </c>
      <c r="OL893">
        <v>2012</v>
      </c>
      <c r="OM893" t="s">
        <v>2330</v>
      </c>
      <c r="ON893" t="s">
        <v>2393</v>
      </c>
      <c r="OO893" t="s">
        <v>1178</v>
      </c>
      <c r="OP893" s="58">
        <v>46136</v>
      </c>
    </row>
    <row r="894" spans="1:406" ht="15.75" thickBot="1">
      <c r="A894" t="s">
        <v>248</v>
      </c>
      <c r="B894" t="s">
        <v>2346</v>
      </c>
      <c r="C894" t="s">
        <v>1904</v>
      </c>
      <c r="D894" t="s">
        <v>1955</v>
      </c>
      <c r="E894" s="90" t="s">
        <v>2345</v>
      </c>
      <c r="F894" s="89" t="s">
        <v>31</v>
      </c>
      <c r="G894" t="s">
        <v>2</v>
      </c>
      <c r="H894" t="s">
        <v>30</v>
      </c>
      <c r="I894">
        <v>23.983611109999998</v>
      </c>
      <c r="J894">
        <v>90.402222219999999</v>
      </c>
      <c r="K894" t="s">
        <v>29</v>
      </c>
      <c r="AV894" t="s">
        <v>2344</v>
      </c>
      <c r="AW894">
        <f t="shared" si="2"/>
        <v>1435</v>
      </c>
      <c r="AX894" t="s">
        <v>29</v>
      </c>
      <c r="AY894">
        <v>3</v>
      </c>
      <c r="AZ894" t="s">
        <v>2343</v>
      </c>
      <c r="BA894">
        <v>2009</v>
      </c>
      <c r="BB894">
        <v>2012</v>
      </c>
      <c r="BC894">
        <v>2009.2</v>
      </c>
      <c r="BD894" t="s">
        <v>19</v>
      </c>
      <c r="BE894" t="s">
        <v>2373</v>
      </c>
      <c r="BF894" t="s">
        <v>39</v>
      </c>
      <c r="BG894" t="s">
        <v>1243</v>
      </c>
      <c r="BH894" t="s">
        <v>2338</v>
      </c>
      <c r="BI894" t="s">
        <v>2361</v>
      </c>
      <c r="BJ894" t="s">
        <v>2281</v>
      </c>
      <c r="BK894">
        <v>45</v>
      </c>
      <c r="BL894" t="s">
        <v>275</v>
      </c>
      <c r="BM894" t="s">
        <v>2338</v>
      </c>
      <c r="BN894" t="s">
        <v>2374</v>
      </c>
      <c r="BO894" t="s">
        <v>2281</v>
      </c>
      <c r="BP894">
        <v>49</v>
      </c>
      <c r="BQ894" t="s">
        <v>275</v>
      </c>
      <c r="BR894" t="s">
        <v>2338</v>
      </c>
      <c r="BS894" t="s">
        <v>2360</v>
      </c>
      <c r="BT894" t="s">
        <v>2281</v>
      </c>
      <c r="BU894">
        <v>49</v>
      </c>
      <c r="HL894" t="s">
        <v>2369</v>
      </c>
      <c r="HM894" t="s">
        <v>297</v>
      </c>
      <c r="HN894" t="s">
        <v>2368</v>
      </c>
      <c r="HP894" t="s">
        <v>29</v>
      </c>
      <c r="HQ894">
        <v>12</v>
      </c>
      <c r="HR894" t="s">
        <v>2367</v>
      </c>
      <c r="HT894" t="s">
        <v>2333</v>
      </c>
      <c r="HU894" s="58">
        <v>40202</v>
      </c>
      <c r="HV894" s="58"/>
      <c r="IN894" t="s">
        <v>2373</v>
      </c>
      <c r="IO894" s="54" t="s">
        <v>2356</v>
      </c>
      <c r="IR894">
        <v>2009</v>
      </c>
      <c r="IS894" t="s">
        <v>2330</v>
      </c>
      <c r="IT894" s="4" t="s">
        <v>1898</v>
      </c>
      <c r="JK894" t="s">
        <v>14</v>
      </c>
      <c r="KD894" t="s">
        <v>2372</v>
      </c>
      <c r="KE894" t="s">
        <v>1561</v>
      </c>
      <c r="KF894" t="s">
        <v>2328</v>
      </c>
      <c r="KG894">
        <v>3</v>
      </c>
      <c r="KH894" t="s">
        <v>2327</v>
      </c>
      <c r="KI894" t="s">
        <v>2171</v>
      </c>
      <c r="KM894" t="s">
        <v>219</v>
      </c>
      <c r="KN894" s="8" t="s">
        <v>2376</v>
      </c>
      <c r="KU894" t="s">
        <v>2371</v>
      </c>
      <c r="KV894" t="s">
        <v>2324</v>
      </c>
      <c r="KZ894" t="s">
        <v>13</v>
      </c>
      <c r="LA894">
        <v>1500</v>
      </c>
      <c r="LG894" t="s">
        <v>2323</v>
      </c>
      <c r="LH894" t="s">
        <v>2322</v>
      </c>
      <c r="LI894">
        <v>7.5</v>
      </c>
      <c r="LO894" t="s">
        <v>2370</v>
      </c>
      <c r="LP894" t="s">
        <v>2320</v>
      </c>
      <c r="LS894" t="s">
        <v>1944</v>
      </c>
      <c r="LT894">
        <v>2084</v>
      </c>
      <c r="LU894" t="s">
        <v>2319</v>
      </c>
      <c r="MA894" t="s">
        <v>2351</v>
      </c>
      <c r="MC894" s="58">
        <v>40292</v>
      </c>
      <c r="MS894" t="s">
        <v>2317</v>
      </c>
      <c r="MT894">
        <v>1435</v>
      </c>
      <c r="MV894" t="s">
        <v>2350</v>
      </c>
      <c r="MW894" s="2" t="s">
        <v>2315</v>
      </c>
      <c r="MX894" s="2" t="s">
        <v>2315</v>
      </c>
      <c r="MY894" s="2"/>
      <c r="MZ894" s="2"/>
      <c r="ND894" t="s">
        <v>2314</v>
      </c>
      <c r="NE894" t="s">
        <v>2349</v>
      </c>
      <c r="NF894" t="s">
        <v>2348</v>
      </c>
      <c r="NG894" s="4" t="s">
        <v>1966</v>
      </c>
      <c r="NH894" t="s">
        <v>2347</v>
      </c>
      <c r="NP894" t="s">
        <v>2362</v>
      </c>
      <c r="NQ894" t="s">
        <v>6</v>
      </c>
      <c r="NR894">
        <v>5</v>
      </c>
      <c r="NS894" t="s">
        <v>29</v>
      </c>
      <c r="NW894">
        <v>3</v>
      </c>
      <c r="OH894" t="s">
        <v>2313</v>
      </c>
      <c r="OI894" t="s">
        <v>6</v>
      </c>
      <c r="OK894">
        <v>2009</v>
      </c>
      <c r="OL894">
        <v>2010</v>
      </c>
      <c r="OM894" t="s">
        <v>2330</v>
      </c>
      <c r="ON894" t="s">
        <v>2393</v>
      </c>
      <c r="OO894" t="s">
        <v>1178</v>
      </c>
      <c r="OP894" s="58">
        <v>46136</v>
      </c>
    </row>
    <row r="895" spans="1:406" ht="15.75" thickBot="1">
      <c r="A895" t="s">
        <v>248</v>
      </c>
      <c r="B895" t="s">
        <v>2346</v>
      </c>
      <c r="C895" t="s">
        <v>1904</v>
      </c>
      <c r="D895" t="s">
        <v>1955</v>
      </c>
      <c r="E895" s="90" t="s">
        <v>2345</v>
      </c>
      <c r="F895" s="89" t="s">
        <v>31</v>
      </c>
      <c r="G895" t="s">
        <v>2</v>
      </c>
      <c r="H895" t="s">
        <v>30</v>
      </c>
      <c r="I895">
        <v>23.983611109999998</v>
      </c>
      <c r="J895">
        <v>90.402222219999999</v>
      </c>
      <c r="K895" t="s">
        <v>29</v>
      </c>
      <c r="AV895" t="s">
        <v>2344</v>
      </c>
      <c r="AW895">
        <f t="shared" si="2"/>
        <v>1435</v>
      </c>
      <c r="AX895" t="s">
        <v>29</v>
      </c>
      <c r="AY895">
        <v>3</v>
      </c>
      <c r="AZ895" t="s">
        <v>2343</v>
      </c>
      <c r="BA895">
        <v>2009</v>
      </c>
      <c r="BB895">
        <v>2012</v>
      </c>
      <c r="BC895">
        <v>2009.2</v>
      </c>
      <c r="BD895" t="s">
        <v>19</v>
      </c>
      <c r="BE895" t="s">
        <v>2366</v>
      </c>
      <c r="BF895" t="s">
        <v>24</v>
      </c>
      <c r="BG895" t="s">
        <v>1243</v>
      </c>
      <c r="BH895" t="s">
        <v>2338</v>
      </c>
      <c r="BI895" t="s">
        <v>2361</v>
      </c>
      <c r="BJ895" t="s">
        <v>2281</v>
      </c>
      <c r="BK895">
        <v>30</v>
      </c>
      <c r="BL895" t="s">
        <v>275</v>
      </c>
      <c r="BM895" t="s">
        <v>2338</v>
      </c>
      <c r="BN895" t="s">
        <v>2360</v>
      </c>
      <c r="BO895" t="s">
        <v>2281</v>
      </c>
      <c r="BP895">
        <v>35</v>
      </c>
      <c r="HL895" t="s">
        <v>2369</v>
      </c>
      <c r="HM895" t="s">
        <v>297</v>
      </c>
      <c r="HN895" t="s">
        <v>2368</v>
      </c>
      <c r="HP895" t="s">
        <v>29</v>
      </c>
      <c r="HQ895">
        <v>12</v>
      </c>
      <c r="HR895" t="s">
        <v>2367</v>
      </c>
      <c r="HT895" t="s">
        <v>2333</v>
      </c>
      <c r="HU895" s="58">
        <v>40192</v>
      </c>
      <c r="HV895" s="58"/>
      <c r="IN895" t="s">
        <v>2366</v>
      </c>
      <c r="IO895" s="54" t="s">
        <v>2356</v>
      </c>
      <c r="IR895">
        <v>2009</v>
      </c>
      <c r="IS895" t="s">
        <v>2330</v>
      </c>
      <c r="IT895" s="4" t="s">
        <v>1898</v>
      </c>
      <c r="JK895" t="s">
        <v>14</v>
      </c>
      <c r="KD895" t="s">
        <v>2365</v>
      </c>
      <c r="KE895" t="s">
        <v>1561</v>
      </c>
      <c r="KF895" t="s">
        <v>2328</v>
      </c>
      <c r="KG895">
        <v>6</v>
      </c>
      <c r="KH895" t="s">
        <v>2327</v>
      </c>
      <c r="KI895" t="s">
        <v>222</v>
      </c>
      <c r="KJ895" s="8" t="s">
        <v>1941</v>
      </c>
      <c r="KM895" t="s">
        <v>219</v>
      </c>
      <c r="KN895" t="s">
        <v>2354</v>
      </c>
      <c r="KU895" t="s">
        <v>2364</v>
      </c>
      <c r="KV895" t="s">
        <v>2324</v>
      </c>
      <c r="KZ895" t="s">
        <v>13</v>
      </c>
      <c r="LA895">
        <v>2200</v>
      </c>
      <c r="LG895" t="s">
        <v>2323</v>
      </c>
      <c r="LH895" t="s">
        <v>2322</v>
      </c>
      <c r="LI895">
        <v>30</v>
      </c>
      <c r="LO895" t="s">
        <v>2363</v>
      </c>
      <c r="LP895" t="s">
        <v>2320</v>
      </c>
      <c r="LS895" t="s">
        <v>1944</v>
      </c>
      <c r="LT895">
        <v>1789</v>
      </c>
      <c r="LU895" t="s">
        <v>2319</v>
      </c>
      <c r="MA895" t="s">
        <v>2351</v>
      </c>
      <c r="MC895" s="58">
        <v>40298</v>
      </c>
      <c r="MS895" t="s">
        <v>2317</v>
      </c>
      <c r="MT895">
        <v>1435</v>
      </c>
      <c r="MV895" t="s">
        <v>2350</v>
      </c>
      <c r="MW895" s="2" t="s">
        <v>2315</v>
      </c>
      <c r="MX895" s="2" t="s">
        <v>2315</v>
      </c>
      <c r="MY895" s="2"/>
      <c r="MZ895" s="2"/>
      <c r="ND895" t="s">
        <v>2314</v>
      </c>
      <c r="NE895" t="s">
        <v>2349</v>
      </c>
      <c r="NF895" t="s">
        <v>2348</v>
      </c>
      <c r="NG895" s="4" t="s">
        <v>1966</v>
      </c>
      <c r="NH895" t="s">
        <v>2347</v>
      </c>
      <c r="NP895" t="s">
        <v>2362</v>
      </c>
      <c r="NQ895" t="s">
        <v>6</v>
      </c>
      <c r="NR895">
        <v>4.3</v>
      </c>
      <c r="NS895" t="s">
        <v>29</v>
      </c>
      <c r="NW895">
        <v>3</v>
      </c>
      <c r="OH895" t="s">
        <v>2313</v>
      </c>
      <c r="OI895" t="s">
        <v>6</v>
      </c>
      <c r="OK895">
        <v>2009</v>
      </c>
      <c r="OL895">
        <v>2010</v>
      </c>
      <c r="OM895" t="s">
        <v>2330</v>
      </c>
      <c r="ON895" t="s">
        <v>2393</v>
      </c>
      <c r="OO895" t="s">
        <v>1178</v>
      </c>
      <c r="OP895" s="58">
        <v>46136</v>
      </c>
    </row>
    <row r="896" spans="1:406" ht="15.75" thickBot="1">
      <c r="A896" t="s">
        <v>248</v>
      </c>
      <c r="B896" t="s">
        <v>2346</v>
      </c>
      <c r="C896" t="s">
        <v>1904</v>
      </c>
      <c r="D896" t="s">
        <v>1955</v>
      </c>
      <c r="E896" s="90" t="s">
        <v>2345</v>
      </c>
      <c r="F896" s="89" t="s">
        <v>31</v>
      </c>
      <c r="G896" t="s">
        <v>2</v>
      </c>
      <c r="H896" t="s">
        <v>30</v>
      </c>
      <c r="I896">
        <v>23.983611109999998</v>
      </c>
      <c r="J896">
        <v>90.402222219999999</v>
      </c>
      <c r="K896" t="s">
        <v>29</v>
      </c>
      <c r="AV896" t="s">
        <v>2344</v>
      </c>
      <c r="AW896">
        <f t="shared" si="2"/>
        <v>1435</v>
      </c>
      <c r="AX896" t="s">
        <v>29</v>
      </c>
      <c r="AY896">
        <v>3</v>
      </c>
      <c r="AZ896" t="s">
        <v>2343</v>
      </c>
      <c r="BA896">
        <v>2009</v>
      </c>
      <c r="BB896">
        <v>2012</v>
      </c>
      <c r="BC896">
        <v>2009.2</v>
      </c>
      <c r="BD896" t="s">
        <v>19</v>
      </c>
      <c r="BE896" t="s">
        <v>2357</v>
      </c>
      <c r="BF896" t="s">
        <v>299</v>
      </c>
      <c r="BG896" t="s">
        <v>1243</v>
      </c>
      <c r="BH896" t="s">
        <v>2338</v>
      </c>
      <c r="BI896" t="s">
        <v>2361</v>
      </c>
      <c r="BJ896" t="s">
        <v>2281</v>
      </c>
      <c r="BK896">
        <v>30</v>
      </c>
      <c r="BL896" t="s">
        <v>275</v>
      </c>
      <c r="BM896" t="s">
        <v>2338</v>
      </c>
      <c r="BN896" t="s">
        <v>2360</v>
      </c>
      <c r="BO896" t="s">
        <v>2281</v>
      </c>
      <c r="BP896">
        <v>19</v>
      </c>
      <c r="HL896" t="s">
        <v>2359</v>
      </c>
      <c r="HM896" t="s">
        <v>2335</v>
      </c>
      <c r="HP896" t="s">
        <v>29</v>
      </c>
      <c r="HQ896">
        <v>4</v>
      </c>
      <c r="HR896" t="s">
        <v>2358</v>
      </c>
      <c r="HT896" t="s">
        <v>2333</v>
      </c>
      <c r="HU896" s="58">
        <v>40192</v>
      </c>
      <c r="HV896" s="58"/>
      <c r="IN896" t="s">
        <v>2357</v>
      </c>
      <c r="IO896" s="54" t="s">
        <v>2356</v>
      </c>
      <c r="IR896">
        <v>2009</v>
      </c>
      <c r="IS896" t="s">
        <v>2330</v>
      </c>
      <c r="IT896" s="4" t="s">
        <v>1898</v>
      </c>
      <c r="JK896" t="s">
        <v>14</v>
      </c>
      <c r="KD896" t="s">
        <v>2355</v>
      </c>
      <c r="KE896" t="s">
        <v>1561</v>
      </c>
      <c r="KF896" t="s">
        <v>2328</v>
      </c>
      <c r="KG896">
        <v>7</v>
      </c>
      <c r="KH896" t="s">
        <v>2327</v>
      </c>
      <c r="KI896" t="s">
        <v>222</v>
      </c>
      <c r="KJ896" s="8" t="s">
        <v>1941</v>
      </c>
      <c r="KM896" t="s">
        <v>219</v>
      </c>
      <c r="KN896" t="s">
        <v>2354</v>
      </c>
      <c r="KU896" t="s">
        <v>2353</v>
      </c>
      <c r="KV896" t="s">
        <v>2324</v>
      </c>
      <c r="KZ896" t="s">
        <v>13</v>
      </c>
      <c r="LA896">
        <v>2600</v>
      </c>
      <c r="LG896" t="s">
        <v>2323</v>
      </c>
      <c r="LH896" t="s">
        <v>2322</v>
      </c>
      <c r="LI896">
        <v>30</v>
      </c>
      <c r="LO896" t="s">
        <v>2352</v>
      </c>
      <c r="LP896" t="s">
        <v>2320</v>
      </c>
      <c r="LS896" t="s">
        <v>1944</v>
      </c>
      <c r="LT896">
        <v>1898</v>
      </c>
      <c r="LU896" t="s">
        <v>2319</v>
      </c>
      <c r="MA896" t="s">
        <v>2351</v>
      </c>
      <c r="MC896" s="58">
        <v>40299</v>
      </c>
      <c r="MS896" t="s">
        <v>2317</v>
      </c>
      <c r="MT896">
        <v>1435</v>
      </c>
      <c r="MV896" t="s">
        <v>2350</v>
      </c>
      <c r="MW896" s="2" t="s">
        <v>2315</v>
      </c>
      <c r="MX896" s="2" t="s">
        <v>2315</v>
      </c>
      <c r="MY896" s="2"/>
      <c r="MZ896" s="2"/>
      <c r="ND896" t="s">
        <v>2314</v>
      </c>
      <c r="NE896" t="s">
        <v>2349</v>
      </c>
      <c r="NF896" t="s">
        <v>2348</v>
      </c>
      <c r="NG896" s="4" t="s">
        <v>1966</v>
      </c>
      <c r="NH896" t="s">
        <v>2347</v>
      </c>
      <c r="NP896" t="s">
        <v>64</v>
      </c>
      <c r="NQ896" t="s">
        <v>6</v>
      </c>
      <c r="NR896">
        <v>4.4000000000000004</v>
      </c>
      <c r="NS896" t="s">
        <v>29</v>
      </c>
      <c r="NW896">
        <v>3</v>
      </c>
      <c r="OH896" t="s">
        <v>2313</v>
      </c>
      <c r="OI896" t="s">
        <v>6</v>
      </c>
      <c r="OK896">
        <v>2009</v>
      </c>
      <c r="OL896">
        <v>2010</v>
      </c>
      <c r="OM896" t="s">
        <v>2330</v>
      </c>
      <c r="ON896" t="s">
        <v>2393</v>
      </c>
      <c r="OO896" t="s">
        <v>1178</v>
      </c>
      <c r="OP896" s="58">
        <v>46136</v>
      </c>
    </row>
    <row r="897" spans="1:406" ht="15.75" thickBot="1">
      <c r="A897" t="s">
        <v>248</v>
      </c>
      <c r="B897" t="s">
        <v>2346</v>
      </c>
      <c r="C897" t="s">
        <v>1904</v>
      </c>
      <c r="D897" t="s">
        <v>1955</v>
      </c>
      <c r="E897" s="90" t="s">
        <v>2345</v>
      </c>
      <c r="F897" s="89" t="s">
        <v>31</v>
      </c>
      <c r="G897" t="s">
        <v>2</v>
      </c>
      <c r="H897" t="s">
        <v>30</v>
      </c>
      <c r="I897">
        <v>23.983611109999998</v>
      </c>
      <c r="J897">
        <v>90.402222219999999</v>
      </c>
      <c r="K897" t="s">
        <v>29</v>
      </c>
      <c r="AV897" t="s">
        <v>2344</v>
      </c>
      <c r="AW897">
        <f t="shared" si="2"/>
        <v>1435</v>
      </c>
      <c r="AX897" t="s">
        <v>29</v>
      </c>
      <c r="AY897">
        <v>3</v>
      </c>
      <c r="AZ897" t="s">
        <v>2343</v>
      </c>
      <c r="BA897">
        <v>2009</v>
      </c>
      <c r="BB897">
        <v>2012</v>
      </c>
      <c r="BC897">
        <v>2009.2</v>
      </c>
      <c r="BD897" t="s">
        <v>274</v>
      </c>
      <c r="BE897" t="s">
        <v>2332</v>
      </c>
      <c r="BF897" t="s">
        <v>64</v>
      </c>
      <c r="BG897" t="s">
        <v>1243</v>
      </c>
      <c r="BH897" t="s">
        <v>1913</v>
      </c>
      <c r="BI897" t="s">
        <v>2342</v>
      </c>
      <c r="BJ897" t="s">
        <v>2281</v>
      </c>
      <c r="BK897">
        <v>1614</v>
      </c>
      <c r="BL897" t="s">
        <v>275</v>
      </c>
      <c r="BM897" t="s">
        <v>23</v>
      </c>
      <c r="BN897" t="s">
        <v>2341</v>
      </c>
      <c r="BO897" t="s">
        <v>2281</v>
      </c>
      <c r="BP897">
        <v>20</v>
      </c>
      <c r="BQ897" t="s">
        <v>275</v>
      </c>
      <c r="BR897" t="s">
        <v>1936</v>
      </c>
      <c r="BS897" t="s">
        <v>2340</v>
      </c>
      <c r="BT897" t="s">
        <v>2281</v>
      </c>
      <c r="BU897">
        <v>30</v>
      </c>
      <c r="BV897" t="s">
        <v>275</v>
      </c>
      <c r="BW897" t="s">
        <v>2338</v>
      </c>
      <c r="BX897" t="s">
        <v>2339</v>
      </c>
      <c r="BY897" t="s">
        <v>2281</v>
      </c>
      <c r="BZ897">
        <v>35</v>
      </c>
      <c r="CA897" t="s">
        <v>275</v>
      </c>
      <c r="CB897" t="s">
        <v>2338</v>
      </c>
      <c r="CC897" t="s">
        <v>2337</v>
      </c>
      <c r="CD897" t="s">
        <v>2281</v>
      </c>
      <c r="CE897">
        <v>19</v>
      </c>
      <c r="HL897" t="s">
        <v>2336</v>
      </c>
      <c r="HM897" t="s">
        <v>2335</v>
      </c>
      <c r="HP897" t="s">
        <v>29</v>
      </c>
      <c r="HQ897">
        <v>9</v>
      </c>
      <c r="HR897" t="s">
        <v>2334</v>
      </c>
      <c r="HT897" t="s">
        <v>2333</v>
      </c>
      <c r="HU897" s="58">
        <v>40153</v>
      </c>
      <c r="IN897" t="s">
        <v>2332</v>
      </c>
      <c r="IO897" t="s">
        <v>2331</v>
      </c>
      <c r="IR897">
        <v>2009</v>
      </c>
      <c r="IS897" t="s">
        <v>2330</v>
      </c>
      <c r="IT897" s="4" t="s">
        <v>1898</v>
      </c>
      <c r="JK897" t="s">
        <v>14</v>
      </c>
      <c r="KD897" t="s">
        <v>2329</v>
      </c>
      <c r="KE897" t="s">
        <v>1561</v>
      </c>
      <c r="KF897" t="s">
        <v>2328</v>
      </c>
      <c r="KG897">
        <v>4</v>
      </c>
      <c r="KH897" t="s">
        <v>2327</v>
      </c>
      <c r="KI897" t="s">
        <v>2171</v>
      </c>
      <c r="KM897" t="s">
        <v>219</v>
      </c>
      <c r="KN897" t="s">
        <v>2326</v>
      </c>
      <c r="KU897" t="s">
        <v>2325</v>
      </c>
      <c r="KV897" t="s">
        <v>2324</v>
      </c>
      <c r="KZ897" t="s">
        <v>13</v>
      </c>
      <c r="LA897">
        <v>4600</v>
      </c>
      <c r="LG897" t="s">
        <v>2323</v>
      </c>
      <c r="LH897" t="s">
        <v>2322</v>
      </c>
      <c r="LI897">
        <v>30</v>
      </c>
      <c r="LO897" t="s">
        <v>2321</v>
      </c>
      <c r="LP897" t="s">
        <v>2320</v>
      </c>
      <c r="LS897" t="s">
        <v>1944</v>
      </c>
      <c r="LT897">
        <v>1426</v>
      </c>
      <c r="LU897" t="s">
        <v>2319</v>
      </c>
      <c r="MA897" t="s">
        <v>2318</v>
      </c>
      <c r="MC897" s="58">
        <v>40224</v>
      </c>
      <c r="MS897" t="s">
        <v>2317</v>
      </c>
      <c r="MT897">
        <v>1435</v>
      </c>
      <c r="MV897" t="s">
        <v>2316</v>
      </c>
      <c r="MW897" s="2"/>
      <c r="MX897" s="2" t="s">
        <v>2315</v>
      </c>
      <c r="MY897" t="s">
        <v>1913</v>
      </c>
      <c r="MZ897" s="2" t="s">
        <v>168</v>
      </c>
      <c r="ND897" t="s">
        <v>2314</v>
      </c>
      <c r="NE897" t="s">
        <v>2349</v>
      </c>
      <c r="NF897" t="s">
        <v>2348</v>
      </c>
      <c r="NG897" s="4" t="s">
        <v>1966</v>
      </c>
      <c r="NH897" t="s">
        <v>2347</v>
      </c>
      <c r="NQ897" t="s">
        <v>6</v>
      </c>
      <c r="NR897">
        <v>1.7</v>
      </c>
      <c r="NS897" t="s">
        <v>29</v>
      </c>
      <c r="NW897">
        <v>3</v>
      </c>
      <c r="OH897" t="s">
        <v>2313</v>
      </c>
      <c r="OI897" t="s">
        <v>6</v>
      </c>
      <c r="OK897">
        <v>2009</v>
      </c>
      <c r="OL897">
        <v>2010</v>
      </c>
      <c r="OM897" t="s">
        <v>2330</v>
      </c>
      <c r="ON897" t="s">
        <v>2393</v>
      </c>
      <c r="OO897" t="s">
        <v>1178</v>
      </c>
      <c r="OP897" s="58">
        <v>46136</v>
      </c>
    </row>
    <row r="898" spans="1:406" ht="15.75" thickBot="1">
      <c r="A898" t="s">
        <v>248</v>
      </c>
      <c r="B898" t="s">
        <v>2346</v>
      </c>
      <c r="C898" t="s">
        <v>1904</v>
      </c>
      <c r="D898" t="s">
        <v>1955</v>
      </c>
      <c r="E898" s="90" t="s">
        <v>2345</v>
      </c>
      <c r="F898" s="89" t="s">
        <v>31</v>
      </c>
      <c r="G898" t="s">
        <v>2</v>
      </c>
      <c r="H898" t="s">
        <v>30</v>
      </c>
      <c r="I898">
        <v>23.983611109999998</v>
      </c>
      <c r="J898">
        <v>90.402222219999999</v>
      </c>
      <c r="K898" t="s">
        <v>29</v>
      </c>
      <c r="AV898" t="s">
        <v>2344</v>
      </c>
      <c r="AW898">
        <f t="shared" si="2"/>
        <v>1435</v>
      </c>
      <c r="AX898" t="s">
        <v>29</v>
      </c>
      <c r="AY898">
        <v>3</v>
      </c>
      <c r="AZ898" t="s">
        <v>2343</v>
      </c>
      <c r="BA898">
        <v>2009</v>
      </c>
      <c r="BB898">
        <v>2012</v>
      </c>
      <c r="BC898">
        <v>2009.2</v>
      </c>
      <c r="BD898" t="s">
        <v>19</v>
      </c>
      <c r="BE898" t="s">
        <v>2373</v>
      </c>
      <c r="BF898" t="s">
        <v>39</v>
      </c>
      <c r="BG898" t="s">
        <v>1243</v>
      </c>
      <c r="BH898" t="s">
        <v>2338</v>
      </c>
      <c r="BI898" t="s">
        <v>2361</v>
      </c>
      <c r="BJ898" t="s">
        <v>2281</v>
      </c>
      <c r="BK898">
        <v>45</v>
      </c>
      <c r="BL898" t="s">
        <v>275</v>
      </c>
      <c r="BM898" t="s">
        <v>2338</v>
      </c>
      <c r="BN898" t="s">
        <v>2374</v>
      </c>
      <c r="BO898" t="s">
        <v>2281</v>
      </c>
      <c r="BP898">
        <v>49</v>
      </c>
      <c r="BQ898" t="s">
        <v>275</v>
      </c>
      <c r="BR898" t="s">
        <v>2338</v>
      </c>
      <c r="BS898" t="s">
        <v>2360</v>
      </c>
      <c r="BT898" t="s">
        <v>2281</v>
      </c>
      <c r="BU898">
        <v>49</v>
      </c>
      <c r="HL898" t="s">
        <v>2369</v>
      </c>
      <c r="HM898" t="s">
        <v>297</v>
      </c>
      <c r="HN898" t="s">
        <v>2368</v>
      </c>
      <c r="HP898" t="s">
        <v>29</v>
      </c>
      <c r="HQ898">
        <v>12</v>
      </c>
      <c r="HR898" t="s">
        <v>2367</v>
      </c>
      <c r="HT898" t="s">
        <v>2333</v>
      </c>
      <c r="HU898" s="58">
        <v>40202</v>
      </c>
      <c r="HV898" s="58"/>
      <c r="IN898" t="s">
        <v>2373</v>
      </c>
      <c r="IO898" s="54" t="s">
        <v>2356</v>
      </c>
      <c r="IR898">
        <v>2009</v>
      </c>
      <c r="IS898" t="s">
        <v>2330</v>
      </c>
      <c r="IT898" s="4" t="s">
        <v>1898</v>
      </c>
      <c r="JK898" t="s">
        <v>14</v>
      </c>
      <c r="KD898" t="s">
        <v>2372</v>
      </c>
      <c r="KE898" t="s">
        <v>1561</v>
      </c>
      <c r="KF898" t="s">
        <v>2328</v>
      </c>
      <c r="KG898">
        <v>3</v>
      </c>
      <c r="KH898" t="s">
        <v>2327</v>
      </c>
      <c r="KI898" t="s">
        <v>2171</v>
      </c>
      <c r="KM898" t="s">
        <v>219</v>
      </c>
      <c r="KN898" s="8" t="s">
        <v>2376</v>
      </c>
      <c r="KU898" t="s">
        <v>2371</v>
      </c>
      <c r="KV898" t="s">
        <v>2324</v>
      </c>
      <c r="KZ898" t="s">
        <v>13</v>
      </c>
      <c r="LA898">
        <v>0</v>
      </c>
      <c r="LG898" t="s">
        <v>2323</v>
      </c>
      <c r="LH898" t="s">
        <v>2322</v>
      </c>
      <c r="LI898">
        <v>7.5</v>
      </c>
      <c r="LO898" t="s">
        <v>2370</v>
      </c>
      <c r="LP898" t="s">
        <v>2320</v>
      </c>
      <c r="LS898" t="s">
        <v>1944</v>
      </c>
      <c r="LT898">
        <v>2172</v>
      </c>
      <c r="LU898" t="s">
        <v>2319</v>
      </c>
      <c r="MA898" t="s">
        <v>2351</v>
      </c>
      <c r="MC898" s="58">
        <v>40292</v>
      </c>
      <c r="MS898" t="s">
        <v>2317</v>
      </c>
      <c r="MT898">
        <v>1435</v>
      </c>
      <c r="MV898" t="s">
        <v>2350</v>
      </c>
      <c r="MW898" s="2" t="s">
        <v>2315</v>
      </c>
      <c r="MX898" s="2" t="s">
        <v>2315</v>
      </c>
      <c r="MY898" s="2"/>
      <c r="MZ898" s="2"/>
      <c r="ND898" t="s">
        <v>2314</v>
      </c>
      <c r="NE898" t="s">
        <v>2349</v>
      </c>
      <c r="NF898" t="s">
        <v>2348</v>
      </c>
      <c r="NG898" s="4" t="s">
        <v>1966</v>
      </c>
      <c r="NH898" t="s">
        <v>2347</v>
      </c>
      <c r="NP898" t="s">
        <v>2362</v>
      </c>
      <c r="NQ898" t="s">
        <v>6</v>
      </c>
      <c r="NR898">
        <v>5.0999999999999996</v>
      </c>
      <c r="NS898" t="s">
        <v>29</v>
      </c>
      <c r="NW898">
        <v>3</v>
      </c>
      <c r="OH898" t="s">
        <v>2313</v>
      </c>
      <c r="OI898" t="s">
        <v>6</v>
      </c>
      <c r="OK898">
        <v>2010</v>
      </c>
      <c r="OL898">
        <v>2011</v>
      </c>
      <c r="OM898" t="s">
        <v>2330</v>
      </c>
      <c r="ON898" t="s">
        <v>2393</v>
      </c>
      <c r="OO898" t="s">
        <v>1178</v>
      </c>
      <c r="OP898" s="58">
        <v>46136</v>
      </c>
    </row>
    <row r="899" spans="1:406" ht="15.75" thickBot="1">
      <c r="A899" t="s">
        <v>248</v>
      </c>
      <c r="B899" t="s">
        <v>2346</v>
      </c>
      <c r="C899" t="s">
        <v>1904</v>
      </c>
      <c r="D899" t="s">
        <v>1955</v>
      </c>
      <c r="E899" s="90" t="s">
        <v>2345</v>
      </c>
      <c r="F899" s="89" t="s">
        <v>31</v>
      </c>
      <c r="G899" t="s">
        <v>2</v>
      </c>
      <c r="H899" t="s">
        <v>30</v>
      </c>
      <c r="I899">
        <v>23.983611109999998</v>
      </c>
      <c r="J899">
        <v>90.402222219999999</v>
      </c>
      <c r="K899" t="s">
        <v>29</v>
      </c>
      <c r="AV899" t="s">
        <v>2344</v>
      </c>
      <c r="AW899">
        <f t="shared" si="2"/>
        <v>1435</v>
      </c>
      <c r="AX899" t="s">
        <v>29</v>
      </c>
      <c r="AY899">
        <v>3</v>
      </c>
      <c r="AZ899" t="s">
        <v>2343</v>
      </c>
      <c r="BA899">
        <v>2009</v>
      </c>
      <c r="BB899">
        <v>2012</v>
      </c>
      <c r="BC899">
        <v>2009.2</v>
      </c>
      <c r="BD899" t="s">
        <v>19</v>
      </c>
      <c r="BE899" t="s">
        <v>2366</v>
      </c>
      <c r="BF899" t="s">
        <v>24</v>
      </c>
      <c r="BG899" t="s">
        <v>1243</v>
      </c>
      <c r="BH899" t="s">
        <v>2338</v>
      </c>
      <c r="BI899" t="s">
        <v>2361</v>
      </c>
      <c r="BJ899" t="s">
        <v>2281</v>
      </c>
      <c r="BK899">
        <v>30</v>
      </c>
      <c r="BL899" t="s">
        <v>275</v>
      </c>
      <c r="BM899" t="s">
        <v>2338</v>
      </c>
      <c r="BN899" t="s">
        <v>2360</v>
      </c>
      <c r="BO899" t="s">
        <v>2281</v>
      </c>
      <c r="BP899">
        <v>35</v>
      </c>
      <c r="HL899" t="s">
        <v>2369</v>
      </c>
      <c r="HM899" t="s">
        <v>297</v>
      </c>
      <c r="HN899" t="s">
        <v>2368</v>
      </c>
      <c r="HP899" t="s">
        <v>29</v>
      </c>
      <c r="HQ899">
        <v>12</v>
      </c>
      <c r="HR899" t="s">
        <v>2367</v>
      </c>
      <c r="HT899" t="s">
        <v>2333</v>
      </c>
      <c r="HU899" s="58">
        <v>40192</v>
      </c>
      <c r="HV899" s="58"/>
      <c r="IN899" t="s">
        <v>2366</v>
      </c>
      <c r="IO899" s="54" t="s">
        <v>2356</v>
      </c>
      <c r="IR899">
        <v>2009</v>
      </c>
      <c r="IS899" t="s">
        <v>2330</v>
      </c>
      <c r="IT899" s="4" t="s">
        <v>1898</v>
      </c>
      <c r="JK899" t="s">
        <v>14</v>
      </c>
      <c r="KD899" t="s">
        <v>2365</v>
      </c>
      <c r="KE899" t="s">
        <v>1561</v>
      </c>
      <c r="KF899" t="s">
        <v>2328</v>
      </c>
      <c r="KG899">
        <v>6</v>
      </c>
      <c r="KH899" t="s">
        <v>2327</v>
      </c>
      <c r="KI899" t="s">
        <v>222</v>
      </c>
      <c r="KJ899" s="8" t="s">
        <v>1941</v>
      </c>
      <c r="KM899" t="s">
        <v>219</v>
      </c>
      <c r="KN899" t="s">
        <v>2354</v>
      </c>
      <c r="KU899" t="s">
        <v>2364</v>
      </c>
      <c r="KV899" t="s">
        <v>2324</v>
      </c>
      <c r="KZ899" t="s">
        <v>13</v>
      </c>
      <c r="LA899">
        <v>1600</v>
      </c>
      <c r="LG899" t="s">
        <v>2323</v>
      </c>
      <c r="LH899" t="s">
        <v>2322</v>
      </c>
      <c r="LI899">
        <v>30</v>
      </c>
      <c r="LO899" t="s">
        <v>2363</v>
      </c>
      <c r="LP899" t="s">
        <v>2320</v>
      </c>
      <c r="LS899" t="s">
        <v>1944</v>
      </c>
      <c r="LT899">
        <v>1946</v>
      </c>
      <c r="LU899" t="s">
        <v>2319</v>
      </c>
      <c r="MA899" t="s">
        <v>2351</v>
      </c>
      <c r="MC899" s="58">
        <v>40298</v>
      </c>
      <c r="MS899" t="s">
        <v>2317</v>
      </c>
      <c r="MT899">
        <v>1435</v>
      </c>
      <c r="MV899" t="s">
        <v>2350</v>
      </c>
      <c r="MW899" s="2" t="s">
        <v>2315</v>
      </c>
      <c r="MX899" s="2" t="s">
        <v>2315</v>
      </c>
      <c r="MY899" s="2"/>
      <c r="MZ899" s="2"/>
      <c r="ND899" t="s">
        <v>2314</v>
      </c>
      <c r="NE899" t="s">
        <v>2349</v>
      </c>
      <c r="NF899" t="s">
        <v>2348</v>
      </c>
      <c r="NG899" s="4" t="s">
        <v>1966</v>
      </c>
      <c r="NH899" t="s">
        <v>2347</v>
      </c>
      <c r="NP899" t="s">
        <v>2362</v>
      </c>
      <c r="NQ899" t="s">
        <v>6</v>
      </c>
      <c r="NR899">
        <v>4.2</v>
      </c>
      <c r="NS899" t="s">
        <v>29</v>
      </c>
      <c r="NW899">
        <v>3</v>
      </c>
      <c r="OH899" t="s">
        <v>2313</v>
      </c>
      <c r="OI899" t="s">
        <v>6</v>
      </c>
      <c r="OK899">
        <v>2010</v>
      </c>
      <c r="OL899">
        <v>2011</v>
      </c>
      <c r="OM899" t="s">
        <v>2330</v>
      </c>
      <c r="ON899" t="s">
        <v>2393</v>
      </c>
      <c r="OO899" t="s">
        <v>1178</v>
      </c>
      <c r="OP899" s="58">
        <v>46136</v>
      </c>
    </row>
    <row r="900" spans="1:406" ht="15.75" thickBot="1">
      <c r="A900" t="s">
        <v>248</v>
      </c>
      <c r="B900" t="s">
        <v>2346</v>
      </c>
      <c r="C900" t="s">
        <v>1904</v>
      </c>
      <c r="D900" t="s">
        <v>1955</v>
      </c>
      <c r="E900" s="90" t="s">
        <v>2345</v>
      </c>
      <c r="F900" s="89" t="s">
        <v>31</v>
      </c>
      <c r="G900" t="s">
        <v>2</v>
      </c>
      <c r="H900" t="s">
        <v>30</v>
      </c>
      <c r="I900">
        <v>23.983611109999998</v>
      </c>
      <c r="J900">
        <v>90.402222219999999</v>
      </c>
      <c r="K900" t="s">
        <v>29</v>
      </c>
      <c r="AV900" t="s">
        <v>2344</v>
      </c>
      <c r="AW900">
        <f t="shared" si="2"/>
        <v>1435</v>
      </c>
      <c r="AX900" t="s">
        <v>29</v>
      </c>
      <c r="AY900">
        <v>3</v>
      </c>
      <c r="AZ900" t="s">
        <v>2343</v>
      </c>
      <c r="BA900">
        <v>2009</v>
      </c>
      <c r="BB900">
        <v>2012</v>
      </c>
      <c r="BC900">
        <v>2009.2</v>
      </c>
      <c r="BD900" t="s">
        <v>19</v>
      </c>
      <c r="BE900" t="s">
        <v>2357</v>
      </c>
      <c r="BF900" t="s">
        <v>299</v>
      </c>
      <c r="BG900" t="s">
        <v>1243</v>
      </c>
      <c r="BH900" t="s">
        <v>2338</v>
      </c>
      <c r="BI900" t="s">
        <v>2361</v>
      </c>
      <c r="BJ900" t="s">
        <v>2281</v>
      </c>
      <c r="BK900">
        <v>30</v>
      </c>
      <c r="BL900" t="s">
        <v>275</v>
      </c>
      <c r="BM900" t="s">
        <v>2338</v>
      </c>
      <c r="BN900" t="s">
        <v>2360</v>
      </c>
      <c r="BO900" t="s">
        <v>2281</v>
      </c>
      <c r="BP900">
        <v>19</v>
      </c>
      <c r="HL900" t="s">
        <v>2359</v>
      </c>
      <c r="HM900" t="s">
        <v>2335</v>
      </c>
      <c r="HP900" t="s">
        <v>29</v>
      </c>
      <c r="HQ900">
        <v>4</v>
      </c>
      <c r="HR900" t="s">
        <v>2358</v>
      </c>
      <c r="HT900" t="s">
        <v>2333</v>
      </c>
      <c r="HU900" s="58">
        <v>40192</v>
      </c>
      <c r="HV900" s="58"/>
      <c r="IN900" t="s">
        <v>2357</v>
      </c>
      <c r="IO900" s="54" t="s">
        <v>2356</v>
      </c>
      <c r="IR900">
        <v>2009</v>
      </c>
      <c r="IS900" t="s">
        <v>2330</v>
      </c>
      <c r="IT900" s="4" t="s">
        <v>1898</v>
      </c>
      <c r="JK900" t="s">
        <v>14</v>
      </c>
      <c r="KD900" t="s">
        <v>2355</v>
      </c>
      <c r="KE900" t="s">
        <v>1561</v>
      </c>
      <c r="KF900" t="s">
        <v>2328</v>
      </c>
      <c r="KG900">
        <v>7</v>
      </c>
      <c r="KH900" t="s">
        <v>2327</v>
      </c>
      <c r="KI900" t="s">
        <v>222</v>
      </c>
      <c r="KJ900" s="8" t="s">
        <v>1941</v>
      </c>
      <c r="KM900" t="s">
        <v>219</v>
      </c>
      <c r="KN900" t="s">
        <v>2354</v>
      </c>
      <c r="KU900" t="s">
        <v>2353</v>
      </c>
      <c r="KV900" t="s">
        <v>2324</v>
      </c>
      <c r="KZ900" t="s">
        <v>13</v>
      </c>
      <c r="LA900">
        <v>1400</v>
      </c>
      <c r="LG900" t="s">
        <v>2323</v>
      </c>
      <c r="LH900" t="s">
        <v>2322</v>
      </c>
      <c r="LI900">
        <v>30</v>
      </c>
      <c r="LO900" t="s">
        <v>2352</v>
      </c>
      <c r="LP900" t="s">
        <v>2320</v>
      </c>
      <c r="LS900" t="s">
        <v>1944</v>
      </c>
      <c r="LT900">
        <v>2001</v>
      </c>
      <c r="LU900" t="s">
        <v>2319</v>
      </c>
      <c r="MA900" t="s">
        <v>2351</v>
      </c>
      <c r="MC900" s="58">
        <v>40299</v>
      </c>
      <c r="MS900" t="s">
        <v>2317</v>
      </c>
      <c r="MT900">
        <v>1435</v>
      </c>
      <c r="MV900" t="s">
        <v>2350</v>
      </c>
      <c r="MW900" s="2" t="s">
        <v>2315</v>
      </c>
      <c r="MX900" s="2" t="s">
        <v>2315</v>
      </c>
      <c r="MY900" s="2"/>
      <c r="MZ900" s="2"/>
      <c r="ND900" t="s">
        <v>2314</v>
      </c>
      <c r="NE900" t="s">
        <v>2349</v>
      </c>
      <c r="NF900" t="s">
        <v>2348</v>
      </c>
      <c r="NG900" s="4" t="s">
        <v>1966</v>
      </c>
      <c r="NH900" t="s">
        <v>2347</v>
      </c>
      <c r="NP900" t="s">
        <v>64</v>
      </c>
      <c r="NQ900" t="s">
        <v>6</v>
      </c>
      <c r="NR900">
        <v>4.5</v>
      </c>
      <c r="NS900" t="s">
        <v>29</v>
      </c>
      <c r="NW900">
        <v>3</v>
      </c>
      <c r="OH900" t="s">
        <v>2313</v>
      </c>
      <c r="OI900" t="s">
        <v>6</v>
      </c>
      <c r="OK900">
        <v>2010</v>
      </c>
      <c r="OL900">
        <v>2011</v>
      </c>
      <c r="OM900" t="s">
        <v>2330</v>
      </c>
      <c r="ON900" t="s">
        <v>2393</v>
      </c>
      <c r="OO900" t="s">
        <v>1178</v>
      </c>
      <c r="OP900" s="58">
        <v>46136</v>
      </c>
    </row>
    <row r="901" spans="1:406" ht="15.75" thickBot="1">
      <c r="A901" t="s">
        <v>248</v>
      </c>
      <c r="B901" t="s">
        <v>2346</v>
      </c>
      <c r="C901" t="s">
        <v>1904</v>
      </c>
      <c r="D901" t="s">
        <v>1955</v>
      </c>
      <c r="E901" s="90" t="s">
        <v>2345</v>
      </c>
      <c r="F901" s="89" t="s">
        <v>31</v>
      </c>
      <c r="G901" t="s">
        <v>2</v>
      </c>
      <c r="H901" t="s">
        <v>30</v>
      </c>
      <c r="I901">
        <v>23.983611109999998</v>
      </c>
      <c r="J901">
        <v>90.402222219999999</v>
      </c>
      <c r="K901" t="s">
        <v>29</v>
      </c>
      <c r="AV901" t="s">
        <v>2344</v>
      </c>
      <c r="AW901">
        <f t="shared" si="2"/>
        <v>1435</v>
      </c>
      <c r="AX901" t="s">
        <v>29</v>
      </c>
      <c r="AY901">
        <v>3</v>
      </c>
      <c r="AZ901" t="s">
        <v>2343</v>
      </c>
      <c r="BA901">
        <v>2009</v>
      </c>
      <c r="BB901">
        <v>2012</v>
      </c>
      <c r="BC901">
        <v>2009.2</v>
      </c>
      <c r="BD901" t="s">
        <v>274</v>
      </c>
      <c r="BE901" t="s">
        <v>2332</v>
      </c>
      <c r="BF901" t="s">
        <v>64</v>
      </c>
      <c r="BG901" t="s">
        <v>1243</v>
      </c>
      <c r="BH901" t="s">
        <v>1913</v>
      </c>
      <c r="BI901" t="s">
        <v>2342</v>
      </c>
      <c r="BJ901" t="s">
        <v>2281</v>
      </c>
      <c r="BK901">
        <v>1614</v>
      </c>
      <c r="BL901" t="s">
        <v>275</v>
      </c>
      <c r="BM901" t="s">
        <v>23</v>
      </c>
      <c r="BN901" t="s">
        <v>2341</v>
      </c>
      <c r="BO901" t="s">
        <v>2281</v>
      </c>
      <c r="BP901">
        <v>20</v>
      </c>
      <c r="BQ901" t="s">
        <v>275</v>
      </c>
      <c r="BR901" t="s">
        <v>1936</v>
      </c>
      <c r="BS901" t="s">
        <v>2340</v>
      </c>
      <c r="BT901" t="s">
        <v>2281</v>
      </c>
      <c r="BU901">
        <v>30</v>
      </c>
      <c r="BV901" t="s">
        <v>275</v>
      </c>
      <c r="BW901" t="s">
        <v>2338</v>
      </c>
      <c r="BX901" t="s">
        <v>2339</v>
      </c>
      <c r="BY901" t="s">
        <v>2281</v>
      </c>
      <c r="BZ901">
        <v>35</v>
      </c>
      <c r="CA901" t="s">
        <v>275</v>
      </c>
      <c r="CB901" t="s">
        <v>2338</v>
      </c>
      <c r="CC901" t="s">
        <v>2337</v>
      </c>
      <c r="CD901" t="s">
        <v>2281</v>
      </c>
      <c r="CE901">
        <v>19</v>
      </c>
      <c r="HL901" t="s">
        <v>2336</v>
      </c>
      <c r="HM901" t="s">
        <v>2335</v>
      </c>
      <c r="HP901" t="s">
        <v>29</v>
      </c>
      <c r="HQ901">
        <v>9</v>
      </c>
      <c r="HR901" t="s">
        <v>2334</v>
      </c>
      <c r="HT901" t="s">
        <v>2333</v>
      </c>
      <c r="HU901" s="58">
        <v>40153</v>
      </c>
      <c r="IN901" t="s">
        <v>2332</v>
      </c>
      <c r="IO901" t="s">
        <v>2331</v>
      </c>
      <c r="IR901">
        <v>2009</v>
      </c>
      <c r="IS901" t="s">
        <v>2330</v>
      </c>
      <c r="IT901" s="4" t="s">
        <v>1898</v>
      </c>
      <c r="JK901" t="s">
        <v>14</v>
      </c>
      <c r="KD901" t="s">
        <v>2329</v>
      </c>
      <c r="KE901" t="s">
        <v>1561</v>
      </c>
      <c r="KF901" t="s">
        <v>2328</v>
      </c>
      <c r="KG901">
        <v>4</v>
      </c>
      <c r="KH901" t="s">
        <v>2327</v>
      </c>
      <c r="KI901" t="s">
        <v>2171</v>
      </c>
      <c r="KM901" t="s">
        <v>219</v>
      </c>
      <c r="KN901" t="s">
        <v>2326</v>
      </c>
      <c r="KQ901" t="s">
        <v>219</v>
      </c>
      <c r="KR901" s="8" t="s">
        <v>2375</v>
      </c>
      <c r="KU901" t="s">
        <v>2325</v>
      </c>
      <c r="KV901" t="s">
        <v>2324</v>
      </c>
      <c r="KZ901" t="s">
        <v>13</v>
      </c>
      <c r="LA901">
        <v>1600</v>
      </c>
      <c r="LG901" t="s">
        <v>2323</v>
      </c>
      <c r="LH901" t="s">
        <v>2322</v>
      </c>
      <c r="LI901">
        <v>30</v>
      </c>
      <c r="LO901" t="s">
        <v>2321</v>
      </c>
      <c r="LP901" t="s">
        <v>2320</v>
      </c>
      <c r="LS901" t="s">
        <v>1944</v>
      </c>
      <c r="LT901">
        <v>1186</v>
      </c>
      <c r="LU901" t="s">
        <v>2319</v>
      </c>
      <c r="MA901" t="s">
        <v>2318</v>
      </c>
      <c r="MC901" s="58">
        <v>40224</v>
      </c>
      <c r="MS901" t="s">
        <v>2317</v>
      </c>
      <c r="MT901">
        <v>1435</v>
      </c>
      <c r="MV901" t="s">
        <v>2316</v>
      </c>
      <c r="MW901" s="2"/>
      <c r="MX901" s="2" t="s">
        <v>2315</v>
      </c>
      <c r="MY901" s="2"/>
      <c r="MZ901" s="2"/>
      <c r="ND901" t="s">
        <v>2314</v>
      </c>
      <c r="NE901" t="s">
        <v>2349</v>
      </c>
      <c r="NF901" t="s">
        <v>2348</v>
      </c>
      <c r="NG901" s="4" t="s">
        <v>1966</v>
      </c>
      <c r="NH901" t="s">
        <v>2347</v>
      </c>
      <c r="NQ901" t="s">
        <v>6</v>
      </c>
      <c r="NR901">
        <v>2</v>
      </c>
      <c r="NS901" t="s">
        <v>29</v>
      </c>
      <c r="NW901">
        <v>3</v>
      </c>
      <c r="OH901" t="s">
        <v>2313</v>
      </c>
      <c r="OI901" t="s">
        <v>6</v>
      </c>
      <c r="OK901">
        <v>2010</v>
      </c>
      <c r="OL901">
        <v>2011</v>
      </c>
      <c r="OM901" t="s">
        <v>2330</v>
      </c>
      <c r="ON901" t="s">
        <v>2393</v>
      </c>
      <c r="OO901" t="s">
        <v>1178</v>
      </c>
      <c r="OP901" s="58">
        <v>46136</v>
      </c>
    </row>
    <row r="902" spans="1:406" ht="15.75" thickBot="1">
      <c r="A902" t="s">
        <v>248</v>
      </c>
      <c r="B902" t="s">
        <v>2346</v>
      </c>
      <c r="C902" t="s">
        <v>1904</v>
      </c>
      <c r="D902" t="s">
        <v>1955</v>
      </c>
      <c r="E902" s="90" t="s">
        <v>2345</v>
      </c>
      <c r="F902" s="89" t="s">
        <v>31</v>
      </c>
      <c r="G902" t="s">
        <v>2</v>
      </c>
      <c r="H902" t="s">
        <v>30</v>
      </c>
      <c r="I902">
        <v>23.983611109999998</v>
      </c>
      <c r="J902">
        <v>90.402222219999999</v>
      </c>
      <c r="K902" t="s">
        <v>29</v>
      </c>
      <c r="AV902" t="s">
        <v>2344</v>
      </c>
      <c r="AW902">
        <f t="shared" si="2"/>
        <v>1435</v>
      </c>
      <c r="AX902" t="s">
        <v>29</v>
      </c>
      <c r="AY902">
        <v>3</v>
      </c>
      <c r="AZ902" t="s">
        <v>2343</v>
      </c>
      <c r="BA902">
        <v>2009</v>
      </c>
      <c r="BB902">
        <v>2012</v>
      </c>
      <c r="BC902">
        <v>2009.2</v>
      </c>
      <c r="BD902" t="s">
        <v>19</v>
      </c>
      <c r="BE902" t="s">
        <v>2373</v>
      </c>
      <c r="BF902" t="s">
        <v>39</v>
      </c>
      <c r="BG902" t="s">
        <v>1243</v>
      </c>
      <c r="BH902" t="s">
        <v>2338</v>
      </c>
      <c r="BI902" t="s">
        <v>2361</v>
      </c>
      <c r="BJ902" t="s">
        <v>2281</v>
      </c>
      <c r="BK902">
        <v>45</v>
      </c>
      <c r="BL902" t="s">
        <v>275</v>
      </c>
      <c r="BM902" t="s">
        <v>2338</v>
      </c>
      <c r="BN902" t="s">
        <v>2374</v>
      </c>
      <c r="BO902" t="s">
        <v>2281</v>
      </c>
      <c r="BP902">
        <v>49</v>
      </c>
      <c r="BQ902" t="s">
        <v>275</v>
      </c>
      <c r="BR902" t="s">
        <v>2338</v>
      </c>
      <c r="BS902" t="s">
        <v>2360</v>
      </c>
      <c r="BT902" t="s">
        <v>2281</v>
      </c>
      <c r="BU902">
        <v>49</v>
      </c>
      <c r="HL902" t="s">
        <v>2369</v>
      </c>
      <c r="HM902" t="s">
        <v>297</v>
      </c>
      <c r="HN902" t="s">
        <v>2368</v>
      </c>
      <c r="HP902" t="s">
        <v>29</v>
      </c>
      <c r="HQ902">
        <v>12</v>
      </c>
      <c r="HR902" t="s">
        <v>2367</v>
      </c>
      <c r="HT902" t="s">
        <v>2333</v>
      </c>
      <c r="HU902" s="58">
        <v>40202</v>
      </c>
      <c r="HV902" s="58"/>
      <c r="IN902" t="s">
        <v>2373</v>
      </c>
      <c r="IO902" s="54" t="s">
        <v>2356</v>
      </c>
      <c r="IR902">
        <v>2009</v>
      </c>
      <c r="IS902" t="s">
        <v>2330</v>
      </c>
      <c r="IT902" s="4" t="s">
        <v>1898</v>
      </c>
      <c r="JK902" t="s">
        <v>14</v>
      </c>
      <c r="KD902" t="s">
        <v>2372</v>
      </c>
      <c r="KE902" t="s">
        <v>1561</v>
      </c>
      <c r="KF902" t="s">
        <v>2328</v>
      </c>
      <c r="KG902">
        <v>3</v>
      </c>
      <c r="KH902" t="s">
        <v>2327</v>
      </c>
      <c r="KI902" t="s">
        <v>2171</v>
      </c>
      <c r="KM902" t="s">
        <v>219</v>
      </c>
      <c r="KN902" t="s">
        <v>2354</v>
      </c>
      <c r="KU902" t="s">
        <v>2371</v>
      </c>
      <c r="KV902" t="s">
        <v>2324</v>
      </c>
      <c r="KZ902" t="s">
        <v>13</v>
      </c>
      <c r="LA902">
        <v>1600</v>
      </c>
      <c r="LG902" t="s">
        <v>2323</v>
      </c>
      <c r="LH902" t="s">
        <v>2322</v>
      </c>
      <c r="LI902">
        <v>7.5</v>
      </c>
      <c r="LO902" t="s">
        <v>2370</v>
      </c>
      <c r="LP902" t="s">
        <v>2320</v>
      </c>
      <c r="LS902" t="s">
        <v>1944</v>
      </c>
      <c r="LT902">
        <v>1450</v>
      </c>
      <c r="LU902" t="s">
        <v>2319</v>
      </c>
      <c r="MA902" t="s">
        <v>2351</v>
      </c>
      <c r="MC902" s="58">
        <v>40292</v>
      </c>
      <c r="MS902" t="s">
        <v>2317</v>
      </c>
      <c r="MT902">
        <v>1435</v>
      </c>
      <c r="MV902" t="s">
        <v>2350</v>
      </c>
      <c r="MW902" s="2" t="s">
        <v>2315</v>
      </c>
      <c r="MX902" s="2" t="s">
        <v>2315</v>
      </c>
      <c r="MY902" s="2"/>
      <c r="MZ902" s="2"/>
      <c r="ND902" t="s">
        <v>2314</v>
      </c>
      <c r="NE902" t="s">
        <v>2349</v>
      </c>
      <c r="NF902" t="s">
        <v>2348</v>
      </c>
      <c r="NG902" s="4" t="s">
        <v>1966</v>
      </c>
      <c r="NH902" t="s">
        <v>2347</v>
      </c>
      <c r="NP902" t="s">
        <v>2362</v>
      </c>
      <c r="NQ902" t="s">
        <v>6</v>
      </c>
      <c r="NR902">
        <v>4.3</v>
      </c>
      <c r="NS902" t="s">
        <v>29</v>
      </c>
      <c r="NW902">
        <v>3</v>
      </c>
      <c r="OH902" t="s">
        <v>2313</v>
      </c>
      <c r="OI902" t="s">
        <v>6</v>
      </c>
      <c r="OK902">
        <v>2011</v>
      </c>
      <c r="OL902">
        <v>2012</v>
      </c>
      <c r="OM902" t="s">
        <v>2330</v>
      </c>
      <c r="ON902" t="s">
        <v>2393</v>
      </c>
      <c r="OO902" t="s">
        <v>1178</v>
      </c>
      <c r="OP902" s="58">
        <v>46136</v>
      </c>
    </row>
    <row r="903" spans="1:406" ht="15.75" thickBot="1">
      <c r="A903" t="s">
        <v>248</v>
      </c>
      <c r="B903" t="s">
        <v>2346</v>
      </c>
      <c r="C903" t="s">
        <v>1904</v>
      </c>
      <c r="D903" t="s">
        <v>1955</v>
      </c>
      <c r="E903" s="90" t="s">
        <v>2345</v>
      </c>
      <c r="F903" s="89" t="s">
        <v>31</v>
      </c>
      <c r="G903" t="s">
        <v>2</v>
      </c>
      <c r="H903" t="s">
        <v>30</v>
      </c>
      <c r="I903">
        <v>23.983611109999998</v>
      </c>
      <c r="J903">
        <v>90.402222219999999</v>
      </c>
      <c r="K903" t="s">
        <v>29</v>
      </c>
      <c r="AV903" t="s">
        <v>2344</v>
      </c>
      <c r="AW903">
        <f t="shared" si="2"/>
        <v>1435</v>
      </c>
      <c r="AX903" t="s">
        <v>29</v>
      </c>
      <c r="AY903">
        <v>3</v>
      </c>
      <c r="AZ903" t="s">
        <v>2343</v>
      </c>
      <c r="BA903">
        <v>2009</v>
      </c>
      <c r="BB903">
        <v>2012</v>
      </c>
      <c r="BC903">
        <v>2009.2</v>
      </c>
      <c r="BD903" t="s">
        <v>19</v>
      </c>
      <c r="BE903" t="s">
        <v>2366</v>
      </c>
      <c r="BF903" t="s">
        <v>24</v>
      </c>
      <c r="BG903" t="s">
        <v>1243</v>
      </c>
      <c r="BH903" t="s">
        <v>2338</v>
      </c>
      <c r="BI903" t="s">
        <v>2361</v>
      </c>
      <c r="BJ903" t="s">
        <v>2281</v>
      </c>
      <c r="BK903">
        <v>30</v>
      </c>
      <c r="BL903" t="s">
        <v>275</v>
      </c>
      <c r="BM903" t="s">
        <v>2338</v>
      </c>
      <c r="BN903" t="s">
        <v>2360</v>
      </c>
      <c r="BO903" t="s">
        <v>2281</v>
      </c>
      <c r="BP903">
        <v>35</v>
      </c>
      <c r="HL903" t="s">
        <v>2369</v>
      </c>
      <c r="HM903" t="s">
        <v>297</v>
      </c>
      <c r="HN903" t="s">
        <v>2368</v>
      </c>
      <c r="HP903" t="s">
        <v>29</v>
      </c>
      <c r="HQ903">
        <v>12</v>
      </c>
      <c r="HR903" t="s">
        <v>2367</v>
      </c>
      <c r="HT903" t="s">
        <v>2333</v>
      </c>
      <c r="HU903" s="58">
        <v>40192</v>
      </c>
      <c r="HV903" s="58"/>
      <c r="IN903" t="s">
        <v>2366</v>
      </c>
      <c r="IO903" s="54" t="s">
        <v>2356</v>
      </c>
      <c r="IR903">
        <v>2009</v>
      </c>
      <c r="IS903" t="s">
        <v>2330</v>
      </c>
      <c r="IT903" s="4" t="s">
        <v>1898</v>
      </c>
      <c r="JK903" t="s">
        <v>14</v>
      </c>
      <c r="KD903" t="s">
        <v>2365</v>
      </c>
      <c r="KE903" t="s">
        <v>1561</v>
      </c>
      <c r="KF903" t="s">
        <v>2328</v>
      </c>
      <c r="KG903">
        <v>6</v>
      </c>
      <c r="KH903" t="s">
        <v>2327</v>
      </c>
      <c r="KI903" t="s">
        <v>222</v>
      </c>
      <c r="KJ903" s="8" t="s">
        <v>1941</v>
      </c>
      <c r="KM903" t="s">
        <v>219</v>
      </c>
      <c r="KN903" t="s">
        <v>2354</v>
      </c>
      <c r="KU903" t="s">
        <v>2364</v>
      </c>
      <c r="KV903" t="s">
        <v>2324</v>
      </c>
      <c r="KZ903" t="s">
        <v>13</v>
      </c>
      <c r="LA903">
        <v>2000</v>
      </c>
      <c r="LG903" t="s">
        <v>2323</v>
      </c>
      <c r="LH903" t="s">
        <v>2322</v>
      </c>
      <c r="LI903">
        <v>30</v>
      </c>
      <c r="LO903" t="s">
        <v>2363</v>
      </c>
      <c r="LP903" t="s">
        <v>2320</v>
      </c>
      <c r="LS903" t="s">
        <v>1944</v>
      </c>
      <c r="LT903">
        <v>1481</v>
      </c>
      <c r="LU903" t="s">
        <v>2319</v>
      </c>
      <c r="MA903" t="s">
        <v>2351</v>
      </c>
      <c r="MC903" s="58">
        <v>40298</v>
      </c>
      <c r="MS903" t="s">
        <v>2317</v>
      </c>
      <c r="MT903">
        <v>1435</v>
      </c>
      <c r="MV903" t="s">
        <v>2350</v>
      </c>
      <c r="MW903" s="2" t="s">
        <v>2315</v>
      </c>
      <c r="MX903" s="2" t="s">
        <v>2315</v>
      </c>
      <c r="MY903" s="2"/>
      <c r="MZ903" s="2"/>
      <c r="ND903" t="s">
        <v>2314</v>
      </c>
      <c r="NE903" t="s">
        <v>2349</v>
      </c>
      <c r="NF903" t="s">
        <v>2348</v>
      </c>
      <c r="NG903" s="4" t="s">
        <v>1966</v>
      </c>
      <c r="NH903" t="s">
        <v>2347</v>
      </c>
      <c r="NP903" t="s">
        <v>2362</v>
      </c>
      <c r="NQ903" t="s">
        <v>6</v>
      </c>
      <c r="NR903">
        <v>3.8</v>
      </c>
      <c r="NS903" t="s">
        <v>29</v>
      </c>
      <c r="NW903">
        <v>3</v>
      </c>
      <c r="OH903" t="s">
        <v>2313</v>
      </c>
      <c r="OI903" t="s">
        <v>6</v>
      </c>
      <c r="OK903">
        <v>2011</v>
      </c>
      <c r="OL903">
        <v>2012</v>
      </c>
      <c r="OM903" t="s">
        <v>2330</v>
      </c>
      <c r="ON903" t="s">
        <v>2393</v>
      </c>
      <c r="OO903" t="s">
        <v>1178</v>
      </c>
      <c r="OP903" s="58">
        <v>46136</v>
      </c>
    </row>
    <row r="904" spans="1:406" ht="15.75" thickBot="1">
      <c r="A904" t="s">
        <v>248</v>
      </c>
      <c r="B904" t="s">
        <v>2346</v>
      </c>
      <c r="C904" t="s">
        <v>1904</v>
      </c>
      <c r="D904" t="s">
        <v>1955</v>
      </c>
      <c r="E904" s="90" t="s">
        <v>2345</v>
      </c>
      <c r="F904" s="89" t="s">
        <v>31</v>
      </c>
      <c r="G904" t="s">
        <v>2</v>
      </c>
      <c r="H904" t="s">
        <v>30</v>
      </c>
      <c r="I904">
        <v>23.983611109999998</v>
      </c>
      <c r="J904">
        <v>90.402222219999999</v>
      </c>
      <c r="K904" t="s">
        <v>29</v>
      </c>
      <c r="AV904" t="s">
        <v>2344</v>
      </c>
      <c r="AW904">
        <f t="shared" si="2"/>
        <v>1435</v>
      </c>
      <c r="AX904" t="s">
        <v>29</v>
      </c>
      <c r="AY904">
        <v>3</v>
      </c>
      <c r="AZ904" t="s">
        <v>2343</v>
      </c>
      <c r="BA904">
        <v>2009</v>
      </c>
      <c r="BB904">
        <v>2012</v>
      </c>
      <c r="BC904">
        <v>2009.2</v>
      </c>
      <c r="BD904" t="s">
        <v>19</v>
      </c>
      <c r="BE904" t="s">
        <v>2357</v>
      </c>
      <c r="BF904" t="s">
        <v>299</v>
      </c>
      <c r="BG904" t="s">
        <v>1243</v>
      </c>
      <c r="BH904" t="s">
        <v>2338</v>
      </c>
      <c r="BI904" t="s">
        <v>2361</v>
      </c>
      <c r="BJ904" t="s">
        <v>2281</v>
      </c>
      <c r="BK904">
        <v>30</v>
      </c>
      <c r="BL904" t="s">
        <v>275</v>
      </c>
      <c r="BM904" t="s">
        <v>2338</v>
      </c>
      <c r="BN904" t="s">
        <v>2360</v>
      </c>
      <c r="BO904" t="s">
        <v>2281</v>
      </c>
      <c r="BP904">
        <v>19</v>
      </c>
      <c r="HL904" t="s">
        <v>2359</v>
      </c>
      <c r="HM904" t="s">
        <v>2335</v>
      </c>
      <c r="HP904" t="s">
        <v>29</v>
      </c>
      <c r="HQ904">
        <v>4</v>
      </c>
      <c r="HR904" t="s">
        <v>2358</v>
      </c>
      <c r="HT904" t="s">
        <v>2333</v>
      </c>
      <c r="HU904" s="58">
        <v>40192</v>
      </c>
      <c r="HV904" s="58"/>
      <c r="IN904" t="s">
        <v>2357</v>
      </c>
      <c r="IO904" s="54" t="s">
        <v>2356</v>
      </c>
      <c r="IR904">
        <v>2009</v>
      </c>
      <c r="IS904" t="s">
        <v>2330</v>
      </c>
      <c r="IT904" s="4" t="s">
        <v>1898</v>
      </c>
      <c r="JK904" t="s">
        <v>14</v>
      </c>
      <c r="KD904" t="s">
        <v>2355</v>
      </c>
      <c r="KE904" t="s">
        <v>1561</v>
      </c>
      <c r="KF904" t="s">
        <v>2328</v>
      </c>
      <c r="KG904">
        <v>7</v>
      </c>
      <c r="KH904" t="s">
        <v>2327</v>
      </c>
      <c r="KI904" t="s">
        <v>222</v>
      </c>
      <c r="KJ904" s="8" t="s">
        <v>1941</v>
      </c>
      <c r="KM904" t="s">
        <v>219</v>
      </c>
      <c r="KN904" t="s">
        <v>2354</v>
      </c>
      <c r="KU904" t="s">
        <v>2353</v>
      </c>
      <c r="KV904" t="s">
        <v>2324</v>
      </c>
      <c r="KZ904" t="s">
        <v>13</v>
      </c>
      <c r="LA904">
        <v>1900</v>
      </c>
      <c r="LG904" t="s">
        <v>2323</v>
      </c>
      <c r="LH904" t="s">
        <v>2322</v>
      </c>
      <c r="LI904">
        <v>30</v>
      </c>
      <c r="LO904" t="s">
        <v>2352</v>
      </c>
      <c r="LP904" t="s">
        <v>2320</v>
      </c>
      <c r="LS904" t="s">
        <v>1944</v>
      </c>
      <c r="LT904">
        <v>1530</v>
      </c>
      <c r="LU904" t="s">
        <v>2319</v>
      </c>
      <c r="MA904" t="s">
        <v>2351</v>
      </c>
      <c r="MC904" s="58">
        <v>40299</v>
      </c>
      <c r="MS904" t="s">
        <v>2317</v>
      </c>
      <c r="MT904">
        <v>1435</v>
      </c>
      <c r="MV904" t="s">
        <v>2350</v>
      </c>
      <c r="MW904" s="2" t="s">
        <v>2315</v>
      </c>
      <c r="MX904" s="2" t="s">
        <v>2315</v>
      </c>
      <c r="MY904" s="2"/>
      <c r="MZ904" s="2"/>
      <c r="ND904" t="s">
        <v>2314</v>
      </c>
      <c r="NE904" t="s">
        <v>2349</v>
      </c>
      <c r="NF904" t="s">
        <v>2348</v>
      </c>
      <c r="NG904" s="4" t="s">
        <v>1966</v>
      </c>
      <c r="NH904" t="s">
        <v>2347</v>
      </c>
      <c r="NP904" t="s">
        <v>64</v>
      </c>
      <c r="NQ904" t="s">
        <v>6</v>
      </c>
      <c r="NR904">
        <v>3.9</v>
      </c>
      <c r="NS904" t="s">
        <v>29</v>
      </c>
      <c r="NW904">
        <v>3</v>
      </c>
      <c r="OH904" t="s">
        <v>2313</v>
      </c>
      <c r="OI904" t="s">
        <v>6</v>
      </c>
      <c r="OK904">
        <v>2011</v>
      </c>
      <c r="OL904">
        <v>2012</v>
      </c>
      <c r="OM904" t="s">
        <v>2330</v>
      </c>
      <c r="ON904" t="s">
        <v>2393</v>
      </c>
      <c r="OO904" t="s">
        <v>1178</v>
      </c>
      <c r="OP904" s="58">
        <v>46136</v>
      </c>
    </row>
    <row r="905" spans="1:406" ht="15.75" thickBot="1">
      <c r="A905" t="s">
        <v>248</v>
      </c>
      <c r="B905" t="s">
        <v>2346</v>
      </c>
      <c r="C905" t="s">
        <v>1904</v>
      </c>
      <c r="D905" t="s">
        <v>1955</v>
      </c>
      <c r="E905" s="90" t="s">
        <v>2345</v>
      </c>
      <c r="F905" s="89" t="s">
        <v>31</v>
      </c>
      <c r="G905" t="s">
        <v>2</v>
      </c>
      <c r="H905" t="s">
        <v>30</v>
      </c>
      <c r="I905">
        <v>23.983611109999998</v>
      </c>
      <c r="J905">
        <v>90.402222219999999</v>
      </c>
      <c r="K905" t="s">
        <v>29</v>
      </c>
      <c r="AV905" t="s">
        <v>2344</v>
      </c>
      <c r="AW905">
        <f t="shared" si="2"/>
        <v>1435</v>
      </c>
      <c r="AX905" t="s">
        <v>29</v>
      </c>
      <c r="AY905">
        <v>3</v>
      </c>
      <c r="AZ905" t="s">
        <v>2343</v>
      </c>
      <c r="BA905">
        <v>2009</v>
      </c>
      <c r="BB905">
        <v>2012</v>
      </c>
      <c r="BC905">
        <v>2009.2</v>
      </c>
      <c r="BD905" t="s">
        <v>274</v>
      </c>
      <c r="BE905" t="s">
        <v>2332</v>
      </c>
      <c r="BF905" t="s">
        <v>64</v>
      </c>
      <c r="BG905" t="s">
        <v>1243</v>
      </c>
      <c r="BH905" t="s">
        <v>1913</v>
      </c>
      <c r="BI905" t="s">
        <v>2342</v>
      </c>
      <c r="BJ905" t="s">
        <v>2281</v>
      </c>
      <c r="BK905">
        <v>1614</v>
      </c>
      <c r="BL905" t="s">
        <v>275</v>
      </c>
      <c r="BM905" t="s">
        <v>23</v>
      </c>
      <c r="BN905" t="s">
        <v>2341</v>
      </c>
      <c r="BO905" t="s">
        <v>2281</v>
      </c>
      <c r="BP905">
        <v>20</v>
      </c>
      <c r="BQ905" t="s">
        <v>275</v>
      </c>
      <c r="BR905" t="s">
        <v>1936</v>
      </c>
      <c r="BS905" t="s">
        <v>2340</v>
      </c>
      <c r="BT905" t="s">
        <v>2281</v>
      </c>
      <c r="BU905">
        <v>30</v>
      </c>
      <c r="BV905" t="s">
        <v>275</v>
      </c>
      <c r="BW905" t="s">
        <v>2338</v>
      </c>
      <c r="BX905" t="s">
        <v>2339</v>
      </c>
      <c r="BY905" t="s">
        <v>2281</v>
      </c>
      <c r="BZ905">
        <v>35</v>
      </c>
      <c r="CA905" t="s">
        <v>275</v>
      </c>
      <c r="CB905" t="s">
        <v>2338</v>
      </c>
      <c r="CC905" t="s">
        <v>2337</v>
      </c>
      <c r="CD905" t="s">
        <v>2281</v>
      </c>
      <c r="CE905">
        <v>19</v>
      </c>
      <c r="HL905" t="s">
        <v>2336</v>
      </c>
      <c r="HM905" t="s">
        <v>2335</v>
      </c>
      <c r="HP905" t="s">
        <v>29</v>
      </c>
      <c r="HQ905">
        <v>9</v>
      </c>
      <c r="HR905" t="s">
        <v>2334</v>
      </c>
      <c r="HT905" t="s">
        <v>2333</v>
      </c>
      <c r="HU905" s="58">
        <v>40153</v>
      </c>
      <c r="IN905" t="s">
        <v>2332</v>
      </c>
      <c r="IO905" t="s">
        <v>2331</v>
      </c>
      <c r="IR905">
        <v>2009</v>
      </c>
      <c r="IS905" t="s">
        <v>2330</v>
      </c>
      <c r="IT905" s="4" t="s">
        <v>1898</v>
      </c>
      <c r="JK905" t="s">
        <v>14</v>
      </c>
      <c r="KD905" t="s">
        <v>2329</v>
      </c>
      <c r="KE905" t="s">
        <v>1561</v>
      </c>
      <c r="KF905" t="s">
        <v>2328</v>
      </c>
      <c r="KG905">
        <v>4</v>
      </c>
      <c r="KH905" t="s">
        <v>2327</v>
      </c>
      <c r="KI905" t="s">
        <v>2171</v>
      </c>
      <c r="KM905" t="s">
        <v>219</v>
      </c>
      <c r="KN905" t="s">
        <v>2326</v>
      </c>
      <c r="KU905" t="s">
        <v>2325</v>
      </c>
      <c r="KV905" t="s">
        <v>2324</v>
      </c>
      <c r="KZ905" t="s">
        <v>13</v>
      </c>
      <c r="LA905">
        <v>1600</v>
      </c>
      <c r="LG905" t="s">
        <v>2323</v>
      </c>
      <c r="LH905" t="s">
        <v>2322</v>
      </c>
      <c r="LI905">
        <v>30</v>
      </c>
      <c r="LO905" t="s">
        <v>2321</v>
      </c>
      <c r="LP905" t="s">
        <v>2320</v>
      </c>
      <c r="LS905" t="s">
        <v>1944</v>
      </c>
      <c r="LT905">
        <v>805</v>
      </c>
      <c r="LU905" t="s">
        <v>2319</v>
      </c>
      <c r="MA905" t="s">
        <v>2318</v>
      </c>
      <c r="MC905" s="58">
        <v>40224</v>
      </c>
      <c r="MS905" t="s">
        <v>2317</v>
      </c>
      <c r="MT905">
        <v>1435</v>
      </c>
      <c r="MV905" t="s">
        <v>2316</v>
      </c>
      <c r="MW905" s="2"/>
      <c r="MX905" s="2" t="s">
        <v>2315</v>
      </c>
      <c r="MY905" t="s">
        <v>1913</v>
      </c>
      <c r="MZ905" s="2" t="s">
        <v>1936</v>
      </c>
      <c r="ND905" t="s">
        <v>2314</v>
      </c>
      <c r="NF905" t="s">
        <v>2348</v>
      </c>
      <c r="NG905" s="4" t="s">
        <v>1966</v>
      </c>
      <c r="NH905" t="s">
        <v>2347</v>
      </c>
      <c r="NQ905" t="s">
        <v>6</v>
      </c>
      <c r="NR905">
        <v>2.2000000000000002</v>
      </c>
      <c r="NS905" t="s">
        <v>29</v>
      </c>
      <c r="NW905">
        <v>3</v>
      </c>
      <c r="OH905" t="s">
        <v>2313</v>
      </c>
      <c r="OI905" t="s">
        <v>6</v>
      </c>
      <c r="OK905">
        <v>2011</v>
      </c>
      <c r="OL905">
        <v>2012</v>
      </c>
      <c r="OM905" t="s">
        <v>2330</v>
      </c>
      <c r="ON905" t="s">
        <v>2393</v>
      </c>
      <c r="OO905" t="s">
        <v>1178</v>
      </c>
      <c r="OP905" s="58">
        <v>46136</v>
      </c>
    </row>
    <row r="906" spans="1:406" ht="15.75" thickBot="1">
      <c r="A906" s="207"/>
      <c r="B906" s="89"/>
      <c r="C906" s="89"/>
      <c r="D906" s="152"/>
      <c r="E906" s="89"/>
      <c r="F906" s="152"/>
      <c r="G906" s="89"/>
      <c r="H906" s="89"/>
      <c r="I906" s="152"/>
      <c r="J906" s="152"/>
      <c r="K906" s="152"/>
      <c r="L906" s="89"/>
      <c r="M906" s="152"/>
      <c r="N906" s="89"/>
      <c r="O906" s="89"/>
      <c r="P906" s="89"/>
      <c r="Q906" s="89"/>
      <c r="R906" s="89"/>
      <c r="S906" s="89"/>
      <c r="T906" s="89"/>
      <c r="X906" s="3"/>
      <c r="AA906" s="3"/>
      <c r="AB906" s="3"/>
      <c r="AC906" s="3"/>
      <c r="AG906" s="3"/>
      <c r="AJ906" s="3"/>
      <c r="AK906" s="3"/>
      <c r="AL906" s="3"/>
      <c r="AP906" s="3"/>
      <c r="AS906" s="3"/>
      <c r="AT906" s="3"/>
      <c r="AU906" s="3"/>
      <c r="AV906" s="89"/>
      <c r="AW906" s="89"/>
      <c r="AX906" s="89"/>
      <c r="AY906" s="89"/>
      <c r="AZ906" s="89"/>
      <c r="BA906" s="89"/>
      <c r="BB906" s="89"/>
      <c r="BC906" s="89"/>
      <c r="BD906" s="89"/>
      <c r="BE906" s="89"/>
      <c r="BF906" s="89"/>
      <c r="BG906" s="89"/>
      <c r="BH906" s="89"/>
      <c r="BI906" s="89"/>
      <c r="BJ906" s="152"/>
      <c r="BK906" s="175"/>
      <c r="BL906" s="89"/>
      <c r="BM906" s="89"/>
      <c r="BN906" s="89"/>
      <c r="BO906" s="89"/>
      <c r="BP906" s="89"/>
      <c r="BQ906" s="89"/>
      <c r="BR906" s="89"/>
      <c r="BS906" s="89"/>
      <c r="BT906" s="89"/>
      <c r="BU906" s="89"/>
      <c r="BV906" s="89"/>
      <c r="EE906" s="89"/>
      <c r="EF906" s="152"/>
      <c r="EG906" s="175"/>
      <c r="EH906" s="175"/>
      <c r="EI906" s="175"/>
      <c r="EJ906" s="175"/>
      <c r="EK906" s="175"/>
      <c r="EL906" s="175"/>
      <c r="HL906" s="89"/>
      <c r="HM906" s="89"/>
      <c r="HN906" s="89"/>
      <c r="HO906" s="89"/>
      <c r="HP906" s="89"/>
      <c r="HQ906" s="89"/>
      <c r="HR906" s="89"/>
      <c r="HS906" s="89"/>
      <c r="HT906" s="152"/>
      <c r="HU906" s="89"/>
      <c r="HV906" s="89"/>
      <c r="HW906" s="89"/>
      <c r="HX906" s="89"/>
      <c r="HY906" s="89"/>
      <c r="HZ906" s="89"/>
      <c r="IA906" s="89"/>
      <c r="IB906" s="89"/>
      <c r="IC906" s="89"/>
      <c r="ID906" s="89"/>
      <c r="IE906" s="89"/>
      <c r="IF906" s="89"/>
      <c r="IG906" s="89"/>
      <c r="IH906" s="89"/>
      <c r="II906" s="89"/>
      <c r="IJ906" s="89"/>
      <c r="IK906" s="89"/>
      <c r="IL906" s="89"/>
      <c r="IM906" s="89"/>
      <c r="IN906" s="152"/>
      <c r="IO906" s="89"/>
      <c r="IP906" s="157"/>
      <c r="IQ906" s="178"/>
      <c r="IR906" s="89"/>
      <c r="IS906" s="89"/>
      <c r="IT906" s="89"/>
      <c r="IU906" s="152"/>
      <c r="IV906" s="89"/>
      <c r="IW906" s="206"/>
      <c r="IX906" s="178"/>
      <c r="IY906" s="89"/>
      <c r="IZ906" s="89"/>
      <c r="JA906" s="89"/>
      <c r="JB906" s="89"/>
      <c r="JC906" s="89"/>
      <c r="JD906" s="89"/>
      <c r="JE906" s="89"/>
      <c r="JF906" s="89"/>
      <c r="JG906" s="89"/>
      <c r="JH906" s="89"/>
      <c r="JI906" s="89"/>
      <c r="JJ906" s="89"/>
      <c r="JK906" s="89"/>
      <c r="JL906" s="205"/>
      <c r="JM906" s="178"/>
      <c r="JN906" s="2"/>
      <c r="JO906" s="89"/>
      <c r="JP906" s="89"/>
      <c r="JQ906" s="152"/>
      <c r="JR906" s="89"/>
      <c r="JS906" s="89"/>
      <c r="JT906" s="89"/>
      <c r="JU906" s="89"/>
      <c r="JV906" s="89"/>
      <c r="JW906" s="89"/>
      <c r="JX906" s="89"/>
      <c r="JY906" s="89"/>
      <c r="JZ906" s="89"/>
      <c r="KA906" s="89"/>
      <c r="KB906" s="89"/>
      <c r="KC906" s="89"/>
      <c r="KD906" s="89"/>
      <c r="KE906" s="89"/>
      <c r="KF906" s="89"/>
      <c r="KG906" s="157"/>
      <c r="KH906" s="178"/>
      <c r="KI906" s="89"/>
      <c r="KJ906" s="89"/>
      <c r="KK906" s="89"/>
      <c r="KL906" s="89"/>
      <c r="KM906" s="89"/>
      <c r="KN906" s="89"/>
      <c r="KO906" s="182"/>
      <c r="KP906" s="159"/>
      <c r="KQ906" s="89"/>
      <c r="KR906" s="89"/>
      <c r="KS906" s="89"/>
      <c r="KT906" s="89"/>
      <c r="KU906" s="89"/>
      <c r="KV906" s="89"/>
      <c r="KW906" s="89"/>
      <c r="LB906" s="89"/>
      <c r="LC906" s="89"/>
      <c r="LD906" s="89"/>
      <c r="LE906" s="89"/>
      <c r="LF906" s="89"/>
      <c r="LG906" s="89"/>
      <c r="LH906" s="89"/>
      <c r="LI906" s="89"/>
      <c r="LJ906" s="89"/>
      <c r="LK906" s="89"/>
      <c r="LL906" s="89"/>
      <c r="LM906" s="89"/>
      <c r="LN906" s="89"/>
      <c r="LO906" s="89"/>
      <c r="LP906" s="89"/>
      <c r="LQ906" s="89"/>
      <c r="LR906" s="89"/>
      <c r="LS906" s="89"/>
      <c r="LT906" s="89"/>
      <c r="LU906" s="89"/>
      <c r="LV906" s="89"/>
      <c r="LW906" s="89"/>
      <c r="LX906" s="89"/>
      <c r="LY906" s="89"/>
      <c r="LZ906" s="89"/>
      <c r="MA906" s="89"/>
      <c r="MB906" s="89"/>
      <c r="MC906" s="89"/>
      <c r="MD906" s="89"/>
      <c r="ME906" s="89"/>
      <c r="MF906" s="89"/>
      <c r="MG906" s="89"/>
      <c r="MH906" s="89"/>
      <c r="MI906" s="89"/>
      <c r="MJ906" s="89"/>
      <c r="MK906" s="89"/>
      <c r="ML906" s="89"/>
      <c r="MM906" s="89"/>
      <c r="MN906" s="89"/>
      <c r="MO906" s="89"/>
      <c r="MP906" s="89"/>
      <c r="MQ906" s="89"/>
      <c r="MR906" s="89"/>
      <c r="MS906" s="89"/>
      <c r="MT906" s="89"/>
      <c r="MU906" s="89"/>
      <c r="MV906" s="89"/>
      <c r="MW906" s="89"/>
      <c r="MX906" s="89"/>
      <c r="MY906" s="89"/>
      <c r="MZ906" s="89"/>
      <c r="NA906" s="89"/>
      <c r="NB906" s="89"/>
      <c r="NC906" s="89"/>
      <c r="ND906" s="89"/>
      <c r="NE906" s="89"/>
      <c r="NF906" s="89"/>
      <c r="NG906" s="89"/>
      <c r="NH906" s="89"/>
      <c r="NI906" s="152"/>
      <c r="NJ906" s="204"/>
      <c r="NK906" s="89"/>
      <c r="NL906" s="89"/>
      <c r="NM906" s="89"/>
      <c r="NN906" s="89"/>
      <c r="NO906" s="89"/>
      <c r="NP906" s="89"/>
      <c r="NQ906" s="89"/>
      <c r="NR906" s="89"/>
      <c r="NS906" s="89"/>
      <c r="NT906" s="89"/>
      <c r="NU906" s="152"/>
      <c r="NV906" s="97"/>
      <c r="NW906" s="89"/>
      <c r="NX906" s="89"/>
      <c r="NY906" s="89"/>
      <c r="NZ906" s="89"/>
      <c r="OA906" s="89"/>
      <c r="OB906" s="89"/>
      <c r="OC906" s="89"/>
      <c r="OD906" s="89"/>
      <c r="OE906" s="89"/>
      <c r="OF906" s="89"/>
      <c r="OG906" s="89"/>
      <c r="OH906" s="89"/>
      <c r="OI906" s="89"/>
      <c r="OJ906" s="89"/>
      <c r="OK906" s="89"/>
      <c r="OL906" s="89"/>
      <c r="OM906" s="89"/>
      <c r="ON906" s="89"/>
      <c r="OO906" s="89"/>
      <c r="OP906" s="89"/>
    </row>
    <row r="907" spans="1:406">
      <c r="A907" s="209"/>
      <c r="B907" s="2"/>
      <c r="C907" s="2"/>
      <c r="D907" s="99"/>
      <c r="E907" s="2"/>
      <c r="F907" s="152"/>
      <c r="G907" s="2"/>
      <c r="H907" s="2"/>
      <c r="I907" s="152"/>
      <c r="J907" s="152"/>
      <c r="K907" s="152"/>
      <c r="L907" s="2"/>
      <c r="M907" s="99"/>
      <c r="N907" s="2"/>
      <c r="O907" s="89"/>
      <c r="P907" s="2"/>
      <c r="Q907" s="2"/>
      <c r="R907" s="89"/>
      <c r="S907" s="89"/>
      <c r="T907" s="89"/>
      <c r="X907" s="3"/>
      <c r="AA907" s="3"/>
      <c r="AB907" s="3"/>
      <c r="AC907" s="3"/>
      <c r="AG907" s="3"/>
      <c r="AJ907" s="3"/>
      <c r="AK907" s="3"/>
      <c r="AL907" s="3"/>
      <c r="AP907" s="3"/>
      <c r="AS907" s="3"/>
      <c r="AT907" s="3"/>
      <c r="AU907" s="3"/>
      <c r="AV907" s="2"/>
      <c r="AW907" s="2"/>
      <c r="AX907" s="2"/>
      <c r="AY907" s="2"/>
      <c r="AZ907" s="2"/>
      <c r="BA907" s="2"/>
      <c r="BB907" s="2"/>
      <c r="BC907" s="2"/>
      <c r="BD907" s="2"/>
      <c r="BE907" s="2"/>
      <c r="BF907" s="2"/>
      <c r="BG907" s="2"/>
      <c r="BH907" s="2"/>
      <c r="BI907" s="2"/>
      <c r="BJ907" s="99"/>
      <c r="BK907" s="210"/>
      <c r="BL907" s="2"/>
      <c r="BM907" s="2"/>
      <c r="BN907" s="2"/>
      <c r="BO907" s="2"/>
      <c r="BP907" s="2"/>
      <c r="BQ907" s="2"/>
      <c r="BR907" s="2"/>
      <c r="BS907" s="2"/>
      <c r="BT907" s="2"/>
      <c r="BU907" s="2"/>
      <c r="BV907" s="2"/>
      <c r="EE907" s="2"/>
      <c r="EF907" s="99"/>
      <c r="EG907" s="210"/>
      <c r="EH907" s="210"/>
      <c r="EI907" s="210"/>
      <c r="EJ907" s="210"/>
      <c r="EK907" s="210"/>
      <c r="EL907" s="210"/>
      <c r="HL907" s="2"/>
      <c r="HM907" s="2"/>
      <c r="HN907" s="2"/>
      <c r="HO907" s="2"/>
      <c r="HP907" s="2"/>
      <c r="HQ907" s="2"/>
      <c r="HR907" s="2"/>
      <c r="HS907" s="2"/>
      <c r="HT907" s="99"/>
      <c r="HU907" s="2"/>
      <c r="HV907" s="2"/>
      <c r="HW907" s="2"/>
      <c r="HX907" s="2"/>
      <c r="HY907" s="2"/>
      <c r="HZ907" s="2"/>
      <c r="IA907" s="2"/>
      <c r="IB907" s="2"/>
      <c r="IC907" s="2"/>
      <c r="ID907" s="2"/>
      <c r="IE907" s="2"/>
      <c r="IF907" s="2"/>
      <c r="IG907" s="2"/>
      <c r="IH907" s="2"/>
      <c r="II907" s="2"/>
      <c r="IJ907" s="2"/>
      <c r="IK907" s="2"/>
      <c r="IL907" s="2"/>
      <c r="IM907" s="2"/>
      <c r="IN907" s="99"/>
      <c r="IO907" s="2"/>
      <c r="IP907" s="168"/>
      <c r="IQ907" s="172"/>
      <c r="IR907" s="2"/>
      <c r="IS907" s="2"/>
      <c r="IT907" s="2"/>
      <c r="IU907" s="99"/>
      <c r="IV907" s="2"/>
      <c r="IW907" s="211"/>
      <c r="IX907" s="172"/>
      <c r="IY907" s="2"/>
      <c r="IZ907" s="2"/>
      <c r="JA907" s="2"/>
      <c r="JB907" s="2"/>
      <c r="JC907" s="2"/>
      <c r="JD907" s="2"/>
      <c r="JE907" s="2"/>
      <c r="JF907" s="2"/>
      <c r="JG907" s="2"/>
      <c r="JH907" s="2"/>
      <c r="JI907" s="2"/>
      <c r="JJ907" s="2"/>
      <c r="JK907" s="2"/>
      <c r="JL907" s="205"/>
      <c r="JM907" s="172"/>
      <c r="JN907" s="2"/>
      <c r="JO907" s="2"/>
      <c r="JP907" s="2"/>
      <c r="JQ907" s="99"/>
      <c r="JR907" s="2"/>
      <c r="JS907" s="2"/>
      <c r="JT907" s="2"/>
      <c r="JU907" s="2"/>
      <c r="JV907" s="2"/>
      <c r="JW907" s="2"/>
      <c r="JX907" s="2"/>
      <c r="JY907" s="2"/>
      <c r="JZ907" s="2"/>
      <c r="KA907" s="2"/>
      <c r="KB907" s="2"/>
      <c r="KC907" s="2"/>
      <c r="KD907" s="2"/>
      <c r="KE907" s="2"/>
      <c r="KF907" s="2"/>
      <c r="KG907" s="168"/>
      <c r="KH907" s="172"/>
      <c r="KI907" s="2"/>
      <c r="KJ907" s="2"/>
      <c r="KK907" s="2"/>
      <c r="KL907" s="2"/>
      <c r="KM907" s="2"/>
      <c r="KN907" s="2"/>
      <c r="KO907" s="182"/>
      <c r="KP907" s="171"/>
      <c r="KQ907" s="2"/>
      <c r="KR907" s="2"/>
      <c r="KS907" s="2"/>
      <c r="KT907" s="2"/>
      <c r="KU907" s="2"/>
      <c r="KV907" s="2"/>
      <c r="KW907" s="2"/>
      <c r="LB907" s="2"/>
      <c r="LC907" s="2"/>
      <c r="LD907" s="2"/>
      <c r="LE907" s="2"/>
      <c r="LF907" s="2"/>
      <c r="LG907" s="2"/>
      <c r="LH907" s="2"/>
      <c r="LI907" s="2"/>
      <c r="LJ907" s="2"/>
      <c r="LK907" s="2"/>
      <c r="LL907" s="2"/>
      <c r="LM907" s="2"/>
      <c r="LN907" s="2"/>
      <c r="LO907" s="2"/>
      <c r="LP907" s="2"/>
      <c r="LQ907" s="2"/>
      <c r="LR907" s="2"/>
      <c r="LS907" s="2"/>
      <c r="LT907" s="2"/>
      <c r="LU907" s="2"/>
      <c r="LV907" s="2"/>
      <c r="LW907" s="2"/>
      <c r="LX907" s="2"/>
      <c r="LY907" s="2"/>
      <c r="LZ907" s="2"/>
      <c r="MA907" s="2"/>
      <c r="MB907" s="2"/>
      <c r="MC907" s="2"/>
      <c r="MD907" s="2"/>
      <c r="ME907" s="2"/>
      <c r="MF907" s="2"/>
      <c r="MG907" s="2"/>
      <c r="MH907" s="2"/>
      <c r="MI907" s="2"/>
      <c r="MJ907" s="2"/>
      <c r="MK907" s="2"/>
      <c r="ML907" s="2"/>
      <c r="MM907" s="2"/>
      <c r="MN907" s="2"/>
      <c r="MO907" s="2"/>
      <c r="MP907" s="2"/>
      <c r="MQ907" s="2"/>
      <c r="MR907" s="2"/>
      <c r="MS907" s="2"/>
      <c r="MT907" s="2"/>
      <c r="MU907" s="2"/>
      <c r="MV907" s="2"/>
      <c r="MW907" s="2"/>
      <c r="MX907" s="2"/>
      <c r="MY907" s="2"/>
      <c r="MZ907" s="2"/>
      <c r="NA907" s="2"/>
      <c r="NB907" s="2"/>
      <c r="NC907" s="2"/>
      <c r="ND907" s="2"/>
      <c r="NE907" s="2"/>
      <c r="NF907" s="2"/>
      <c r="NG907" s="2"/>
      <c r="NH907" s="2"/>
      <c r="NI907" s="99"/>
      <c r="NJ907" s="208"/>
      <c r="NK907" s="2"/>
      <c r="NL907" s="2"/>
      <c r="NM907" s="2"/>
      <c r="NN907" s="2"/>
      <c r="NO907" s="2"/>
      <c r="NP907" s="2"/>
      <c r="NQ907" s="2"/>
      <c r="NR907" s="2"/>
      <c r="NS907" s="2"/>
      <c r="NT907" s="2"/>
      <c r="NU907" s="99"/>
      <c r="NV907" s="173"/>
      <c r="NW907" s="2"/>
      <c r="NX907" s="2"/>
      <c r="NY907" s="2"/>
      <c r="NZ907" s="2"/>
      <c r="OA907" s="2"/>
      <c r="OB907" s="2"/>
      <c r="OC907" s="2"/>
      <c r="OD907" s="2"/>
      <c r="OE907" s="2"/>
      <c r="OF907" s="2"/>
      <c r="OG907" s="2"/>
      <c r="OH907" s="2"/>
      <c r="OI907" s="2"/>
      <c r="OJ907" s="2"/>
      <c r="OK907" s="2"/>
      <c r="OL907" s="2"/>
      <c r="OM907" s="2"/>
      <c r="ON907" s="2"/>
      <c r="OO907" s="2"/>
      <c r="OP907" s="2"/>
    </row>
    <row r="908" spans="1:406">
      <c r="A908" t="s">
        <v>248</v>
      </c>
      <c r="B908" t="s">
        <v>2396</v>
      </c>
      <c r="C908" t="s">
        <v>2397</v>
      </c>
      <c r="D908" t="s">
        <v>1955</v>
      </c>
      <c r="E908" s="90" t="s">
        <v>2398</v>
      </c>
      <c r="F908" t="s">
        <v>31</v>
      </c>
      <c r="G908" t="s">
        <v>2</v>
      </c>
      <c r="H908" t="s">
        <v>30</v>
      </c>
      <c r="I908">
        <v>7.8527777780000001</v>
      </c>
      <c r="J908">
        <v>-5.1111111109999996</v>
      </c>
      <c r="K908" t="s">
        <v>29</v>
      </c>
      <c r="AV908" t="s">
        <v>838</v>
      </c>
      <c r="AW908" t="s">
        <v>838</v>
      </c>
      <c r="AX908" t="s">
        <v>1619</v>
      </c>
      <c r="AY908" t="s">
        <v>838</v>
      </c>
      <c r="AZ908" t="s">
        <v>2399</v>
      </c>
      <c r="BA908">
        <v>2017</v>
      </c>
      <c r="BB908">
        <v>2020</v>
      </c>
      <c r="BC908" t="s">
        <v>838</v>
      </c>
      <c r="BD908" t="s">
        <v>2400</v>
      </c>
      <c r="BE908" t="s">
        <v>2401</v>
      </c>
      <c r="BF908" t="s">
        <v>64</v>
      </c>
      <c r="BG908" t="s">
        <v>1243</v>
      </c>
      <c r="BH908" t="s">
        <v>2338</v>
      </c>
      <c r="BI908" t="s">
        <v>2402</v>
      </c>
      <c r="BJ908" t="s">
        <v>2403</v>
      </c>
      <c r="BK908">
        <v>722000</v>
      </c>
      <c r="BL908" t="s">
        <v>56</v>
      </c>
      <c r="BM908" t="s">
        <v>2404</v>
      </c>
      <c r="BN908" t="s">
        <v>2405</v>
      </c>
      <c r="BO908" t="s">
        <v>2403</v>
      </c>
      <c r="BP908" s="9">
        <v>470000</v>
      </c>
      <c r="BQ908" t="s">
        <v>275</v>
      </c>
      <c r="BR908" t="s">
        <v>23</v>
      </c>
      <c r="BS908" t="s">
        <v>1481</v>
      </c>
      <c r="BT908" t="s">
        <v>2403</v>
      </c>
      <c r="BU908" s="9">
        <v>55556</v>
      </c>
      <c r="BV908" t="s">
        <v>56</v>
      </c>
      <c r="BW908" t="s">
        <v>2404</v>
      </c>
      <c r="BX908" t="s">
        <v>2405</v>
      </c>
      <c r="BY908" t="s">
        <v>2403</v>
      </c>
      <c r="BZ908" s="9">
        <v>470000</v>
      </c>
      <c r="HL908" t="s">
        <v>2406</v>
      </c>
      <c r="HM908" t="s">
        <v>232</v>
      </c>
      <c r="HU908" s="213">
        <v>42887</v>
      </c>
      <c r="IG908" t="s">
        <v>2401</v>
      </c>
      <c r="IH908" t="s">
        <v>1453</v>
      </c>
      <c r="II908" t="s">
        <v>660</v>
      </c>
      <c r="IJ908" t="s">
        <v>661</v>
      </c>
      <c r="IK908">
        <v>2017</v>
      </c>
      <c r="IM908" t="s">
        <v>2407</v>
      </c>
      <c r="IN908" t="s">
        <v>2401</v>
      </c>
      <c r="IO908" t="s">
        <v>1939</v>
      </c>
      <c r="IP908" t="s">
        <v>273</v>
      </c>
      <c r="IR908" t="s">
        <v>838</v>
      </c>
      <c r="IS908" t="s">
        <v>838</v>
      </c>
      <c r="IT908" t="s">
        <v>2407</v>
      </c>
      <c r="JJ908" t="s">
        <v>721</v>
      </c>
      <c r="KD908" t="s">
        <v>2408</v>
      </c>
      <c r="KE908" t="s">
        <v>2409</v>
      </c>
      <c r="KH908" t="s">
        <v>2406</v>
      </c>
      <c r="KI908" t="s">
        <v>222</v>
      </c>
      <c r="KJ908" t="s">
        <v>221</v>
      </c>
      <c r="KK908" t="s">
        <v>2410</v>
      </c>
      <c r="KL908">
        <f>+AVERAGE(360,720)</f>
        <v>540</v>
      </c>
      <c r="KM908" t="s">
        <v>222</v>
      </c>
      <c r="KN908" t="s">
        <v>2411</v>
      </c>
      <c r="KO908" t="s">
        <v>2410</v>
      </c>
      <c r="KP908">
        <v>360</v>
      </c>
      <c r="KU908" t="s">
        <v>2412</v>
      </c>
      <c r="KV908" t="s">
        <v>2413</v>
      </c>
      <c r="LE908" t="s">
        <v>2414</v>
      </c>
      <c r="MS908" t="s">
        <v>2415</v>
      </c>
      <c r="MT908">
        <v>136</v>
      </c>
      <c r="MW908" t="s">
        <v>2315</v>
      </c>
      <c r="MX908" t="s">
        <v>168</v>
      </c>
      <c r="ND908" t="s">
        <v>2416</v>
      </c>
      <c r="NE908" t="s">
        <v>2417</v>
      </c>
      <c r="NF908" t="s">
        <v>2418</v>
      </c>
      <c r="NG908" t="s">
        <v>2419</v>
      </c>
      <c r="NH908" t="s">
        <v>2420</v>
      </c>
      <c r="NQ908" t="s">
        <v>6</v>
      </c>
      <c r="NR908">
        <v>183021</v>
      </c>
      <c r="NS908" t="s">
        <v>29</v>
      </c>
      <c r="NW908">
        <v>3</v>
      </c>
      <c r="OH908" t="s">
        <v>2421</v>
      </c>
      <c r="OI908" t="s">
        <v>6</v>
      </c>
      <c r="OK908">
        <v>2017</v>
      </c>
      <c r="OL908">
        <v>2020</v>
      </c>
      <c r="OO908" t="s">
        <v>1178</v>
      </c>
      <c r="OP908" s="58">
        <v>46136</v>
      </c>
    </row>
    <row r="909" spans="1:406">
      <c r="A909" t="s">
        <v>248</v>
      </c>
      <c r="B909" t="s">
        <v>2396</v>
      </c>
      <c r="C909" t="s">
        <v>2397</v>
      </c>
      <c r="D909" t="s">
        <v>1955</v>
      </c>
      <c r="E909" s="90" t="s">
        <v>2398</v>
      </c>
      <c r="F909" t="s">
        <v>31</v>
      </c>
      <c r="G909" t="s">
        <v>2</v>
      </c>
      <c r="H909" t="s">
        <v>30</v>
      </c>
      <c r="I909">
        <v>7.8527777780000001</v>
      </c>
      <c r="J909">
        <v>-5.1111111109999996</v>
      </c>
      <c r="K909" t="s">
        <v>29</v>
      </c>
      <c r="AV909" t="s">
        <v>838</v>
      </c>
      <c r="AW909" t="s">
        <v>838</v>
      </c>
      <c r="AX909" t="s">
        <v>1619</v>
      </c>
      <c r="AY909" t="s">
        <v>838</v>
      </c>
      <c r="AZ909" t="s">
        <v>2399</v>
      </c>
      <c r="BA909">
        <v>2017</v>
      </c>
      <c r="BB909">
        <v>2020</v>
      </c>
      <c r="BC909" t="s">
        <v>838</v>
      </c>
      <c r="BD909" t="s">
        <v>2422</v>
      </c>
      <c r="BE909" t="s">
        <v>2423</v>
      </c>
      <c r="BF909" t="s">
        <v>57</v>
      </c>
      <c r="BG909" t="s">
        <v>1243</v>
      </c>
      <c r="BH909" t="s">
        <v>2338</v>
      </c>
      <c r="BI909" t="s">
        <v>2402</v>
      </c>
      <c r="BJ909" t="s">
        <v>2403</v>
      </c>
      <c r="BK909">
        <v>722000</v>
      </c>
      <c r="BL909" t="s">
        <v>56</v>
      </c>
      <c r="BM909" t="s">
        <v>2404</v>
      </c>
      <c r="BN909" t="s">
        <v>2405</v>
      </c>
      <c r="BO909" t="s">
        <v>2403</v>
      </c>
      <c r="BP909" s="9">
        <v>470000</v>
      </c>
      <c r="BQ909" t="s">
        <v>275</v>
      </c>
      <c r="BR909" t="s">
        <v>2338</v>
      </c>
      <c r="BS909" t="s">
        <v>2402</v>
      </c>
      <c r="BT909" t="s">
        <v>2403</v>
      </c>
      <c r="BU909">
        <v>722000</v>
      </c>
      <c r="BV909" t="s">
        <v>56</v>
      </c>
      <c r="BW909" t="s">
        <v>2404</v>
      </c>
      <c r="BX909" t="s">
        <v>2405</v>
      </c>
      <c r="BY909" t="s">
        <v>2403</v>
      </c>
      <c r="BZ909" s="9">
        <v>470000</v>
      </c>
      <c r="HL909" t="s">
        <v>2406</v>
      </c>
      <c r="HM909" t="s">
        <v>232</v>
      </c>
      <c r="HU909" s="213">
        <v>42887</v>
      </c>
      <c r="IG909" t="s">
        <v>2423</v>
      </c>
      <c r="IH909" t="s">
        <v>1453</v>
      </c>
      <c r="II909" t="s">
        <v>660</v>
      </c>
      <c r="IJ909" t="s">
        <v>661</v>
      </c>
      <c r="IK909">
        <v>2017</v>
      </c>
      <c r="IM909" t="s">
        <v>2407</v>
      </c>
      <c r="IN909" t="s">
        <v>2423</v>
      </c>
      <c r="IO909" t="s">
        <v>1939</v>
      </c>
      <c r="IP909" t="s">
        <v>273</v>
      </c>
      <c r="IR909" t="s">
        <v>838</v>
      </c>
      <c r="IS909" t="s">
        <v>838</v>
      </c>
      <c r="IT909" t="s">
        <v>2407</v>
      </c>
      <c r="JJ909" t="s">
        <v>721</v>
      </c>
      <c r="KD909" t="s">
        <v>2408</v>
      </c>
      <c r="KE909" t="s">
        <v>2409</v>
      </c>
      <c r="KH909" t="s">
        <v>2406</v>
      </c>
      <c r="KI909" t="s">
        <v>222</v>
      </c>
      <c r="KJ909" t="s">
        <v>221</v>
      </c>
      <c r="KK909" t="s">
        <v>2410</v>
      </c>
      <c r="KL909">
        <f t="shared" ref="KL909:KL911" si="3">+AVERAGE(360,720)</f>
        <v>540</v>
      </c>
      <c r="KM909" t="s">
        <v>222</v>
      </c>
      <c r="KN909" t="s">
        <v>2411</v>
      </c>
      <c r="KO909" t="s">
        <v>2410</v>
      </c>
      <c r="KP909">
        <v>360</v>
      </c>
      <c r="KU909" t="s">
        <v>2412</v>
      </c>
      <c r="KV909" t="s">
        <v>2413</v>
      </c>
      <c r="LE909" t="s">
        <v>2414</v>
      </c>
      <c r="MS909" t="s">
        <v>2415</v>
      </c>
      <c r="MT909">
        <v>136</v>
      </c>
      <c r="MW909" t="s">
        <v>2315</v>
      </c>
      <c r="ND909" t="s">
        <v>2416</v>
      </c>
      <c r="NE909" t="s">
        <v>2417</v>
      </c>
      <c r="NF909" t="s">
        <v>2418</v>
      </c>
      <c r="NG909" t="s">
        <v>2419</v>
      </c>
      <c r="NH909" t="s">
        <v>2420</v>
      </c>
      <c r="NQ909" t="s">
        <v>6</v>
      </c>
      <c r="NR909">
        <v>166828</v>
      </c>
      <c r="NS909" t="s">
        <v>29</v>
      </c>
      <c r="NW909">
        <v>3</v>
      </c>
      <c r="OH909" t="s">
        <v>2421</v>
      </c>
      <c r="OI909" t="s">
        <v>6</v>
      </c>
      <c r="OK909">
        <v>2017</v>
      </c>
      <c r="OL909">
        <v>2020</v>
      </c>
      <c r="OO909" t="s">
        <v>1178</v>
      </c>
      <c r="OP909" s="58">
        <v>46136</v>
      </c>
    </row>
    <row r="910" spans="1:406">
      <c r="A910" t="s">
        <v>248</v>
      </c>
      <c r="B910" t="s">
        <v>2396</v>
      </c>
      <c r="C910" t="s">
        <v>2397</v>
      </c>
      <c r="D910" t="s">
        <v>1955</v>
      </c>
      <c r="E910" s="90" t="s">
        <v>2398</v>
      </c>
      <c r="F910" t="s">
        <v>31</v>
      </c>
      <c r="G910" t="s">
        <v>2</v>
      </c>
      <c r="H910" t="s">
        <v>30</v>
      </c>
      <c r="I910">
        <v>7.8527777780000001</v>
      </c>
      <c r="J910">
        <v>-5.1111111109999996</v>
      </c>
      <c r="K910" t="s">
        <v>29</v>
      </c>
      <c r="AV910" t="s">
        <v>838</v>
      </c>
      <c r="AW910" t="s">
        <v>838</v>
      </c>
      <c r="AX910" t="s">
        <v>1619</v>
      </c>
      <c r="AY910" t="s">
        <v>838</v>
      </c>
      <c r="AZ910" t="s">
        <v>2399</v>
      </c>
      <c r="BA910">
        <v>2017</v>
      </c>
      <c r="BB910">
        <v>2020</v>
      </c>
      <c r="BC910" t="s">
        <v>838</v>
      </c>
      <c r="BD910" t="s">
        <v>2422</v>
      </c>
      <c r="BE910" t="s">
        <v>2424</v>
      </c>
      <c r="BF910" t="s">
        <v>48</v>
      </c>
      <c r="BG910" t="s">
        <v>1243</v>
      </c>
      <c r="BH910" t="s">
        <v>2338</v>
      </c>
      <c r="BI910" t="s">
        <v>2402</v>
      </c>
      <c r="BJ910" t="s">
        <v>2403</v>
      </c>
      <c r="BK910">
        <v>722000</v>
      </c>
      <c r="BL910" t="s">
        <v>56</v>
      </c>
      <c r="BM910" t="s">
        <v>2404</v>
      </c>
      <c r="BN910" t="s">
        <v>2405</v>
      </c>
      <c r="BO910" t="s">
        <v>2403</v>
      </c>
      <c r="BP910" s="9">
        <v>470000</v>
      </c>
      <c r="BQ910" t="s">
        <v>275</v>
      </c>
      <c r="BR910" t="s">
        <v>2404</v>
      </c>
      <c r="BS910" t="s">
        <v>2405</v>
      </c>
      <c r="BT910" t="s">
        <v>2403</v>
      </c>
      <c r="BU910" s="9">
        <v>470000</v>
      </c>
      <c r="BV910" t="s">
        <v>275</v>
      </c>
      <c r="BW910" t="s">
        <v>2338</v>
      </c>
      <c r="BX910" t="s">
        <v>2402</v>
      </c>
      <c r="BY910" t="s">
        <v>2403</v>
      </c>
      <c r="BZ910">
        <v>722000</v>
      </c>
      <c r="CA910" t="s">
        <v>56</v>
      </c>
      <c r="CB910" t="s">
        <v>2404</v>
      </c>
      <c r="CC910" t="s">
        <v>2405</v>
      </c>
      <c r="CD910" t="s">
        <v>2403</v>
      </c>
      <c r="CE910" s="9">
        <v>470000</v>
      </c>
      <c r="HL910" t="s">
        <v>2406</v>
      </c>
      <c r="HM910" t="s">
        <v>232</v>
      </c>
      <c r="HU910" s="213">
        <v>42887</v>
      </c>
      <c r="IG910" t="s">
        <v>2424</v>
      </c>
      <c r="IH910" t="s">
        <v>1453</v>
      </c>
      <c r="II910" t="s">
        <v>660</v>
      </c>
      <c r="IJ910" t="s">
        <v>661</v>
      </c>
      <c r="IK910">
        <v>2017</v>
      </c>
      <c r="IM910" t="s">
        <v>2407</v>
      </c>
      <c r="IN910" t="s">
        <v>2424</v>
      </c>
      <c r="IO910" t="s">
        <v>1939</v>
      </c>
      <c r="IP910" t="s">
        <v>273</v>
      </c>
      <c r="IR910" t="s">
        <v>838</v>
      </c>
      <c r="IS910" t="s">
        <v>838</v>
      </c>
      <c r="IT910" t="s">
        <v>2407</v>
      </c>
      <c r="JJ910" t="s">
        <v>721</v>
      </c>
      <c r="KD910" t="s">
        <v>2408</v>
      </c>
      <c r="KE910" t="s">
        <v>2409</v>
      </c>
      <c r="KH910" t="s">
        <v>2406</v>
      </c>
      <c r="KI910" t="s">
        <v>222</v>
      </c>
      <c r="KJ910" t="s">
        <v>221</v>
      </c>
      <c r="KK910" t="s">
        <v>2410</v>
      </c>
      <c r="KL910">
        <f t="shared" si="3"/>
        <v>540</v>
      </c>
      <c r="KM910" t="s">
        <v>222</v>
      </c>
      <c r="KN910" t="s">
        <v>2411</v>
      </c>
      <c r="KO910" t="s">
        <v>2410</v>
      </c>
      <c r="KP910">
        <v>360</v>
      </c>
      <c r="KU910" t="s">
        <v>2412</v>
      </c>
      <c r="KV910" t="s">
        <v>2413</v>
      </c>
      <c r="LE910" t="s">
        <v>2414</v>
      </c>
      <c r="MS910" t="s">
        <v>2415</v>
      </c>
      <c r="MT910">
        <v>136</v>
      </c>
      <c r="MW910" t="s">
        <v>2315</v>
      </c>
      <c r="ND910" t="s">
        <v>2416</v>
      </c>
      <c r="NE910" t="s">
        <v>2417</v>
      </c>
      <c r="NF910" t="s">
        <v>2418</v>
      </c>
      <c r="NG910" t="s">
        <v>2419</v>
      </c>
      <c r="NH910" t="s">
        <v>2420</v>
      </c>
      <c r="NQ910" t="s">
        <v>6</v>
      </c>
      <c r="NR910">
        <v>149579</v>
      </c>
      <c r="NS910" t="s">
        <v>29</v>
      </c>
      <c r="NW910">
        <v>3</v>
      </c>
      <c r="OH910" t="s">
        <v>2421</v>
      </c>
      <c r="OI910" t="s">
        <v>6</v>
      </c>
      <c r="OK910">
        <v>2017</v>
      </c>
      <c r="OL910">
        <v>2020</v>
      </c>
      <c r="OO910" t="s">
        <v>1178</v>
      </c>
      <c r="OP910" s="58">
        <v>46136</v>
      </c>
    </row>
    <row r="911" spans="1:406">
      <c r="A911" t="s">
        <v>248</v>
      </c>
      <c r="B911" t="s">
        <v>2396</v>
      </c>
      <c r="C911" t="s">
        <v>2397</v>
      </c>
      <c r="D911" t="s">
        <v>1955</v>
      </c>
      <c r="E911" s="90" t="s">
        <v>2398</v>
      </c>
      <c r="F911" t="s">
        <v>31</v>
      </c>
      <c r="G911" t="s">
        <v>2</v>
      </c>
      <c r="H911" t="s">
        <v>30</v>
      </c>
      <c r="I911">
        <v>7.8527777780000001</v>
      </c>
      <c r="J911">
        <v>-5.1111111109999996</v>
      </c>
      <c r="K911" t="s">
        <v>29</v>
      </c>
      <c r="AV911" t="s">
        <v>838</v>
      </c>
      <c r="AW911" t="s">
        <v>838</v>
      </c>
      <c r="AX911" t="s">
        <v>1619</v>
      </c>
      <c r="AY911" t="s">
        <v>838</v>
      </c>
      <c r="AZ911" t="s">
        <v>2399</v>
      </c>
      <c r="BA911">
        <v>2017</v>
      </c>
      <c r="BB911">
        <v>2020</v>
      </c>
      <c r="BC911" t="s">
        <v>838</v>
      </c>
      <c r="BD911" t="s">
        <v>19</v>
      </c>
      <c r="BE911" t="s">
        <v>2425</v>
      </c>
      <c r="BF911" t="s">
        <v>39</v>
      </c>
      <c r="BG911" t="s">
        <v>1243</v>
      </c>
      <c r="BH911" t="s">
        <v>2338</v>
      </c>
      <c r="BI911" t="s">
        <v>2402</v>
      </c>
      <c r="BJ911" t="s">
        <v>2403</v>
      </c>
      <c r="BK911">
        <v>722000</v>
      </c>
      <c r="BL911" t="s">
        <v>275</v>
      </c>
      <c r="BM911" t="s">
        <v>23</v>
      </c>
      <c r="BN911" t="s">
        <v>1481</v>
      </c>
      <c r="BO911" t="s">
        <v>2403</v>
      </c>
      <c r="BP911" s="9">
        <v>55556</v>
      </c>
      <c r="HL911" t="s">
        <v>2426</v>
      </c>
      <c r="HM911" t="s">
        <v>297</v>
      </c>
      <c r="HN911" t="s">
        <v>2427</v>
      </c>
      <c r="HQ911">
        <v>3</v>
      </c>
      <c r="HU911" s="213">
        <v>42887</v>
      </c>
      <c r="IG911" t="s">
        <v>2425</v>
      </c>
      <c r="IH911" t="s">
        <v>19</v>
      </c>
      <c r="II911" t="s">
        <v>660</v>
      </c>
      <c r="IJ911" t="s">
        <v>661</v>
      </c>
      <c r="IK911">
        <v>2017</v>
      </c>
      <c r="IM911" t="s">
        <v>2428</v>
      </c>
      <c r="IN911" t="s">
        <v>2425</v>
      </c>
      <c r="IO911" t="s">
        <v>1939</v>
      </c>
      <c r="IP911" t="s">
        <v>283</v>
      </c>
      <c r="IR911" t="s">
        <v>838</v>
      </c>
      <c r="IS911" t="s">
        <v>838</v>
      </c>
      <c r="IT911" t="s">
        <v>2428</v>
      </c>
      <c r="JJ911" t="s">
        <v>721</v>
      </c>
      <c r="KD911" t="s">
        <v>2408</v>
      </c>
      <c r="KE911" t="s">
        <v>2409</v>
      </c>
      <c r="KH911" t="s">
        <v>2426</v>
      </c>
      <c r="KI911" t="s">
        <v>222</v>
      </c>
      <c r="KJ911" t="s">
        <v>221</v>
      </c>
      <c r="KK911" t="s">
        <v>2410</v>
      </c>
      <c r="KL911">
        <f t="shared" si="3"/>
        <v>540</v>
      </c>
      <c r="KM911" t="s">
        <v>222</v>
      </c>
      <c r="KN911" t="s">
        <v>2411</v>
      </c>
      <c r="KO911" t="s">
        <v>2410</v>
      </c>
      <c r="KP911">
        <v>360</v>
      </c>
      <c r="KU911" t="s">
        <v>2412</v>
      </c>
      <c r="KV911" t="s">
        <v>2413</v>
      </c>
      <c r="LE911" t="s">
        <v>2414</v>
      </c>
      <c r="MS911" t="s">
        <v>2415</v>
      </c>
      <c r="MT911">
        <v>136</v>
      </c>
      <c r="MW911" t="s">
        <v>2315</v>
      </c>
      <c r="MX911" t="s">
        <v>168</v>
      </c>
      <c r="ND911" t="s">
        <v>2416</v>
      </c>
      <c r="NE911" t="s">
        <v>2417</v>
      </c>
      <c r="NF911" t="s">
        <v>2418</v>
      </c>
      <c r="NG911" t="s">
        <v>2419</v>
      </c>
      <c r="NH911" t="s">
        <v>2420</v>
      </c>
      <c r="NP911" t="s">
        <v>1571</v>
      </c>
      <c r="NQ911" t="s">
        <v>6</v>
      </c>
      <c r="NR911">
        <v>204922</v>
      </c>
      <c r="NS911" t="s">
        <v>29</v>
      </c>
      <c r="NW911">
        <v>3</v>
      </c>
      <c r="OH911" t="s">
        <v>2421</v>
      </c>
      <c r="OI911" t="s">
        <v>6</v>
      </c>
      <c r="OK911">
        <v>2017</v>
      </c>
      <c r="OL911">
        <v>2020</v>
      </c>
      <c r="OO911" t="s">
        <v>1178</v>
      </c>
      <c r="OP911" s="58">
        <v>46136</v>
      </c>
    </row>
    <row r="912" spans="1:406">
      <c r="A912" t="s">
        <v>248</v>
      </c>
      <c r="B912" t="s">
        <v>2396</v>
      </c>
      <c r="C912" t="s">
        <v>2397</v>
      </c>
      <c r="D912" t="s">
        <v>1955</v>
      </c>
      <c r="E912" s="90" t="s">
        <v>2398</v>
      </c>
      <c r="F912" t="s">
        <v>31</v>
      </c>
      <c r="G912" t="s">
        <v>2</v>
      </c>
      <c r="H912" t="s">
        <v>30</v>
      </c>
      <c r="I912">
        <v>7.8527777780000001</v>
      </c>
      <c r="J912">
        <v>-5.1111111109999996</v>
      </c>
      <c r="K912" t="s">
        <v>29</v>
      </c>
      <c r="AV912" t="s">
        <v>838</v>
      </c>
      <c r="AW912" t="s">
        <v>838</v>
      </c>
      <c r="AX912" t="s">
        <v>1619</v>
      </c>
      <c r="AY912" t="s">
        <v>838</v>
      </c>
      <c r="AZ912" t="s">
        <v>2399</v>
      </c>
      <c r="BA912">
        <v>2017</v>
      </c>
      <c r="BB912">
        <v>2020</v>
      </c>
      <c r="BC912" t="s">
        <v>838</v>
      </c>
      <c r="BD912" t="s">
        <v>2400</v>
      </c>
      <c r="BE912" t="s">
        <v>2429</v>
      </c>
      <c r="BF912" t="s">
        <v>43</v>
      </c>
      <c r="BG912" t="s">
        <v>1243</v>
      </c>
      <c r="BH912" t="s">
        <v>23</v>
      </c>
      <c r="BI912" t="s">
        <v>1481</v>
      </c>
      <c r="BJ912" t="s">
        <v>2403</v>
      </c>
      <c r="BK912" s="9">
        <v>55556</v>
      </c>
      <c r="BL912" t="s">
        <v>56</v>
      </c>
      <c r="BM912" t="s">
        <v>2192</v>
      </c>
      <c r="BN912" t="s">
        <v>2430</v>
      </c>
      <c r="BO912" t="s">
        <v>2403</v>
      </c>
      <c r="BP912">
        <v>55600</v>
      </c>
      <c r="BQ912" t="s">
        <v>275</v>
      </c>
      <c r="BR912" t="s">
        <v>2338</v>
      </c>
      <c r="BS912" t="s">
        <v>2402</v>
      </c>
      <c r="BT912" t="s">
        <v>2403</v>
      </c>
      <c r="BU912">
        <v>722000</v>
      </c>
      <c r="BV912" t="s">
        <v>56</v>
      </c>
      <c r="BW912" t="s">
        <v>1436</v>
      </c>
      <c r="BX912" t="s">
        <v>29</v>
      </c>
      <c r="BY912" t="s">
        <v>29</v>
      </c>
      <c r="BZ912" t="s">
        <v>29</v>
      </c>
      <c r="HL912" t="s">
        <v>2406</v>
      </c>
      <c r="HM912" t="s">
        <v>232</v>
      </c>
      <c r="HU912" s="213">
        <v>42887</v>
      </c>
      <c r="IG912" t="s">
        <v>2429</v>
      </c>
      <c r="IH912" t="s">
        <v>1453</v>
      </c>
      <c r="II912" t="s">
        <v>660</v>
      </c>
      <c r="IJ912" t="s">
        <v>661</v>
      </c>
      <c r="IK912">
        <v>2017</v>
      </c>
      <c r="IM912" t="s">
        <v>2407</v>
      </c>
      <c r="IN912" t="s">
        <v>2429</v>
      </c>
      <c r="IO912" t="s">
        <v>2431</v>
      </c>
      <c r="IP912" t="s">
        <v>2432</v>
      </c>
      <c r="IR912" t="s">
        <v>838</v>
      </c>
      <c r="IS912" t="s">
        <v>838</v>
      </c>
      <c r="IT912" t="s">
        <v>2407</v>
      </c>
      <c r="JJ912" t="s">
        <v>721</v>
      </c>
      <c r="KD912" t="s">
        <v>2408</v>
      </c>
      <c r="KE912" t="s">
        <v>2409</v>
      </c>
      <c r="KH912" t="s">
        <v>2406</v>
      </c>
      <c r="KI912" t="s">
        <v>222</v>
      </c>
      <c r="KJ912" t="s">
        <v>2433</v>
      </c>
      <c r="KK912" t="s">
        <v>2410</v>
      </c>
      <c r="KL912">
        <v>1000</v>
      </c>
      <c r="KM912" t="s">
        <v>222</v>
      </c>
      <c r="KV912" t="s">
        <v>2324</v>
      </c>
      <c r="KW912" t="s">
        <v>2434</v>
      </c>
      <c r="LE912" t="s">
        <v>2414</v>
      </c>
      <c r="MS912" t="s">
        <v>2415</v>
      </c>
      <c r="MT912">
        <v>136</v>
      </c>
      <c r="MW912" t="s">
        <v>2315</v>
      </c>
      <c r="MX912" t="s">
        <v>168</v>
      </c>
      <c r="ND912" t="s">
        <v>2416</v>
      </c>
      <c r="NE912" t="s">
        <v>2417</v>
      </c>
      <c r="NF912" t="s">
        <v>2418</v>
      </c>
      <c r="NG912" t="s">
        <v>2419</v>
      </c>
      <c r="NH912" t="s">
        <v>2420</v>
      </c>
      <c r="NQ912" t="s">
        <v>6</v>
      </c>
      <c r="NR912">
        <v>333273</v>
      </c>
      <c r="NS912" t="s">
        <v>29</v>
      </c>
      <c r="NW912">
        <v>3</v>
      </c>
      <c r="OH912" t="s">
        <v>2421</v>
      </c>
      <c r="OI912" t="s">
        <v>6</v>
      </c>
      <c r="OK912">
        <v>2017</v>
      </c>
      <c r="OL912">
        <v>2020</v>
      </c>
      <c r="OO912" t="s">
        <v>1178</v>
      </c>
      <c r="OP912" s="58">
        <v>46136</v>
      </c>
    </row>
    <row r="913" spans="1:406">
      <c r="A913" t="s">
        <v>248</v>
      </c>
      <c r="B913" t="s">
        <v>2396</v>
      </c>
      <c r="C913" t="s">
        <v>2397</v>
      </c>
      <c r="D913" t="s">
        <v>1955</v>
      </c>
      <c r="E913" s="90" t="s">
        <v>2398</v>
      </c>
      <c r="F913" t="s">
        <v>31</v>
      </c>
      <c r="G913" t="s">
        <v>2</v>
      </c>
      <c r="H913" t="s">
        <v>30</v>
      </c>
      <c r="I913">
        <v>7.8527777780000001</v>
      </c>
      <c r="J913">
        <v>-5.1111111109999996</v>
      </c>
      <c r="K913" t="s">
        <v>29</v>
      </c>
      <c r="AV913" t="s">
        <v>838</v>
      </c>
      <c r="AW913" t="s">
        <v>838</v>
      </c>
      <c r="AX913" t="s">
        <v>1619</v>
      </c>
      <c r="AY913" t="s">
        <v>838</v>
      </c>
      <c r="AZ913" t="s">
        <v>2399</v>
      </c>
      <c r="BA913">
        <v>2017</v>
      </c>
      <c r="BB913">
        <v>2020</v>
      </c>
      <c r="BC913" t="s">
        <v>838</v>
      </c>
      <c r="BD913" t="s">
        <v>2400</v>
      </c>
      <c r="BE913" t="s">
        <v>2435</v>
      </c>
      <c r="BF913" t="s">
        <v>252</v>
      </c>
      <c r="BG913" t="s">
        <v>1243</v>
      </c>
      <c r="BH913" t="s">
        <v>23</v>
      </c>
      <c r="BI913" t="s">
        <v>1481</v>
      </c>
      <c r="BJ913" t="s">
        <v>2403</v>
      </c>
      <c r="BK913" s="9">
        <v>55556</v>
      </c>
      <c r="BL913" t="s">
        <v>56</v>
      </c>
      <c r="BM913" t="s">
        <v>2436</v>
      </c>
      <c r="BN913" t="s">
        <v>1481</v>
      </c>
      <c r="BO913" t="s">
        <v>2403</v>
      </c>
      <c r="BP913">
        <v>148000</v>
      </c>
      <c r="BQ913" t="s">
        <v>275</v>
      </c>
      <c r="BR913" t="s">
        <v>23</v>
      </c>
      <c r="BS913" t="s">
        <v>1481</v>
      </c>
      <c r="BT913" t="s">
        <v>2403</v>
      </c>
      <c r="BU913" s="9">
        <v>55556</v>
      </c>
      <c r="BV913" t="s">
        <v>56</v>
      </c>
      <c r="BW913" t="s">
        <v>1424</v>
      </c>
      <c r="BX913" t="s">
        <v>2437</v>
      </c>
      <c r="BY913" t="s">
        <v>2403</v>
      </c>
      <c r="BZ913">
        <v>148000</v>
      </c>
      <c r="CA913" t="s">
        <v>275</v>
      </c>
      <c r="CB913" t="s">
        <v>2338</v>
      </c>
      <c r="CC913" t="s">
        <v>2402</v>
      </c>
      <c r="CD913" t="s">
        <v>2403</v>
      </c>
      <c r="CE913">
        <v>722000</v>
      </c>
      <c r="HL913" t="s">
        <v>2406</v>
      </c>
      <c r="HM913" t="s">
        <v>232</v>
      </c>
      <c r="HU913" s="213">
        <v>42887</v>
      </c>
      <c r="IG913" t="s">
        <v>2435</v>
      </c>
      <c r="IH913" t="s">
        <v>1453</v>
      </c>
      <c r="II913" t="s">
        <v>660</v>
      </c>
      <c r="IJ913" t="s">
        <v>661</v>
      </c>
      <c r="IK913">
        <v>2017</v>
      </c>
      <c r="IM913" t="s">
        <v>2407</v>
      </c>
      <c r="IN913" t="s">
        <v>2435</v>
      </c>
      <c r="IO913" t="s">
        <v>2431</v>
      </c>
      <c r="IP913" t="s">
        <v>2432</v>
      </c>
      <c r="IR913" t="s">
        <v>838</v>
      </c>
      <c r="IS913" t="s">
        <v>838</v>
      </c>
      <c r="IT913" t="s">
        <v>2407</v>
      </c>
      <c r="JJ913" t="s">
        <v>721</v>
      </c>
      <c r="KD913" t="s">
        <v>2408</v>
      </c>
      <c r="KE913" t="s">
        <v>2409</v>
      </c>
      <c r="KH913" t="s">
        <v>2406</v>
      </c>
      <c r="KI913" t="s">
        <v>222</v>
      </c>
      <c r="KJ913" t="s">
        <v>221</v>
      </c>
      <c r="KK913" t="s">
        <v>2410</v>
      </c>
      <c r="KL913">
        <v>540</v>
      </c>
      <c r="KM913" t="s">
        <v>222</v>
      </c>
      <c r="KN913" t="s">
        <v>2411</v>
      </c>
      <c r="KO913" t="s">
        <v>2410</v>
      </c>
      <c r="KP913">
        <v>360</v>
      </c>
      <c r="KU913" t="s">
        <v>2412</v>
      </c>
      <c r="KV913" t="s">
        <v>2413</v>
      </c>
      <c r="LE913" t="s">
        <v>2414</v>
      </c>
      <c r="MS913" t="s">
        <v>2415</v>
      </c>
      <c r="MT913">
        <v>136</v>
      </c>
      <c r="MW913" t="s">
        <v>2315</v>
      </c>
      <c r="MX913" t="s">
        <v>168</v>
      </c>
      <c r="ND913" t="s">
        <v>2416</v>
      </c>
      <c r="NE913" t="s">
        <v>2417</v>
      </c>
      <c r="NF913" t="s">
        <v>2418</v>
      </c>
      <c r="NG913" t="s">
        <v>2419</v>
      </c>
      <c r="NH913" t="s">
        <v>2420</v>
      </c>
      <c r="NQ913" t="s">
        <v>6</v>
      </c>
      <c r="NR913">
        <v>150526</v>
      </c>
      <c r="NS913" t="s">
        <v>29</v>
      </c>
      <c r="NW913">
        <v>3</v>
      </c>
      <c r="OH913" t="s">
        <v>2421</v>
      </c>
      <c r="OI913" t="s">
        <v>6</v>
      </c>
      <c r="OK913">
        <v>2017</v>
      </c>
      <c r="OL913">
        <v>2020</v>
      </c>
      <c r="OO913" t="s">
        <v>1178</v>
      </c>
      <c r="OP913" s="58">
        <v>46136</v>
      </c>
    </row>
    <row r="914" spans="1:406">
      <c r="A914" t="s">
        <v>248</v>
      </c>
      <c r="B914" t="s">
        <v>2396</v>
      </c>
      <c r="C914" t="s">
        <v>2397</v>
      </c>
      <c r="D914" t="s">
        <v>1955</v>
      </c>
      <c r="E914" s="90" t="s">
        <v>2398</v>
      </c>
      <c r="F914" t="s">
        <v>31</v>
      </c>
      <c r="G914" t="s">
        <v>2</v>
      </c>
      <c r="H914" t="s">
        <v>30</v>
      </c>
      <c r="I914">
        <v>7.8527777780000001</v>
      </c>
      <c r="J914">
        <v>-5.1111111109999996</v>
      </c>
      <c r="K914" t="s">
        <v>29</v>
      </c>
      <c r="AV914" t="s">
        <v>838</v>
      </c>
      <c r="AW914" t="s">
        <v>838</v>
      </c>
      <c r="AX914" t="s">
        <v>1619</v>
      </c>
      <c r="AY914" t="s">
        <v>838</v>
      </c>
      <c r="AZ914" t="s">
        <v>2399</v>
      </c>
      <c r="BA914">
        <v>2017</v>
      </c>
      <c r="BB914">
        <v>2020</v>
      </c>
      <c r="BC914" t="s">
        <v>838</v>
      </c>
      <c r="BD914" t="s">
        <v>2400</v>
      </c>
      <c r="BE914" t="s">
        <v>2438</v>
      </c>
      <c r="BF914" t="s">
        <v>236</v>
      </c>
      <c r="BG914" t="s">
        <v>1243</v>
      </c>
      <c r="BH914" t="s">
        <v>2024</v>
      </c>
      <c r="BI914" t="s">
        <v>1481</v>
      </c>
      <c r="BJ914" t="s">
        <v>29</v>
      </c>
      <c r="BK914" t="s">
        <v>29</v>
      </c>
      <c r="BL914" t="s">
        <v>56</v>
      </c>
      <c r="BM914" t="s">
        <v>2404</v>
      </c>
      <c r="BN914" t="s">
        <v>2405</v>
      </c>
      <c r="BO914" t="s">
        <v>2403</v>
      </c>
      <c r="BP914">
        <v>940000</v>
      </c>
      <c r="BQ914" t="s">
        <v>275</v>
      </c>
      <c r="BR914" t="s">
        <v>2024</v>
      </c>
      <c r="BS914" t="s">
        <v>1481</v>
      </c>
      <c r="BT914" t="s">
        <v>29</v>
      </c>
      <c r="BU914" t="s">
        <v>29</v>
      </c>
      <c r="BV914" t="s">
        <v>56</v>
      </c>
      <c r="BW914" t="s">
        <v>2404</v>
      </c>
      <c r="BX914" t="s">
        <v>2405</v>
      </c>
      <c r="BY914" t="s">
        <v>2403</v>
      </c>
      <c r="BZ914">
        <v>940000</v>
      </c>
      <c r="CA914" t="s">
        <v>275</v>
      </c>
      <c r="CB914" t="s">
        <v>2338</v>
      </c>
      <c r="CC914" t="s">
        <v>2402</v>
      </c>
      <c r="CD914" t="s">
        <v>2403</v>
      </c>
      <c r="CE914">
        <v>722000</v>
      </c>
      <c r="CF914" t="s">
        <v>56</v>
      </c>
      <c r="CG914" t="s">
        <v>2404</v>
      </c>
      <c r="CH914" t="s">
        <v>2439</v>
      </c>
      <c r="CI914" t="s">
        <v>2403</v>
      </c>
      <c r="CJ914">
        <v>940000</v>
      </c>
      <c r="HL914" t="s">
        <v>2406</v>
      </c>
      <c r="HM914" t="s">
        <v>232</v>
      </c>
      <c r="HU914" s="213">
        <v>42887</v>
      </c>
      <c r="IG914" t="s">
        <v>2438</v>
      </c>
      <c r="IH914" t="s">
        <v>1453</v>
      </c>
      <c r="II914" t="s">
        <v>660</v>
      </c>
      <c r="IJ914" t="s">
        <v>661</v>
      </c>
      <c r="IK914">
        <v>2017</v>
      </c>
      <c r="IM914" t="s">
        <v>2407</v>
      </c>
      <c r="IN914" t="s">
        <v>2438</v>
      </c>
      <c r="IO914" t="s">
        <v>1939</v>
      </c>
      <c r="IP914" t="s">
        <v>273</v>
      </c>
      <c r="IR914" t="s">
        <v>838</v>
      </c>
      <c r="IS914" t="s">
        <v>838</v>
      </c>
      <c r="IT914" t="s">
        <v>2407</v>
      </c>
      <c r="JJ914" t="s">
        <v>721</v>
      </c>
      <c r="KD914" t="s">
        <v>2408</v>
      </c>
      <c r="KE914" t="s">
        <v>2409</v>
      </c>
      <c r="KH914" t="s">
        <v>2406</v>
      </c>
      <c r="KI914" t="s">
        <v>222</v>
      </c>
      <c r="KJ914" t="s">
        <v>221</v>
      </c>
      <c r="KK914" t="s">
        <v>2410</v>
      </c>
      <c r="KL914">
        <v>540</v>
      </c>
      <c r="KM914" t="s">
        <v>222</v>
      </c>
      <c r="KN914" t="s">
        <v>2411</v>
      </c>
      <c r="KO914" t="s">
        <v>2410</v>
      </c>
      <c r="KP914">
        <v>360</v>
      </c>
      <c r="KU914" t="s">
        <v>2412</v>
      </c>
      <c r="KV914" t="s">
        <v>2413</v>
      </c>
      <c r="LE914" t="s">
        <v>2414</v>
      </c>
      <c r="MS914" t="s">
        <v>2415</v>
      </c>
      <c r="MT914">
        <v>136</v>
      </c>
      <c r="MW914" t="s">
        <v>2315</v>
      </c>
      <c r="MX914" t="s">
        <v>2440</v>
      </c>
      <c r="ND914" t="s">
        <v>2416</v>
      </c>
      <c r="NE914" t="s">
        <v>2417</v>
      </c>
      <c r="NF914" t="s">
        <v>2418</v>
      </c>
      <c r="NG914" t="s">
        <v>2419</v>
      </c>
      <c r="NH914" t="s">
        <v>2420</v>
      </c>
      <c r="NQ914" t="s">
        <v>6</v>
      </c>
      <c r="NR914">
        <v>1218677</v>
      </c>
      <c r="NS914" t="s">
        <v>29</v>
      </c>
      <c r="NW914">
        <v>3</v>
      </c>
      <c r="OH914" t="s">
        <v>2421</v>
      </c>
      <c r="OI914" t="s">
        <v>6</v>
      </c>
      <c r="OK914">
        <v>2017</v>
      </c>
      <c r="OL914">
        <v>2020</v>
      </c>
      <c r="OO914" t="s">
        <v>1178</v>
      </c>
      <c r="OP914" s="58">
        <v>46136</v>
      </c>
    </row>
    <row r="915" spans="1:406">
      <c r="A915" t="s">
        <v>248</v>
      </c>
      <c r="B915" t="s">
        <v>2396</v>
      </c>
      <c r="C915" t="s">
        <v>2397</v>
      </c>
      <c r="D915" t="s">
        <v>1955</v>
      </c>
      <c r="E915" s="90" t="s">
        <v>2398</v>
      </c>
      <c r="F915" t="s">
        <v>31</v>
      </c>
      <c r="G915" t="s">
        <v>2</v>
      </c>
      <c r="H915" t="s">
        <v>30</v>
      </c>
      <c r="I915">
        <v>7.8527777780000001</v>
      </c>
      <c r="J915">
        <v>-5.1111111109999996</v>
      </c>
      <c r="K915" t="s">
        <v>29</v>
      </c>
      <c r="AV915" t="s">
        <v>838</v>
      </c>
      <c r="AW915" t="s">
        <v>838</v>
      </c>
      <c r="AX915" t="s">
        <v>1619</v>
      </c>
      <c r="AY915" t="s">
        <v>838</v>
      </c>
      <c r="AZ915" t="s">
        <v>2399</v>
      </c>
      <c r="BA915">
        <v>2017</v>
      </c>
      <c r="BB915">
        <v>2020</v>
      </c>
      <c r="BC915" t="s">
        <v>838</v>
      </c>
      <c r="BD915" t="s">
        <v>2400</v>
      </c>
      <c r="BE915" t="s">
        <v>2401</v>
      </c>
      <c r="BG915" t="s">
        <v>1243</v>
      </c>
      <c r="BH915" t="s">
        <v>2338</v>
      </c>
      <c r="BI915" t="s">
        <v>2402</v>
      </c>
      <c r="BJ915" t="s">
        <v>2403</v>
      </c>
      <c r="BK915">
        <v>722000</v>
      </c>
      <c r="BL915" t="s">
        <v>56</v>
      </c>
      <c r="BM915" t="s">
        <v>2404</v>
      </c>
      <c r="BN915" t="s">
        <v>2405</v>
      </c>
      <c r="BO915" t="s">
        <v>2403</v>
      </c>
      <c r="BP915" s="9">
        <v>470000</v>
      </c>
      <c r="BQ915" t="s">
        <v>275</v>
      </c>
      <c r="BR915" t="s">
        <v>23</v>
      </c>
      <c r="BS915" t="s">
        <v>1481</v>
      </c>
      <c r="BT915" t="s">
        <v>2403</v>
      </c>
      <c r="BU915" s="9">
        <v>55556</v>
      </c>
      <c r="BV915" t="s">
        <v>56</v>
      </c>
      <c r="BW915" t="s">
        <v>2404</v>
      </c>
      <c r="BX915" t="s">
        <v>2405</v>
      </c>
      <c r="BY915" t="s">
        <v>2403</v>
      </c>
      <c r="BZ915" s="9">
        <v>470000</v>
      </c>
      <c r="HL915" t="s">
        <v>2406</v>
      </c>
      <c r="HM915" t="s">
        <v>232</v>
      </c>
      <c r="HU915" s="213">
        <v>42887</v>
      </c>
      <c r="IG915" t="s">
        <v>2401</v>
      </c>
      <c r="IH915" t="s">
        <v>1453</v>
      </c>
      <c r="II915" t="s">
        <v>660</v>
      </c>
      <c r="IJ915" t="s">
        <v>661</v>
      </c>
      <c r="IK915">
        <v>2017</v>
      </c>
      <c r="IM915" t="s">
        <v>2407</v>
      </c>
      <c r="IN915" t="s">
        <v>2401</v>
      </c>
      <c r="IO915" t="s">
        <v>1939</v>
      </c>
      <c r="IP915" t="s">
        <v>273</v>
      </c>
      <c r="IR915" t="s">
        <v>838</v>
      </c>
      <c r="IS915" t="s">
        <v>838</v>
      </c>
      <c r="IT915" t="s">
        <v>2407</v>
      </c>
      <c r="JJ915" t="s">
        <v>721</v>
      </c>
      <c r="KD915" t="s">
        <v>2408</v>
      </c>
      <c r="KE915" t="s">
        <v>2409</v>
      </c>
      <c r="KH915" t="s">
        <v>2406</v>
      </c>
      <c r="KI915" t="s">
        <v>222</v>
      </c>
      <c r="KJ915" t="s">
        <v>221</v>
      </c>
      <c r="KK915" t="s">
        <v>2410</v>
      </c>
      <c r="KL915">
        <f>+AVERAGE(360,720)</f>
        <v>540</v>
      </c>
      <c r="KM915" t="s">
        <v>222</v>
      </c>
      <c r="KN915" t="s">
        <v>2411</v>
      </c>
      <c r="KO915" t="s">
        <v>2410</v>
      </c>
      <c r="KP915">
        <v>360</v>
      </c>
      <c r="KU915" t="s">
        <v>2412</v>
      </c>
      <c r="KV915" t="s">
        <v>2413</v>
      </c>
      <c r="LE915" t="s">
        <v>2414</v>
      </c>
      <c r="MS915" t="s">
        <v>2415</v>
      </c>
      <c r="MT915">
        <v>136</v>
      </c>
      <c r="MW915" t="s">
        <v>2315</v>
      </c>
      <c r="MX915" t="s">
        <v>168</v>
      </c>
      <c r="ND915" t="s">
        <v>2416</v>
      </c>
      <c r="NE915" s="214" t="s">
        <v>2441</v>
      </c>
      <c r="NF915" s="214" t="s">
        <v>2442</v>
      </c>
      <c r="NG915" s="4" t="s">
        <v>2443</v>
      </c>
      <c r="NH915" t="s">
        <v>2444</v>
      </c>
      <c r="NQ915" t="s">
        <v>6</v>
      </c>
      <c r="NR915">
        <v>73</v>
      </c>
      <c r="NS915" t="s">
        <v>29</v>
      </c>
      <c r="NW915">
        <v>3</v>
      </c>
      <c r="OH915" t="s">
        <v>2421</v>
      </c>
      <c r="OI915" t="s">
        <v>6</v>
      </c>
      <c r="OK915">
        <v>2017</v>
      </c>
      <c r="OL915">
        <v>2020</v>
      </c>
      <c r="OO915" t="s">
        <v>1178</v>
      </c>
      <c r="OP915" s="58">
        <v>46136</v>
      </c>
    </row>
    <row r="916" spans="1:406">
      <c r="A916" t="s">
        <v>248</v>
      </c>
      <c r="B916" t="s">
        <v>2396</v>
      </c>
      <c r="C916" t="s">
        <v>2397</v>
      </c>
      <c r="D916" t="s">
        <v>1955</v>
      </c>
      <c r="E916" s="90" t="s">
        <v>2398</v>
      </c>
      <c r="F916" t="s">
        <v>31</v>
      </c>
      <c r="G916" t="s">
        <v>2</v>
      </c>
      <c r="H916" t="s">
        <v>30</v>
      </c>
      <c r="I916">
        <v>7.8527777780000001</v>
      </c>
      <c r="J916">
        <v>-5.1111111109999996</v>
      </c>
      <c r="K916" t="s">
        <v>29</v>
      </c>
      <c r="AV916" t="s">
        <v>838</v>
      </c>
      <c r="AW916" t="s">
        <v>838</v>
      </c>
      <c r="AX916" t="s">
        <v>1619</v>
      </c>
      <c r="AY916" t="s">
        <v>838</v>
      </c>
      <c r="AZ916" t="s">
        <v>2399</v>
      </c>
      <c r="BA916">
        <v>2017</v>
      </c>
      <c r="BB916">
        <v>2020</v>
      </c>
      <c r="BC916" t="s">
        <v>838</v>
      </c>
      <c r="BD916" t="s">
        <v>2422</v>
      </c>
      <c r="BE916" t="s">
        <v>2423</v>
      </c>
      <c r="BG916" t="s">
        <v>1243</v>
      </c>
      <c r="BH916" t="s">
        <v>2338</v>
      </c>
      <c r="BI916" t="s">
        <v>2402</v>
      </c>
      <c r="BJ916" t="s">
        <v>2403</v>
      </c>
      <c r="BK916">
        <v>722000</v>
      </c>
      <c r="BL916" t="s">
        <v>56</v>
      </c>
      <c r="BM916" t="s">
        <v>2404</v>
      </c>
      <c r="BN916" t="s">
        <v>2405</v>
      </c>
      <c r="BO916" t="s">
        <v>2403</v>
      </c>
      <c r="BP916" s="9">
        <v>470000</v>
      </c>
      <c r="BQ916" t="s">
        <v>275</v>
      </c>
      <c r="BR916" t="s">
        <v>2338</v>
      </c>
      <c r="BS916" t="s">
        <v>2402</v>
      </c>
      <c r="BT916" t="s">
        <v>2403</v>
      </c>
      <c r="BU916">
        <v>722000</v>
      </c>
      <c r="BV916" t="s">
        <v>56</v>
      </c>
      <c r="BW916" t="s">
        <v>2404</v>
      </c>
      <c r="BX916" t="s">
        <v>2405</v>
      </c>
      <c r="BY916" t="s">
        <v>2403</v>
      </c>
      <c r="BZ916" s="9">
        <v>470000</v>
      </c>
      <c r="HL916" t="s">
        <v>2406</v>
      </c>
      <c r="HM916" t="s">
        <v>232</v>
      </c>
      <c r="HU916" s="213">
        <v>42887</v>
      </c>
      <c r="IG916" t="s">
        <v>2423</v>
      </c>
      <c r="IH916" t="s">
        <v>1453</v>
      </c>
      <c r="II916" t="s">
        <v>660</v>
      </c>
      <c r="IJ916" t="s">
        <v>661</v>
      </c>
      <c r="IK916">
        <v>2017</v>
      </c>
      <c r="IM916" t="s">
        <v>2407</v>
      </c>
      <c r="IN916" t="s">
        <v>2423</v>
      </c>
      <c r="IO916" t="s">
        <v>1939</v>
      </c>
      <c r="IP916" t="s">
        <v>273</v>
      </c>
      <c r="IR916" t="s">
        <v>838</v>
      </c>
      <c r="IS916" t="s">
        <v>838</v>
      </c>
      <c r="IT916" t="s">
        <v>2407</v>
      </c>
      <c r="JJ916" t="s">
        <v>721</v>
      </c>
      <c r="KD916" t="s">
        <v>2408</v>
      </c>
      <c r="KE916" t="s">
        <v>2409</v>
      </c>
      <c r="KH916" t="s">
        <v>2406</v>
      </c>
      <c r="KI916" t="s">
        <v>222</v>
      </c>
      <c r="KJ916" t="s">
        <v>221</v>
      </c>
      <c r="KK916" t="s">
        <v>2410</v>
      </c>
      <c r="KL916">
        <f t="shared" ref="KL916:KL918" si="4">+AVERAGE(360,720)</f>
        <v>540</v>
      </c>
      <c r="KM916" t="s">
        <v>222</v>
      </c>
      <c r="KN916" t="s">
        <v>2411</v>
      </c>
      <c r="KO916" t="s">
        <v>2410</v>
      </c>
      <c r="KP916">
        <v>360</v>
      </c>
      <c r="KU916" t="s">
        <v>2412</v>
      </c>
      <c r="KV916" t="s">
        <v>2413</v>
      </c>
      <c r="LE916" t="s">
        <v>2414</v>
      </c>
      <c r="MS916" t="s">
        <v>2415</v>
      </c>
      <c r="MT916">
        <v>136</v>
      </c>
      <c r="MW916" t="s">
        <v>2315</v>
      </c>
      <c r="ND916" t="s">
        <v>2416</v>
      </c>
      <c r="NE916" s="214" t="s">
        <v>2441</v>
      </c>
      <c r="NF916" s="214" t="s">
        <v>2442</v>
      </c>
      <c r="NG916" s="4" t="s">
        <v>2443</v>
      </c>
      <c r="NH916" t="s">
        <v>2444</v>
      </c>
      <c r="NQ916" t="s">
        <v>6</v>
      </c>
      <c r="NR916">
        <v>67</v>
      </c>
      <c r="NS916" t="s">
        <v>29</v>
      </c>
      <c r="NW916">
        <v>3</v>
      </c>
      <c r="OH916" t="s">
        <v>2421</v>
      </c>
      <c r="OI916" t="s">
        <v>6</v>
      </c>
      <c r="OK916">
        <v>2017</v>
      </c>
      <c r="OL916">
        <v>2020</v>
      </c>
      <c r="OO916" t="s">
        <v>1178</v>
      </c>
      <c r="OP916" s="58">
        <v>46136</v>
      </c>
    </row>
    <row r="917" spans="1:406">
      <c r="A917" t="s">
        <v>248</v>
      </c>
      <c r="B917" t="s">
        <v>2396</v>
      </c>
      <c r="C917" t="s">
        <v>2397</v>
      </c>
      <c r="D917" t="s">
        <v>1955</v>
      </c>
      <c r="E917" s="90" t="s">
        <v>2398</v>
      </c>
      <c r="F917" t="s">
        <v>31</v>
      </c>
      <c r="G917" t="s">
        <v>2</v>
      </c>
      <c r="H917" t="s">
        <v>30</v>
      </c>
      <c r="I917">
        <v>7.8527777780000001</v>
      </c>
      <c r="J917">
        <v>-5.1111111109999996</v>
      </c>
      <c r="K917" t="s">
        <v>29</v>
      </c>
      <c r="AV917" t="s">
        <v>838</v>
      </c>
      <c r="AW917" t="s">
        <v>838</v>
      </c>
      <c r="AX917" t="s">
        <v>1619</v>
      </c>
      <c r="AY917" t="s">
        <v>838</v>
      </c>
      <c r="AZ917" t="s">
        <v>2399</v>
      </c>
      <c r="BA917">
        <v>2017</v>
      </c>
      <c r="BB917">
        <v>2020</v>
      </c>
      <c r="BC917" t="s">
        <v>838</v>
      </c>
      <c r="BD917" t="s">
        <v>2422</v>
      </c>
      <c r="BE917" t="s">
        <v>2424</v>
      </c>
      <c r="BG917" t="s">
        <v>1243</v>
      </c>
      <c r="BH917" t="s">
        <v>2338</v>
      </c>
      <c r="BI917" t="s">
        <v>2402</v>
      </c>
      <c r="BJ917" t="s">
        <v>2403</v>
      </c>
      <c r="BK917">
        <v>722000</v>
      </c>
      <c r="BL917" t="s">
        <v>56</v>
      </c>
      <c r="BM917" t="s">
        <v>2404</v>
      </c>
      <c r="BN917" t="s">
        <v>2405</v>
      </c>
      <c r="BO917" t="s">
        <v>2403</v>
      </c>
      <c r="BP917" s="9">
        <v>470000</v>
      </c>
      <c r="BQ917" t="s">
        <v>275</v>
      </c>
      <c r="BR917" t="s">
        <v>2404</v>
      </c>
      <c r="BS917" t="s">
        <v>2405</v>
      </c>
      <c r="BT917" t="s">
        <v>2403</v>
      </c>
      <c r="BU917" s="9">
        <v>470000</v>
      </c>
      <c r="BV917" t="s">
        <v>275</v>
      </c>
      <c r="BW917" t="s">
        <v>2338</v>
      </c>
      <c r="BX917" t="s">
        <v>2402</v>
      </c>
      <c r="BY917" t="s">
        <v>2403</v>
      </c>
      <c r="BZ917">
        <v>722000</v>
      </c>
      <c r="CA917" t="s">
        <v>56</v>
      </c>
      <c r="CB917" t="s">
        <v>2404</v>
      </c>
      <c r="CC917" t="s">
        <v>2405</v>
      </c>
      <c r="CD917" t="s">
        <v>2403</v>
      </c>
      <c r="CE917" s="9">
        <v>470000</v>
      </c>
      <c r="HL917" t="s">
        <v>2406</v>
      </c>
      <c r="HM917" t="s">
        <v>232</v>
      </c>
      <c r="HU917" s="213">
        <v>42887</v>
      </c>
      <c r="IG917" t="s">
        <v>2424</v>
      </c>
      <c r="IH917" t="s">
        <v>1453</v>
      </c>
      <c r="II917" t="s">
        <v>660</v>
      </c>
      <c r="IJ917" t="s">
        <v>661</v>
      </c>
      <c r="IK917">
        <v>2017</v>
      </c>
      <c r="IM917" t="s">
        <v>2407</v>
      </c>
      <c r="IN917" t="s">
        <v>2424</v>
      </c>
      <c r="IO917" t="s">
        <v>1939</v>
      </c>
      <c r="IP917" t="s">
        <v>273</v>
      </c>
      <c r="IR917" t="s">
        <v>838</v>
      </c>
      <c r="IS917" t="s">
        <v>838</v>
      </c>
      <c r="IT917" t="s">
        <v>2407</v>
      </c>
      <c r="JJ917" t="s">
        <v>721</v>
      </c>
      <c r="KD917" t="s">
        <v>2408</v>
      </c>
      <c r="KE917" t="s">
        <v>2409</v>
      </c>
      <c r="KH917" t="s">
        <v>2406</v>
      </c>
      <c r="KI917" t="s">
        <v>222</v>
      </c>
      <c r="KJ917" t="s">
        <v>221</v>
      </c>
      <c r="KK917" t="s">
        <v>2410</v>
      </c>
      <c r="KL917">
        <f t="shared" si="4"/>
        <v>540</v>
      </c>
      <c r="KM917" t="s">
        <v>222</v>
      </c>
      <c r="KN917" t="s">
        <v>2411</v>
      </c>
      <c r="KO917" t="s">
        <v>2410</v>
      </c>
      <c r="KP917">
        <v>360</v>
      </c>
      <c r="KU917" t="s">
        <v>2412</v>
      </c>
      <c r="KV917" t="s">
        <v>2413</v>
      </c>
      <c r="LE917" t="s">
        <v>2414</v>
      </c>
      <c r="MS917" t="s">
        <v>2415</v>
      </c>
      <c r="MT917">
        <v>136</v>
      </c>
      <c r="MW917" t="s">
        <v>2315</v>
      </c>
      <c r="ND917" t="s">
        <v>2416</v>
      </c>
      <c r="NE917" s="214" t="s">
        <v>2441</v>
      </c>
      <c r="NF917" s="214" t="s">
        <v>2442</v>
      </c>
      <c r="NG917" s="4" t="s">
        <v>2443</v>
      </c>
      <c r="NH917" t="s">
        <v>2444</v>
      </c>
      <c r="NQ917" t="s">
        <v>6</v>
      </c>
      <c r="NR917">
        <v>60</v>
      </c>
      <c r="NS917" t="s">
        <v>29</v>
      </c>
      <c r="NW917">
        <v>3</v>
      </c>
      <c r="OH917" t="s">
        <v>2421</v>
      </c>
      <c r="OI917" t="s">
        <v>6</v>
      </c>
      <c r="OK917">
        <v>2017</v>
      </c>
      <c r="OL917">
        <v>2020</v>
      </c>
      <c r="OO917" t="s">
        <v>1178</v>
      </c>
      <c r="OP917" s="58">
        <v>46136</v>
      </c>
    </row>
    <row r="918" spans="1:406">
      <c r="A918" t="s">
        <v>248</v>
      </c>
      <c r="B918" t="s">
        <v>2396</v>
      </c>
      <c r="C918" t="s">
        <v>2397</v>
      </c>
      <c r="D918" t="s">
        <v>1955</v>
      </c>
      <c r="E918" s="90" t="s">
        <v>2398</v>
      </c>
      <c r="F918" t="s">
        <v>31</v>
      </c>
      <c r="G918" t="s">
        <v>2</v>
      </c>
      <c r="H918" t="s">
        <v>30</v>
      </c>
      <c r="I918">
        <v>7.8527777780000001</v>
      </c>
      <c r="J918">
        <v>-5.1111111109999996</v>
      </c>
      <c r="K918" t="s">
        <v>29</v>
      </c>
      <c r="AV918" t="s">
        <v>838</v>
      </c>
      <c r="AW918" t="s">
        <v>838</v>
      </c>
      <c r="AX918" t="s">
        <v>1619</v>
      </c>
      <c r="AY918" t="s">
        <v>838</v>
      </c>
      <c r="AZ918" t="s">
        <v>2399</v>
      </c>
      <c r="BA918">
        <v>2017</v>
      </c>
      <c r="BB918">
        <v>2020</v>
      </c>
      <c r="BC918" t="s">
        <v>838</v>
      </c>
      <c r="BD918" t="s">
        <v>19</v>
      </c>
      <c r="BE918" t="s">
        <v>2425</v>
      </c>
      <c r="BG918" t="s">
        <v>1243</v>
      </c>
      <c r="BH918" t="s">
        <v>2338</v>
      </c>
      <c r="BI918" t="s">
        <v>2402</v>
      </c>
      <c r="BJ918" t="s">
        <v>2403</v>
      </c>
      <c r="BK918">
        <v>722000</v>
      </c>
      <c r="BL918" t="s">
        <v>275</v>
      </c>
      <c r="BM918" t="s">
        <v>23</v>
      </c>
      <c r="BN918" t="s">
        <v>1481</v>
      </c>
      <c r="BO918" t="s">
        <v>2403</v>
      </c>
      <c r="BP918" s="9">
        <v>55556</v>
      </c>
      <c r="HL918" t="s">
        <v>2426</v>
      </c>
      <c r="HM918" t="s">
        <v>297</v>
      </c>
      <c r="HN918" t="s">
        <v>2427</v>
      </c>
      <c r="HQ918">
        <v>3</v>
      </c>
      <c r="HU918" s="213">
        <v>42887</v>
      </c>
      <c r="IG918" t="s">
        <v>2425</v>
      </c>
      <c r="IH918" t="s">
        <v>19</v>
      </c>
      <c r="II918" t="s">
        <v>660</v>
      </c>
      <c r="IJ918" t="s">
        <v>661</v>
      </c>
      <c r="IK918">
        <v>2017</v>
      </c>
      <c r="IM918" t="s">
        <v>2428</v>
      </c>
      <c r="IN918" t="s">
        <v>2425</v>
      </c>
      <c r="IO918" t="s">
        <v>1939</v>
      </c>
      <c r="IP918" t="s">
        <v>283</v>
      </c>
      <c r="IR918" t="s">
        <v>838</v>
      </c>
      <c r="IS918" t="s">
        <v>838</v>
      </c>
      <c r="IT918" t="s">
        <v>2428</v>
      </c>
      <c r="JJ918" t="s">
        <v>721</v>
      </c>
      <c r="KD918" t="s">
        <v>2408</v>
      </c>
      <c r="KE918" t="s">
        <v>2409</v>
      </c>
      <c r="KH918" t="s">
        <v>2426</v>
      </c>
      <c r="KI918" t="s">
        <v>222</v>
      </c>
      <c r="KJ918" t="s">
        <v>221</v>
      </c>
      <c r="KK918" t="s">
        <v>2410</v>
      </c>
      <c r="KL918">
        <f t="shared" si="4"/>
        <v>540</v>
      </c>
      <c r="KM918" t="s">
        <v>222</v>
      </c>
      <c r="KN918" t="s">
        <v>2411</v>
      </c>
      <c r="KO918" t="s">
        <v>2410</v>
      </c>
      <c r="KP918">
        <v>360</v>
      </c>
      <c r="KU918" t="s">
        <v>2412</v>
      </c>
      <c r="KV918" t="s">
        <v>2413</v>
      </c>
      <c r="LE918" t="s">
        <v>2414</v>
      </c>
      <c r="MS918" t="s">
        <v>2415</v>
      </c>
      <c r="MT918">
        <v>136</v>
      </c>
      <c r="MW918" t="s">
        <v>2315</v>
      </c>
      <c r="MX918" t="s">
        <v>168</v>
      </c>
      <c r="ND918" t="s">
        <v>2416</v>
      </c>
      <c r="NE918" s="214" t="s">
        <v>2441</v>
      </c>
      <c r="NF918" s="214" t="s">
        <v>2442</v>
      </c>
      <c r="NG918" s="4" t="s">
        <v>2443</v>
      </c>
      <c r="NH918" t="s">
        <v>2444</v>
      </c>
      <c r="NQ918" t="s">
        <v>6</v>
      </c>
      <c r="NR918">
        <v>82</v>
      </c>
      <c r="NS918" t="s">
        <v>29</v>
      </c>
      <c r="NW918">
        <v>3</v>
      </c>
      <c r="OH918" t="s">
        <v>2421</v>
      </c>
      <c r="OI918" t="s">
        <v>6</v>
      </c>
      <c r="OK918">
        <v>2017</v>
      </c>
      <c r="OL918">
        <v>2020</v>
      </c>
      <c r="OO918" t="s">
        <v>1178</v>
      </c>
      <c r="OP918" s="58">
        <v>46136</v>
      </c>
    </row>
    <row r="919" spans="1:406">
      <c r="A919" t="s">
        <v>248</v>
      </c>
      <c r="B919" t="s">
        <v>2396</v>
      </c>
      <c r="C919" t="s">
        <v>2397</v>
      </c>
      <c r="D919" t="s">
        <v>1955</v>
      </c>
      <c r="E919" s="90" t="s">
        <v>2398</v>
      </c>
      <c r="F919" t="s">
        <v>31</v>
      </c>
      <c r="G919" t="s">
        <v>2</v>
      </c>
      <c r="H919" t="s">
        <v>30</v>
      </c>
      <c r="I919">
        <v>7.8527777780000001</v>
      </c>
      <c r="J919">
        <v>-5.1111111109999996</v>
      </c>
      <c r="K919" t="s">
        <v>29</v>
      </c>
      <c r="AV919" t="s">
        <v>838</v>
      </c>
      <c r="AW919" t="s">
        <v>838</v>
      </c>
      <c r="AX919" t="s">
        <v>1619</v>
      </c>
      <c r="AY919" t="s">
        <v>838</v>
      </c>
      <c r="AZ919" t="s">
        <v>2399</v>
      </c>
      <c r="BA919">
        <v>2017</v>
      </c>
      <c r="BB919">
        <v>2020</v>
      </c>
      <c r="BC919" t="s">
        <v>838</v>
      </c>
      <c r="BD919" t="s">
        <v>2400</v>
      </c>
      <c r="BE919" t="s">
        <v>2429</v>
      </c>
      <c r="BG919" t="s">
        <v>1243</v>
      </c>
      <c r="BH919" t="s">
        <v>23</v>
      </c>
      <c r="BI919" t="s">
        <v>1481</v>
      </c>
      <c r="BJ919" t="s">
        <v>2403</v>
      </c>
      <c r="BK919" s="9">
        <v>55556</v>
      </c>
      <c r="BL919" t="s">
        <v>56</v>
      </c>
      <c r="BM919" t="s">
        <v>2192</v>
      </c>
      <c r="BN919" t="s">
        <v>2430</v>
      </c>
      <c r="BO919" t="s">
        <v>2403</v>
      </c>
      <c r="BP919">
        <v>55600</v>
      </c>
      <c r="BQ919" t="s">
        <v>275</v>
      </c>
      <c r="BR919" t="s">
        <v>2338</v>
      </c>
      <c r="BS919" t="s">
        <v>2402</v>
      </c>
      <c r="BT919" t="s">
        <v>2403</v>
      </c>
      <c r="BU919">
        <v>722000</v>
      </c>
      <c r="BV919" t="s">
        <v>56</v>
      </c>
      <c r="BW919" t="s">
        <v>1436</v>
      </c>
      <c r="BX919" t="s">
        <v>29</v>
      </c>
      <c r="BY919" t="s">
        <v>29</v>
      </c>
      <c r="BZ919" t="s">
        <v>29</v>
      </c>
      <c r="HL919" t="s">
        <v>2406</v>
      </c>
      <c r="HM919" t="s">
        <v>232</v>
      </c>
      <c r="HU919" s="213">
        <v>42887</v>
      </c>
      <c r="IG919" t="s">
        <v>2429</v>
      </c>
      <c r="IH919" t="s">
        <v>1453</v>
      </c>
      <c r="II919" t="s">
        <v>660</v>
      </c>
      <c r="IJ919" t="s">
        <v>661</v>
      </c>
      <c r="IK919">
        <v>2017</v>
      </c>
      <c r="IM919" t="s">
        <v>2407</v>
      </c>
      <c r="IN919" t="s">
        <v>2429</v>
      </c>
      <c r="IO919" t="s">
        <v>2431</v>
      </c>
      <c r="IP919" t="s">
        <v>2432</v>
      </c>
      <c r="IR919" t="s">
        <v>838</v>
      </c>
      <c r="IS919" t="s">
        <v>838</v>
      </c>
      <c r="IT919" t="s">
        <v>2407</v>
      </c>
      <c r="JJ919" t="s">
        <v>721</v>
      </c>
      <c r="KD919" t="s">
        <v>2408</v>
      </c>
      <c r="KE919" t="s">
        <v>2409</v>
      </c>
      <c r="KH919" t="s">
        <v>2406</v>
      </c>
      <c r="KI919" t="s">
        <v>222</v>
      </c>
      <c r="KJ919" t="s">
        <v>2433</v>
      </c>
      <c r="KK919" t="s">
        <v>2410</v>
      </c>
      <c r="KL919">
        <v>1000</v>
      </c>
      <c r="KM919" t="s">
        <v>222</v>
      </c>
      <c r="KV919" t="s">
        <v>2324</v>
      </c>
      <c r="KW919" t="s">
        <v>2434</v>
      </c>
      <c r="LE919" t="s">
        <v>2414</v>
      </c>
      <c r="MS919" t="s">
        <v>2415</v>
      </c>
      <c r="MT919">
        <v>136</v>
      </c>
      <c r="MW919" t="s">
        <v>2315</v>
      </c>
      <c r="MX919" t="s">
        <v>168</v>
      </c>
      <c r="ND919" t="s">
        <v>2416</v>
      </c>
      <c r="NE919" s="214" t="s">
        <v>2441</v>
      </c>
      <c r="NF919" s="214" t="s">
        <v>2442</v>
      </c>
      <c r="NG919" s="4" t="s">
        <v>2443</v>
      </c>
      <c r="NH919" t="s">
        <v>2444</v>
      </c>
      <c r="NQ919" t="s">
        <v>6</v>
      </c>
      <c r="NR919">
        <v>133</v>
      </c>
      <c r="NS919" t="s">
        <v>29</v>
      </c>
      <c r="NW919">
        <v>3</v>
      </c>
      <c r="OH919" t="s">
        <v>2421</v>
      </c>
      <c r="OI919" t="s">
        <v>6</v>
      </c>
      <c r="OK919">
        <v>2017</v>
      </c>
      <c r="OL919">
        <v>2020</v>
      </c>
      <c r="OO919" t="s">
        <v>1178</v>
      </c>
      <c r="OP919" s="58">
        <v>46136</v>
      </c>
    </row>
    <row r="920" spans="1:406">
      <c r="A920" t="s">
        <v>248</v>
      </c>
      <c r="B920" t="s">
        <v>2396</v>
      </c>
      <c r="C920" t="s">
        <v>2397</v>
      </c>
      <c r="D920" t="s">
        <v>1955</v>
      </c>
      <c r="E920" s="90" t="s">
        <v>2398</v>
      </c>
      <c r="F920" t="s">
        <v>31</v>
      </c>
      <c r="G920" t="s">
        <v>2</v>
      </c>
      <c r="H920" t="s">
        <v>30</v>
      </c>
      <c r="I920">
        <v>7.8527777780000001</v>
      </c>
      <c r="J920">
        <v>-5.1111111109999996</v>
      </c>
      <c r="K920" t="s">
        <v>29</v>
      </c>
      <c r="AV920" t="s">
        <v>838</v>
      </c>
      <c r="AW920" t="s">
        <v>838</v>
      </c>
      <c r="AX920" t="s">
        <v>1619</v>
      </c>
      <c r="AY920" t="s">
        <v>838</v>
      </c>
      <c r="AZ920" t="s">
        <v>2399</v>
      </c>
      <c r="BA920">
        <v>2017</v>
      </c>
      <c r="BB920">
        <v>2020</v>
      </c>
      <c r="BC920" t="s">
        <v>838</v>
      </c>
      <c r="BD920" t="s">
        <v>2400</v>
      </c>
      <c r="BE920" t="s">
        <v>2435</v>
      </c>
      <c r="BG920" t="s">
        <v>1243</v>
      </c>
      <c r="BH920" t="s">
        <v>23</v>
      </c>
      <c r="BI920" t="s">
        <v>1481</v>
      </c>
      <c r="BJ920" t="s">
        <v>2403</v>
      </c>
      <c r="BK920" s="9">
        <v>55556</v>
      </c>
      <c r="BL920" t="s">
        <v>56</v>
      </c>
      <c r="BM920" t="s">
        <v>2436</v>
      </c>
      <c r="BN920" t="s">
        <v>1481</v>
      </c>
      <c r="BO920" t="s">
        <v>2403</v>
      </c>
      <c r="BP920">
        <v>148000</v>
      </c>
      <c r="BQ920" t="s">
        <v>275</v>
      </c>
      <c r="BR920" t="s">
        <v>23</v>
      </c>
      <c r="BS920" t="s">
        <v>1481</v>
      </c>
      <c r="BT920" t="s">
        <v>2403</v>
      </c>
      <c r="BU920" s="9">
        <v>55556</v>
      </c>
      <c r="BV920" t="s">
        <v>56</v>
      </c>
      <c r="BW920" t="s">
        <v>1424</v>
      </c>
      <c r="BX920" t="s">
        <v>2437</v>
      </c>
      <c r="BY920" t="s">
        <v>2403</v>
      </c>
      <c r="BZ920">
        <v>148000</v>
      </c>
      <c r="CA920" t="s">
        <v>275</v>
      </c>
      <c r="CB920" t="s">
        <v>2338</v>
      </c>
      <c r="CC920" t="s">
        <v>2402</v>
      </c>
      <c r="CD920" t="s">
        <v>2403</v>
      </c>
      <c r="CE920">
        <v>722000</v>
      </c>
      <c r="HL920" t="s">
        <v>2406</v>
      </c>
      <c r="HM920" t="s">
        <v>232</v>
      </c>
      <c r="HU920" s="213">
        <v>42887</v>
      </c>
      <c r="IG920" t="s">
        <v>2435</v>
      </c>
      <c r="IH920" t="s">
        <v>1453</v>
      </c>
      <c r="II920" t="s">
        <v>660</v>
      </c>
      <c r="IJ920" t="s">
        <v>661</v>
      </c>
      <c r="IK920">
        <v>2017</v>
      </c>
      <c r="IM920" t="s">
        <v>2407</v>
      </c>
      <c r="IN920" t="s">
        <v>2435</v>
      </c>
      <c r="IO920" t="s">
        <v>2431</v>
      </c>
      <c r="IP920" t="s">
        <v>2432</v>
      </c>
      <c r="IR920" t="s">
        <v>838</v>
      </c>
      <c r="IS920" t="s">
        <v>838</v>
      </c>
      <c r="IT920" t="s">
        <v>2407</v>
      </c>
      <c r="JJ920" t="s">
        <v>721</v>
      </c>
      <c r="KD920" t="s">
        <v>2408</v>
      </c>
      <c r="KE920" t="s">
        <v>2409</v>
      </c>
      <c r="KH920" t="s">
        <v>2406</v>
      </c>
      <c r="KI920" t="s">
        <v>222</v>
      </c>
      <c r="KJ920" t="s">
        <v>221</v>
      </c>
      <c r="KK920" t="s">
        <v>2410</v>
      </c>
      <c r="KL920">
        <v>540</v>
      </c>
      <c r="KM920" t="s">
        <v>222</v>
      </c>
      <c r="KN920" t="s">
        <v>2411</v>
      </c>
      <c r="KO920" t="s">
        <v>2410</v>
      </c>
      <c r="KP920">
        <v>360</v>
      </c>
      <c r="KU920" t="s">
        <v>2412</v>
      </c>
      <c r="KV920" t="s">
        <v>2413</v>
      </c>
      <c r="LE920" t="s">
        <v>2414</v>
      </c>
      <c r="MS920" t="s">
        <v>2415</v>
      </c>
      <c r="MT920">
        <v>136</v>
      </c>
      <c r="MW920" t="s">
        <v>2315</v>
      </c>
      <c r="MX920" t="s">
        <v>168</v>
      </c>
      <c r="ND920" t="s">
        <v>2416</v>
      </c>
      <c r="NE920" s="214" t="s">
        <v>2441</v>
      </c>
      <c r="NF920" s="214" t="s">
        <v>2442</v>
      </c>
      <c r="NG920" s="4" t="s">
        <v>2443</v>
      </c>
      <c r="NH920" t="s">
        <v>2444</v>
      </c>
      <c r="NQ920" t="s">
        <v>6</v>
      </c>
      <c r="NR920">
        <v>60</v>
      </c>
      <c r="NS920" t="s">
        <v>29</v>
      </c>
      <c r="NW920">
        <v>3</v>
      </c>
      <c r="OH920" t="s">
        <v>2421</v>
      </c>
      <c r="OI920" t="s">
        <v>6</v>
      </c>
      <c r="OK920">
        <v>2017</v>
      </c>
      <c r="OL920">
        <v>2020</v>
      </c>
      <c r="OO920" t="s">
        <v>1178</v>
      </c>
      <c r="OP920" s="58">
        <v>46136</v>
      </c>
    </row>
    <row r="921" spans="1:406">
      <c r="A921" t="s">
        <v>248</v>
      </c>
      <c r="B921" t="s">
        <v>2396</v>
      </c>
      <c r="C921" t="s">
        <v>2397</v>
      </c>
      <c r="D921" t="s">
        <v>1955</v>
      </c>
      <c r="E921" s="90" t="s">
        <v>2398</v>
      </c>
      <c r="F921" t="s">
        <v>31</v>
      </c>
      <c r="G921" t="s">
        <v>2</v>
      </c>
      <c r="H921" t="s">
        <v>30</v>
      </c>
      <c r="I921">
        <v>7.8527777780000001</v>
      </c>
      <c r="J921">
        <v>-5.1111111109999996</v>
      </c>
      <c r="K921" t="s">
        <v>29</v>
      </c>
      <c r="AV921" t="s">
        <v>838</v>
      </c>
      <c r="AW921" t="s">
        <v>838</v>
      </c>
      <c r="AX921" t="s">
        <v>1619</v>
      </c>
      <c r="AY921" t="s">
        <v>838</v>
      </c>
      <c r="AZ921" t="s">
        <v>2399</v>
      </c>
      <c r="BA921">
        <v>2017</v>
      </c>
      <c r="BB921">
        <v>2020</v>
      </c>
      <c r="BC921" t="s">
        <v>838</v>
      </c>
      <c r="BD921" t="s">
        <v>2400</v>
      </c>
      <c r="BE921" t="s">
        <v>2438</v>
      </c>
      <c r="BG921" t="s">
        <v>1243</v>
      </c>
      <c r="BH921" t="s">
        <v>2024</v>
      </c>
      <c r="BI921" t="s">
        <v>1481</v>
      </c>
      <c r="BJ921" t="s">
        <v>29</v>
      </c>
      <c r="BK921" t="s">
        <v>29</v>
      </c>
      <c r="BL921" t="s">
        <v>56</v>
      </c>
      <c r="BM921" t="s">
        <v>2404</v>
      </c>
      <c r="BN921" t="s">
        <v>2405</v>
      </c>
      <c r="BO921" t="s">
        <v>2403</v>
      </c>
      <c r="BP921">
        <v>940000</v>
      </c>
      <c r="BQ921" t="s">
        <v>275</v>
      </c>
      <c r="BR921" t="s">
        <v>2024</v>
      </c>
      <c r="BS921" t="s">
        <v>1481</v>
      </c>
      <c r="BT921" t="s">
        <v>29</v>
      </c>
      <c r="BU921" t="s">
        <v>29</v>
      </c>
      <c r="BV921" t="s">
        <v>56</v>
      </c>
      <c r="BW921" t="s">
        <v>2404</v>
      </c>
      <c r="BX921" t="s">
        <v>2405</v>
      </c>
      <c r="BY921" t="s">
        <v>2403</v>
      </c>
      <c r="BZ921">
        <v>940000</v>
      </c>
      <c r="CA921" t="s">
        <v>275</v>
      </c>
      <c r="CB921" t="s">
        <v>2338</v>
      </c>
      <c r="CC921" t="s">
        <v>2402</v>
      </c>
      <c r="CD921" t="s">
        <v>2403</v>
      </c>
      <c r="CE921">
        <v>722000</v>
      </c>
      <c r="CF921" t="s">
        <v>56</v>
      </c>
      <c r="CG921" t="s">
        <v>2404</v>
      </c>
      <c r="CH921" t="s">
        <v>2439</v>
      </c>
      <c r="CI921" t="s">
        <v>2403</v>
      </c>
      <c r="CJ921">
        <v>940000</v>
      </c>
      <c r="HL921" t="s">
        <v>2406</v>
      </c>
      <c r="HM921" t="s">
        <v>232</v>
      </c>
      <c r="HU921" s="213">
        <v>42887</v>
      </c>
      <c r="IG921" t="s">
        <v>2438</v>
      </c>
      <c r="IH921" t="s">
        <v>1453</v>
      </c>
      <c r="II921" t="s">
        <v>660</v>
      </c>
      <c r="IJ921" t="s">
        <v>661</v>
      </c>
      <c r="IK921">
        <v>2017</v>
      </c>
      <c r="IM921" t="s">
        <v>2407</v>
      </c>
      <c r="IN921" t="s">
        <v>2438</v>
      </c>
      <c r="IO921" t="s">
        <v>1939</v>
      </c>
      <c r="IP921" t="s">
        <v>273</v>
      </c>
      <c r="IR921" t="s">
        <v>838</v>
      </c>
      <c r="IS921" t="s">
        <v>838</v>
      </c>
      <c r="IT921" t="s">
        <v>2407</v>
      </c>
      <c r="JJ921" t="s">
        <v>721</v>
      </c>
      <c r="KD921" t="s">
        <v>2408</v>
      </c>
      <c r="KE921" t="s">
        <v>2409</v>
      </c>
      <c r="KH921" t="s">
        <v>2406</v>
      </c>
      <c r="KI921" t="s">
        <v>222</v>
      </c>
      <c r="KJ921" t="s">
        <v>221</v>
      </c>
      <c r="KK921" t="s">
        <v>2410</v>
      </c>
      <c r="KL921">
        <v>540</v>
      </c>
      <c r="KM921" t="s">
        <v>222</v>
      </c>
      <c r="KN921" t="s">
        <v>2411</v>
      </c>
      <c r="KO921" t="s">
        <v>2410</v>
      </c>
      <c r="KP921">
        <v>360</v>
      </c>
      <c r="KU921" t="s">
        <v>2412</v>
      </c>
      <c r="KV921" t="s">
        <v>2413</v>
      </c>
      <c r="LE921" t="s">
        <v>2414</v>
      </c>
      <c r="MS921" t="s">
        <v>2415</v>
      </c>
      <c r="MT921">
        <v>136</v>
      </c>
      <c r="MW921" t="s">
        <v>2315</v>
      </c>
      <c r="MX921" t="s">
        <v>2440</v>
      </c>
      <c r="ND921" t="s">
        <v>2416</v>
      </c>
      <c r="NE921" s="214" t="s">
        <v>2441</v>
      </c>
      <c r="NF921" s="214" t="s">
        <v>2442</v>
      </c>
      <c r="NG921" s="4" t="s">
        <v>2443</v>
      </c>
      <c r="NH921" t="s">
        <v>2444</v>
      </c>
      <c r="NQ921" t="s">
        <v>6</v>
      </c>
      <c r="NR921">
        <v>487</v>
      </c>
      <c r="NS921" t="s">
        <v>29</v>
      </c>
      <c r="NW921">
        <v>3</v>
      </c>
      <c r="OH921" t="s">
        <v>2421</v>
      </c>
      <c r="OI921" t="s">
        <v>6</v>
      </c>
      <c r="OK921">
        <v>2017</v>
      </c>
      <c r="OL921">
        <v>2020</v>
      </c>
      <c r="OO921" t="s">
        <v>1178</v>
      </c>
      <c r="OP921" s="58">
        <v>46136</v>
      </c>
    </row>
    <row r="922" spans="1:406">
      <c r="A922" t="s">
        <v>248</v>
      </c>
      <c r="B922" t="s">
        <v>2396</v>
      </c>
      <c r="C922" t="s">
        <v>2397</v>
      </c>
      <c r="D922" t="s">
        <v>1955</v>
      </c>
      <c r="E922" s="90" t="s">
        <v>2398</v>
      </c>
      <c r="F922" t="s">
        <v>31</v>
      </c>
      <c r="G922" t="s">
        <v>2</v>
      </c>
      <c r="H922" t="s">
        <v>30</v>
      </c>
      <c r="I922">
        <v>7.8527777780000001</v>
      </c>
      <c r="J922">
        <v>-5.1111111109999996</v>
      </c>
      <c r="K922" t="s">
        <v>29</v>
      </c>
      <c r="AV922" t="s">
        <v>838</v>
      </c>
      <c r="AW922" t="s">
        <v>838</v>
      </c>
      <c r="AX922" t="s">
        <v>1619</v>
      </c>
      <c r="AY922" t="s">
        <v>838</v>
      </c>
      <c r="AZ922" t="s">
        <v>2399</v>
      </c>
      <c r="BA922">
        <v>2017</v>
      </c>
      <c r="BB922">
        <v>2020</v>
      </c>
      <c r="BC922" t="s">
        <v>838</v>
      </c>
      <c r="BD922" t="s">
        <v>2400</v>
      </c>
      <c r="BE922" t="s">
        <v>2401</v>
      </c>
      <c r="BG922" t="s">
        <v>1243</v>
      </c>
      <c r="BH922" t="s">
        <v>2338</v>
      </c>
      <c r="BI922" t="s">
        <v>2402</v>
      </c>
      <c r="BJ922" t="s">
        <v>2403</v>
      </c>
      <c r="BK922">
        <v>722000</v>
      </c>
      <c r="BL922" t="s">
        <v>56</v>
      </c>
      <c r="BM922" t="s">
        <v>2404</v>
      </c>
      <c r="BN922" t="s">
        <v>2405</v>
      </c>
      <c r="BO922" t="s">
        <v>2403</v>
      </c>
      <c r="BP922" s="9">
        <v>470000</v>
      </c>
      <c r="BQ922" t="s">
        <v>275</v>
      </c>
      <c r="BR922" t="s">
        <v>23</v>
      </c>
      <c r="BS922" t="s">
        <v>1481</v>
      </c>
      <c r="BT922" t="s">
        <v>2403</v>
      </c>
      <c r="BU922" s="9">
        <v>55556</v>
      </c>
      <c r="BV922" t="s">
        <v>56</v>
      </c>
      <c r="BW922" t="s">
        <v>2404</v>
      </c>
      <c r="BX922" t="s">
        <v>2405</v>
      </c>
      <c r="BY922" t="s">
        <v>2403</v>
      </c>
      <c r="BZ922" s="9">
        <v>470000</v>
      </c>
      <c r="HL922" t="s">
        <v>2406</v>
      </c>
      <c r="HM922" t="s">
        <v>232</v>
      </c>
      <c r="HU922" s="213">
        <v>42887</v>
      </c>
      <c r="IG922" t="s">
        <v>2401</v>
      </c>
      <c r="IH922" t="s">
        <v>1453</v>
      </c>
      <c r="II922" t="s">
        <v>660</v>
      </c>
      <c r="IJ922" t="s">
        <v>661</v>
      </c>
      <c r="IK922">
        <v>2017</v>
      </c>
      <c r="IM922" t="s">
        <v>2407</v>
      </c>
      <c r="IN922" t="s">
        <v>2401</v>
      </c>
      <c r="IO922" t="s">
        <v>1939</v>
      </c>
      <c r="IP922" t="s">
        <v>273</v>
      </c>
      <c r="IR922" t="s">
        <v>838</v>
      </c>
      <c r="IS922" t="s">
        <v>838</v>
      </c>
      <c r="IT922" t="s">
        <v>2407</v>
      </c>
      <c r="JJ922" t="s">
        <v>721</v>
      </c>
      <c r="KD922" t="s">
        <v>2408</v>
      </c>
      <c r="KE922" t="s">
        <v>2409</v>
      </c>
      <c r="KH922" t="s">
        <v>2406</v>
      </c>
      <c r="KI922" t="s">
        <v>222</v>
      </c>
      <c r="KJ922" t="s">
        <v>221</v>
      </c>
      <c r="KK922" t="s">
        <v>2410</v>
      </c>
      <c r="KL922">
        <f>+AVERAGE(360,720)</f>
        <v>540</v>
      </c>
      <c r="KM922" t="s">
        <v>222</v>
      </c>
      <c r="KN922" t="s">
        <v>2411</v>
      </c>
      <c r="KO922" t="s">
        <v>2410</v>
      </c>
      <c r="KP922">
        <v>360</v>
      </c>
      <c r="KU922" t="s">
        <v>2412</v>
      </c>
      <c r="KV922" t="s">
        <v>2413</v>
      </c>
      <c r="LE922" t="s">
        <v>2414</v>
      </c>
      <c r="MS922" t="s">
        <v>2415</v>
      </c>
      <c r="MT922">
        <v>136</v>
      </c>
      <c r="MW922" t="s">
        <v>2315</v>
      </c>
      <c r="MX922" t="s">
        <v>168</v>
      </c>
      <c r="ND922" t="s">
        <v>2416</v>
      </c>
      <c r="NE922" s="214" t="s">
        <v>2445</v>
      </c>
      <c r="NF922" s="214" t="s">
        <v>2446</v>
      </c>
      <c r="NG922" s="4" t="s">
        <v>2226</v>
      </c>
      <c r="NH922" t="s">
        <v>2447</v>
      </c>
      <c r="NQ922" t="s">
        <v>6</v>
      </c>
      <c r="NR922">
        <v>1046</v>
      </c>
      <c r="NS922" t="s">
        <v>29</v>
      </c>
      <c r="NW922">
        <v>3</v>
      </c>
      <c r="OH922" t="s">
        <v>2421</v>
      </c>
      <c r="OI922" t="s">
        <v>6</v>
      </c>
      <c r="OK922">
        <v>2017</v>
      </c>
      <c r="OL922">
        <v>2020</v>
      </c>
      <c r="OO922" t="s">
        <v>1178</v>
      </c>
      <c r="OP922" s="58">
        <v>46136</v>
      </c>
    </row>
    <row r="923" spans="1:406">
      <c r="A923" t="s">
        <v>248</v>
      </c>
      <c r="B923" t="s">
        <v>2396</v>
      </c>
      <c r="C923" t="s">
        <v>2397</v>
      </c>
      <c r="D923" t="s">
        <v>1955</v>
      </c>
      <c r="E923" s="90" t="s">
        <v>2398</v>
      </c>
      <c r="F923" t="s">
        <v>31</v>
      </c>
      <c r="G923" t="s">
        <v>2</v>
      </c>
      <c r="H923" t="s">
        <v>30</v>
      </c>
      <c r="I923">
        <v>7.8527777780000001</v>
      </c>
      <c r="J923">
        <v>-5.1111111109999996</v>
      </c>
      <c r="K923" t="s">
        <v>29</v>
      </c>
      <c r="AV923" t="s">
        <v>838</v>
      </c>
      <c r="AW923" t="s">
        <v>838</v>
      </c>
      <c r="AX923" t="s">
        <v>1619</v>
      </c>
      <c r="AY923" t="s">
        <v>838</v>
      </c>
      <c r="AZ923" t="s">
        <v>2399</v>
      </c>
      <c r="BA923">
        <v>2017</v>
      </c>
      <c r="BB923">
        <v>2020</v>
      </c>
      <c r="BC923" t="s">
        <v>838</v>
      </c>
      <c r="BD923" t="s">
        <v>2422</v>
      </c>
      <c r="BE923" t="s">
        <v>2423</v>
      </c>
      <c r="BG923" t="s">
        <v>1243</v>
      </c>
      <c r="BH923" t="s">
        <v>2338</v>
      </c>
      <c r="BI923" t="s">
        <v>2402</v>
      </c>
      <c r="BJ923" t="s">
        <v>2403</v>
      </c>
      <c r="BK923">
        <v>722000</v>
      </c>
      <c r="BL923" t="s">
        <v>56</v>
      </c>
      <c r="BM923" t="s">
        <v>2404</v>
      </c>
      <c r="BN923" t="s">
        <v>2405</v>
      </c>
      <c r="BO923" t="s">
        <v>2403</v>
      </c>
      <c r="BP923" s="9">
        <v>470000</v>
      </c>
      <c r="BQ923" t="s">
        <v>275</v>
      </c>
      <c r="BR923" t="s">
        <v>2338</v>
      </c>
      <c r="BS923" t="s">
        <v>2402</v>
      </c>
      <c r="BT923" t="s">
        <v>2403</v>
      </c>
      <c r="BU923">
        <v>722000</v>
      </c>
      <c r="BV923" t="s">
        <v>56</v>
      </c>
      <c r="BW923" t="s">
        <v>2404</v>
      </c>
      <c r="BX923" t="s">
        <v>2405</v>
      </c>
      <c r="BY923" t="s">
        <v>2403</v>
      </c>
      <c r="BZ923" s="9">
        <v>470000</v>
      </c>
      <c r="HL923" t="s">
        <v>2406</v>
      </c>
      <c r="HM923" t="s">
        <v>232</v>
      </c>
      <c r="HU923" s="213">
        <v>42887</v>
      </c>
      <c r="IG923" t="s">
        <v>2423</v>
      </c>
      <c r="IH923" t="s">
        <v>1453</v>
      </c>
      <c r="II923" t="s">
        <v>660</v>
      </c>
      <c r="IJ923" t="s">
        <v>661</v>
      </c>
      <c r="IK923">
        <v>2017</v>
      </c>
      <c r="IM923" t="s">
        <v>2407</v>
      </c>
      <c r="IN923" t="s">
        <v>2423</v>
      </c>
      <c r="IO923" t="s">
        <v>1939</v>
      </c>
      <c r="IP923" t="s">
        <v>273</v>
      </c>
      <c r="IR923" t="s">
        <v>838</v>
      </c>
      <c r="IS923" t="s">
        <v>838</v>
      </c>
      <c r="IT923" t="s">
        <v>2407</v>
      </c>
      <c r="JJ923" t="s">
        <v>721</v>
      </c>
      <c r="KD923" t="s">
        <v>2408</v>
      </c>
      <c r="KE923" t="s">
        <v>2409</v>
      </c>
      <c r="KH923" t="s">
        <v>2406</v>
      </c>
      <c r="KI923" t="s">
        <v>222</v>
      </c>
      <c r="KJ923" t="s">
        <v>221</v>
      </c>
      <c r="KK923" t="s">
        <v>2410</v>
      </c>
      <c r="KL923">
        <f t="shared" ref="KL923:KL925" si="5">+AVERAGE(360,720)</f>
        <v>540</v>
      </c>
      <c r="KM923" t="s">
        <v>222</v>
      </c>
      <c r="KN923" t="s">
        <v>2411</v>
      </c>
      <c r="KO923" t="s">
        <v>2410</v>
      </c>
      <c r="KP923">
        <v>360</v>
      </c>
      <c r="KU923" t="s">
        <v>2412</v>
      </c>
      <c r="KV923" t="s">
        <v>2413</v>
      </c>
      <c r="LE923" t="s">
        <v>2414</v>
      </c>
      <c r="MS923" t="s">
        <v>2415</v>
      </c>
      <c r="MT923">
        <v>136</v>
      </c>
      <c r="MW923" t="s">
        <v>2315</v>
      </c>
      <c r="ND923" t="s">
        <v>2416</v>
      </c>
      <c r="NE923" s="214" t="s">
        <v>2445</v>
      </c>
      <c r="NF923" s="214" t="s">
        <v>2446</v>
      </c>
      <c r="NG923" s="4" t="s">
        <v>2226</v>
      </c>
      <c r="NH923" t="s">
        <v>2447</v>
      </c>
      <c r="NQ923" t="s">
        <v>6</v>
      </c>
      <c r="NR923">
        <v>834</v>
      </c>
      <c r="NS923" t="s">
        <v>29</v>
      </c>
      <c r="NW923">
        <v>3</v>
      </c>
      <c r="OH923" t="s">
        <v>2421</v>
      </c>
      <c r="OI923" t="s">
        <v>6</v>
      </c>
      <c r="OK923">
        <v>2017</v>
      </c>
      <c r="OL923">
        <v>2020</v>
      </c>
      <c r="OO923" t="s">
        <v>1178</v>
      </c>
      <c r="OP923" s="58">
        <v>46136</v>
      </c>
    </row>
    <row r="924" spans="1:406">
      <c r="A924" t="s">
        <v>248</v>
      </c>
      <c r="B924" t="s">
        <v>2396</v>
      </c>
      <c r="C924" t="s">
        <v>2397</v>
      </c>
      <c r="D924" t="s">
        <v>1955</v>
      </c>
      <c r="E924" s="90" t="s">
        <v>2398</v>
      </c>
      <c r="F924" t="s">
        <v>31</v>
      </c>
      <c r="G924" t="s">
        <v>2</v>
      </c>
      <c r="H924" t="s">
        <v>30</v>
      </c>
      <c r="I924">
        <v>7.8527777780000001</v>
      </c>
      <c r="J924">
        <v>-5.1111111109999996</v>
      </c>
      <c r="K924" t="s">
        <v>29</v>
      </c>
      <c r="AV924" t="s">
        <v>838</v>
      </c>
      <c r="AW924" t="s">
        <v>838</v>
      </c>
      <c r="AX924" t="s">
        <v>1619</v>
      </c>
      <c r="AY924" t="s">
        <v>838</v>
      </c>
      <c r="AZ924" t="s">
        <v>2399</v>
      </c>
      <c r="BA924">
        <v>2017</v>
      </c>
      <c r="BB924">
        <v>2020</v>
      </c>
      <c r="BC924" t="s">
        <v>838</v>
      </c>
      <c r="BD924" t="s">
        <v>2422</v>
      </c>
      <c r="BE924" t="s">
        <v>2424</v>
      </c>
      <c r="BG924" t="s">
        <v>1243</v>
      </c>
      <c r="BH924" t="s">
        <v>2338</v>
      </c>
      <c r="BI924" t="s">
        <v>2402</v>
      </c>
      <c r="BJ924" t="s">
        <v>2403</v>
      </c>
      <c r="BK924">
        <v>722000</v>
      </c>
      <c r="BL924" t="s">
        <v>56</v>
      </c>
      <c r="BM924" t="s">
        <v>2404</v>
      </c>
      <c r="BN924" t="s">
        <v>2405</v>
      </c>
      <c r="BO924" t="s">
        <v>2403</v>
      </c>
      <c r="BP924" s="9">
        <v>470000</v>
      </c>
      <c r="BQ924" t="s">
        <v>275</v>
      </c>
      <c r="BR924" t="s">
        <v>2404</v>
      </c>
      <c r="BS924" t="s">
        <v>2405</v>
      </c>
      <c r="BT924" t="s">
        <v>2403</v>
      </c>
      <c r="BU924" s="9">
        <v>470000</v>
      </c>
      <c r="BV924" t="s">
        <v>275</v>
      </c>
      <c r="BW924" t="s">
        <v>2338</v>
      </c>
      <c r="BX924" t="s">
        <v>2402</v>
      </c>
      <c r="BY924" t="s">
        <v>2403</v>
      </c>
      <c r="BZ924">
        <v>722000</v>
      </c>
      <c r="CA924" t="s">
        <v>56</v>
      </c>
      <c r="CB924" t="s">
        <v>2404</v>
      </c>
      <c r="CC924" t="s">
        <v>2405</v>
      </c>
      <c r="CD924" t="s">
        <v>2403</v>
      </c>
      <c r="CE924" s="9">
        <v>470000</v>
      </c>
      <c r="HL924" t="s">
        <v>2406</v>
      </c>
      <c r="HM924" t="s">
        <v>232</v>
      </c>
      <c r="HU924" s="213">
        <v>42887</v>
      </c>
      <c r="IG924" t="s">
        <v>2424</v>
      </c>
      <c r="IH924" t="s">
        <v>1453</v>
      </c>
      <c r="II924" t="s">
        <v>660</v>
      </c>
      <c r="IJ924" t="s">
        <v>661</v>
      </c>
      <c r="IK924">
        <v>2017</v>
      </c>
      <c r="IM924" t="s">
        <v>2407</v>
      </c>
      <c r="IN924" t="s">
        <v>2424</v>
      </c>
      <c r="IO924" t="s">
        <v>1939</v>
      </c>
      <c r="IP924" t="s">
        <v>273</v>
      </c>
      <c r="IR924" t="s">
        <v>838</v>
      </c>
      <c r="IS924" t="s">
        <v>838</v>
      </c>
      <c r="IT924" t="s">
        <v>2407</v>
      </c>
      <c r="JJ924" t="s">
        <v>721</v>
      </c>
      <c r="KD924" t="s">
        <v>2408</v>
      </c>
      <c r="KE924" t="s">
        <v>2409</v>
      </c>
      <c r="KH924" t="s">
        <v>2406</v>
      </c>
      <c r="KI924" t="s">
        <v>222</v>
      </c>
      <c r="KJ924" t="s">
        <v>221</v>
      </c>
      <c r="KK924" t="s">
        <v>2410</v>
      </c>
      <c r="KL924">
        <f t="shared" si="5"/>
        <v>540</v>
      </c>
      <c r="KM924" t="s">
        <v>222</v>
      </c>
      <c r="KN924" t="s">
        <v>2411</v>
      </c>
      <c r="KO924" t="s">
        <v>2410</v>
      </c>
      <c r="KP924">
        <v>360</v>
      </c>
      <c r="KU924" t="s">
        <v>2412</v>
      </c>
      <c r="KV924" t="s">
        <v>2413</v>
      </c>
      <c r="LE924" t="s">
        <v>2414</v>
      </c>
      <c r="MS924" t="s">
        <v>2415</v>
      </c>
      <c r="MT924">
        <v>136</v>
      </c>
      <c r="MW924" t="s">
        <v>2315</v>
      </c>
      <c r="ND924" t="s">
        <v>2416</v>
      </c>
      <c r="NE924" s="214" t="s">
        <v>2445</v>
      </c>
      <c r="NF924" s="214" t="s">
        <v>2446</v>
      </c>
      <c r="NG924" s="4" t="s">
        <v>2226</v>
      </c>
      <c r="NH924" t="s">
        <v>2447</v>
      </c>
      <c r="NQ924" t="s">
        <v>6</v>
      </c>
      <c r="NR924">
        <v>1496</v>
      </c>
      <c r="NS924" t="s">
        <v>29</v>
      </c>
      <c r="NW924">
        <v>3</v>
      </c>
      <c r="OH924" t="s">
        <v>2421</v>
      </c>
      <c r="OI924" t="s">
        <v>6</v>
      </c>
      <c r="OK924">
        <v>2017</v>
      </c>
      <c r="OL924">
        <v>2020</v>
      </c>
      <c r="OO924" t="s">
        <v>1178</v>
      </c>
      <c r="OP924" s="58">
        <v>46136</v>
      </c>
    </row>
    <row r="925" spans="1:406">
      <c r="A925" t="s">
        <v>248</v>
      </c>
      <c r="B925" t="s">
        <v>2396</v>
      </c>
      <c r="C925" t="s">
        <v>2397</v>
      </c>
      <c r="D925" t="s">
        <v>1955</v>
      </c>
      <c r="E925" s="90" t="s">
        <v>2398</v>
      </c>
      <c r="F925" t="s">
        <v>31</v>
      </c>
      <c r="G925" t="s">
        <v>2</v>
      </c>
      <c r="H925" t="s">
        <v>30</v>
      </c>
      <c r="I925">
        <v>7.8527777780000001</v>
      </c>
      <c r="J925">
        <v>-5.1111111109999996</v>
      </c>
      <c r="K925" t="s">
        <v>29</v>
      </c>
      <c r="AV925" t="s">
        <v>838</v>
      </c>
      <c r="AW925" t="s">
        <v>838</v>
      </c>
      <c r="AX925" t="s">
        <v>1619</v>
      </c>
      <c r="AY925" t="s">
        <v>838</v>
      </c>
      <c r="AZ925" t="s">
        <v>2399</v>
      </c>
      <c r="BA925">
        <v>2017</v>
      </c>
      <c r="BB925">
        <v>2020</v>
      </c>
      <c r="BC925" t="s">
        <v>838</v>
      </c>
      <c r="BD925" t="s">
        <v>19</v>
      </c>
      <c r="BE925" t="s">
        <v>2425</v>
      </c>
      <c r="BG925" t="s">
        <v>1243</v>
      </c>
      <c r="BH925" t="s">
        <v>2338</v>
      </c>
      <c r="BI925" t="s">
        <v>2402</v>
      </c>
      <c r="BJ925" t="s">
        <v>2403</v>
      </c>
      <c r="BK925">
        <v>722000</v>
      </c>
      <c r="BL925" t="s">
        <v>275</v>
      </c>
      <c r="BM925" t="s">
        <v>23</v>
      </c>
      <c r="BN925" t="s">
        <v>1481</v>
      </c>
      <c r="BO925" t="s">
        <v>2403</v>
      </c>
      <c r="BP925" s="9">
        <v>55556</v>
      </c>
      <c r="HL925" t="s">
        <v>2426</v>
      </c>
      <c r="HM925" t="s">
        <v>297</v>
      </c>
      <c r="HN925" t="s">
        <v>2427</v>
      </c>
      <c r="HQ925">
        <v>3</v>
      </c>
      <c r="HU925" s="213">
        <v>42887</v>
      </c>
      <c r="IG925" t="s">
        <v>2425</v>
      </c>
      <c r="IH925" t="s">
        <v>19</v>
      </c>
      <c r="II925" t="s">
        <v>660</v>
      </c>
      <c r="IJ925" t="s">
        <v>661</v>
      </c>
      <c r="IK925">
        <v>2017</v>
      </c>
      <c r="IM925" t="s">
        <v>2428</v>
      </c>
      <c r="IN925" t="s">
        <v>2425</v>
      </c>
      <c r="IO925" t="s">
        <v>1939</v>
      </c>
      <c r="IP925" t="s">
        <v>283</v>
      </c>
      <c r="IR925" t="s">
        <v>838</v>
      </c>
      <c r="IS925" t="s">
        <v>838</v>
      </c>
      <c r="IT925" t="s">
        <v>2428</v>
      </c>
      <c r="JJ925" t="s">
        <v>721</v>
      </c>
      <c r="KD925" t="s">
        <v>2408</v>
      </c>
      <c r="KE925" t="s">
        <v>2409</v>
      </c>
      <c r="KH925" t="s">
        <v>2426</v>
      </c>
      <c r="KI925" t="s">
        <v>222</v>
      </c>
      <c r="KJ925" t="s">
        <v>221</v>
      </c>
      <c r="KK925" t="s">
        <v>2410</v>
      </c>
      <c r="KL925">
        <f t="shared" si="5"/>
        <v>540</v>
      </c>
      <c r="KM925" t="s">
        <v>222</v>
      </c>
      <c r="KN925" t="s">
        <v>2411</v>
      </c>
      <c r="KO925" t="s">
        <v>2410</v>
      </c>
      <c r="KP925">
        <v>360</v>
      </c>
      <c r="KU925" t="s">
        <v>2412</v>
      </c>
      <c r="KV925" t="s">
        <v>2413</v>
      </c>
      <c r="LE925" t="s">
        <v>2414</v>
      </c>
      <c r="MS925" t="s">
        <v>2415</v>
      </c>
      <c r="MT925">
        <v>136</v>
      </c>
      <c r="MW925" t="s">
        <v>2315</v>
      </c>
      <c r="MX925" t="s">
        <v>168</v>
      </c>
      <c r="ND925" t="s">
        <v>2416</v>
      </c>
      <c r="NE925" s="214" t="s">
        <v>2445</v>
      </c>
      <c r="NF925" s="214" t="s">
        <v>2446</v>
      </c>
      <c r="NG925" s="4" t="s">
        <v>2226</v>
      </c>
      <c r="NH925" t="s">
        <v>2447</v>
      </c>
      <c r="NQ925" t="s">
        <v>6</v>
      </c>
      <c r="NR925">
        <v>1025</v>
      </c>
      <c r="NS925" t="s">
        <v>29</v>
      </c>
      <c r="NW925">
        <v>3</v>
      </c>
      <c r="OH925" t="s">
        <v>2421</v>
      </c>
      <c r="OI925" t="s">
        <v>6</v>
      </c>
      <c r="OK925">
        <v>2017</v>
      </c>
      <c r="OL925">
        <v>2020</v>
      </c>
      <c r="OO925" t="s">
        <v>1178</v>
      </c>
      <c r="OP925" s="58">
        <v>46136</v>
      </c>
    </row>
    <row r="926" spans="1:406">
      <c r="A926" t="s">
        <v>248</v>
      </c>
      <c r="B926" t="s">
        <v>2396</v>
      </c>
      <c r="C926" t="s">
        <v>2397</v>
      </c>
      <c r="D926" t="s">
        <v>1955</v>
      </c>
      <c r="E926" s="90" t="s">
        <v>2398</v>
      </c>
      <c r="F926" t="s">
        <v>31</v>
      </c>
      <c r="G926" t="s">
        <v>2</v>
      </c>
      <c r="H926" t="s">
        <v>30</v>
      </c>
      <c r="I926">
        <v>7.8527777780000001</v>
      </c>
      <c r="J926">
        <v>-5.1111111109999996</v>
      </c>
      <c r="K926" t="s">
        <v>29</v>
      </c>
      <c r="AV926" t="s">
        <v>838</v>
      </c>
      <c r="AW926" t="s">
        <v>838</v>
      </c>
      <c r="AX926" t="s">
        <v>1619</v>
      </c>
      <c r="AY926" t="s">
        <v>838</v>
      </c>
      <c r="AZ926" t="s">
        <v>2399</v>
      </c>
      <c r="BA926">
        <v>2017</v>
      </c>
      <c r="BB926">
        <v>2020</v>
      </c>
      <c r="BC926" t="s">
        <v>838</v>
      </c>
      <c r="BD926" t="s">
        <v>2400</v>
      </c>
      <c r="BE926" t="s">
        <v>2429</v>
      </c>
      <c r="BG926" t="s">
        <v>1243</v>
      </c>
      <c r="BH926" t="s">
        <v>23</v>
      </c>
      <c r="BI926" t="s">
        <v>1481</v>
      </c>
      <c r="BJ926" t="s">
        <v>2403</v>
      </c>
      <c r="BK926" s="9">
        <v>55556</v>
      </c>
      <c r="BL926" t="s">
        <v>56</v>
      </c>
      <c r="BM926" t="s">
        <v>2192</v>
      </c>
      <c r="BN926" t="s">
        <v>2430</v>
      </c>
      <c r="BO926" t="s">
        <v>2403</v>
      </c>
      <c r="BP926">
        <v>55600</v>
      </c>
      <c r="BQ926" t="s">
        <v>275</v>
      </c>
      <c r="BR926" t="s">
        <v>2338</v>
      </c>
      <c r="BS926" t="s">
        <v>2402</v>
      </c>
      <c r="BT926" t="s">
        <v>2403</v>
      </c>
      <c r="BU926">
        <v>722000</v>
      </c>
      <c r="BV926" t="s">
        <v>56</v>
      </c>
      <c r="BW926" t="s">
        <v>1436</v>
      </c>
      <c r="BX926" t="s">
        <v>29</v>
      </c>
      <c r="BY926" t="s">
        <v>29</v>
      </c>
      <c r="BZ926" t="s">
        <v>29</v>
      </c>
      <c r="HL926" t="s">
        <v>2406</v>
      </c>
      <c r="HM926" t="s">
        <v>232</v>
      </c>
      <c r="HU926" s="213">
        <v>42887</v>
      </c>
      <c r="IG926" t="s">
        <v>2429</v>
      </c>
      <c r="IH926" t="s">
        <v>1453</v>
      </c>
      <c r="II926" t="s">
        <v>660</v>
      </c>
      <c r="IJ926" t="s">
        <v>661</v>
      </c>
      <c r="IK926">
        <v>2017</v>
      </c>
      <c r="IM926" t="s">
        <v>2407</v>
      </c>
      <c r="IN926" t="s">
        <v>2429</v>
      </c>
      <c r="IO926" t="s">
        <v>2431</v>
      </c>
      <c r="IP926" t="s">
        <v>2432</v>
      </c>
      <c r="IR926" t="s">
        <v>838</v>
      </c>
      <c r="IS926" t="s">
        <v>838</v>
      </c>
      <c r="IT926" t="s">
        <v>2407</v>
      </c>
      <c r="JJ926" t="s">
        <v>721</v>
      </c>
      <c r="KD926" t="s">
        <v>2408</v>
      </c>
      <c r="KE926" t="s">
        <v>2409</v>
      </c>
      <c r="KH926" t="s">
        <v>2406</v>
      </c>
      <c r="KI926" t="s">
        <v>222</v>
      </c>
      <c r="KJ926" t="s">
        <v>2433</v>
      </c>
      <c r="KK926" t="s">
        <v>2410</v>
      </c>
      <c r="KL926">
        <v>1000</v>
      </c>
      <c r="KM926" t="s">
        <v>222</v>
      </c>
      <c r="KV926" t="s">
        <v>2324</v>
      </c>
      <c r="KW926" t="s">
        <v>2434</v>
      </c>
      <c r="LE926" t="s">
        <v>2414</v>
      </c>
      <c r="MS926" t="s">
        <v>2415</v>
      </c>
      <c r="MT926">
        <v>136</v>
      </c>
      <c r="MW926" t="s">
        <v>2315</v>
      </c>
      <c r="MX926" t="s">
        <v>168</v>
      </c>
      <c r="ND926" t="s">
        <v>2416</v>
      </c>
      <c r="NE926" s="214" t="s">
        <v>2445</v>
      </c>
      <c r="NF926" s="214" t="s">
        <v>2446</v>
      </c>
      <c r="NG926" s="4" t="s">
        <v>2226</v>
      </c>
      <c r="NH926" t="s">
        <v>2447</v>
      </c>
      <c r="NQ926" t="s">
        <v>6</v>
      </c>
      <c r="NR926">
        <v>222</v>
      </c>
      <c r="NS926" t="s">
        <v>29</v>
      </c>
      <c r="NW926">
        <v>3</v>
      </c>
      <c r="OH926" t="s">
        <v>2421</v>
      </c>
      <c r="OI926" t="s">
        <v>6</v>
      </c>
      <c r="OK926">
        <v>2017</v>
      </c>
      <c r="OL926">
        <v>2020</v>
      </c>
      <c r="OO926" t="s">
        <v>1178</v>
      </c>
      <c r="OP926" s="58">
        <v>46136</v>
      </c>
    </row>
    <row r="927" spans="1:406">
      <c r="A927" t="s">
        <v>248</v>
      </c>
      <c r="B927" t="s">
        <v>2396</v>
      </c>
      <c r="C927" t="s">
        <v>2397</v>
      </c>
      <c r="D927" t="s">
        <v>1955</v>
      </c>
      <c r="E927" s="90" t="s">
        <v>2398</v>
      </c>
      <c r="F927" t="s">
        <v>31</v>
      </c>
      <c r="G927" t="s">
        <v>2</v>
      </c>
      <c r="H927" t="s">
        <v>30</v>
      </c>
      <c r="I927">
        <v>7.8527777780000001</v>
      </c>
      <c r="J927">
        <v>-5.1111111109999996</v>
      </c>
      <c r="K927" t="s">
        <v>29</v>
      </c>
      <c r="AV927" t="s">
        <v>838</v>
      </c>
      <c r="AW927" t="s">
        <v>838</v>
      </c>
      <c r="AX927" t="s">
        <v>1619</v>
      </c>
      <c r="AY927" t="s">
        <v>838</v>
      </c>
      <c r="AZ927" t="s">
        <v>2399</v>
      </c>
      <c r="BA927">
        <v>2017</v>
      </c>
      <c r="BB927">
        <v>2020</v>
      </c>
      <c r="BC927" t="s">
        <v>838</v>
      </c>
      <c r="BD927" t="s">
        <v>2400</v>
      </c>
      <c r="BE927" t="s">
        <v>2435</v>
      </c>
      <c r="BG927" t="s">
        <v>1243</v>
      </c>
      <c r="BH927" t="s">
        <v>23</v>
      </c>
      <c r="BI927" t="s">
        <v>1481</v>
      </c>
      <c r="BJ927" t="s">
        <v>2403</v>
      </c>
      <c r="BK927" s="9">
        <v>55556</v>
      </c>
      <c r="BL927" t="s">
        <v>56</v>
      </c>
      <c r="BM927" t="s">
        <v>2436</v>
      </c>
      <c r="BN927" t="s">
        <v>1481</v>
      </c>
      <c r="BO927" t="s">
        <v>2403</v>
      </c>
      <c r="BP927">
        <v>148000</v>
      </c>
      <c r="BQ927" t="s">
        <v>275</v>
      </c>
      <c r="BR927" t="s">
        <v>23</v>
      </c>
      <c r="BS927" t="s">
        <v>1481</v>
      </c>
      <c r="BT927" t="s">
        <v>2403</v>
      </c>
      <c r="BU927" s="9">
        <v>55556</v>
      </c>
      <c r="BV927" t="s">
        <v>56</v>
      </c>
      <c r="BW927" t="s">
        <v>1424</v>
      </c>
      <c r="BX927" t="s">
        <v>2437</v>
      </c>
      <c r="BY927" t="s">
        <v>2403</v>
      </c>
      <c r="BZ927">
        <v>148000</v>
      </c>
      <c r="CA927" t="s">
        <v>275</v>
      </c>
      <c r="CB927" t="s">
        <v>2338</v>
      </c>
      <c r="CC927" t="s">
        <v>2402</v>
      </c>
      <c r="CD927" t="s">
        <v>2403</v>
      </c>
      <c r="CE927">
        <v>722000</v>
      </c>
      <c r="HL927" t="s">
        <v>2406</v>
      </c>
      <c r="HM927" t="s">
        <v>232</v>
      </c>
      <c r="HU927" s="213">
        <v>42887</v>
      </c>
      <c r="IG927" t="s">
        <v>2435</v>
      </c>
      <c r="IH927" t="s">
        <v>1453</v>
      </c>
      <c r="II927" t="s">
        <v>660</v>
      </c>
      <c r="IJ927" t="s">
        <v>661</v>
      </c>
      <c r="IK927">
        <v>2017</v>
      </c>
      <c r="IM927" t="s">
        <v>2407</v>
      </c>
      <c r="IN927" t="s">
        <v>2435</v>
      </c>
      <c r="IO927" t="s">
        <v>2431</v>
      </c>
      <c r="IP927" t="s">
        <v>2432</v>
      </c>
      <c r="IR927" t="s">
        <v>838</v>
      </c>
      <c r="IS927" t="s">
        <v>838</v>
      </c>
      <c r="IT927" t="s">
        <v>2407</v>
      </c>
      <c r="JJ927" t="s">
        <v>721</v>
      </c>
      <c r="KD927" t="s">
        <v>2408</v>
      </c>
      <c r="KE927" t="s">
        <v>2409</v>
      </c>
      <c r="KH927" t="s">
        <v>2406</v>
      </c>
      <c r="KI927" t="s">
        <v>222</v>
      </c>
      <c r="KJ927" t="s">
        <v>221</v>
      </c>
      <c r="KK927" t="s">
        <v>2410</v>
      </c>
      <c r="KL927">
        <v>540</v>
      </c>
      <c r="KM927" t="s">
        <v>222</v>
      </c>
      <c r="KN927" t="s">
        <v>2411</v>
      </c>
      <c r="KO927" t="s">
        <v>2410</v>
      </c>
      <c r="KP927">
        <v>360</v>
      </c>
      <c r="KU927" t="s">
        <v>2412</v>
      </c>
      <c r="KV927" t="s">
        <v>2413</v>
      </c>
      <c r="LE927" t="s">
        <v>2414</v>
      </c>
      <c r="MS927" t="s">
        <v>2415</v>
      </c>
      <c r="MT927">
        <v>136</v>
      </c>
      <c r="MW927" t="s">
        <v>2315</v>
      </c>
      <c r="MX927" t="s">
        <v>168</v>
      </c>
      <c r="ND927" t="s">
        <v>2416</v>
      </c>
      <c r="NE927" s="214" t="s">
        <v>2445</v>
      </c>
      <c r="NF927" s="214" t="s">
        <v>2446</v>
      </c>
      <c r="NG927" s="4" t="s">
        <v>2226</v>
      </c>
      <c r="NH927" t="s">
        <v>2447</v>
      </c>
      <c r="NQ927" t="s">
        <v>6</v>
      </c>
      <c r="NR927">
        <v>753</v>
      </c>
      <c r="NS927" t="s">
        <v>29</v>
      </c>
      <c r="NW927">
        <v>3</v>
      </c>
      <c r="OH927" t="s">
        <v>2421</v>
      </c>
      <c r="OI927" t="s">
        <v>6</v>
      </c>
      <c r="OK927">
        <v>2017</v>
      </c>
      <c r="OL927">
        <v>2020</v>
      </c>
      <c r="OO927" t="s">
        <v>1178</v>
      </c>
      <c r="OP927" s="58">
        <v>46136</v>
      </c>
    </row>
    <row r="928" spans="1:406">
      <c r="A928" t="s">
        <v>248</v>
      </c>
      <c r="B928" t="s">
        <v>2396</v>
      </c>
      <c r="C928" t="s">
        <v>2397</v>
      </c>
      <c r="D928" t="s">
        <v>1955</v>
      </c>
      <c r="E928" s="90" t="s">
        <v>2398</v>
      </c>
      <c r="F928" t="s">
        <v>31</v>
      </c>
      <c r="G928" t="s">
        <v>2</v>
      </c>
      <c r="H928" t="s">
        <v>30</v>
      </c>
      <c r="I928">
        <v>7.8527777780000001</v>
      </c>
      <c r="J928">
        <v>-5.1111111109999996</v>
      </c>
      <c r="K928" t="s">
        <v>29</v>
      </c>
      <c r="AV928" t="s">
        <v>838</v>
      </c>
      <c r="AW928" t="s">
        <v>838</v>
      </c>
      <c r="AX928" t="s">
        <v>1619</v>
      </c>
      <c r="AY928" t="s">
        <v>838</v>
      </c>
      <c r="AZ928" t="s">
        <v>2399</v>
      </c>
      <c r="BA928">
        <v>2017</v>
      </c>
      <c r="BB928">
        <v>2020</v>
      </c>
      <c r="BC928" t="s">
        <v>838</v>
      </c>
      <c r="BD928" t="s">
        <v>2400</v>
      </c>
      <c r="BE928" t="s">
        <v>2438</v>
      </c>
      <c r="BG928" t="s">
        <v>1243</v>
      </c>
      <c r="BH928" t="s">
        <v>2024</v>
      </c>
      <c r="BI928" t="s">
        <v>1481</v>
      </c>
      <c r="BJ928" t="s">
        <v>29</v>
      </c>
      <c r="BK928" t="s">
        <v>29</v>
      </c>
      <c r="BL928" t="s">
        <v>56</v>
      </c>
      <c r="BM928" t="s">
        <v>2404</v>
      </c>
      <c r="BN928" t="s">
        <v>2405</v>
      </c>
      <c r="BO928" t="s">
        <v>2403</v>
      </c>
      <c r="BP928">
        <v>940000</v>
      </c>
      <c r="BQ928" t="s">
        <v>275</v>
      </c>
      <c r="BR928" t="s">
        <v>2024</v>
      </c>
      <c r="BS928" t="s">
        <v>1481</v>
      </c>
      <c r="BT928" t="s">
        <v>29</v>
      </c>
      <c r="BU928" t="s">
        <v>29</v>
      </c>
      <c r="BV928" t="s">
        <v>56</v>
      </c>
      <c r="BW928" t="s">
        <v>2404</v>
      </c>
      <c r="BX928" t="s">
        <v>2405</v>
      </c>
      <c r="BY928" t="s">
        <v>2403</v>
      </c>
      <c r="BZ928">
        <v>940000</v>
      </c>
      <c r="CA928" t="s">
        <v>275</v>
      </c>
      <c r="CB928" t="s">
        <v>2338</v>
      </c>
      <c r="CC928" t="s">
        <v>2402</v>
      </c>
      <c r="CD928" t="s">
        <v>2403</v>
      </c>
      <c r="CE928">
        <v>722000</v>
      </c>
      <c r="CF928" t="s">
        <v>56</v>
      </c>
      <c r="CG928" t="s">
        <v>2404</v>
      </c>
      <c r="CH928" t="s">
        <v>2439</v>
      </c>
      <c r="CI928" t="s">
        <v>2403</v>
      </c>
      <c r="CJ928">
        <v>940000</v>
      </c>
      <c r="HL928" t="s">
        <v>2406</v>
      </c>
      <c r="HM928" t="s">
        <v>232</v>
      </c>
      <c r="HU928" s="213">
        <v>42887</v>
      </c>
      <c r="IG928" t="s">
        <v>2438</v>
      </c>
      <c r="IH928" t="s">
        <v>1453</v>
      </c>
      <c r="II928" t="s">
        <v>660</v>
      </c>
      <c r="IJ928" t="s">
        <v>661</v>
      </c>
      <c r="IK928">
        <v>2017</v>
      </c>
      <c r="IM928" t="s">
        <v>2407</v>
      </c>
      <c r="IN928" t="s">
        <v>2438</v>
      </c>
      <c r="IO928" t="s">
        <v>1939</v>
      </c>
      <c r="IP928" t="s">
        <v>273</v>
      </c>
      <c r="IR928" t="s">
        <v>838</v>
      </c>
      <c r="IS928" t="s">
        <v>838</v>
      </c>
      <c r="IT928" t="s">
        <v>2407</v>
      </c>
      <c r="JJ928" t="s">
        <v>721</v>
      </c>
      <c r="KD928" t="s">
        <v>2408</v>
      </c>
      <c r="KE928" t="s">
        <v>2409</v>
      </c>
      <c r="KH928" t="s">
        <v>2406</v>
      </c>
      <c r="KI928" t="s">
        <v>222</v>
      </c>
      <c r="KJ928" t="s">
        <v>221</v>
      </c>
      <c r="KK928" t="s">
        <v>2410</v>
      </c>
      <c r="KL928">
        <v>540</v>
      </c>
      <c r="KM928" t="s">
        <v>222</v>
      </c>
      <c r="KN928" t="s">
        <v>2411</v>
      </c>
      <c r="KO928" t="s">
        <v>2410</v>
      </c>
      <c r="KP928">
        <v>360</v>
      </c>
      <c r="KU928" t="s">
        <v>2412</v>
      </c>
      <c r="KV928" t="s">
        <v>2413</v>
      </c>
      <c r="LE928" t="s">
        <v>2414</v>
      </c>
      <c r="MS928" t="s">
        <v>2415</v>
      </c>
      <c r="MT928">
        <v>136</v>
      </c>
      <c r="MW928" t="s">
        <v>2315</v>
      </c>
      <c r="MX928" t="s">
        <v>2440</v>
      </c>
      <c r="ND928" t="s">
        <v>2416</v>
      </c>
      <c r="NE928" s="214" t="s">
        <v>2445</v>
      </c>
      <c r="NF928" s="214" t="s">
        <v>2446</v>
      </c>
      <c r="NG928" s="4" t="s">
        <v>2226</v>
      </c>
      <c r="NH928" t="s">
        <v>2447</v>
      </c>
      <c r="NQ928" t="s">
        <v>6</v>
      </c>
      <c r="NR928">
        <v>12187</v>
      </c>
      <c r="NS928" t="s">
        <v>29</v>
      </c>
      <c r="NW928">
        <v>3</v>
      </c>
      <c r="OH928" t="s">
        <v>2421</v>
      </c>
      <c r="OI928" t="s">
        <v>6</v>
      </c>
      <c r="OK928">
        <v>2017</v>
      </c>
      <c r="OL928">
        <v>2020</v>
      </c>
      <c r="OO928" t="s">
        <v>1178</v>
      </c>
      <c r="OP928" s="58">
        <v>46136</v>
      </c>
    </row>
    <row r="929" spans="1:406">
      <c r="A929" t="s">
        <v>248</v>
      </c>
      <c r="B929" t="s">
        <v>2396</v>
      </c>
      <c r="C929" t="s">
        <v>2397</v>
      </c>
      <c r="D929" t="s">
        <v>1955</v>
      </c>
      <c r="E929" s="90" t="s">
        <v>2398</v>
      </c>
      <c r="F929" t="s">
        <v>31</v>
      </c>
      <c r="G929" t="s">
        <v>2</v>
      </c>
      <c r="H929" t="s">
        <v>30</v>
      </c>
      <c r="I929">
        <v>7.8527777780000001</v>
      </c>
      <c r="J929">
        <v>-5.1111111109999996</v>
      </c>
      <c r="K929" t="s">
        <v>29</v>
      </c>
      <c r="AV929" t="s">
        <v>2415</v>
      </c>
      <c r="AW929">
        <v>136</v>
      </c>
      <c r="AX929" t="s">
        <v>29</v>
      </c>
      <c r="AY929">
        <v>4</v>
      </c>
      <c r="AZ929" t="s">
        <v>2399</v>
      </c>
      <c r="BA929">
        <v>2017</v>
      </c>
      <c r="BB929">
        <v>2020</v>
      </c>
      <c r="BD929" t="s">
        <v>2400</v>
      </c>
      <c r="BE929" t="s">
        <v>2401</v>
      </c>
      <c r="BF929" t="s">
        <v>64</v>
      </c>
      <c r="BG929" t="s">
        <v>1243</v>
      </c>
      <c r="BH929" t="s">
        <v>2338</v>
      </c>
      <c r="BI929" t="s">
        <v>2402</v>
      </c>
      <c r="BJ929" t="s">
        <v>2403</v>
      </c>
      <c r="BK929">
        <v>722000</v>
      </c>
      <c r="BL929" t="s">
        <v>56</v>
      </c>
      <c r="BM929" t="s">
        <v>2404</v>
      </c>
      <c r="BN929" t="s">
        <v>2405</v>
      </c>
      <c r="BO929" t="s">
        <v>2403</v>
      </c>
      <c r="BP929" s="9">
        <v>470000</v>
      </c>
      <c r="BQ929" t="s">
        <v>275</v>
      </c>
      <c r="BR929" t="s">
        <v>23</v>
      </c>
      <c r="BS929" t="s">
        <v>1481</v>
      </c>
      <c r="BT929" t="s">
        <v>2403</v>
      </c>
      <c r="BU929" s="9">
        <v>55556</v>
      </c>
      <c r="BV929" t="s">
        <v>56</v>
      </c>
      <c r="BW929" t="s">
        <v>2404</v>
      </c>
      <c r="BX929" t="s">
        <v>2405</v>
      </c>
      <c r="BY929" t="s">
        <v>2403</v>
      </c>
      <c r="BZ929" s="9">
        <v>470000</v>
      </c>
      <c r="HL929" t="s">
        <v>2406</v>
      </c>
      <c r="HM929" t="s">
        <v>232</v>
      </c>
      <c r="IG929" t="s">
        <v>2401</v>
      </c>
      <c r="IH929" t="s">
        <v>1453</v>
      </c>
      <c r="II929" t="s">
        <v>660</v>
      </c>
      <c r="IJ929" t="s">
        <v>661</v>
      </c>
      <c r="IK929">
        <v>2017</v>
      </c>
      <c r="IM929" t="s">
        <v>2407</v>
      </c>
      <c r="IN929" t="s">
        <v>2401</v>
      </c>
      <c r="IO929" t="s">
        <v>1939</v>
      </c>
      <c r="IP929" t="s">
        <v>273</v>
      </c>
      <c r="IR929">
        <v>2018</v>
      </c>
      <c r="IT929" t="s">
        <v>2407</v>
      </c>
      <c r="JJ929" t="s">
        <v>721</v>
      </c>
      <c r="KD929" t="s">
        <v>2408</v>
      </c>
      <c r="KE929" t="s">
        <v>2409</v>
      </c>
      <c r="KH929" t="s">
        <v>2406</v>
      </c>
      <c r="KI929" t="s">
        <v>222</v>
      </c>
      <c r="KJ929" t="s">
        <v>221</v>
      </c>
      <c r="KK929" t="s">
        <v>2410</v>
      </c>
      <c r="KL929">
        <f>+AVERAGE(360,720)</f>
        <v>540</v>
      </c>
      <c r="KM929" t="s">
        <v>222</v>
      </c>
      <c r="KN929" t="s">
        <v>2411</v>
      </c>
      <c r="KO929" t="s">
        <v>2410</v>
      </c>
      <c r="KP929">
        <v>360</v>
      </c>
      <c r="KU929" t="s">
        <v>2412</v>
      </c>
      <c r="KV929" t="s">
        <v>2413</v>
      </c>
      <c r="LE929" t="s">
        <v>2407</v>
      </c>
      <c r="MS929" t="s">
        <v>2415</v>
      </c>
      <c r="MT929">
        <v>136</v>
      </c>
      <c r="MU929" t="s">
        <v>2448</v>
      </c>
      <c r="MW929" t="s">
        <v>2315</v>
      </c>
      <c r="NE929" s="214" t="s">
        <v>2448</v>
      </c>
      <c r="NF929" s="214"/>
      <c r="NG929" t="s">
        <v>8</v>
      </c>
      <c r="NH929" t="s">
        <v>13</v>
      </c>
      <c r="NQ929" t="s">
        <v>6</v>
      </c>
      <c r="NR929">
        <v>1172.9000000000001</v>
      </c>
      <c r="NS929" t="s">
        <v>29</v>
      </c>
      <c r="NW929">
        <v>3</v>
      </c>
      <c r="OH929" t="s">
        <v>2390</v>
      </c>
      <c r="OI929" t="s">
        <v>6</v>
      </c>
      <c r="OK929">
        <v>2017</v>
      </c>
      <c r="OL929">
        <v>2020</v>
      </c>
      <c r="OO929" t="s">
        <v>1178</v>
      </c>
      <c r="OP929" s="58">
        <v>46136</v>
      </c>
    </row>
    <row r="930" spans="1:406">
      <c r="A930" t="s">
        <v>248</v>
      </c>
      <c r="B930" t="s">
        <v>2396</v>
      </c>
      <c r="C930" t="s">
        <v>2397</v>
      </c>
      <c r="D930" t="s">
        <v>1955</v>
      </c>
      <c r="E930" s="90" t="s">
        <v>2398</v>
      </c>
      <c r="F930" t="s">
        <v>31</v>
      </c>
      <c r="G930" t="s">
        <v>2</v>
      </c>
      <c r="H930" t="s">
        <v>30</v>
      </c>
      <c r="I930">
        <v>7.8527777780000001</v>
      </c>
      <c r="J930">
        <v>-5.1111111109999996</v>
      </c>
      <c r="K930" t="s">
        <v>29</v>
      </c>
      <c r="O930" t="str">
        <f>_xlfn.LET(_xlpm.result, _xlfn.XLOOKUP([1]!Table5[[#This Row],[site_id02]],'[1]01_sites'!D:D,'[1]01_sites'!C:C,""), IF(_xlpm.result=0,"",_xlpm.result))</f>
        <v/>
      </c>
      <c r="R930" t="str">
        <f>_xlfn.LET(_xlpm.result, _xlfn.XLOOKUP([1]!Table5[[#This Row],[site_id02]],'[1]01_sites'!D:D,'[1]01_sites'!F:F,""), IF(_xlpm.result=0,"",_xlpm.result))</f>
        <v/>
      </c>
      <c r="S930" t="str">
        <f>_xlfn.LET(_xlpm.result, _xlfn.XLOOKUP([1]!Table5[[#This Row],[site_id02]],'[1]01_sites'!D:D,'[1]01_sites'!G:G,""), IF(_xlpm.result=0,"",_xlpm.result))</f>
        <v/>
      </c>
      <c r="T930" t="str">
        <f>_xlfn.LET(_xlpm.result, _xlfn.XLOOKUP([1]!Table5[[#This Row],[site_id02]],'[1]01_sites'!D:D,'[1]01_sites'!H:H,""), IF(_xlpm.result=0,"",_xlpm.result))</f>
        <v/>
      </c>
      <c r="X930" t="str">
        <f>_xlfn.LET(_xlpm.result, _xlfn.XLOOKUP([1]!Table5[[#This Row],[site_id03]],'[1]01_sites'!D:D,'[1]01_sites'!C:C,""), IF(_xlpm.result=0,"",_xlpm.result))</f>
        <v/>
      </c>
      <c r="AA930" t="str">
        <f>_xlfn.LET(_xlpm.result, _xlfn.XLOOKUP([1]!Table5[[#This Row],[site_id03]],'[1]01_sites'!D:D,'[1]01_sites'!F:F,""), IF(_xlpm.result=0,"",_xlpm.result))</f>
        <v/>
      </c>
      <c r="AB930" t="str">
        <f>_xlfn.LET(_xlpm.result, _xlfn.XLOOKUP([1]!Table5[[#This Row],[site_id03]],'[1]01_sites'!D:D,'[1]01_sites'!G:G,""), IF(_xlpm.result=0,"",_xlpm.result))</f>
        <v/>
      </c>
      <c r="AC930" t="str">
        <f>_xlfn.LET(_xlpm.result, _xlfn.XLOOKUP([1]!Table5[[#This Row],[site_id03]],'[1]01_sites'!D:D,'[1]01_sites'!H:H,""), IF(_xlpm.result=0,"",_xlpm.result))</f>
        <v/>
      </c>
      <c r="AG930" t="str">
        <f>_xlfn.LET(_xlpm.result, _xlfn.XLOOKUP([1]!Table5[[#This Row],[site_id04]],'[1]01_sites'!D:D,'[1]01_sites'!C:C,""), IF(_xlpm.result=0,"",_xlpm.result))</f>
        <v/>
      </c>
      <c r="AJ930" t="str">
        <f>_xlfn.LET(_xlpm.result, _xlfn.XLOOKUP([1]!Table5[[#This Row],[site_id04]],'[1]01_sites'!D:D,'[1]01_sites'!F:F,""), IF(_xlpm.result=0,"",_xlpm.result))</f>
        <v/>
      </c>
      <c r="AK930" t="str">
        <f>_xlfn.LET(_xlpm.result, _xlfn.XLOOKUP([1]!Table5[[#This Row],[site_id04]],'[1]01_sites'!D:D,'[1]01_sites'!G:G,""), IF(_xlpm.result=0,"",_xlpm.result))</f>
        <v/>
      </c>
      <c r="AL930" t="str">
        <f>_xlfn.LET(_xlpm.result, _xlfn.XLOOKUP([1]!Table5[[#This Row],[site_id04]],'[1]01_sites'!D:D,'[1]01_sites'!H:H,""), IF(_xlpm.result=0,"",_xlpm.result))</f>
        <v/>
      </c>
      <c r="AP930" t="str">
        <f>_xlfn.LET(_xlpm.result, _xlfn.XLOOKUP([1]!Table5[[#This Row],[site_id05]],'[1]01_sites'!D:D,'[1]01_sites'!C:C,""), IF(_xlpm.result=0,"",_xlpm.result))</f>
        <v/>
      </c>
      <c r="AS930" t="str">
        <f>_xlfn.LET(_xlpm.result, _xlfn.XLOOKUP([1]!Table5[[#This Row],[site_id05]],'[1]01_sites'!D:D,'[1]01_sites'!F:F,""), IF(_xlpm.result=0,"",_xlpm.result))</f>
        <v/>
      </c>
      <c r="AT930" t="str">
        <f>_xlfn.LET(_xlpm.result, _xlfn.XLOOKUP([1]!Table5[[#This Row],[site_id05]],'[1]01_sites'!D:D,'[1]01_sites'!G:G,""), IF(_xlpm.result=0,"",_xlpm.result))</f>
        <v/>
      </c>
      <c r="AU930" t="str">
        <f>_xlfn.LET(_xlpm.result, _xlfn.XLOOKUP([1]!Table5[[#This Row],[site_id05]],'[1]01_sites'!D:D,'[1]01_sites'!H:H,""), IF(_xlpm.result=0,"",_xlpm.result))</f>
        <v/>
      </c>
      <c r="AV930" t="s">
        <v>2415</v>
      </c>
      <c r="AW930">
        <v>136</v>
      </c>
      <c r="AX930" t="s">
        <v>29</v>
      </c>
      <c r="AY930">
        <v>4</v>
      </c>
      <c r="AZ930" t="s">
        <v>2399</v>
      </c>
      <c r="BA930">
        <v>2017</v>
      </c>
      <c r="BB930">
        <v>2020</v>
      </c>
      <c r="BD930" t="s">
        <v>2400</v>
      </c>
      <c r="BE930" t="s">
        <v>2449</v>
      </c>
      <c r="BF930" t="s">
        <v>57</v>
      </c>
      <c r="BG930" t="s">
        <v>1243</v>
      </c>
      <c r="BH930" t="s">
        <v>2338</v>
      </c>
      <c r="BI930" t="s">
        <v>2402</v>
      </c>
      <c r="BJ930" t="s">
        <v>2403</v>
      </c>
      <c r="BK930">
        <v>722000</v>
      </c>
      <c r="BL930" t="s">
        <v>56</v>
      </c>
      <c r="BM930" t="s">
        <v>2404</v>
      </c>
      <c r="BN930" t="s">
        <v>2405</v>
      </c>
      <c r="BO930" t="s">
        <v>2403</v>
      </c>
      <c r="BP930" s="9">
        <v>470000</v>
      </c>
      <c r="BQ930" t="s">
        <v>275</v>
      </c>
      <c r="BR930" t="s">
        <v>23</v>
      </c>
      <c r="BS930" t="s">
        <v>1481</v>
      </c>
      <c r="BT930" t="s">
        <v>2403</v>
      </c>
      <c r="BU930" s="9">
        <v>55556</v>
      </c>
      <c r="BV930" t="s">
        <v>56</v>
      </c>
      <c r="BW930" t="s">
        <v>2404</v>
      </c>
      <c r="BX930" t="s">
        <v>2405</v>
      </c>
      <c r="BY930" t="s">
        <v>2403</v>
      </c>
      <c r="BZ930" s="9">
        <v>470000</v>
      </c>
      <c r="HL930" t="s">
        <v>2406</v>
      </c>
      <c r="HM930" t="s">
        <v>232</v>
      </c>
      <c r="IG930" t="s">
        <v>2449</v>
      </c>
      <c r="IH930" t="s">
        <v>1453</v>
      </c>
      <c r="II930" t="s">
        <v>660</v>
      </c>
      <c r="IJ930" t="s">
        <v>661</v>
      </c>
      <c r="IK930">
        <v>2017</v>
      </c>
      <c r="IM930" t="s">
        <v>2407</v>
      </c>
      <c r="IN930" t="s">
        <v>2449</v>
      </c>
      <c r="IO930" t="s">
        <v>1939</v>
      </c>
      <c r="IP930" t="s">
        <v>273</v>
      </c>
      <c r="IR930">
        <v>2018</v>
      </c>
      <c r="IT930" t="s">
        <v>2407</v>
      </c>
      <c r="JJ930" t="s">
        <v>721</v>
      </c>
      <c r="KD930" t="s">
        <v>2408</v>
      </c>
      <c r="KE930" t="s">
        <v>2409</v>
      </c>
      <c r="KH930" t="s">
        <v>2406</v>
      </c>
      <c r="KI930" t="s">
        <v>222</v>
      </c>
      <c r="KJ930" t="s">
        <v>221</v>
      </c>
      <c r="KK930" t="s">
        <v>2410</v>
      </c>
      <c r="KL930">
        <f t="shared" ref="KL930:KL932" si="6">+AVERAGE(360,720)</f>
        <v>540</v>
      </c>
      <c r="KM930" t="s">
        <v>222</v>
      </c>
      <c r="KN930" t="s">
        <v>2411</v>
      </c>
      <c r="KO930" t="s">
        <v>2410</v>
      </c>
      <c r="KP930">
        <v>360</v>
      </c>
      <c r="KV930" t="s">
        <v>2413</v>
      </c>
      <c r="LE930" t="s">
        <v>2407</v>
      </c>
      <c r="MS930" t="s">
        <v>2415</v>
      </c>
      <c r="MT930">
        <v>136</v>
      </c>
      <c r="MU930" t="s">
        <v>2448</v>
      </c>
      <c r="MW930" t="s">
        <v>2315</v>
      </c>
      <c r="NE930" t="s">
        <v>2448</v>
      </c>
      <c r="NG930" t="s">
        <v>8</v>
      </c>
      <c r="NH930" t="s">
        <v>13</v>
      </c>
      <c r="NQ930" t="s">
        <v>6</v>
      </c>
      <c r="NR930">
        <v>447.5</v>
      </c>
      <c r="NS930" t="s">
        <v>29</v>
      </c>
      <c r="NW930">
        <v>3</v>
      </c>
      <c r="OH930" t="s">
        <v>2390</v>
      </c>
      <c r="OI930" t="s">
        <v>6</v>
      </c>
      <c r="OK930">
        <v>2017</v>
      </c>
      <c r="OL930">
        <v>2020</v>
      </c>
      <c r="OO930" t="s">
        <v>1178</v>
      </c>
      <c r="OP930" s="58">
        <v>46136</v>
      </c>
    </row>
    <row r="931" spans="1:406">
      <c r="A931" t="s">
        <v>248</v>
      </c>
      <c r="B931" t="s">
        <v>2396</v>
      </c>
      <c r="C931" t="s">
        <v>2397</v>
      </c>
      <c r="D931" t="s">
        <v>1955</v>
      </c>
      <c r="E931" s="90" t="s">
        <v>2398</v>
      </c>
      <c r="F931" t="s">
        <v>31</v>
      </c>
      <c r="G931" t="s">
        <v>2</v>
      </c>
      <c r="H931" t="s">
        <v>30</v>
      </c>
      <c r="I931">
        <v>7.8527777780000001</v>
      </c>
      <c r="J931">
        <v>-5.1111111109999996</v>
      </c>
      <c r="K931" t="s">
        <v>29</v>
      </c>
      <c r="O931" t="str">
        <f>_xlfn.LET(_xlpm.result, _xlfn.XLOOKUP([1]!Table5[[#This Row],[site_id02]],'[1]01_sites'!D:D,'[1]01_sites'!C:C,""), IF(_xlpm.result=0,"",_xlpm.result))</f>
        <v/>
      </c>
      <c r="R931" t="str">
        <f>_xlfn.LET(_xlpm.result, _xlfn.XLOOKUP([1]!Table5[[#This Row],[site_id02]],'[1]01_sites'!D:D,'[1]01_sites'!F:F,""), IF(_xlpm.result=0,"",_xlpm.result))</f>
        <v/>
      </c>
      <c r="S931" t="str">
        <f>_xlfn.LET(_xlpm.result, _xlfn.XLOOKUP([1]!Table5[[#This Row],[site_id02]],'[1]01_sites'!D:D,'[1]01_sites'!G:G,""), IF(_xlpm.result=0,"",_xlpm.result))</f>
        <v/>
      </c>
      <c r="T931" t="str">
        <f>_xlfn.LET(_xlpm.result, _xlfn.XLOOKUP([1]!Table5[[#This Row],[site_id02]],'[1]01_sites'!D:D,'[1]01_sites'!H:H,""), IF(_xlpm.result=0,"",_xlpm.result))</f>
        <v/>
      </c>
      <c r="X931" t="str">
        <f>_xlfn.LET(_xlpm.result, _xlfn.XLOOKUP([1]!Table5[[#This Row],[site_id03]],'[1]01_sites'!D:D,'[1]01_sites'!C:C,""), IF(_xlpm.result=0,"",_xlpm.result))</f>
        <v/>
      </c>
      <c r="AA931" t="str">
        <f>_xlfn.LET(_xlpm.result, _xlfn.XLOOKUP([1]!Table5[[#This Row],[site_id03]],'[1]01_sites'!D:D,'[1]01_sites'!F:F,""), IF(_xlpm.result=0,"",_xlpm.result))</f>
        <v/>
      </c>
      <c r="AB931" t="str">
        <f>_xlfn.LET(_xlpm.result, _xlfn.XLOOKUP([1]!Table5[[#This Row],[site_id03]],'[1]01_sites'!D:D,'[1]01_sites'!G:G,""), IF(_xlpm.result=0,"",_xlpm.result))</f>
        <v/>
      </c>
      <c r="AC931" t="str">
        <f>_xlfn.LET(_xlpm.result, _xlfn.XLOOKUP([1]!Table5[[#This Row],[site_id03]],'[1]01_sites'!D:D,'[1]01_sites'!H:H,""), IF(_xlpm.result=0,"",_xlpm.result))</f>
        <v/>
      </c>
      <c r="AG931" t="str">
        <f>_xlfn.LET(_xlpm.result, _xlfn.XLOOKUP([1]!Table5[[#This Row],[site_id04]],'[1]01_sites'!D:D,'[1]01_sites'!C:C,""), IF(_xlpm.result=0,"",_xlpm.result))</f>
        <v/>
      </c>
      <c r="AJ931" t="str">
        <f>_xlfn.LET(_xlpm.result, _xlfn.XLOOKUP([1]!Table5[[#This Row],[site_id04]],'[1]01_sites'!D:D,'[1]01_sites'!F:F,""), IF(_xlpm.result=0,"",_xlpm.result))</f>
        <v/>
      </c>
      <c r="AK931" t="str">
        <f>_xlfn.LET(_xlpm.result, _xlfn.XLOOKUP([1]!Table5[[#This Row],[site_id04]],'[1]01_sites'!D:D,'[1]01_sites'!G:G,""), IF(_xlpm.result=0,"",_xlpm.result))</f>
        <v/>
      </c>
      <c r="AL931" t="str">
        <f>_xlfn.LET(_xlpm.result, _xlfn.XLOOKUP([1]!Table5[[#This Row],[site_id04]],'[1]01_sites'!D:D,'[1]01_sites'!H:H,""), IF(_xlpm.result=0,"",_xlpm.result))</f>
        <v/>
      </c>
      <c r="AP931" t="str">
        <f>_xlfn.LET(_xlpm.result, _xlfn.XLOOKUP([1]!Table5[[#This Row],[site_id05]],'[1]01_sites'!D:D,'[1]01_sites'!C:C,""), IF(_xlpm.result=0,"",_xlpm.result))</f>
        <v/>
      </c>
      <c r="AS931" t="str">
        <f>_xlfn.LET(_xlpm.result, _xlfn.XLOOKUP([1]!Table5[[#This Row],[site_id05]],'[1]01_sites'!D:D,'[1]01_sites'!F:F,""), IF(_xlpm.result=0,"",_xlpm.result))</f>
        <v/>
      </c>
      <c r="AT931" t="str">
        <f>_xlfn.LET(_xlpm.result, _xlfn.XLOOKUP([1]!Table5[[#This Row],[site_id05]],'[1]01_sites'!D:D,'[1]01_sites'!G:G,""), IF(_xlpm.result=0,"",_xlpm.result))</f>
        <v/>
      </c>
      <c r="AU931" t="str">
        <f>_xlfn.LET(_xlpm.result, _xlfn.XLOOKUP([1]!Table5[[#This Row],[site_id05]],'[1]01_sites'!D:D,'[1]01_sites'!H:H,""), IF(_xlpm.result=0,"",_xlpm.result))</f>
        <v/>
      </c>
      <c r="AV931" t="s">
        <v>2415</v>
      </c>
      <c r="AW931">
        <v>136</v>
      </c>
      <c r="AX931" t="s">
        <v>29</v>
      </c>
      <c r="AY931">
        <v>4</v>
      </c>
      <c r="AZ931" t="s">
        <v>2399</v>
      </c>
      <c r="BA931">
        <v>2017</v>
      </c>
      <c r="BB931">
        <v>2020</v>
      </c>
      <c r="BD931" t="s">
        <v>2422</v>
      </c>
      <c r="BE931" t="s">
        <v>2450</v>
      </c>
      <c r="BF931" t="s">
        <v>48</v>
      </c>
      <c r="BG931" t="s">
        <v>1243</v>
      </c>
      <c r="BH931" t="s">
        <v>2338</v>
      </c>
      <c r="BI931" t="s">
        <v>2402</v>
      </c>
      <c r="BJ931" t="s">
        <v>2403</v>
      </c>
      <c r="BK931">
        <v>722000</v>
      </c>
      <c r="BL931" t="s">
        <v>56</v>
      </c>
      <c r="BM931" t="s">
        <v>2404</v>
      </c>
      <c r="BN931" t="s">
        <v>2405</v>
      </c>
      <c r="BO931" t="s">
        <v>2403</v>
      </c>
      <c r="BP931" s="9">
        <v>470000</v>
      </c>
      <c r="BQ931" t="s">
        <v>275</v>
      </c>
      <c r="BR931" t="s">
        <v>2404</v>
      </c>
      <c r="BS931" t="s">
        <v>2405</v>
      </c>
      <c r="BT931" t="s">
        <v>2403</v>
      </c>
      <c r="BU931" s="9">
        <v>470000</v>
      </c>
      <c r="BV931" t="s">
        <v>275</v>
      </c>
      <c r="BW931" t="s">
        <v>2338</v>
      </c>
      <c r="BX931" t="s">
        <v>2402</v>
      </c>
      <c r="BY931" t="s">
        <v>2403</v>
      </c>
      <c r="BZ931">
        <v>722000</v>
      </c>
      <c r="CA931" t="s">
        <v>56</v>
      </c>
      <c r="CB931" t="s">
        <v>2404</v>
      </c>
      <c r="CC931" t="s">
        <v>2405</v>
      </c>
      <c r="CD931" t="s">
        <v>2403</v>
      </c>
      <c r="CE931" s="9">
        <v>470000</v>
      </c>
      <c r="HL931" t="s">
        <v>2406</v>
      </c>
      <c r="HM931" t="s">
        <v>232</v>
      </c>
      <c r="IG931" t="s">
        <v>2450</v>
      </c>
      <c r="IH931" t="s">
        <v>1453</v>
      </c>
      <c r="II931" t="s">
        <v>660</v>
      </c>
      <c r="IJ931" t="s">
        <v>661</v>
      </c>
      <c r="IK931">
        <v>2017</v>
      </c>
      <c r="IM931" t="s">
        <v>2407</v>
      </c>
      <c r="IN931" t="s">
        <v>2450</v>
      </c>
      <c r="IO931" t="s">
        <v>1939</v>
      </c>
      <c r="IP931" t="s">
        <v>273</v>
      </c>
      <c r="IR931">
        <v>2018</v>
      </c>
      <c r="IT931" t="s">
        <v>2407</v>
      </c>
      <c r="JJ931" t="s">
        <v>721</v>
      </c>
      <c r="KD931" t="s">
        <v>2408</v>
      </c>
      <c r="KE931" t="s">
        <v>2409</v>
      </c>
      <c r="KH931" t="s">
        <v>2406</v>
      </c>
      <c r="KI931" t="s">
        <v>222</v>
      </c>
      <c r="KJ931" t="s">
        <v>221</v>
      </c>
      <c r="KK931" t="s">
        <v>2410</v>
      </c>
      <c r="KL931">
        <f t="shared" si="6"/>
        <v>540</v>
      </c>
      <c r="KM931" t="s">
        <v>222</v>
      </c>
      <c r="KN931" t="s">
        <v>2411</v>
      </c>
      <c r="KO931" t="s">
        <v>2410</v>
      </c>
      <c r="KP931">
        <v>360</v>
      </c>
      <c r="KV931" t="s">
        <v>2413</v>
      </c>
      <c r="LE931" t="s">
        <v>2407</v>
      </c>
      <c r="MS931" t="s">
        <v>2415</v>
      </c>
      <c r="MT931">
        <v>136</v>
      </c>
      <c r="MU931" t="s">
        <v>2448</v>
      </c>
      <c r="MW931" t="s">
        <v>2315</v>
      </c>
      <c r="NE931" t="s">
        <v>2448</v>
      </c>
      <c r="NG931" t="s">
        <v>8</v>
      </c>
      <c r="NH931" t="s">
        <v>13</v>
      </c>
      <c r="NQ931" t="s">
        <v>6</v>
      </c>
      <c r="NR931">
        <v>495</v>
      </c>
      <c r="NS931" t="s">
        <v>29</v>
      </c>
      <c r="NW931">
        <v>3</v>
      </c>
      <c r="OH931" t="s">
        <v>2390</v>
      </c>
      <c r="OI931" t="s">
        <v>6</v>
      </c>
      <c r="OK931">
        <v>2017</v>
      </c>
      <c r="OL931">
        <v>2020</v>
      </c>
      <c r="OO931" t="s">
        <v>1178</v>
      </c>
      <c r="OP931" s="58">
        <v>46136</v>
      </c>
    </row>
    <row r="932" spans="1:406">
      <c r="A932" t="s">
        <v>248</v>
      </c>
      <c r="B932" t="s">
        <v>2396</v>
      </c>
      <c r="C932" t="s">
        <v>2397</v>
      </c>
      <c r="D932" t="s">
        <v>1955</v>
      </c>
      <c r="E932" s="90" t="s">
        <v>2398</v>
      </c>
      <c r="F932" t="s">
        <v>31</v>
      </c>
      <c r="G932" t="s">
        <v>2</v>
      </c>
      <c r="H932" t="s">
        <v>30</v>
      </c>
      <c r="I932">
        <v>7.8527777780000001</v>
      </c>
      <c r="J932">
        <v>-5.1111111109999996</v>
      </c>
      <c r="K932" t="s">
        <v>29</v>
      </c>
      <c r="AV932" t="s">
        <v>2415</v>
      </c>
      <c r="AW932">
        <v>136</v>
      </c>
      <c r="AX932" t="s">
        <v>29</v>
      </c>
      <c r="AY932">
        <v>4</v>
      </c>
      <c r="AZ932" t="s">
        <v>2399</v>
      </c>
      <c r="BA932">
        <v>2017</v>
      </c>
      <c r="BB932">
        <v>2020</v>
      </c>
      <c r="BD932" t="s">
        <v>2422</v>
      </c>
      <c r="BE932" t="s">
        <v>2424</v>
      </c>
      <c r="BF932" t="s">
        <v>43</v>
      </c>
      <c r="BG932" t="s">
        <v>1243</v>
      </c>
      <c r="BH932" t="s">
        <v>2338</v>
      </c>
      <c r="BI932" t="s">
        <v>2402</v>
      </c>
      <c r="BJ932" t="s">
        <v>2403</v>
      </c>
      <c r="BK932">
        <v>722000</v>
      </c>
      <c r="BL932" t="s">
        <v>56</v>
      </c>
      <c r="BM932" t="s">
        <v>2404</v>
      </c>
      <c r="BN932" t="s">
        <v>2405</v>
      </c>
      <c r="BO932" t="s">
        <v>2403</v>
      </c>
      <c r="BP932" s="9">
        <v>470000</v>
      </c>
      <c r="BQ932" t="s">
        <v>275</v>
      </c>
      <c r="BR932" t="s">
        <v>2404</v>
      </c>
      <c r="BS932" t="s">
        <v>2405</v>
      </c>
      <c r="BT932" t="s">
        <v>2403</v>
      </c>
      <c r="BU932" s="9">
        <v>470000</v>
      </c>
      <c r="BV932" t="s">
        <v>275</v>
      </c>
      <c r="BW932" t="s">
        <v>2338</v>
      </c>
      <c r="BX932" t="s">
        <v>2402</v>
      </c>
      <c r="BY932" t="s">
        <v>2403</v>
      </c>
      <c r="BZ932">
        <v>722000</v>
      </c>
      <c r="CA932" t="s">
        <v>56</v>
      </c>
      <c r="CB932" t="s">
        <v>2404</v>
      </c>
      <c r="CC932" t="s">
        <v>2405</v>
      </c>
      <c r="CD932" t="s">
        <v>2403</v>
      </c>
      <c r="CE932" s="9">
        <v>470000</v>
      </c>
      <c r="HL932" t="s">
        <v>2406</v>
      </c>
      <c r="HM932" t="s">
        <v>232</v>
      </c>
      <c r="IG932" t="s">
        <v>2424</v>
      </c>
      <c r="IH932" t="s">
        <v>1453</v>
      </c>
      <c r="II932" t="s">
        <v>660</v>
      </c>
      <c r="IJ932" t="s">
        <v>661</v>
      </c>
      <c r="IK932">
        <v>2017</v>
      </c>
      <c r="IM932" t="s">
        <v>2407</v>
      </c>
      <c r="IN932" t="s">
        <v>2424</v>
      </c>
      <c r="IO932" t="s">
        <v>1939</v>
      </c>
      <c r="IP932" t="s">
        <v>273</v>
      </c>
      <c r="IR932">
        <v>2018</v>
      </c>
      <c r="IT932" t="s">
        <v>2407</v>
      </c>
      <c r="JJ932" t="s">
        <v>721</v>
      </c>
      <c r="KD932" t="s">
        <v>2408</v>
      </c>
      <c r="KE932" t="s">
        <v>2409</v>
      </c>
      <c r="KH932" t="s">
        <v>2406</v>
      </c>
      <c r="KI932" t="s">
        <v>222</v>
      </c>
      <c r="KJ932" t="s">
        <v>221</v>
      </c>
      <c r="KK932" t="s">
        <v>2410</v>
      </c>
      <c r="KL932">
        <f t="shared" si="6"/>
        <v>540</v>
      </c>
      <c r="KM932" t="s">
        <v>222</v>
      </c>
      <c r="KN932" t="s">
        <v>2411</v>
      </c>
      <c r="KO932" t="s">
        <v>2410</v>
      </c>
      <c r="KP932">
        <v>360</v>
      </c>
      <c r="KU932" t="s">
        <v>2412</v>
      </c>
      <c r="KV932" t="s">
        <v>2413</v>
      </c>
      <c r="LE932" t="s">
        <v>2407</v>
      </c>
      <c r="MS932" t="s">
        <v>2415</v>
      </c>
      <c r="MT932">
        <v>136</v>
      </c>
      <c r="MU932" t="s">
        <v>2448</v>
      </c>
      <c r="MW932" t="s">
        <v>2315</v>
      </c>
      <c r="NE932" t="s">
        <v>2448</v>
      </c>
      <c r="NG932" t="s">
        <v>8</v>
      </c>
      <c r="NH932" t="s">
        <v>13</v>
      </c>
      <c r="NQ932" t="s">
        <v>6</v>
      </c>
      <c r="NR932">
        <v>1469.3</v>
      </c>
      <c r="NS932" t="s">
        <v>29</v>
      </c>
      <c r="NW932">
        <v>3</v>
      </c>
      <c r="OH932" t="s">
        <v>2390</v>
      </c>
      <c r="OI932" t="s">
        <v>6</v>
      </c>
      <c r="OK932">
        <v>2017</v>
      </c>
      <c r="OL932">
        <v>2020</v>
      </c>
      <c r="OO932" t="s">
        <v>1178</v>
      </c>
      <c r="OP932" s="58">
        <v>46136</v>
      </c>
    </row>
    <row r="933" spans="1:406">
      <c r="A933" t="s">
        <v>248</v>
      </c>
      <c r="B933" t="s">
        <v>2396</v>
      </c>
      <c r="C933" t="s">
        <v>2397</v>
      </c>
      <c r="D933" t="s">
        <v>1955</v>
      </c>
      <c r="E933" s="90" t="s">
        <v>2398</v>
      </c>
      <c r="F933" t="s">
        <v>31</v>
      </c>
      <c r="G933" t="s">
        <v>2</v>
      </c>
      <c r="H933" t="s">
        <v>30</v>
      </c>
      <c r="I933">
        <v>7.8527777780000001</v>
      </c>
      <c r="J933">
        <v>-5.1111111109999996</v>
      </c>
      <c r="K933" t="s">
        <v>29</v>
      </c>
      <c r="AV933" t="s">
        <v>2415</v>
      </c>
      <c r="AW933">
        <v>136</v>
      </c>
      <c r="AX933" t="s">
        <v>29</v>
      </c>
      <c r="AY933">
        <v>4</v>
      </c>
      <c r="AZ933" t="s">
        <v>2399</v>
      </c>
      <c r="BA933">
        <v>2017</v>
      </c>
      <c r="BB933">
        <v>2020</v>
      </c>
      <c r="BD933" t="s">
        <v>19</v>
      </c>
      <c r="BE933" t="s">
        <v>2425</v>
      </c>
      <c r="BF933" t="s">
        <v>39</v>
      </c>
      <c r="BG933" t="s">
        <v>1243</v>
      </c>
      <c r="BH933" t="s">
        <v>2338</v>
      </c>
      <c r="BI933" t="s">
        <v>2402</v>
      </c>
      <c r="BJ933" t="s">
        <v>2403</v>
      </c>
      <c r="BK933">
        <v>722000</v>
      </c>
      <c r="BL933" t="s">
        <v>275</v>
      </c>
      <c r="BM933" t="s">
        <v>23</v>
      </c>
      <c r="BN933" t="s">
        <v>1481</v>
      </c>
      <c r="BO933" t="s">
        <v>2403</v>
      </c>
      <c r="BP933" s="9">
        <v>55556</v>
      </c>
      <c r="HL933" t="s">
        <v>2426</v>
      </c>
      <c r="HM933" t="s">
        <v>297</v>
      </c>
      <c r="HN933" t="s">
        <v>2427</v>
      </c>
      <c r="HQ933">
        <v>3</v>
      </c>
      <c r="IG933" t="s">
        <v>2425</v>
      </c>
      <c r="IH933" t="s">
        <v>19</v>
      </c>
      <c r="II933" t="s">
        <v>660</v>
      </c>
      <c r="IJ933" t="s">
        <v>661</v>
      </c>
      <c r="IK933">
        <v>2017</v>
      </c>
      <c r="IM933" t="s">
        <v>18</v>
      </c>
      <c r="IN933" t="s">
        <v>2425</v>
      </c>
      <c r="IO933" t="s">
        <v>1939</v>
      </c>
      <c r="IP933" t="s">
        <v>283</v>
      </c>
      <c r="IR933">
        <v>2018</v>
      </c>
      <c r="IT933" t="s">
        <v>18</v>
      </c>
      <c r="JJ933" t="s">
        <v>721</v>
      </c>
      <c r="KD933" t="s">
        <v>2408</v>
      </c>
      <c r="KE933" t="s">
        <v>2409</v>
      </c>
      <c r="KH933" t="s">
        <v>2426</v>
      </c>
      <c r="KI933" t="s">
        <v>222</v>
      </c>
      <c r="KJ933" t="s">
        <v>2433</v>
      </c>
      <c r="KK933" t="s">
        <v>2410</v>
      </c>
      <c r="KL933">
        <v>1000</v>
      </c>
      <c r="KM933" t="s">
        <v>222</v>
      </c>
      <c r="KU933" t="s">
        <v>2412</v>
      </c>
      <c r="KV933" t="s">
        <v>2413</v>
      </c>
      <c r="LE933" t="s">
        <v>18</v>
      </c>
      <c r="MS933" t="s">
        <v>2415</v>
      </c>
      <c r="MT933">
        <v>136</v>
      </c>
      <c r="MU933" t="s">
        <v>2448</v>
      </c>
      <c r="MW933" t="s">
        <v>2315</v>
      </c>
      <c r="NE933" t="s">
        <v>2448</v>
      </c>
      <c r="NG933" t="s">
        <v>8</v>
      </c>
      <c r="NH933" t="s">
        <v>13</v>
      </c>
      <c r="NP933" t="s">
        <v>2451</v>
      </c>
      <c r="NQ933" t="s">
        <v>6</v>
      </c>
      <c r="NR933">
        <v>1347.4</v>
      </c>
      <c r="NS933" t="s">
        <v>29</v>
      </c>
      <c r="NW933">
        <v>3</v>
      </c>
      <c r="OH933" t="s">
        <v>2390</v>
      </c>
      <c r="OI933" t="s">
        <v>6</v>
      </c>
      <c r="OK933">
        <v>2017</v>
      </c>
      <c r="OL933">
        <v>2020</v>
      </c>
      <c r="OO933" t="s">
        <v>1178</v>
      </c>
      <c r="OP933" s="58">
        <v>46136</v>
      </c>
    </row>
    <row r="934" spans="1:406">
      <c r="A934" t="s">
        <v>248</v>
      </c>
      <c r="B934" t="s">
        <v>2396</v>
      </c>
      <c r="C934" t="s">
        <v>2397</v>
      </c>
      <c r="D934" t="s">
        <v>1955</v>
      </c>
      <c r="E934" s="90" t="s">
        <v>2398</v>
      </c>
      <c r="F934" t="s">
        <v>31</v>
      </c>
      <c r="G934" t="s">
        <v>2</v>
      </c>
      <c r="H934" t="s">
        <v>30</v>
      </c>
      <c r="I934">
        <v>7.8527777780000001</v>
      </c>
      <c r="J934">
        <v>-5.1111111109999996</v>
      </c>
      <c r="K934" t="s">
        <v>29</v>
      </c>
      <c r="O934" t="str">
        <f>_xlfn.LET(_xlpm.result, _xlfn.XLOOKUP([1]!Table5[[#This Row],[site_id02]],'[1]01_sites'!D:D,'[1]01_sites'!C:C,""), IF(_xlpm.result=0,"",_xlpm.result))</f>
        <v/>
      </c>
      <c r="R934" t="str">
        <f>_xlfn.LET(_xlpm.result, _xlfn.XLOOKUP([1]!Table5[[#This Row],[site_id02]],'[1]01_sites'!D:D,'[1]01_sites'!F:F,""), IF(_xlpm.result=0,"",_xlpm.result))</f>
        <v/>
      </c>
      <c r="S934" t="str">
        <f>_xlfn.LET(_xlpm.result, _xlfn.XLOOKUP([1]!Table5[[#This Row],[site_id02]],'[1]01_sites'!D:D,'[1]01_sites'!G:G,""), IF(_xlpm.result=0,"",_xlpm.result))</f>
        <v/>
      </c>
      <c r="T934" t="str">
        <f>_xlfn.LET(_xlpm.result, _xlfn.XLOOKUP([1]!Table5[[#This Row],[site_id02]],'[1]01_sites'!D:D,'[1]01_sites'!H:H,""), IF(_xlpm.result=0,"",_xlpm.result))</f>
        <v/>
      </c>
      <c r="X934" t="str">
        <f>_xlfn.LET(_xlpm.result, _xlfn.XLOOKUP([1]!Table5[[#This Row],[site_id03]],'[1]01_sites'!D:D,'[1]01_sites'!C:C,""), IF(_xlpm.result=0,"",_xlpm.result))</f>
        <v/>
      </c>
      <c r="AA934" t="str">
        <f>_xlfn.LET(_xlpm.result, _xlfn.XLOOKUP([1]!Table5[[#This Row],[site_id03]],'[1]01_sites'!D:D,'[1]01_sites'!F:F,""), IF(_xlpm.result=0,"",_xlpm.result))</f>
        <v/>
      </c>
      <c r="AB934" t="str">
        <f>_xlfn.LET(_xlpm.result, _xlfn.XLOOKUP([1]!Table5[[#This Row],[site_id03]],'[1]01_sites'!D:D,'[1]01_sites'!G:G,""), IF(_xlpm.result=0,"",_xlpm.result))</f>
        <v/>
      </c>
      <c r="AC934" t="str">
        <f>_xlfn.LET(_xlpm.result, _xlfn.XLOOKUP([1]!Table5[[#This Row],[site_id03]],'[1]01_sites'!D:D,'[1]01_sites'!H:H,""), IF(_xlpm.result=0,"",_xlpm.result))</f>
        <v/>
      </c>
      <c r="AG934" t="str">
        <f>_xlfn.LET(_xlpm.result, _xlfn.XLOOKUP([1]!Table5[[#This Row],[site_id04]],'[1]01_sites'!D:D,'[1]01_sites'!C:C,""), IF(_xlpm.result=0,"",_xlpm.result))</f>
        <v/>
      </c>
      <c r="AJ934" t="str">
        <f>_xlfn.LET(_xlpm.result, _xlfn.XLOOKUP([1]!Table5[[#This Row],[site_id04]],'[1]01_sites'!D:D,'[1]01_sites'!F:F,""), IF(_xlpm.result=0,"",_xlpm.result))</f>
        <v/>
      </c>
      <c r="AK934" t="str">
        <f>_xlfn.LET(_xlpm.result, _xlfn.XLOOKUP([1]!Table5[[#This Row],[site_id04]],'[1]01_sites'!D:D,'[1]01_sites'!G:G,""), IF(_xlpm.result=0,"",_xlpm.result))</f>
        <v/>
      </c>
      <c r="AL934" t="str">
        <f>_xlfn.LET(_xlpm.result, _xlfn.XLOOKUP([1]!Table5[[#This Row],[site_id04]],'[1]01_sites'!D:D,'[1]01_sites'!H:H,""), IF(_xlpm.result=0,"",_xlpm.result))</f>
        <v/>
      </c>
      <c r="AP934" t="str">
        <f>_xlfn.LET(_xlpm.result, _xlfn.XLOOKUP([1]!Table5[[#This Row],[site_id05]],'[1]01_sites'!D:D,'[1]01_sites'!C:C,""), IF(_xlpm.result=0,"",_xlpm.result))</f>
        <v/>
      </c>
      <c r="AS934" t="str">
        <f>_xlfn.LET(_xlpm.result, _xlfn.XLOOKUP([1]!Table5[[#This Row],[site_id05]],'[1]01_sites'!D:D,'[1]01_sites'!F:F,""), IF(_xlpm.result=0,"",_xlpm.result))</f>
        <v/>
      </c>
      <c r="AT934" t="str">
        <f>_xlfn.LET(_xlpm.result, _xlfn.XLOOKUP([1]!Table5[[#This Row],[site_id05]],'[1]01_sites'!D:D,'[1]01_sites'!G:G,""), IF(_xlpm.result=0,"",_xlpm.result))</f>
        <v/>
      </c>
      <c r="AU934" t="str">
        <f>_xlfn.LET(_xlpm.result, _xlfn.XLOOKUP([1]!Table5[[#This Row],[site_id05]],'[1]01_sites'!D:D,'[1]01_sites'!H:H,""), IF(_xlpm.result=0,"",_xlpm.result))</f>
        <v/>
      </c>
      <c r="AV934" t="s">
        <v>2415</v>
      </c>
      <c r="AW934">
        <v>136</v>
      </c>
      <c r="AX934" t="s">
        <v>29</v>
      </c>
      <c r="AY934">
        <v>4</v>
      </c>
      <c r="AZ934" t="s">
        <v>2399</v>
      </c>
      <c r="BA934">
        <v>2017</v>
      </c>
      <c r="BB934">
        <v>2020</v>
      </c>
      <c r="BE934" t="s">
        <v>2452</v>
      </c>
      <c r="BF934" t="s">
        <v>24</v>
      </c>
      <c r="BG934" t="s">
        <v>1243</v>
      </c>
      <c r="BH934" t="s">
        <v>2338</v>
      </c>
      <c r="BI934" t="s">
        <v>2402</v>
      </c>
      <c r="BJ934" t="s">
        <v>2403</v>
      </c>
      <c r="BK934">
        <v>722000</v>
      </c>
      <c r="BL934" t="s">
        <v>275</v>
      </c>
      <c r="BM934" t="s">
        <v>23</v>
      </c>
      <c r="BN934" t="s">
        <v>1481</v>
      </c>
      <c r="BO934" t="s">
        <v>2403</v>
      </c>
      <c r="BP934" s="9">
        <v>55556</v>
      </c>
      <c r="HL934" t="s">
        <v>2426</v>
      </c>
      <c r="HM934" t="s">
        <v>297</v>
      </c>
      <c r="HN934" t="s">
        <v>2427</v>
      </c>
      <c r="HQ934">
        <v>3</v>
      </c>
      <c r="IG934" t="s">
        <v>2452</v>
      </c>
      <c r="IH934" t="s">
        <v>19</v>
      </c>
      <c r="II934" t="s">
        <v>660</v>
      </c>
      <c r="IJ934" t="s">
        <v>661</v>
      </c>
      <c r="IK934">
        <v>2017</v>
      </c>
      <c r="IM934" t="s">
        <v>2428</v>
      </c>
      <c r="IN934" t="s">
        <v>2452</v>
      </c>
      <c r="IO934" t="s">
        <v>1939</v>
      </c>
      <c r="IP934" t="s">
        <v>283</v>
      </c>
      <c r="IR934">
        <v>2018</v>
      </c>
      <c r="IT934" t="s">
        <v>2428</v>
      </c>
      <c r="JJ934" t="s">
        <v>721</v>
      </c>
      <c r="KD934" t="s">
        <v>2408</v>
      </c>
      <c r="KE934" t="s">
        <v>2409</v>
      </c>
      <c r="KH934" t="s">
        <v>2426</v>
      </c>
      <c r="KI934" t="s">
        <v>222</v>
      </c>
      <c r="KJ934" t="s">
        <v>2433</v>
      </c>
      <c r="KK934" t="s">
        <v>2410</v>
      </c>
      <c r="KL934">
        <v>1000</v>
      </c>
      <c r="KM934" t="s">
        <v>222</v>
      </c>
      <c r="KV934" t="s">
        <v>216</v>
      </c>
      <c r="LE934" t="s">
        <v>2428</v>
      </c>
      <c r="MS934" t="s">
        <v>2415</v>
      </c>
      <c r="MT934">
        <v>136</v>
      </c>
      <c r="MU934" t="s">
        <v>2448</v>
      </c>
      <c r="MW934" t="s">
        <v>2315</v>
      </c>
      <c r="NE934" t="s">
        <v>2448</v>
      </c>
      <c r="NG934" t="s">
        <v>8</v>
      </c>
      <c r="NH934" t="s">
        <v>13</v>
      </c>
      <c r="NP934" t="s">
        <v>2451</v>
      </c>
      <c r="NQ934" t="s">
        <v>6</v>
      </c>
      <c r="NR934">
        <v>1541.5</v>
      </c>
      <c r="NS934" t="s">
        <v>29</v>
      </c>
      <c r="NW934">
        <v>2</v>
      </c>
      <c r="OH934" t="s">
        <v>2390</v>
      </c>
      <c r="OI934" t="s">
        <v>6</v>
      </c>
      <c r="OK934">
        <v>2017</v>
      </c>
      <c r="OL934">
        <v>2020</v>
      </c>
      <c r="OO934" t="s">
        <v>1178</v>
      </c>
      <c r="OP934" s="58">
        <v>46136</v>
      </c>
    </row>
    <row r="935" spans="1:406">
      <c r="A935" t="s">
        <v>248</v>
      </c>
      <c r="B935" t="s">
        <v>2396</v>
      </c>
      <c r="C935" t="s">
        <v>2397</v>
      </c>
      <c r="D935" t="s">
        <v>1955</v>
      </c>
      <c r="E935" s="90" t="s">
        <v>2398</v>
      </c>
      <c r="F935" t="s">
        <v>31</v>
      </c>
      <c r="G935" t="s">
        <v>2</v>
      </c>
      <c r="H935" t="s">
        <v>30</v>
      </c>
      <c r="I935">
        <v>7.8527777780000001</v>
      </c>
      <c r="J935">
        <v>-5.1111111109999996</v>
      </c>
      <c r="K935" t="s">
        <v>29</v>
      </c>
      <c r="AV935" t="s">
        <v>2415</v>
      </c>
      <c r="AW935">
        <v>136</v>
      </c>
      <c r="AX935" t="s">
        <v>29</v>
      </c>
      <c r="AY935">
        <v>4</v>
      </c>
      <c r="AZ935" t="s">
        <v>2399</v>
      </c>
      <c r="BA935">
        <v>2017</v>
      </c>
      <c r="BB935">
        <v>2020</v>
      </c>
      <c r="BD935" t="s">
        <v>2400</v>
      </c>
      <c r="BE935" t="s">
        <v>2429</v>
      </c>
      <c r="BF935" t="s">
        <v>252</v>
      </c>
      <c r="BG935" t="s">
        <v>1243</v>
      </c>
      <c r="BH935" t="s">
        <v>23</v>
      </c>
      <c r="BI935" t="s">
        <v>1481</v>
      </c>
      <c r="BJ935" t="s">
        <v>2403</v>
      </c>
      <c r="BK935" s="9">
        <v>55556</v>
      </c>
      <c r="BL935" t="s">
        <v>56</v>
      </c>
      <c r="BM935" t="s">
        <v>2192</v>
      </c>
      <c r="BN935" t="s">
        <v>2430</v>
      </c>
      <c r="BO935" t="s">
        <v>2403</v>
      </c>
      <c r="BP935">
        <v>55600</v>
      </c>
      <c r="BQ935" t="s">
        <v>275</v>
      </c>
      <c r="BR935" t="s">
        <v>2338</v>
      </c>
      <c r="BS935" t="s">
        <v>2402</v>
      </c>
      <c r="BT935" t="s">
        <v>2403</v>
      </c>
      <c r="BU935">
        <v>722000</v>
      </c>
      <c r="BV935" t="s">
        <v>56</v>
      </c>
      <c r="BW935" t="s">
        <v>1436</v>
      </c>
      <c r="BX935" t="s">
        <v>29</v>
      </c>
      <c r="BY935" t="s">
        <v>29</v>
      </c>
      <c r="BZ935" t="s">
        <v>29</v>
      </c>
      <c r="HL935" t="s">
        <v>2406</v>
      </c>
      <c r="HM935" t="s">
        <v>232</v>
      </c>
      <c r="IG935" t="s">
        <v>2429</v>
      </c>
      <c r="IH935" t="s">
        <v>1453</v>
      </c>
      <c r="II935" t="s">
        <v>660</v>
      </c>
      <c r="IJ935" t="s">
        <v>661</v>
      </c>
      <c r="IK935">
        <v>2017</v>
      </c>
      <c r="IM935" t="s">
        <v>2407</v>
      </c>
      <c r="IN935" t="s">
        <v>2429</v>
      </c>
      <c r="IO935" t="s">
        <v>2431</v>
      </c>
      <c r="IP935" t="s">
        <v>2432</v>
      </c>
      <c r="IR935">
        <v>2018</v>
      </c>
      <c r="IT935" t="s">
        <v>2407</v>
      </c>
      <c r="JJ935" t="s">
        <v>721</v>
      </c>
      <c r="KD935" t="s">
        <v>2408</v>
      </c>
      <c r="KE935" t="s">
        <v>2409</v>
      </c>
      <c r="KH935" t="s">
        <v>2406</v>
      </c>
      <c r="KI935" t="s">
        <v>222</v>
      </c>
      <c r="KJ935" t="s">
        <v>221</v>
      </c>
      <c r="KK935" t="s">
        <v>2410</v>
      </c>
      <c r="KL935">
        <v>540</v>
      </c>
      <c r="KM935" t="s">
        <v>222</v>
      </c>
      <c r="KN935" t="s">
        <v>2411</v>
      </c>
      <c r="KO935" t="s">
        <v>2410</v>
      </c>
      <c r="KP935">
        <v>360</v>
      </c>
      <c r="KV935" t="s">
        <v>2324</v>
      </c>
      <c r="LE935" t="s">
        <v>2407</v>
      </c>
      <c r="MS935" t="s">
        <v>2415</v>
      </c>
      <c r="MT935">
        <v>136</v>
      </c>
      <c r="MU935" t="s">
        <v>2448</v>
      </c>
      <c r="MW935" t="s">
        <v>2315</v>
      </c>
      <c r="NE935" t="s">
        <v>2448</v>
      </c>
      <c r="NG935" t="s">
        <v>8</v>
      </c>
      <c r="NH935" t="s">
        <v>13</v>
      </c>
      <c r="NQ935" t="s">
        <v>6</v>
      </c>
      <c r="NR935">
        <v>1477.2</v>
      </c>
      <c r="NS935" t="s">
        <v>29</v>
      </c>
      <c r="NW935">
        <v>3</v>
      </c>
      <c r="OH935" t="s">
        <v>2390</v>
      </c>
      <c r="OI935" t="s">
        <v>6</v>
      </c>
      <c r="OK935">
        <v>2017</v>
      </c>
      <c r="OL935">
        <v>2020</v>
      </c>
      <c r="OO935" t="s">
        <v>1178</v>
      </c>
      <c r="OP935" s="58">
        <v>46136</v>
      </c>
    </row>
    <row r="936" spans="1:406">
      <c r="A936" t="s">
        <v>248</v>
      </c>
      <c r="B936" t="s">
        <v>2396</v>
      </c>
      <c r="C936" t="s">
        <v>2397</v>
      </c>
      <c r="D936" t="s">
        <v>1955</v>
      </c>
      <c r="E936" s="90" t="s">
        <v>2398</v>
      </c>
      <c r="F936" t="s">
        <v>31</v>
      </c>
      <c r="G936" t="s">
        <v>2</v>
      </c>
      <c r="H936" t="s">
        <v>30</v>
      </c>
      <c r="I936">
        <v>7.8527777780000001</v>
      </c>
      <c r="J936">
        <v>-5.1111111109999996</v>
      </c>
      <c r="K936" t="s">
        <v>29</v>
      </c>
      <c r="O936" t="str">
        <f>_xlfn.LET(_xlpm.result, _xlfn.XLOOKUP([1]!Table5[[#This Row],[site_id02]],'[1]01_sites'!D:D,'[1]01_sites'!C:C,""), IF(_xlpm.result=0,"",_xlpm.result))</f>
        <v/>
      </c>
      <c r="R936" t="str">
        <f>_xlfn.LET(_xlpm.result, _xlfn.XLOOKUP([1]!Table5[[#This Row],[site_id02]],'[1]01_sites'!D:D,'[1]01_sites'!F:F,""), IF(_xlpm.result=0,"",_xlpm.result))</f>
        <v/>
      </c>
      <c r="S936" t="str">
        <f>_xlfn.LET(_xlpm.result, _xlfn.XLOOKUP([1]!Table5[[#This Row],[site_id02]],'[1]01_sites'!D:D,'[1]01_sites'!G:G,""), IF(_xlpm.result=0,"",_xlpm.result))</f>
        <v/>
      </c>
      <c r="T936" t="str">
        <f>_xlfn.LET(_xlpm.result, _xlfn.XLOOKUP([1]!Table5[[#This Row],[site_id02]],'[1]01_sites'!D:D,'[1]01_sites'!H:H,""), IF(_xlpm.result=0,"",_xlpm.result))</f>
        <v/>
      </c>
      <c r="X936" t="str">
        <f>_xlfn.LET(_xlpm.result, _xlfn.XLOOKUP([1]!Table5[[#This Row],[site_id03]],'[1]01_sites'!D:D,'[1]01_sites'!C:C,""), IF(_xlpm.result=0,"",_xlpm.result))</f>
        <v/>
      </c>
      <c r="AA936" t="str">
        <f>_xlfn.LET(_xlpm.result, _xlfn.XLOOKUP([1]!Table5[[#This Row],[site_id03]],'[1]01_sites'!D:D,'[1]01_sites'!F:F,""), IF(_xlpm.result=0,"",_xlpm.result))</f>
        <v/>
      </c>
      <c r="AB936" t="str">
        <f>_xlfn.LET(_xlpm.result, _xlfn.XLOOKUP([1]!Table5[[#This Row],[site_id03]],'[1]01_sites'!D:D,'[1]01_sites'!G:G,""), IF(_xlpm.result=0,"",_xlpm.result))</f>
        <v/>
      </c>
      <c r="AC936" t="str">
        <f>_xlfn.LET(_xlpm.result, _xlfn.XLOOKUP([1]!Table5[[#This Row],[site_id03]],'[1]01_sites'!D:D,'[1]01_sites'!H:H,""), IF(_xlpm.result=0,"",_xlpm.result))</f>
        <v/>
      </c>
      <c r="AG936" t="str">
        <f>_xlfn.LET(_xlpm.result, _xlfn.XLOOKUP([1]!Table5[[#This Row],[site_id04]],'[1]01_sites'!D:D,'[1]01_sites'!C:C,""), IF(_xlpm.result=0,"",_xlpm.result))</f>
        <v/>
      </c>
      <c r="AJ936" t="str">
        <f>_xlfn.LET(_xlpm.result, _xlfn.XLOOKUP([1]!Table5[[#This Row],[site_id04]],'[1]01_sites'!D:D,'[1]01_sites'!F:F,""), IF(_xlpm.result=0,"",_xlpm.result))</f>
        <v/>
      </c>
      <c r="AK936" t="str">
        <f>_xlfn.LET(_xlpm.result, _xlfn.XLOOKUP([1]!Table5[[#This Row],[site_id04]],'[1]01_sites'!D:D,'[1]01_sites'!G:G,""), IF(_xlpm.result=0,"",_xlpm.result))</f>
        <v/>
      </c>
      <c r="AL936" t="str">
        <f>_xlfn.LET(_xlpm.result, _xlfn.XLOOKUP([1]!Table5[[#This Row],[site_id04]],'[1]01_sites'!D:D,'[1]01_sites'!H:H,""), IF(_xlpm.result=0,"",_xlpm.result))</f>
        <v/>
      </c>
      <c r="AP936" t="str">
        <f>_xlfn.LET(_xlpm.result, _xlfn.XLOOKUP([1]!Table5[[#This Row],[site_id05]],'[1]01_sites'!D:D,'[1]01_sites'!C:C,""), IF(_xlpm.result=0,"",_xlpm.result))</f>
        <v/>
      </c>
      <c r="AS936" t="str">
        <f>_xlfn.LET(_xlpm.result, _xlfn.XLOOKUP([1]!Table5[[#This Row],[site_id05]],'[1]01_sites'!D:D,'[1]01_sites'!F:F,""), IF(_xlpm.result=0,"",_xlpm.result))</f>
        <v/>
      </c>
      <c r="AT936" t="str">
        <f>_xlfn.LET(_xlpm.result, _xlfn.XLOOKUP([1]!Table5[[#This Row],[site_id05]],'[1]01_sites'!D:D,'[1]01_sites'!G:G,""), IF(_xlpm.result=0,"",_xlpm.result))</f>
        <v/>
      </c>
      <c r="AU936" t="str">
        <f>_xlfn.LET(_xlpm.result, _xlfn.XLOOKUP([1]!Table5[[#This Row],[site_id05]],'[1]01_sites'!D:D,'[1]01_sites'!H:H,""), IF(_xlpm.result=0,"",_xlpm.result))</f>
        <v/>
      </c>
      <c r="AV936" t="s">
        <v>2415</v>
      </c>
      <c r="AW936">
        <v>136</v>
      </c>
      <c r="AX936" t="s">
        <v>29</v>
      </c>
      <c r="AY936">
        <v>4</v>
      </c>
      <c r="AZ936" t="s">
        <v>2399</v>
      </c>
      <c r="BA936">
        <v>2017</v>
      </c>
      <c r="BB936">
        <v>2020</v>
      </c>
      <c r="BE936" t="s">
        <v>2453</v>
      </c>
      <c r="BF936" t="s">
        <v>236</v>
      </c>
      <c r="BG936" t="s">
        <v>1243</v>
      </c>
      <c r="BH936" t="s">
        <v>23</v>
      </c>
      <c r="BI936" t="s">
        <v>1481</v>
      </c>
      <c r="BJ936" t="s">
        <v>2403</v>
      </c>
      <c r="BK936" s="9">
        <v>55556</v>
      </c>
      <c r="BL936" t="s">
        <v>56</v>
      </c>
      <c r="BM936" t="s">
        <v>250</v>
      </c>
      <c r="BN936" t="s">
        <v>2454</v>
      </c>
      <c r="BO936" t="s">
        <v>2403</v>
      </c>
      <c r="BP936">
        <v>148000</v>
      </c>
      <c r="BQ936" t="s">
        <v>275</v>
      </c>
      <c r="BR936" t="s">
        <v>23</v>
      </c>
      <c r="BS936" t="s">
        <v>1481</v>
      </c>
      <c r="BT936" t="s">
        <v>2403</v>
      </c>
      <c r="BU936" s="9">
        <v>55556</v>
      </c>
      <c r="BV936" t="s">
        <v>56</v>
      </c>
      <c r="BW936" t="s">
        <v>2192</v>
      </c>
      <c r="BX936" t="s">
        <v>2430</v>
      </c>
      <c r="BY936" t="s">
        <v>2403</v>
      </c>
      <c r="BZ936">
        <v>55600</v>
      </c>
      <c r="CA936" t="s">
        <v>275</v>
      </c>
      <c r="CB936" t="s">
        <v>2338</v>
      </c>
      <c r="CC936" t="s">
        <v>2402</v>
      </c>
      <c r="CD936" t="s">
        <v>2403</v>
      </c>
      <c r="CE936">
        <v>722000</v>
      </c>
      <c r="HL936" t="s">
        <v>2406</v>
      </c>
      <c r="HM936" t="s">
        <v>232</v>
      </c>
      <c r="IG936" t="s">
        <v>2453</v>
      </c>
      <c r="IH936" t="s">
        <v>1453</v>
      </c>
      <c r="II936" t="s">
        <v>660</v>
      </c>
      <c r="IJ936" t="s">
        <v>661</v>
      </c>
      <c r="IK936">
        <v>2017</v>
      </c>
      <c r="IM936" t="s">
        <v>2407</v>
      </c>
      <c r="IN936" t="s">
        <v>2453</v>
      </c>
      <c r="IO936" t="s">
        <v>2431</v>
      </c>
      <c r="IP936" t="s">
        <v>2432</v>
      </c>
      <c r="IR936">
        <v>2018</v>
      </c>
      <c r="IT936" t="s">
        <v>2407</v>
      </c>
      <c r="JJ936" t="s">
        <v>721</v>
      </c>
      <c r="KD936" t="s">
        <v>2408</v>
      </c>
      <c r="KE936" t="s">
        <v>2409</v>
      </c>
      <c r="KH936" t="s">
        <v>2406</v>
      </c>
      <c r="KI936" t="s">
        <v>222</v>
      </c>
      <c r="KJ936" t="s">
        <v>221</v>
      </c>
      <c r="KK936" t="s">
        <v>2410</v>
      </c>
      <c r="KL936">
        <v>540</v>
      </c>
      <c r="KM936" t="s">
        <v>222</v>
      </c>
      <c r="KN936" t="s">
        <v>2411</v>
      </c>
      <c r="KO936" t="s">
        <v>2410</v>
      </c>
      <c r="KP936">
        <v>360</v>
      </c>
      <c r="KV936" t="s">
        <v>2434</v>
      </c>
      <c r="LE936" t="s">
        <v>2407</v>
      </c>
      <c r="MS936" t="s">
        <v>2415</v>
      </c>
      <c r="MT936">
        <v>136</v>
      </c>
      <c r="MU936" t="s">
        <v>2448</v>
      </c>
      <c r="MW936" t="s">
        <v>2315</v>
      </c>
      <c r="NE936" t="s">
        <v>2448</v>
      </c>
      <c r="NG936" t="s">
        <v>8</v>
      </c>
      <c r="NH936" t="s">
        <v>13</v>
      </c>
      <c r="NQ936" t="s">
        <v>6</v>
      </c>
      <c r="NR936">
        <v>603</v>
      </c>
      <c r="NS936" t="s">
        <v>29</v>
      </c>
      <c r="NW936">
        <v>3</v>
      </c>
      <c r="OH936" t="s">
        <v>2390</v>
      </c>
      <c r="OI936" t="s">
        <v>6</v>
      </c>
      <c r="OK936">
        <v>2017</v>
      </c>
      <c r="OL936">
        <v>2020</v>
      </c>
      <c r="OO936" t="s">
        <v>1178</v>
      </c>
      <c r="OP936" s="58">
        <v>46136</v>
      </c>
    </row>
    <row r="937" spans="1:406">
      <c r="A937" t="s">
        <v>248</v>
      </c>
      <c r="B937" t="s">
        <v>2396</v>
      </c>
      <c r="C937" t="s">
        <v>2397</v>
      </c>
      <c r="D937" t="s">
        <v>1955</v>
      </c>
      <c r="E937" s="90" t="s">
        <v>2398</v>
      </c>
      <c r="F937" t="s">
        <v>31</v>
      </c>
      <c r="G937" t="s">
        <v>2</v>
      </c>
      <c r="H937" t="s">
        <v>30</v>
      </c>
      <c r="I937">
        <v>7.8527777780000001</v>
      </c>
      <c r="J937">
        <v>-5.1111111109999996</v>
      </c>
      <c r="K937" t="s">
        <v>29</v>
      </c>
      <c r="AV937" t="s">
        <v>2415</v>
      </c>
      <c r="AW937">
        <v>136</v>
      </c>
      <c r="AX937" t="s">
        <v>29</v>
      </c>
      <c r="AY937">
        <v>4</v>
      </c>
      <c r="AZ937" t="s">
        <v>2399</v>
      </c>
      <c r="BA937">
        <v>2017</v>
      </c>
      <c r="BB937">
        <v>2020</v>
      </c>
      <c r="BD937" t="s">
        <v>2400</v>
      </c>
      <c r="BE937" t="s">
        <v>2435</v>
      </c>
      <c r="BF937" t="s">
        <v>284</v>
      </c>
      <c r="BG937" t="s">
        <v>1243</v>
      </c>
      <c r="BH937" t="s">
        <v>23</v>
      </c>
      <c r="BI937" t="s">
        <v>1481</v>
      </c>
      <c r="BJ937" t="s">
        <v>2403</v>
      </c>
      <c r="BK937" s="9">
        <v>55556</v>
      </c>
      <c r="BL937" t="s">
        <v>56</v>
      </c>
      <c r="BM937" t="s">
        <v>2436</v>
      </c>
      <c r="BN937" t="s">
        <v>1481</v>
      </c>
      <c r="BO937" t="s">
        <v>2403</v>
      </c>
      <c r="BP937">
        <v>148000</v>
      </c>
      <c r="BQ937" t="s">
        <v>275</v>
      </c>
      <c r="BR937" t="s">
        <v>23</v>
      </c>
      <c r="BS937" t="s">
        <v>1481</v>
      </c>
      <c r="BT937" t="s">
        <v>2403</v>
      </c>
      <c r="BU937" s="9">
        <v>55556</v>
      </c>
      <c r="BV937" t="s">
        <v>56</v>
      </c>
      <c r="BW937" t="s">
        <v>1424</v>
      </c>
      <c r="BX937" t="s">
        <v>2437</v>
      </c>
      <c r="BY937" t="s">
        <v>2403</v>
      </c>
      <c r="BZ937">
        <v>148000</v>
      </c>
      <c r="CA937" t="s">
        <v>275</v>
      </c>
      <c r="CB937" t="s">
        <v>2338</v>
      </c>
      <c r="CC937" t="s">
        <v>2402</v>
      </c>
      <c r="CD937" t="s">
        <v>2403</v>
      </c>
      <c r="CE937">
        <v>722000</v>
      </c>
      <c r="HL937" t="s">
        <v>2406</v>
      </c>
      <c r="HM937" t="s">
        <v>232</v>
      </c>
      <c r="IG937" t="s">
        <v>2435</v>
      </c>
      <c r="IH937" t="s">
        <v>1453</v>
      </c>
      <c r="II937" t="s">
        <v>660</v>
      </c>
      <c r="IJ937" t="s">
        <v>661</v>
      </c>
      <c r="IK937">
        <v>2017</v>
      </c>
      <c r="IM937" t="s">
        <v>2407</v>
      </c>
      <c r="IN937" t="s">
        <v>2435</v>
      </c>
      <c r="IO937" t="s">
        <v>2431</v>
      </c>
      <c r="IP937" t="s">
        <v>2432</v>
      </c>
      <c r="IR937">
        <v>2018</v>
      </c>
      <c r="IT937" t="s">
        <v>2407</v>
      </c>
      <c r="JJ937" t="s">
        <v>721</v>
      </c>
      <c r="KD937" t="s">
        <v>2408</v>
      </c>
      <c r="KE937" t="s">
        <v>2409</v>
      </c>
      <c r="KH937" t="s">
        <v>2406</v>
      </c>
      <c r="KI937" t="s">
        <v>222</v>
      </c>
      <c r="KJ937" t="s">
        <v>221</v>
      </c>
      <c r="KK937" t="s">
        <v>2410</v>
      </c>
      <c r="KL937">
        <v>540</v>
      </c>
      <c r="KM937" t="s">
        <v>222</v>
      </c>
      <c r="KN937" t="s">
        <v>2411</v>
      </c>
      <c r="KO937" t="s">
        <v>2410</v>
      </c>
      <c r="KP937">
        <v>360</v>
      </c>
      <c r="KU937" t="s">
        <v>2412</v>
      </c>
      <c r="KV937" t="s">
        <v>2413</v>
      </c>
      <c r="LE937" t="s">
        <v>2407</v>
      </c>
      <c r="MS937" t="s">
        <v>2415</v>
      </c>
      <c r="MT937">
        <v>136</v>
      </c>
      <c r="MU937" t="s">
        <v>2448</v>
      </c>
      <c r="MW937" t="s">
        <v>2315</v>
      </c>
      <c r="NE937" t="s">
        <v>2448</v>
      </c>
      <c r="NG937" t="s">
        <v>8</v>
      </c>
      <c r="NH937" t="s">
        <v>13</v>
      </c>
      <c r="NQ937" t="s">
        <v>6</v>
      </c>
      <c r="NR937">
        <v>1115.5999999999999</v>
      </c>
      <c r="NS937" t="s">
        <v>29</v>
      </c>
      <c r="NW937">
        <v>3</v>
      </c>
      <c r="OH937" t="s">
        <v>2390</v>
      </c>
      <c r="OI937" t="s">
        <v>6</v>
      </c>
      <c r="OK937">
        <v>2017</v>
      </c>
      <c r="OL937">
        <v>2020</v>
      </c>
      <c r="OO937" t="s">
        <v>1178</v>
      </c>
      <c r="OP937" s="58">
        <v>46136</v>
      </c>
    </row>
    <row r="938" spans="1:406">
      <c r="A938" t="s">
        <v>248</v>
      </c>
      <c r="B938" t="s">
        <v>2396</v>
      </c>
      <c r="C938" t="s">
        <v>2397</v>
      </c>
      <c r="D938" t="s">
        <v>1955</v>
      </c>
      <c r="E938" s="90" t="s">
        <v>2398</v>
      </c>
      <c r="F938" t="s">
        <v>31</v>
      </c>
      <c r="G938" t="s">
        <v>2</v>
      </c>
      <c r="H938" t="s">
        <v>30</v>
      </c>
      <c r="I938">
        <v>7.8527777780000001</v>
      </c>
      <c r="J938">
        <v>-5.1111111109999996</v>
      </c>
      <c r="K938" t="s">
        <v>29</v>
      </c>
      <c r="O938" t="str">
        <f>_xlfn.LET(_xlpm.result, _xlfn.XLOOKUP([1]!Table5[[#This Row],[site_id02]],'[1]01_sites'!D:D,'[1]01_sites'!C:C,""), IF(_xlpm.result=0,"",_xlpm.result))</f>
        <v/>
      </c>
      <c r="R938" t="str">
        <f>_xlfn.LET(_xlpm.result, _xlfn.XLOOKUP([1]!Table5[[#This Row],[site_id02]],'[1]01_sites'!D:D,'[1]01_sites'!F:F,""), IF(_xlpm.result=0,"",_xlpm.result))</f>
        <v/>
      </c>
      <c r="S938" t="str">
        <f>_xlfn.LET(_xlpm.result, _xlfn.XLOOKUP([1]!Table5[[#This Row],[site_id02]],'[1]01_sites'!D:D,'[1]01_sites'!G:G,""), IF(_xlpm.result=0,"",_xlpm.result))</f>
        <v/>
      </c>
      <c r="T938" t="str">
        <f>_xlfn.LET(_xlpm.result, _xlfn.XLOOKUP([1]!Table5[[#This Row],[site_id02]],'[1]01_sites'!D:D,'[1]01_sites'!H:H,""), IF(_xlpm.result=0,"",_xlpm.result))</f>
        <v/>
      </c>
      <c r="X938" t="str">
        <f>_xlfn.LET(_xlpm.result, _xlfn.XLOOKUP([1]!Table5[[#This Row],[site_id03]],'[1]01_sites'!D:D,'[1]01_sites'!C:C,""), IF(_xlpm.result=0,"",_xlpm.result))</f>
        <v/>
      </c>
      <c r="AA938" t="str">
        <f>_xlfn.LET(_xlpm.result, _xlfn.XLOOKUP([1]!Table5[[#This Row],[site_id03]],'[1]01_sites'!D:D,'[1]01_sites'!F:F,""), IF(_xlpm.result=0,"",_xlpm.result))</f>
        <v/>
      </c>
      <c r="AB938" t="str">
        <f>_xlfn.LET(_xlpm.result, _xlfn.XLOOKUP([1]!Table5[[#This Row],[site_id03]],'[1]01_sites'!D:D,'[1]01_sites'!G:G,""), IF(_xlpm.result=0,"",_xlpm.result))</f>
        <v/>
      </c>
      <c r="AC938" t="str">
        <f>_xlfn.LET(_xlpm.result, _xlfn.XLOOKUP([1]!Table5[[#This Row],[site_id03]],'[1]01_sites'!D:D,'[1]01_sites'!H:H,""), IF(_xlpm.result=0,"",_xlpm.result))</f>
        <v/>
      </c>
      <c r="AG938" t="str">
        <f>_xlfn.LET(_xlpm.result, _xlfn.XLOOKUP([1]!Table5[[#This Row],[site_id04]],'[1]01_sites'!D:D,'[1]01_sites'!C:C,""), IF(_xlpm.result=0,"",_xlpm.result))</f>
        <v/>
      </c>
      <c r="AJ938" t="str">
        <f>_xlfn.LET(_xlpm.result, _xlfn.XLOOKUP([1]!Table5[[#This Row],[site_id04]],'[1]01_sites'!D:D,'[1]01_sites'!F:F,""), IF(_xlpm.result=0,"",_xlpm.result))</f>
        <v/>
      </c>
      <c r="AK938" t="str">
        <f>_xlfn.LET(_xlpm.result, _xlfn.XLOOKUP([1]!Table5[[#This Row],[site_id04]],'[1]01_sites'!D:D,'[1]01_sites'!G:G,""), IF(_xlpm.result=0,"",_xlpm.result))</f>
        <v/>
      </c>
      <c r="AL938" t="str">
        <f>_xlfn.LET(_xlpm.result, _xlfn.XLOOKUP([1]!Table5[[#This Row],[site_id04]],'[1]01_sites'!D:D,'[1]01_sites'!H:H,""), IF(_xlpm.result=0,"",_xlpm.result))</f>
        <v/>
      </c>
      <c r="AP938" t="str">
        <f>_xlfn.LET(_xlpm.result, _xlfn.XLOOKUP([1]!Table5[[#This Row],[site_id05]],'[1]01_sites'!D:D,'[1]01_sites'!C:C,""), IF(_xlpm.result=0,"",_xlpm.result))</f>
        <v/>
      </c>
      <c r="AS938" t="str">
        <f>_xlfn.LET(_xlpm.result, _xlfn.XLOOKUP([1]!Table5[[#This Row],[site_id05]],'[1]01_sites'!D:D,'[1]01_sites'!F:F,""), IF(_xlpm.result=0,"",_xlpm.result))</f>
        <v/>
      </c>
      <c r="AT938" t="str">
        <f>_xlfn.LET(_xlpm.result, _xlfn.XLOOKUP([1]!Table5[[#This Row],[site_id05]],'[1]01_sites'!D:D,'[1]01_sites'!G:G,""), IF(_xlpm.result=0,"",_xlpm.result))</f>
        <v/>
      </c>
      <c r="AU938" t="str">
        <f>_xlfn.LET(_xlpm.result, _xlfn.XLOOKUP([1]!Table5[[#This Row],[site_id05]],'[1]01_sites'!D:D,'[1]01_sites'!H:H,""), IF(_xlpm.result=0,"",_xlpm.result))</f>
        <v/>
      </c>
      <c r="AV938" t="s">
        <v>2415</v>
      </c>
      <c r="AW938">
        <v>136</v>
      </c>
      <c r="AX938" t="s">
        <v>29</v>
      </c>
      <c r="AY938">
        <v>4</v>
      </c>
      <c r="AZ938" t="s">
        <v>2399</v>
      </c>
      <c r="BA938">
        <v>2017</v>
      </c>
      <c r="BB938">
        <v>2020</v>
      </c>
      <c r="BE938" t="s">
        <v>2455</v>
      </c>
      <c r="BF938" t="s">
        <v>277</v>
      </c>
      <c r="BG938" t="s">
        <v>1243</v>
      </c>
      <c r="BH938" t="s">
        <v>23</v>
      </c>
      <c r="BI938" t="s">
        <v>1481</v>
      </c>
      <c r="BJ938" t="s">
        <v>2403</v>
      </c>
      <c r="BK938" s="9">
        <v>55556</v>
      </c>
      <c r="BL938" t="s">
        <v>56</v>
      </c>
      <c r="BM938" t="s">
        <v>271</v>
      </c>
      <c r="BN938" t="s">
        <v>1481</v>
      </c>
      <c r="BO938" t="s">
        <v>2403</v>
      </c>
      <c r="BP938">
        <v>148000</v>
      </c>
      <c r="BQ938" t="s">
        <v>275</v>
      </c>
      <c r="BR938" t="s">
        <v>2456</v>
      </c>
      <c r="BS938" t="s">
        <v>2457</v>
      </c>
      <c r="BT938" t="s">
        <v>29</v>
      </c>
      <c r="BU938" t="s">
        <v>29</v>
      </c>
      <c r="BV938" t="s">
        <v>56</v>
      </c>
      <c r="BW938" t="s">
        <v>2192</v>
      </c>
      <c r="BX938" t="s">
        <v>2430</v>
      </c>
      <c r="BY938" t="s">
        <v>2403</v>
      </c>
      <c r="BZ938">
        <v>55600</v>
      </c>
      <c r="CA938" t="s">
        <v>275</v>
      </c>
      <c r="CB938" t="s">
        <v>2338</v>
      </c>
      <c r="CC938" t="s">
        <v>2402</v>
      </c>
      <c r="CD938" t="s">
        <v>2403</v>
      </c>
      <c r="CE938">
        <v>722000</v>
      </c>
      <c r="HL938" t="s">
        <v>2406</v>
      </c>
      <c r="HM938" t="s">
        <v>232</v>
      </c>
      <c r="IG938" t="s">
        <v>2455</v>
      </c>
      <c r="IH938" t="s">
        <v>1453</v>
      </c>
      <c r="II938" t="s">
        <v>660</v>
      </c>
      <c r="IJ938" t="s">
        <v>661</v>
      </c>
      <c r="IK938">
        <v>2017</v>
      </c>
      <c r="IM938" t="s">
        <v>2407</v>
      </c>
      <c r="IN938" t="s">
        <v>2455</v>
      </c>
      <c r="IO938" t="s">
        <v>2431</v>
      </c>
      <c r="IP938" t="s">
        <v>2432</v>
      </c>
      <c r="IR938">
        <v>2018</v>
      </c>
      <c r="IT938" t="s">
        <v>2407</v>
      </c>
      <c r="JJ938" t="s">
        <v>721</v>
      </c>
      <c r="KD938" t="s">
        <v>2408</v>
      </c>
      <c r="KE938" t="s">
        <v>2409</v>
      </c>
      <c r="KH938" t="s">
        <v>2406</v>
      </c>
      <c r="KI938" t="s">
        <v>222</v>
      </c>
      <c r="KJ938" t="s">
        <v>221</v>
      </c>
      <c r="KK938" t="s">
        <v>2410</v>
      </c>
      <c r="KL938">
        <v>540</v>
      </c>
      <c r="KM938" t="s">
        <v>222</v>
      </c>
      <c r="KN938" t="s">
        <v>2411</v>
      </c>
      <c r="KO938" t="s">
        <v>2410</v>
      </c>
      <c r="KP938">
        <v>360</v>
      </c>
      <c r="KV938" t="s">
        <v>2458</v>
      </c>
      <c r="LE938" t="s">
        <v>2407</v>
      </c>
      <c r="MS938" t="s">
        <v>2415</v>
      </c>
      <c r="MT938">
        <v>136</v>
      </c>
      <c r="MU938" t="s">
        <v>2448</v>
      </c>
      <c r="MW938" t="s">
        <v>2315</v>
      </c>
      <c r="NE938" t="s">
        <v>2448</v>
      </c>
      <c r="NG938" t="s">
        <v>8</v>
      </c>
      <c r="NH938" t="s">
        <v>13</v>
      </c>
      <c r="NQ938" t="s">
        <v>6</v>
      </c>
      <c r="NR938">
        <v>853</v>
      </c>
      <c r="NS938" t="s">
        <v>29</v>
      </c>
      <c r="NW938">
        <v>3</v>
      </c>
      <c r="OH938" t="s">
        <v>2390</v>
      </c>
      <c r="OI938" t="s">
        <v>6</v>
      </c>
      <c r="OK938">
        <v>2017</v>
      </c>
      <c r="OL938">
        <v>2020</v>
      </c>
      <c r="OO938" t="s">
        <v>1178</v>
      </c>
      <c r="OP938" s="58">
        <v>46136</v>
      </c>
    </row>
    <row r="939" spans="1:406">
      <c r="A939" t="s">
        <v>248</v>
      </c>
      <c r="B939" t="s">
        <v>2396</v>
      </c>
      <c r="C939" t="s">
        <v>2397</v>
      </c>
      <c r="D939" t="s">
        <v>1955</v>
      </c>
      <c r="E939" s="90" t="s">
        <v>2398</v>
      </c>
      <c r="F939" t="s">
        <v>31</v>
      </c>
      <c r="G939" t="s">
        <v>2</v>
      </c>
      <c r="H939" t="s">
        <v>30</v>
      </c>
      <c r="I939">
        <v>7.8527777780000001</v>
      </c>
      <c r="J939">
        <v>-5.1111111109999996</v>
      </c>
      <c r="K939" t="s">
        <v>29</v>
      </c>
      <c r="AV939" t="s">
        <v>2415</v>
      </c>
      <c r="AW939">
        <v>136</v>
      </c>
      <c r="AX939" t="s">
        <v>29</v>
      </c>
      <c r="AY939">
        <v>4</v>
      </c>
      <c r="AZ939" t="s">
        <v>2399</v>
      </c>
      <c r="BA939">
        <v>2017</v>
      </c>
      <c r="BB939">
        <v>2020</v>
      </c>
      <c r="BD939" t="s">
        <v>2400</v>
      </c>
      <c r="BE939" t="s">
        <v>2438</v>
      </c>
      <c r="BF939" t="s">
        <v>1509</v>
      </c>
      <c r="BG939" t="s">
        <v>1243</v>
      </c>
      <c r="BH939" t="s">
        <v>2024</v>
      </c>
      <c r="BI939" t="s">
        <v>1481</v>
      </c>
      <c r="BJ939" t="s">
        <v>29</v>
      </c>
      <c r="BK939" t="s">
        <v>29</v>
      </c>
      <c r="BL939" t="s">
        <v>56</v>
      </c>
      <c r="BM939" t="s">
        <v>2404</v>
      </c>
      <c r="BN939" t="s">
        <v>2405</v>
      </c>
      <c r="BO939" t="s">
        <v>2403</v>
      </c>
      <c r="BP939">
        <v>940000</v>
      </c>
      <c r="BQ939" t="s">
        <v>275</v>
      </c>
      <c r="BR939" t="s">
        <v>2024</v>
      </c>
      <c r="BS939" t="s">
        <v>1481</v>
      </c>
      <c r="BT939" t="s">
        <v>29</v>
      </c>
      <c r="BU939" t="s">
        <v>29</v>
      </c>
      <c r="BV939" t="s">
        <v>56</v>
      </c>
      <c r="BW939" t="s">
        <v>2404</v>
      </c>
      <c r="BX939" t="s">
        <v>2405</v>
      </c>
      <c r="BY939" t="s">
        <v>2403</v>
      </c>
      <c r="BZ939">
        <v>940000</v>
      </c>
      <c r="CA939" t="s">
        <v>275</v>
      </c>
      <c r="CB939" t="s">
        <v>2338</v>
      </c>
      <c r="CC939" t="s">
        <v>2402</v>
      </c>
      <c r="CD939" t="s">
        <v>2403</v>
      </c>
      <c r="CE939">
        <v>722000</v>
      </c>
      <c r="CF939" t="s">
        <v>56</v>
      </c>
      <c r="CG939" t="s">
        <v>2404</v>
      </c>
      <c r="CH939" t="s">
        <v>2439</v>
      </c>
      <c r="CI939" t="s">
        <v>2403</v>
      </c>
      <c r="CJ939">
        <v>940000</v>
      </c>
      <c r="HL939" t="s">
        <v>2406</v>
      </c>
      <c r="HM939" t="s">
        <v>232</v>
      </c>
      <c r="IG939" t="s">
        <v>2438</v>
      </c>
      <c r="IH939" t="s">
        <v>1453</v>
      </c>
      <c r="II939" t="s">
        <v>660</v>
      </c>
      <c r="IJ939" t="s">
        <v>661</v>
      </c>
      <c r="IK939">
        <v>2017</v>
      </c>
      <c r="IM939" t="s">
        <v>2407</v>
      </c>
      <c r="IN939" t="s">
        <v>2438</v>
      </c>
      <c r="IO939" t="s">
        <v>1939</v>
      </c>
      <c r="IP939" t="s">
        <v>273</v>
      </c>
      <c r="IR939">
        <v>2018</v>
      </c>
      <c r="IT939" t="s">
        <v>2407</v>
      </c>
      <c r="JJ939" t="s">
        <v>721</v>
      </c>
      <c r="KD939" t="s">
        <v>2408</v>
      </c>
      <c r="KE939" t="s">
        <v>2409</v>
      </c>
      <c r="KH939" t="s">
        <v>2406</v>
      </c>
      <c r="KI939" t="s">
        <v>222</v>
      </c>
      <c r="KJ939" t="s">
        <v>221</v>
      </c>
      <c r="KK939" t="s">
        <v>2410</v>
      </c>
      <c r="KL939">
        <v>540</v>
      </c>
      <c r="KM939" t="s">
        <v>222</v>
      </c>
      <c r="KN939" t="s">
        <v>2411</v>
      </c>
      <c r="KO939" t="s">
        <v>2410</v>
      </c>
      <c r="KP939">
        <v>360</v>
      </c>
      <c r="KU939" t="s">
        <v>2412</v>
      </c>
      <c r="KV939" t="s">
        <v>2413</v>
      </c>
      <c r="LE939" t="s">
        <v>2407</v>
      </c>
      <c r="MS939" t="s">
        <v>2415</v>
      </c>
      <c r="MT939">
        <v>136</v>
      </c>
      <c r="MU939" t="s">
        <v>2448</v>
      </c>
      <c r="MW939" t="s">
        <v>2315</v>
      </c>
      <c r="NE939" t="s">
        <v>2448</v>
      </c>
      <c r="NG939" t="s">
        <v>8</v>
      </c>
      <c r="NH939" t="s">
        <v>13</v>
      </c>
      <c r="NQ939" t="s">
        <v>6</v>
      </c>
      <c r="NR939">
        <v>1761.6</v>
      </c>
      <c r="NS939" t="s">
        <v>29</v>
      </c>
      <c r="NW939">
        <v>3</v>
      </c>
      <c r="OH939" t="s">
        <v>2390</v>
      </c>
      <c r="OI939" t="s">
        <v>6</v>
      </c>
      <c r="OK939">
        <v>2017</v>
      </c>
      <c r="OL939">
        <v>2020</v>
      </c>
      <c r="OO939" t="s">
        <v>1178</v>
      </c>
      <c r="OP939" s="58">
        <v>46136</v>
      </c>
    </row>
    <row r="940" spans="1:406">
      <c r="A940" t="s">
        <v>248</v>
      </c>
      <c r="B940" t="s">
        <v>2396</v>
      </c>
      <c r="C940" t="s">
        <v>2397</v>
      </c>
      <c r="D940" t="s">
        <v>1955</v>
      </c>
      <c r="E940" s="90" t="s">
        <v>2398</v>
      </c>
      <c r="F940" t="s">
        <v>31</v>
      </c>
      <c r="G940" t="s">
        <v>2</v>
      </c>
      <c r="H940" t="s">
        <v>30</v>
      </c>
      <c r="I940">
        <v>7.8527777780000001</v>
      </c>
      <c r="J940">
        <v>-5.1111111109999996</v>
      </c>
      <c r="K940" t="s">
        <v>29</v>
      </c>
      <c r="AV940" t="s">
        <v>2415</v>
      </c>
      <c r="AW940">
        <v>136</v>
      </c>
      <c r="AX940" t="s">
        <v>29</v>
      </c>
      <c r="AY940">
        <v>4</v>
      </c>
      <c r="AZ940" t="s">
        <v>2399</v>
      </c>
      <c r="BA940">
        <v>2017</v>
      </c>
      <c r="BB940">
        <v>2020</v>
      </c>
      <c r="BD940" t="s">
        <v>2400</v>
      </c>
      <c r="BE940" t="s">
        <v>2401</v>
      </c>
      <c r="BF940" t="s">
        <v>1510</v>
      </c>
      <c r="BG940" t="s">
        <v>1243</v>
      </c>
      <c r="BH940" t="s">
        <v>2338</v>
      </c>
      <c r="BI940" t="s">
        <v>2402</v>
      </c>
      <c r="BJ940" t="s">
        <v>2403</v>
      </c>
      <c r="BK940">
        <v>722000</v>
      </c>
      <c r="BL940" t="s">
        <v>56</v>
      </c>
      <c r="BM940" t="s">
        <v>2404</v>
      </c>
      <c r="BN940" t="s">
        <v>2405</v>
      </c>
      <c r="BO940" t="s">
        <v>2403</v>
      </c>
      <c r="BP940" s="9">
        <v>470000</v>
      </c>
      <c r="BQ940" t="s">
        <v>275</v>
      </c>
      <c r="BR940" t="s">
        <v>23</v>
      </c>
      <c r="BS940" t="s">
        <v>1481</v>
      </c>
      <c r="BT940" t="s">
        <v>2403</v>
      </c>
      <c r="BU940" s="9">
        <v>55556</v>
      </c>
      <c r="BV940" t="s">
        <v>56</v>
      </c>
      <c r="BW940" t="s">
        <v>2404</v>
      </c>
      <c r="BX940" t="s">
        <v>2405</v>
      </c>
      <c r="BY940" t="s">
        <v>2403</v>
      </c>
      <c r="BZ940" s="9">
        <v>470000</v>
      </c>
      <c r="HL940" t="s">
        <v>2406</v>
      </c>
      <c r="HM940" t="s">
        <v>232</v>
      </c>
      <c r="IG940" t="s">
        <v>2401</v>
      </c>
      <c r="IH940" t="s">
        <v>1453</v>
      </c>
      <c r="II940" t="s">
        <v>660</v>
      </c>
      <c r="IJ940" t="s">
        <v>661</v>
      </c>
      <c r="IK940">
        <v>2017</v>
      </c>
      <c r="IM940" t="s">
        <v>2407</v>
      </c>
      <c r="IN940" t="s">
        <v>2401</v>
      </c>
      <c r="IO940" t="s">
        <v>1939</v>
      </c>
      <c r="IP940" t="s">
        <v>273</v>
      </c>
      <c r="IR940">
        <v>2018</v>
      </c>
      <c r="IT940" t="s">
        <v>2407</v>
      </c>
      <c r="JJ940" t="s">
        <v>15</v>
      </c>
      <c r="JK940" t="s">
        <v>14</v>
      </c>
      <c r="JL940" t="s">
        <v>2459</v>
      </c>
      <c r="JM940" t="s">
        <v>13</v>
      </c>
      <c r="JN940" t="s">
        <v>2460</v>
      </c>
      <c r="JO940" t="s">
        <v>13</v>
      </c>
      <c r="JP940">
        <v>64</v>
      </c>
      <c r="JQ940">
        <v>21</v>
      </c>
      <c r="JR940">
        <v>30</v>
      </c>
      <c r="KD940" t="s">
        <v>2408</v>
      </c>
      <c r="KE940" t="s">
        <v>2409</v>
      </c>
      <c r="KH940" t="s">
        <v>2406</v>
      </c>
      <c r="KI940" t="s">
        <v>222</v>
      </c>
      <c r="KJ940" t="s">
        <v>221</v>
      </c>
      <c r="KK940" t="s">
        <v>2410</v>
      </c>
      <c r="KL940">
        <f>+AVERAGE(360,720)</f>
        <v>540</v>
      </c>
      <c r="KM940" t="s">
        <v>222</v>
      </c>
      <c r="KN940" t="s">
        <v>2411</v>
      </c>
      <c r="KO940" t="s">
        <v>2410</v>
      </c>
      <c r="KP940">
        <v>360</v>
      </c>
      <c r="KU940" t="s">
        <v>2412</v>
      </c>
      <c r="KV940" t="s">
        <v>2413</v>
      </c>
      <c r="LE940" t="s">
        <v>2407</v>
      </c>
      <c r="MS940" t="s">
        <v>2415</v>
      </c>
      <c r="MT940">
        <v>136</v>
      </c>
      <c r="MU940" t="s">
        <v>2448</v>
      </c>
      <c r="MW940" t="s">
        <v>2315</v>
      </c>
      <c r="NE940" t="s">
        <v>2448</v>
      </c>
      <c r="NG940" t="s">
        <v>8</v>
      </c>
      <c r="NH940" t="s">
        <v>13</v>
      </c>
      <c r="NQ940" t="s">
        <v>6</v>
      </c>
      <c r="NR940">
        <v>1533.6</v>
      </c>
      <c r="NS940" t="s">
        <v>29</v>
      </c>
      <c r="NW940">
        <v>3</v>
      </c>
      <c r="OH940" t="s">
        <v>2390</v>
      </c>
      <c r="OI940" t="s">
        <v>6</v>
      </c>
      <c r="OK940">
        <v>2017</v>
      </c>
      <c r="OL940">
        <v>2020</v>
      </c>
      <c r="OO940" t="s">
        <v>1178</v>
      </c>
      <c r="OP940" s="58">
        <v>46136</v>
      </c>
    </row>
    <row r="941" spans="1:406">
      <c r="A941" t="s">
        <v>248</v>
      </c>
      <c r="B941" t="s">
        <v>2396</v>
      </c>
      <c r="C941" t="s">
        <v>2397</v>
      </c>
      <c r="D941" t="s">
        <v>1955</v>
      </c>
      <c r="E941" s="90" t="s">
        <v>2398</v>
      </c>
      <c r="F941" t="s">
        <v>31</v>
      </c>
      <c r="G941" t="s">
        <v>2</v>
      </c>
      <c r="H941" t="s">
        <v>30</v>
      </c>
      <c r="I941">
        <v>7.8527777780000001</v>
      </c>
      <c r="J941">
        <v>-5.1111111109999996</v>
      </c>
      <c r="K941" t="s">
        <v>29</v>
      </c>
      <c r="O941" t="str">
        <f>_xlfn.LET(_xlpm.result, _xlfn.XLOOKUP([1]!Table5[[#This Row],[site_id02]],'[1]01_sites'!D:D,'[1]01_sites'!C:C,""), IF(_xlpm.result=0,"",_xlpm.result))</f>
        <v/>
      </c>
      <c r="R941" t="str">
        <f>_xlfn.LET(_xlpm.result, _xlfn.XLOOKUP([1]!Table5[[#This Row],[site_id02]],'[1]01_sites'!D:D,'[1]01_sites'!F:F,""), IF(_xlpm.result=0,"",_xlpm.result))</f>
        <v/>
      </c>
      <c r="S941" t="str">
        <f>_xlfn.LET(_xlpm.result, _xlfn.XLOOKUP([1]!Table5[[#This Row],[site_id02]],'[1]01_sites'!D:D,'[1]01_sites'!G:G,""), IF(_xlpm.result=0,"",_xlpm.result))</f>
        <v/>
      </c>
      <c r="T941" t="str">
        <f>_xlfn.LET(_xlpm.result, _xlfn.XLOOKUP([1]!Table5[[#This Row],[site_id02]],'[1]01_sites'!D:D,'[1]01_sites'!H:H,""), IF(_xlpm.result=0,"",_xlpm.result))</f>
        <v/>
      </c>
      <c r="X941" t="str">
        <f>_xlfn.LET(_xlpm.result, _xlfn.XLOOKUP([1]!Table5[[#This Row],[site_id03]],'[1]01_sites'!D:D,'[1]01_sites'!C:C,""), IF(_xlpm.result=0,"",_xlpm.result))</f>
        <v/>
      </c>
      <c r="AA941" t="str">
        <f>_xlfn.LET(_xlpm.result, _xlfn.XLOOKUP([1]!Table5[[#This Row],[site_id03]],'[1]01_sites'!D:D,'[1]01_sites'!F:F,""), IF(_xlpm.result=0,"",_xlpm.result))</f>
        <v/>
      </c>
      <c r="AB941" t="str">
        <f>_xlfn.LET(_xlpm.result, _xlfn.XLOOKUP([1]!Table5[[#This Row],[site_id03]],'[1]01_sites'!D:D,'[1]01_sites'!G:G,""), IF(_xlpm.result=0,"",_xlpm.result))</f>
        <v/>
      </c>
      <c r="AC941" t="str">
        <f>_xlfn.LET(_xlpm.result, _xlfn.XLOOKUP([1]!Table5[[#This Row],[site_id03]],'[1]01_sites'!D:D,'[1]01_sites'!H:H,""), IF(_xlpm.result=0,"",_xlpm.result))</f>
        <v/>
      </c>
      <c r="AG941" t="str">
        <f>_xlfn.LET(_xlpm.result, _xlfn.XLOOKUP([1]!Table5[[#This Row],[site_id04]],'[1]01_sites'!D:D,'[1]01_sites'!C:C,""), IF(_xlpm.result=0,"",_xlpm.result))</f>
        <v/>
      </c>
      <c r="AJ941" t="str">
        <f>_xlfn.LET(_xlpm.result, _xlfn.XLOOKUP([1]!Table5[[#This Row],[site_id04]],'[1]01_sites'!D:D,'[1]01_sites'!F:F,""), IF(_xlpm.result=0,"",_xlpm.result))</f>
        <v/>
      </c>
      <c r="AK941" t="str">
        <f>_xlfn.LET(_xlpm.result, _xlfn.XLOOKUP([1]!Table5[[#This Row],[site_id04]],'[1]01_sites'!D:D,'[1]01_sites'!G:G,""), IF(_xlpm.result=0,"",_xlpm.result))</f>
        <v/>
      </c>
      <c r="AL941" t="str">
        <f>_xlfn.LET(_xlpm.result, _xlfn.XLOOKUP([1]!Table5[[#This Row],[site_id04]],'[1]01_sites'!D:D,'[1]01_sites'!H:H,""), IF(_xlpm.result=0,"",_xlpm.result))</f>
        <v/>
      </c>
      <c r="AP941" t="str">
        <f>_xlfn.LET(_xlpm.result, _xlfn.XLOOKUP([1]!Table5[[#This Row],[site_id05]],'[1]01_sites'!D:D,'[1]01_sites'!C:C,""), IF(_xlpm.result=0,"",_xlpm.result))</f>
        <v/>
      </c>
      <c r="AS941" t="str">
        <f>_xlfn.LET(_xlpm.result, _xlfn.XLOOKUP([1]!Table5[[#This Row],[site_id05]],'[1]01_sites'!D:D,'[1]01_sites'!F:F,""), IF(_xlpm.result=0,"",_xlpm.result))</f>
        <v/>
      </c>
      <c r="AT941" t="str">
        <f>_xlfn.LET(_xlpm.result, _xlfn.XLOOKUP([1]!Table5[[#This Row],[site_id05]],'[1]01_sites'!D:D,'[1]01_sites'!G:G,""), IF(_xlpm.result=0,"",_xlpm.result))</f>
        <v/>
      </c>
      <c r="AU941" t="str">
        <f>_xlfn.LET(_xlpm.result, _xlfn.XLOOKUP([1]!Table5[[#This Row],[site_id05]],'[1]01_sites'!D:D,'[1]01_sites'!H:H,""), IF(_xlpm.result=0,"",_xlpm.result))</f>
        <v/>
      </c>
      <c r="AV941" t="s">
        <v>2415</v>
      </c>
      <c r="AW941">
        <v>136</v>
      </c>
      <c r="AX941" t="s">
        <v>29</v>
      </c>
      <c r="AY941">
        <v>4</v>
      </c>
      <c r="AZ941" t="s">
        <v>2399</v>
      </c>
      <c r="BA941">
        <v>2017</v>
      </c>
      <c r="BB941">
        <v>2020</v>
      </c>
      <c r="BD941" t="s">
        <v>2400</v>
      </c>
      <c r="BE941" t="s">
        <v>2449</v>
      </c>
      <c r="BF941" t="s">
        <v>1511</v>
      </c>
      <c r="BG941" t="s">
        <v>1243</v>
      </c>
      <c r="BH941" t="s">
        <v>2338</v>
      </c>
      <c r="BI941" t="s">
        <v>2402</v>
      </c>
      <c r="BJ941" t="s">
        <v>2403</v>
      </c>
      <c r="BK941">
        <v>722000</v>
      </c>
      <c r="BL941" t="s">
        <v>56</v>
      </c>
      <c r="BM941" t="s">
        <v>2404</v>
      </c>
      <c r="BN941" t="s">
        <v>2405</v>
      </c>
      <c r="BO941" t="s">
        <v>2403</v>
      </c>
      <c r="BP941" s="9">
        <v>470000</v>
      </c>
      <c r="BQ941" t="s">
        <v>275</v>
      </c>
      <c r="BR941" t="s">
        <v>23</v>
      </c>
      <c r="BS941" t="s">
        <v>1481</v>
      </c>
      <c r="BT941" t="s">
        <v>2403</v>
      </c>
      <c r="BU941" s="9">
        <v>55556</v>
      </c>
      <c r="BV941" t="s">
        <v>56</v>
      </c>
      <c r="BW941" t="s">
        <v>2404</v>
      </c>
      <c r="BX941" t="s">
        <v>2405</v>
      </c>
      <c r="BY941" t="s">
        <v>2403</v>
      </c>
      <c r="BZ941" s="9">
        <v>470000</v>
      </c>
      <c r="HL941" t="s">
        <v>2406</v>
      </c>
      <c r="HM941" t="s">
        <v>232</v>
      </c>
      <c r="IG941" t="s">
        <v>2449</v>
      </c>
      <c r="IH941" t="s">
        <v>1453</v>
      </c>
      <c r="II941" t="s">
        <v>660</v>
      </c>
      <c r="IJ941" t="s">
        <v>661</v>
      </c>
      <c r="IK941">
        <v>2017</v>
      </c>
      <c r="IM941" t="s">
        <v>2407</v>
      </c>
      <c r="IN941" t="s">
        <v>2449</v>
      </c>
      <c r="IO941" t="s">
        <v>1939</v>
      </c>
      <c r="IP941" t="s">
        <v>273</v>
      </c>
      <c r="IR941">
        <v>2018</v>
      </c>
      <c r="IT941" t="s">
        <v>2407</v>
      </c>
      <c r="JJ941" t="s">
        <v>15</v>
      </c>
      <c r="JK941" t="s">
        <v>14</v>
      </c>
      <c r="JL941" t="s">
        <v>2459</v>
      </c>
      <c r="JM941" t="s">
        <v>13</v>
      </c>
      <c r="JN941" t="s">
        <v>2460</v>
      </c>
      <c r="JO941" t="s">
        <v>13</v>
      </c>
      <c r="JP941">
        <v>64</v>
      </c>
      <c r="JQ941">
        <v>21</v>
      </c>
      <c r="JR941">
        <v>30</v>
      </c>
      <c r="KD941" t="s">
        <v>2408</v>
      </c>
      <c r="KE941" t="s">
        <v>2409</v>
      </c>
      <c r="KH941" t="s">
        <v>2406</v>
      </c>
      <c r="KI941" t="s">
        <v>222</v>
      </c>
      <c r="KJ941" t="s">
        <v>221</v>
      </c>
      <c r="KK941" t="s">
        <v>2410</v>
      </c>
      <c r="KL941">
        <f t="shared" ref="KL941:KL943" si="7">+AVERAGE(360,720)</f>
        <v>540</v>
      </c>
      <c r="KM941" t="s">
        <v>222</v>
      </c>
      <c r="KN941" t="s">
        <v>2411</v>
      </c>
      <c r="KO941" t="s">
        <v>2410</v>
      </c>
      <c r="KP941">
        <v>360</v>
      </c>
      <c r="KV941" t="s">
        <v>2413</v>
      </c>
      <c r="LE941" t="s">
        <v>2407</v>
      </c>
      <c r="MS941" t="s">
        <v>2415</v>
      </c>
      <c r="MT941">
        <v>136</v>
      </c>
      <c r="MU941" t="s">
        <v>2448</v>
      </c>
      <c r="MW941" t="s">
        <v>2315</v>
      </c>
      <c r="NE941" t="s">
        <v>2448</v>
      </c>
      <c r="NG941" t="s">
        <v>8</v>
      </c>
      <c r="NH941" t="s">
        <v>13</v>
      </c>
      <c r="NQ941" t="s">
        <v>6</v>
      </c>
      <c r="NR941">
        <v>664.2</v>
      </c>
      <c r="NS941" t="s">
        <v>29</v>
      </c>
      <c r="NW941">
        <v>3</v>
      </c>
      <c r="OH941" t="s">
        <v>2390</v>
      </c>
      <c r="OI941" t="s">
        <v>6</v>
      </c>
      <c r="OK941">
        <v>2017</v>
      </c>
      <c r="OL941">
        <v>2020</v>
      </c>
      <c r="OO941" t="s">
        <v>1178</v>
      </c>
      <c r="OP941" s="58">
        <v>46136</v>
      </c>
    </row>
    <row r="942" spans="1:406">
      <c r="A942" t="s">
        <v>248</v>
      </c>
      <c r="B942" t="s">
        <v>2396</v>
      </c>
      <c r="C942" t="s">
        <v>2397</v>
      </c>
      <c r="D942" t="s">
        <v>1955</v>
      </c>
      <c r="E942" s="90" t="s">
        <v>2398</v>
      </c>
      <c r="F942" t="s">
        <v>31</v>
      </c>
      <c r="G942" t="s">
        <v>2</v>
      </c>
      <c r="H942" t="s">
        <v>30</v>
      </c>
      <c r="I942">
        <v>7.8527777780000001</v>
      </c>
      <c r="J942">
        <v>-5.1111111109999996</v>
      </c>
      <c r="K942" t="s">
        <v>29</v>
      </c>
      <c r="O942" t="str">
        <f>_xlfn.LET(_xlpm.result, _xlfn.XLOOKUP([1]!Table5[[#This Row],[site_id02]],'[1]01_sites'!D:D,'[1]01_sites'!C:C,""), IF(_xlpm.result=0,"",_xlpm.result))</f>
        <v/>
      </c>
      <c r="R942" t="str">
        <f>_xlfn.LET(_xlpm.result, _xlfn.XLOOKUP([1]!Table5[[#This Row],[site_id02]],'[1]01_sites'!D:D,'[1]01_sites'!F:F,""), IF(_xlpm.result=0,"",_xlpm.result))</f>
        <v/>
      </c>
      <c r="S942" t="str">
        <f>_xlfn.LET(_xlpm.result, _xlfn.XLOOKUP([1]!Table5[[#This Row],[site_id02]],'[1]01_sites'!D:D,'[1]01_sites'!G:G,""), IF(_xlpm.result=0,"",_xlpm.result))</f>
        <v/>
      </c>
      <c r="T942" t="str">
        <f>_xlfn.LET(_xlpm.result, _xlfn.XLOOKUP([1]!Table5[[#This Row],[site_id02]],'[1]01_sites'!D:D,'[1]01_sites'!H:H,""), IF(_xlpm.result=0,"",_xlpm.result))</f>
        <v/>
      </c>
      <c r="X942" t="str">
        <f>_xlfn.LET(_xlpm.result, _xlfn.XLOOKUP([1]!Table5[[#This Row],[site_id03]],'[1]01_sites'!D:D,'[1]01_sites'!C:C,""), IF(_xlpm.result=0,"",_xlpm.result))</f>
        <v/>
      </c>
      <c r="AA942" t="str">
        <f>_xlfn.LET(_xlpm.result, _xlfn.XLOOKUP([1]!Table5[[#This Row],[site_id03]],'[1]01_sites'!D:D,'[1]01_sites'!F:F,""), IF(_xlpm.result=0,"",_xlpm.result))</f>
        <v/>
      </c>
      <c r="AB942" t="str">
        <f>_xlfn.LET(_xlpm.result, _xlfn.XLOOKUP([1]!Table5[[#This Row],[site_id03]],'[1]01_sites'!D:D,'[1]01_sites'!G:G,""), IF(_xlpm.result=0,"",_xlpm.result))</f>
        <v/>
      </c>
      <c r="AC942" t="str">
        <f>_xlfn.LET(_xlpm.result, _xlfn.XLOOKUP([1]!Table5[[#This Row],[site_id03]],'[1]01_sites'!D:D,'[1]01_sites'!H:H,""), IF(_xlpm.result=0,"",_xlpm.result))</f>
        <v/>
      </c>
      <c r="AG942" t="str">
        <f>_xlfn.LET(_xlpm.result, _xlfn.XLOOKUP([1]!Table5[[#This Row],[site_id04]],'[1]01_sites'!D:D,'[1]01_sites'!C:C,""), IF(_xlpm.result=0,"",_xlpm.result))</f>
        <v/>
      </c>
      <c r="AJ942" t="str">
        <f>_xlfn.LET(_xlpm.result, _xlfn.XLOOKUP([1]!Table5[[#This Row],[site_id04]],'[1]01_sites'!D:D,'[1]01_sites'!F:F,""), IF(_xlpm.result=0,"",_xlpm.result))</f>
        <v/>
      </c>
      <c r="AK942" t="str">
        <f>_xlfn.LET(_xlpm.result, _xlfn.XLOOKUP([1]!Table5[[#This Row],[site_id04]],'[1]01_sites'!D:D,'[1]01_sites'!G:G,""), IF(_xlpm.result=0,"",_xlpm.result))</f>
        <v/>
      </c>
      <c r="AL942" t="str">
        <f>_xlfn.LET(_xlpm.result, _xlfn.XLOOKUP([1]!Table5[[#This Row],[site_id04]],'[1]01_sites'!D:D,'[1]01_sites'!H:H,""), IF(_xlpm.result=0,"",_xlpm.result))</f>
        <v/>
      </c>
      <c r="AP942" t="str">
        <f>_xlfn.LET(_xlpm.result, _xlfn.XLOOKUP([1]!Table5[[#This Row],[site_id05]],'[1]01_sites'!D:D,'[1]01_sites'!C:C,""), IF(_xlpm.result=0,"",_xlpm.result))</f>
        <v/>
      </c>
      <c r="AS942" t="str">
        <f>_xlfn.LET(_xlpm.result, _xlfn.XLOOKUP([1]!Table5[[#This Row],[site_id05]],'[1]01_sites'!D:D,'[1]01_sites'!F:F,""), IF(_xlpm.result=0,"",_xlpm.result))</f>
        <v/>
      </c>
      <c r="AT942" t="str">
        <f>_xlfn.LET(_xlpm.result, _xlfn.XLOOKUP([1]!Table5[[#This Row],[site_id05]],'[1]01_sites'!D:D,'[1]01_sites'!G:G,""), IF(_xlpm.result=0,"",_xlpm.result))</f>
        <v/>
      </c>
      <c r="AU942" t="str">
        <f>_xlfn.LET(_xlpm.result, _xlfn.XLOOKUP([1]!Table5[[#This Row],[site_id05]],'[1]01_sites'!D:D,'[1]01_sites'!H:H,""), IF(_xlpm.result=0,"",_xlpm.result))</f>
        <v/>
      </c>
      <c r="AV942" t="s">
        <v>2415</v>
      </c>
      <c r="AW942">
        <v>136</v>
      </c>
      <c r="AX942" t="s">
        <v>29</v>
      </c>
      <c r="AY942">
        <v>4</v>
      </c>
      <c r="AZ942" t="s">
        <v>2399</v>
      </c>
      <c r="BA942">
        <v>2017</v>
      </c>
      <c r="BB942">
        <v>2020</v>
      </c>
      <c r="BD942" t="s">
        <v>2422</v>
      </c>
      <c r="BE942" t="s">
        <v>2450</v>
      </c>
      <c r="BF942" t="s">
        <v>1512</v>
      </c>
      <c r="BG942" t="s">
        <v>1243</v>
      </c>
      <c r="BH942" t="s">
        <v>2338</v>
      </c>
      <c r="BI942" t="s">
        <v>2402</v>
      </c>
      <c r="BJ942" t="s">
        <v>2403</v>
      </c>
      <c r="BK942">
        <v>722000</v>
      </c>
      <c r="BL942" t="s">
        <v>56</v>
      </c>
      <c r="BM942" t="s">
        <v>2404</v>
      </c>
      <c r="BN942" t="s">
        <v>2405</v>
      </c>
      <c r="BO942" t="s">
        <v>2403</v>
      </c>
      <c r="BP942" s="9">
        <v>470000</v>
      </c>
      <c r="BQ942" t="s">
        <v>275</v>
      </c>
      <c r="BR942" t="s">
        <v>2404</v>
      </c>
      <c r="BS942" t="s">
        <v>2405</v>
      </c>
      <c r="BT942" t="s">
        <v>2403</v>
      </c>
      <c r="BU942" s="9">
        <v>470000</v>
      </c>
      <c r="BV942" t="s">
        <v>275</v>
      </c>
      <c r="BW942" t="s">
        <v>2338</v>
      </c>
      <c r="BX942" t="s">
        <v>2402</v>
      </c>
      <c r="BY942" t="s">
        <v>2403</v>
      </c>
      <c r="BZ942">
        <v>722000</v>
      </c>
      <c r="CA942" t="s">
        <v>56</v>
      </c>
      <c r="CB942" t="s">
        <v>2404</v>
      </c>
      <c r="CC942" t="s">
        <v>2405</v>
      </c>
      <c r="CD942" t="s">
        <v>2403</v>
      </c>
      <c r="CE942" s="9">
        <v>470000</v>
      </c>
      <c r="HL942" t="s">
        <v>2406</v>
      </c>
      <c r="HM942" t="s">
        <v>232</v>
      </c>
      <c r="IG942" t="s">
        <v>2450</v>
      </c>
      <c r="IH942" t="s">
        <v>1453</v>
      </c>
      <c r="II942" t="s">
        <v>660</v>
      </c>
      <c r="IJ942" t="s">
        <v>661</v>
      </c>
      <c r="IK942">
        <v>2017</v>
      </c>
      <c r="IM942" t="s">
        <v>2407</v>
      </c>
      <c r="IN942" t="s">
        <v>2450</v>
      </c>
      <c r="IO942" t="s">
        <v>1939</v>
      </c>
      <c r="IP942" t="s">
        <v>273</v>
      </c>
      <c r="IR942">
        <v>2018</v>
      </c>
      <c r="IT942" t="s">
        <v>2407</v>
      </c>
      <c r="JJ942" t="s">
        <v>15</v>
      </c>
      <c r="JK942" t="s">
        <v>14</v>
      </c>
      <c r="JL942" t="s">
        <v>2459</v>
      </c>
      <c r="JM942" t="s">
        <v>13</v>
      </c>
      <c r="JN942" t="s">
        <v>2460</v>
      </c>
      <c r="JO942" t="s">
        <v>13</v>
      </c>
      <c r="JP942">
        <v>64</v>
      </c>
      <c r="JQ942">
        <v>21</v>
      </c>
      <c r="JR942">
        <v>30</v>
      </c>
      <c r="KD942" t="s">
        <v>2408</v>
      </c>
      <c r="KE942" t="s">
        <v>2409</v>
      </c>
      <c r="KH942" t="s">
        <v>2406</v>
      </c>
      <c r="KI942" t="s">
        <v>222</v>
      </c>
      <c r="KJ942" t="s">
        <v>221</v>
      </c>
      <c r="KK942" t="s">
        <v>2410</v>
      </c>
      <c r="KL942">
        <f t="shared" si="7"/>
        <v>540</v>
      </c>
      <c r="KM942" t="s">
        <v>222</v>
      </c>
      <c r="KN942" t="s">
        <v>2411</v>
      </c>
      <c r="KO942" t="s">
        <v>2410</v>
      </c>
      <c r="KP942">
        <v>360</v>
      </c>
      <c r="KV942" t="s">
        <v>2413</v>
      </c>
      <c r="LE942" t="s">
        <v>2407</v>
      </c>
      <c r="MS942" t="s">
        <v>2415</v>
      </c>
      <c r="MT942">
        <v>136</v>
      </c>
      <c r="MU942" t="s">
        <v>2448</v>
      </c>
      <c r="MW942" t="s">
        <v>2315</v>
      </c>
      <c r="NE942" t="s">
        <v>2448</v>
      </c>
      <c r="NG942" t="s">
        <v>8</v>
      </c>
      <c r="NH942" t="s">
        <v>13</v>
      </c>
      <c r="NQ942" t="s">
        <v>6</v>
      </c>
      <c r="NR942">
        <v>514.9</v>
      </c>
      <c r="NS942" t="s">
        <v>29</v>
      </c>
      <c r="NW942">
        <v>3</v>
      </c>
      <c r="OH942" t="s">
        <v>2390</v>
      </c>
      <c r="OI942" t="s">
        <v>6</v>
      </c>
      <c r="OK942">
        <v>2017</v>
      </c>
      <c r="OL942">
        <v>2020</v>
      </c>
      <c r="OO942" t="s">
        <v>1178</v>
      </c>
      <c r="OP942" s="58">
        <v>46136</v>
      </c>
    </row>
    <row r="943" spans="1:406">
      <c r="A943" t="s">
        <v>248</v>
      </c>
      <c r="B943" t="s">
        <v>2396</v>
      </c>
      <c r="C943" t="s">
        <v>2397</v>
      </c>
      <c r="D943" t="s">
        <v>1955</v>
      </c>
      <c r="E943" s="90" t="s">
        <v>2398</v>
      </c>
      <c r="F943" t="s">
        <v>31</v>
      </c>
      <c r="G943" t="s">
        <v>2</v>
      </c>
      <c r="H943" t="s">
        <v>30</v>
      </c>
      <c r="I943">
        <v>7.8527777780000001</v>
      </c>
      <c r="J943">
        <v>-5.1111111109999996</v>
      </c>
      <c r="K943" t="s">
        <v>29</v>
      </c>
      <c r="AV943" t="s">
        <v>2415</v>
      </c>
      <c r="AW943">
        <v>136</v>
      </c>
      <c r="AX943" t="s">
        <v>29</v>
      </c>
      <c r="AY943">
        <v>4</v>
      </c>
      <c r="AZ943" t="s">
        <v>2399</v>
      </c>
      <c r="BA943">
        <v>2017</v>
      </c>
      <c r="BB943">
        <v>2020</v>
      </c>
      <c r="BD943" t="s">
        <v>2422</v>
      </c>
      <c r="BE943" t="s">
        <v>2424</v>
      </c>
      <c r="BF943" t="s">
        <v>1522</v>
      </c>
      <c r="BG943" t="s">
        <v>1243</v>
      </c>
      <c r="BH943" t="s">
        <v>2338</v>
      </c>
      <c r="BI943" t="s">
        <v>2402</v>
      </c>
      <c r="BJ943" t="s">
        <v>2403</v>
      </c>
      <c r="BK943">
        <v>722000</v>
      </c>
      <c r="BL943" t="s">
        <v>56</v>
      </c>
      <c r="BM943" t="s">
        <v>2404</v>
      </c>
      <c r="BN943" t="s">
        <v>2405</v>
      </c>
      <c r="BO943" t="s">
        <v>2403</v>
      </c>
      <c r="BP943" s="9">
        <v>470000</v>
      </c>
      <c r="BQ943" t="s">
        <v>275</v>
      </c>
      <c r="BR943" t="s">
        <v>2404</v>
      </c>
      <c r="BS943" t="s">
        <v>2405</v>
      </c>
      <c r="BT943" t="s">
        <v>2403</v>
      </c>
      <c r="BU943" s="9">
        <v>470000</v>
      </c>
      <c r="BV943" t="s">
        <v>275</v>
      </c>
      <c r="BW943" t="s">
        <v>2338</v>
      </c>
      <c r="BX943" t="s">
        <v>2402</v>
      </c>
      <c r="BY943" t="s">
        <v>2403</v>
      </c>
      <c r="BZ943">
        <v>722000</v>
      </c>
      <c r="CA943" t="s">
        <v>56</v>
      </c>
      <c r="CB943" t="s">
        <v>2404</v>
      </c>
      <c r="CC943" t="s">
        <v>2405</v>
      </c>
      <c r="CD943" t="s">
        <v>2403</v>
      </c>
      <c r="CE943" s="9">
        <v>470000</v>
      </c>
      <c r="HL943" t="s">
        <v>2406</v>
      </c>
      <c r="HM943" t="s">
        <v>232</v>
      </c>
      <c r="IG943" t="s">
        <v>2424</v>
      </c>
      <c r="IH943" t="s">
        <v>1453</v>
      </c>
      <c r="II943" t="s">
        <v>660</v>
      </c>
      <c r="IJ943" t="s">
        <v>661</v>
      </c>
      <c r="IK943">
        <v>2017</v>
      </c>
      <c r="IM943" t="s">
        <v>2407</v>
      </c>
      <c r="IN943" t="s">
        <v>2424</v>
      </c>
      <c r="IO943" t="s">
        <v>1939</v>
      </c>
      <c r="IP943" t="s">
        <v>273</v>
      </c>
      <c r="IR943">
        <v>2018</v>
      </c>
      <c r="IT943" t="s">
        <v>2407</v>
      </c>
      <c r="JJ943" t="s">
        <v>15</v>
      </c>
      <c r="JK943" t="s">
        <v>14</v>
      </c>
      <c r="JL943" t="s">
        <v>2459</v>
      </c>
      <c r="JM943" t="s">
        <v>13</v>
      </c>
      <c r="JN943" t="s">
        <v>2460</v>
      </c>
      <c r="JO943" t="s">
        <v>13</v>
      </c>
      <c r="JP943">
        <v>64</v>
      </c>
      <c r="JQ943">
        <v>21</v>
      </c>
      <c r="JR943">
        <v>30</v>
      </c>
      <c r="KD943" t="s">
        <v>2408</v>
      </c>
      <c r="KE943" t="s">
        <v>2409</v>
      </c>
      <c r="KH943" t="s">
        <v>2406</v>
      </c>
      <c r="KI943" t="s">
        <v>222</v>
      </c>
      <c r="KJ943" t="s">
        <v>221</v>
      </c>
      <c r="KK943" t="s">
        <v>2410</v>
      </c>
      <c r="KL943">
        <f t="shared" si="7"/>
        <v>540</v>
      </c>
      <c r="KM943" t="s">
        <v>222</v>
      </c>
      <c r="KN943" t="s">
        <v>2411</v>
      </c>
      <c r="KO943" t="s">
        <v>2410</v>
      </c>
      <c r="KP943">
        <v>360</v>
      </c>
      <c r="KU943" t="s">
        <v>2412</v>
      </c>
      <c r="KV943" t="s">
        <v>2413</v>
      </c>
      <c r="LE943" t="s">
        <v>2407</v>
      </c>
      <c r="MS943" t="s">
        <v>2415</v>
      </c>
      <c r="MT943">
        <v>136</v>
      </c>
      <c r="MU943" t="s">
        <v>2448</v>
      </c>
      <c r="MW943" t="s">
        <v>2315</v>
      </c>
      <c r="NE943" t="s">
        <v>2448</v>
      </c>
      <c r="NG943" t="s">
        <v>8</v>
      </c>
      <c r="NH943" t="s">
        <v>13</v>
      </c>
      <c r="NQ943" t="s">
        <v>6</v>
      </c>
      <c r="NR943">
        <v>1579.5</v>
      </c>
      <c r="NS943" t="s">
        <v>29</v>
      </c>
      <c r="NW943">
        <v>3</v>
      </c>
      <c r="OH943" t="s">
        <v>2390</v>
      </c>
      <c r="OI943" t="s">
        <v>6</v>
      </c>
      <c r="OK943">
        <v>2017</v>
      </c>
      <c r="OL943">
        <v>2020</v>
      </c>
      <c r="OO943" t="s">
        <v>1178</v>
      </c>
      <c r="OP943" s="58">
        <v>46136</v>
      </c>
    </row>
    <row r="944" spans="1:406">
      <c r="A944" t="s">
        <v>248</v>
      </c>
      <c r="B944" t="s">
        <v>2396</v>
      </c>
      <c r="C944" t="s">
        <v>2397</v>
      </c>
      <c r="D944" t="s">
        <v>1955</v>
      </c>
      <c r="E944" s="90" t="s">
        <v>2398</v>
      </c>
      <c r="F944" t="s">
        <v>31</v>
      </c>
      <c r="G944" t="s">
        <v>2</v>
      </c>
      <c r="H944" t="s">
        <v>30</v>
      </c>
      <c r="I944">
        <v>7.8527777780000001</v>
      </c>
      <c r="J944">
        <v>-5.1111111109999996</v>
      </c>
      <c r="K944" t="s">
        <v>29</v>
      </c>
      <c r="AV944" t="s">
        <v>2415</v>
      </c>
      <c r="AW944">
        <v>136</v>
      </c>
      <c r="AX944" t="s">
        <v>29</v>
      </c>
      <c r="AY944">
        <v>4</v>
      </c>
      <c r="AZ944" t="s">
        <v>2399</v>
      </c>
      <c r="BA944">
        <v>2017</v>
      </c>
      <c r="BB944">
        <v>2020</v>
      </c>
      <c r="BD944" t="s">
        <v>19</v>
      </c>
      <c r="BE944" t="s">
        <v>2425</v>
      </c>
      <c r="BF944" t="s">
        <v>299</v>
      </c>
      <c r="BG944" t="s">
        <v>1243</v>
      </c>
      <c r="BH944" t="s">
        <v>2338</v>
      </c>
      <c r="BI944" t="s">
        <v>2402</v>
      </c>
      <c r="BJ944" t="s">
        <v>2403</v>
      </c>
      <c r="BK944">
        <v>722000</v>
      </c>
      <c r="BL944" t="s">
        <v>275</v>
      </c>
      <c r="BM944" t="s">
        <v>23</v>
      </c>
      <c r="BN944" t="s">
        <v>1481</v>
      </c>
      <c r="BO944" t="s">
        <v>2403</v>
      </c>
      <c r="BP944" s="9">
        <v>55556</v>
      </c>
      <c r="HL944" t="s">
        <v>2426</v>
      </c>
      <c r="HM944" t="s">
        <v>297</v>
      </c>
      <c r="HN944" t="s">
        <v>2427</v>
      </c>
      <c r="HQ944">
        <v>3</v>
      </c>
      <c r="IG944" t="s">
        <v>2425</v>
      </c>
      <c r="IH944" t="s">
        <v>19</v>
      </c>
      <c r="II944" t="s">
        <v>660</v>
      </c>
      <c r="IJ944" t="s">
        <v>661</v>
      </c>
      <c r="IK944">
        <v>2017</v>
      </c>
      <c r="IM944" t="s">
        <v>18</v>
      </c>
      <c r="IN944" t="s">
        <v>2425</v>
      </c>
      <c r="IO944" t="s">
        <v>1939</v>
      </c>
      <c r="IP944" t="s">
        <v>283</v>
      </c>
      <c r="IR944">
        <v>2018</v>
      </c>
      <c r="IT944" t="s">
        <v>18</v>
      </c>
      <c r="JJ944" t="s">
        <v>15</v>
      </c>
      <c r="JK944" t="s">
        <v>14</v>
      </c>
      <c r="JL944" t="s">
        <v>2459</v>
      </c>
      <c r="JM944" t="s">
        <v>13</v>
      </c>
      <c r="JN944" t="s">
        <v>2460</v>
      </c>
      <c r="JO944" t="s">
        <v>13</v>
      </c>
      <c r="JP944">
        <v>64</v>
      </c>
      <c r="JQ944">
        <v>21</v>
      </c>
      <c r="JR944">
        <v>30</v>
      </c>
      <c r="KD944" t="s">
        <v>2408</v>
      </c>
      <c r="KE944" t="s">
        <v>2409</v>
      </c>
      <c r="KH944" t="s">
        <v>2426</v>
      </c>
      <c r="KI944" t="s">
        <v>222</v>
      </c>
      <c r="KJ944" t="s">
        <v>2433</v>
      </c>
      <c r="KK944" t="s">
        <v>2410</v>
      </c>
      <c r="KL944">
        <v>1000</v>
      </c>
      <c r="KM944" t="s">
        <v>222</v>
      </c>
      <c r="KU944" t="s">
        <v>2412</v>
      </c>
      <c r="KV944" t="s">
        <v>2413</v>
      </c>
      <c r="LE944" t="s">
        <v>18</v>
      </c>
      <c r="MS944" t="s">
        <v>2415</v>
      </c>
      <c r="MT944">
        <v>136</v>
      </c>
      <c r="MU944" t="s">
        <v>2448</v>
      </c>
      <c r="MW944" t="s">
        <v>2315</v>
      </c>
      <c r="NE944" t="s">
        <v>2448</v>
      </c>
      <c r="NG944" t="s">
        <v>8</v>
      </c>
      <c r="NH944" t="s">
        <v>13</v>
      </c>
      <c r="NP944" t="s">
        <v>2461</v>
      </c>
      <c r="NQ944" t="s">
        <v>6</v>
      </c>
      <c r="NR944">
        <v>1727.9</v>
      </c>
      <c r="NS944" t="s">
        <v>29</v>
      </c>
      <c r="NW944">
        <v>3</v>
      </c>
      <c r="OH944" t="s">
        <v>2390</v>
      </c>
      <c r="OI944" t="s">
        <v>6</v>
      </c>
      <c r="OK944">
        <v>2017</v>
      </c>
      <c r="OL944">
        <v>2020</v>
      </c>
      <c r="OO944" t="s">
        <v>1178</v>
      </c>
      <c r="OP944" s="58">
        <v>46136</v>
      </c>
    </row>
    <row r="945" spans="1:406">
      <c r="A945" t="s">
        <v>248</v>
      </c>
      <c r="B945" t="s">
        <v>2396</v>
      </c>
      <c r="C945" t="s">
        <v>2397</v>
      </c>
      <c r="D945" t="s">
        <v>1955</v>
      </c>
      <c r="E945" s="90" t="s">
        <v>2398</v>
      </c>
      <c r="F945" t="s">
        <v>31</v>
      </c>
      <c r="G945" t="s">
        <v>2</v>
      </c>
      <c r="H945" t="s">
        <v>30</v>
      </c>
      <c r="I945">
        <v>7.8527777780000001</v>
      </c>
      <c r="J945">
        <v>-5.1111111109999996</v>
      </c>
      <c r="K945" t="s">
        <v>29</v>
      </c>
      <c r="O945" t="str">
        <f>_xlfn.LET(_xlpm.result, _xlfn.XLOOKUP([1]!Table5[[#This Row],[site_id02]],'[1]01_sites'!D:D,'[1]01_sites'!C:C,""), IF(_xlpm.result=0,"",_xlpm.result))</f>
        <v/>
      </c>
      <c r="R945" t="str">
        <f>_xlfn.LET(_xlpm.result, _xlfn.XLOOKUP([1]!Table5[[#This Row],[site_id02]],'[1]01_sites'!D:D,'[1]01_sites'!F:F,""), IF(_xlpm.result=0,"",_xlpm.result))</f>
        <v/>
      </c>
      <c r="S945" t="str">
        <f>_xlfn.LET(_xlpm.result, _xlfn.XLOOKUP([1]!Table5[[#This Row],[site_id02]],'[1]01_sites'!D:D,'[1]01_sites'!G:G,""), IF(_xlpm.result=0,"",_xlpm.result))</f>
        <v/>
      </c>
      <c r="T945" t="str">
        <f>_xlfn.LET(_xlpm.result, _xlfn.XLOOKUP([1]!Table5[[#This Row],[site_id02]],'[1]01_sites'!D:D,'[1]01_sites'!H:H,""), IF(_xlpm.result=0,"",_xlpm.result))</f>
        <v/>
      </c>
      <c r="X945" t="str">
        <f>_xlfn.LET(_xlpm.result, _xlfn.XLOOKUP([1]!Table5[[#This Row],[site_id03]],'[1]01_sites'!D:D,'[1]01_sites'!C:C,""), IF(_xlpm.result=0,"",_xlpm.result))</f>
        <v/>
      </c>
      <c r="AA945" t="str">
        <f>_xlfn.LET(_xlpm.result, _xlfn.XLOOKUP([1]!Table5[[#This Row],[site_id03]],'[1]01_sites'!D:D,'[1]01_sites'!F:F,""), IF(_xlpm.result=0,"",_xlpm.result))</f>
        <v/>
      </c>
      <c r="AB945" t="str">
        <f>_xlfn.LET(_xlpm.result, _xlfn.XLOOKUP([1]!Table5[[#This Row],[site_id03]],'[1]01_sites'!D:D,'[1]01_sites'!G:G,""), IF(_xlpm.result=0,"",_xlpm.result))</f>
        <v/>
      </c>
      <c r="AC945" t="str">
        <f>_xlfn.LET(_xlpm.result, _xlfn.XLOOKUP([1]!Table5[[#This Row],[site_id03]],'[1]01_sites'!D:D,'[1]01_sites'!H:H,""), IF(_xlpm.result=0,"",_xlpm.result))</f>
        <v/>
      </c>
      <c r="AG945" t="str">
        <f>_xlfn.LET(_xlpm.result, _xlfn.XLOOKUP([1]!Table5[[#This Row],[site_id04]],'[1]01_sites'!D:D,'[1]01_sites'!C:C,""), IF(_xlpm.result=0,"",_xlpm.result))</f>
        <v/>
      </c>
      <c r="AJ945" t="str">
        <f>_xlfn.LET(_xlpm.result, _xlfn.XLOOKUP([1]!Table5[[#This Row],[site_id04]],'[1]01_sites'!D:D,'[1]01_sites'!F:F,""), IF(_xlpm.result=0,"",_xlpm.result))</f>
        <v/>
      </c>
      <c r="AK945" t="str">
        <f>_xlfn.LET(_xlpm.result, _xlfn.XLOOKUP([1]!Table5[[#This Row],[site_id04]],'[1]01_sites'!D:D,'[1]01_sites'!G:G,""), IF(_xlpm.result=0,"",_xlpm.result))</f>
        <v/>
      </c>
      <c r="AL945" t="str">
        <f>_xlfn.LET(_xlpm.result, _xlfn.XLOOKUP([1]!Table5[[#This Row],[site_id04]],'[1]01_sites'!D:D,'[1]01_sites'!H:H,""), IF(_xlpm.result=0,"",_xlpm.result))</f>
        <v/>
      </c>
      <c r="AP945" t="str">
        <f>_xlfn.LET(_xlpm.result, _xlfn.XLOOKUP([1]!Table5[[#This Row],[site_id05]],'[1]01_sites'!D:D,'[1]01_sites'!C:C,""), IF(_xlpm.result=0,"",_xlpm.result))</f>
        <v/>
      </c>
      <c r="AS945" t="str">
        <f>_xlfn.LET(_xlpm.result, _xlfn.XLOOKUP([1]!Table5[[#This Row],[site_id05]],'[1]01_sites'!D:D,'[1]01_sites'!F:F,""), IF(_xlpm.result=0,"",_xlpm.result))</f>
        <v/>
      </c>
      <c r="AT945" t="str">
        <f>_xlfn.LET(_xlpm.result, _xlfn.XLOOKUP([1]!Table5[[#This Row],[site_id05]],'[1]01_sites'!D:D,'[1]01_sites'!G:G,""), IF(_xlpm.result=0,"",_xlpm.result))</f>
        <v/>
      </c>
      <c r="AU945" t="str">
        <f>_xlfn.LET(_xlpm.result, _xlfn.XLOOKUP([1]!Table5[[#This Row],[site_id05]],'[1]01_sites'!D:D,'[1]01_sites'!H:H,""), IF(_xlpm.result=0,"",_xlpm.result))</f>
        <v/>
      </c>
      <c r="AV945" t="s">
        <v>2415</v>
      </c>
      <c r="AW945">
        <v>136</v>
      </c>
      <c r="AX945" t="s">
        <v>29</v>
      </c>
      <c r="AY945">
        <v>4</v>
      </c>
      <c r="AZ945" t="s">
        <v>2399</v>
      </c>
      <c r="BA945">
        <v>2017</v>
      </c>
      <c r="BB945">
        <v>2020</v>
      </c>
      <c r="BE945" t="s">
        <v>2452</v>
      </c>
      <c r="BF945" t="s">
        <v>256</v>
      </c>
      <c r="BG945" t="s">
        <v>1243</v>
      </c>
      <c r="BH945" t="s">
        <v>2338</v>
      </c>
      <c r="BI945" t="s">
        <v>2402</v>
      </c>
      <c r="BJ945" t="s">
        <v>2403</v>
      </c>
      <c r="BK945">
        <v>722000</v>
      </c>
      <c r="BL945" t="s">
        <v>275</v>
      </c>
      <c r="BM945" t="s">
        <v>23</v>
      </c>
      <c r="BN945" t="s">
        <v>1481</v>
      </c>
      <c r="BO945" t="s">
        <v>2403</v>
      </c>
      <c r="BP945" s="9">
        <v>55556</v>
      </c>
      <c r="HL945" t="s">
        <v>2426</v>
      </c>
      <c r="HM945" t="s">
        <v>297</v>
      </c>
      <c r="HN945" t="s">
        <v>2427</v>
      </c>
      <c r="HQ945">
        <v>3</v>
      </c>
      <c r="IG945" t="s">
        <v>2452</v>
      </c>
      <c r="IH945" t="s">
        <v>19</v>
      </c>
      <c r="II945" t="s">
        <v>660</v>
      </c>
      <c r="IJ945" t="s">
        <v>661</v>
      </c>
      <c r="IK945">
        <v>2017</v>
      </c>
      <c r="IM945" t="s">
        <v>2428</v>
      </c>
      <c r="IN945" t="s">
        <v>2452</v>
      </c>
      <c r="IO945" t="s">
        <v>1939</v>
      </c>
      <c r="IP945" t="s">
        <v>283</v>
      </c>
      <c r="IR945">
        <v>2018</v>
      </c>
      <c r="IT945" t="s">
        <v>2428</v>
      </c>
      <c r="JJ945" t="s">
        <v>15</v>
      </c>
      <c r="JK945" t="s">
        <v>14</v>
      </c>
      <c r="JL945" t="s">
        <v>2459</v>
      </c>
      <c r="JM945" t="s">
        <v>13</v>
      </c>
      <c r="JN945" t="s">
        <v>2460</v>
      </c>
      <c r="JO945" t="s">
        <v>13</v>
      </c>
      <c r="JP945">
        <v>64</v>
      </c>
      <c r="JQ945">
        <v>21</v>
      </c>
      <c r="JR945">
        <v>30</v>
      </c>
      <c r="KD945" t="s">
        <v>2408</v>
      </c>
      <c r="KE945" t="s">
        <v>2409</v>
      </c>
      <c r="KH945" t="s">
        <v>2426</v>
      </c>
      <c r="KI945" t="s">
        <v>222</v>
      </c>
      <c r="KJ945" t="s">
        <v>2433</v>
      </c>
      <c r="KK945" t="s">
        <v>2410</v>
      </c>
      <c r="KL945">
        <v>1000</v>
      </c>
      <c r="KM945" t="s">
        <v>222</v>
      </c>
      <c r="KV945" t="s">
        <v>216</v>
      </c>
      <c r="LE945" t="s">
        <v>2428</v>
      </c>
      <c r="MS945" t="s">
        <v>2415</v>
      </c>
      <c r="MT945">
        <v>136</v>
      </c>
      <c r="MU945" t="s">
        <v>2448</v>
      </c>
      <c r="MW945" t="s">
        <v>2315</v>
      </c>
      <c r="NE945" t="s">
        <v>2448</v>
      </c>
      <c r="NG945" t="s">
        <v>8</v>
      </c>
      <c r="NH945" t="s">
        <v>13</v>
      </c>
      <c r="NP945" t="s">
        <v>2461</v>
      </c>
      <c r="NQ945" t="s">
        <v>6</v>
      </c>
      <c r="NR945">
        <v>2159.9</v>
      </c>
      <c r="NS945" t="s">
        <v>29</v>
      </c>
      <c r="NW945">
        <v>2</v>
      </c>
      <c r="OH945" t="s">
        <v>2390</v>
      </c>
      <c r="OI945" t="s">
        <v>6</v>
      </c>
      <c r="OK945">
        <v>2017</v>
      </c>
      <c r="OL945">
        <v>2020</v>
      </c>
      <c r="OO945" t="s">
        <v>1178</v>
      </c>
      <c r="OP945" s="58">
        <v>46136</v>
      </c>
    </row>
    <row r="946" spans="1:406">
      <c r="A946" t="s">
        <v>248</v>
      </c>
      <c r="B946" t="s">
        <v>2396</v>
      </c>
      <c r="C946" t="s">
        <v>2397</v>
      </c>
      <c r="D946" t="s">
        <v>1955</v>
      </c>
      <c r="E946" s="90" t="s">
        <v>2398</v>
      </c>
      <c r="F946" t="s">
        <v>31</v>
      </c>
      <c r="G946" t="s">
        <v>2</v>
      </c>
      <c r="H946" t="s">
        <v>30</v>
      </c>
      <c r="I946">
        <v>7.8527777780000001</v>
      </c>
      <c r="J946">
        <v>-5.1111111109999996</v>
      </c>
      <c r="K946" t="s">
        <v>29</v>
      </c>
      <c r="AV946" t="s">
        <v>2415</v>
      </c>
      <c r="AW946">
        <v>136</v>
      </c>
      <c r="AX946" t="s">
        <v>29</v>
      </c>
      <c r="AY946">
        <v>4</v>
      </c>
      <c r="AZ946" t="s">
        <v>2399</v>
      </c>
      <c r="BA946">
        <v>2017</v>
      </c>
      <c r="BB946">
        <v>2020</v>
      </c>
      <c r="BD946" t="s">
        <v>2400</v>
      </c>
      <c r="BE946" t="s">
        <v>2429</v>
      </c>
      <c r="BF946" t="s">
        <v>1523</v>
      </c>
      <c r="BG946" t="s">
        <v>1243</v>
      </c>
      <c r="BH946" t="s">
        <v>23</v>
      </c>
      <c r="BI946" t="s">
        <v>1481</v>
      </c>
      <c r="BJ946" t="s">
        <v>2403</v>
      </c>
      <c r="BK946" s="9">
        <v>55556</v>
      </c>
      <c r="BL946" t="s">
        <v>56</v>
      </c>
      <c r="BM946" t="s">
        <v>2192</v>
      </c>
      <c r="BN946" t="s">
        <v>2430</v>
      </c>
      <c r="BO946" t="s">
        <v>2403</v>
      </c>
      <c r="BP946">
        <v>55600</v>
      </c>
      <c r="BQ946" t="s">
        <v>275</v>
      </c>
      <c r="BR946" t="s">
        <v>2338</v>
      </c>
      <c r="BS946" t="s">
        <v>2402</v>
      </c>
      <c r="BT946" t="s">
        <v>2403</v>
      </c>
      <c r="BU946">
        <v>722000</v>
      </c>
      <c r="BV946" t="s">
        <v>56</v>
      </c>
      <c r="BW946" t="s">
        <v>1436</v>
      </c>
      <c r="BX946" t="s">
        <v>29</v>
      </c>
      <c r="BY946" t="s">
        <v>29</v>
      </c>
      <c r="BZ946" t="s">
        <v>29</v>
      </c>
      <c r="HL946" t="s">
        <v>2406</v>
      </c>
      <c r="HM946" t="s">
        <v>232</v>
      </c>
      <c r="IG946" t="s">
        <v>2429</v>
      </c>
      <c r="IH946" t="s">
        <v>1453</v>
      </c>
      <c r="II946" t="s">
        <v>660</v>
      </c>
      <c r="IJ946" t="s">
        <v>661</v>
      </c>
      <c r="IK946">
        <v>2017</v>
      </c>
      <c r="IM946" t="s">
        <v>2407</v>
      </c>
      <c r="IN946" t="s">
        <v>2429</v>
      </c>
      <c r="IO946" t="s">
        <v>2431</v>
      </c>
      <c r="IP946" t="s">
        <v>2432</v>
      </c>
      <c r="IR946">
        <v>2018</v>
      </c>
      <c r="IT946" t="s">
        <v>2407</v>
      </c>
      <c r="JJ946" t="s">
        <v>15</v>
      </c>
      <c r="JK946" t="s">
        <v>14</v>
      </c>
      <c r="JL946" t="s">
        <v>2459</v>
      </c>
      <c r="JM946" t="s">
        <v>13</v>
      </c>
      <c r="JN946" t="s">
        <v>2460</v>
      </c>
      <c r="JO946" t="s">
        <v>13</v>
      </c>
      <c r="JP946">
        <v>64</v>
      </c>
      <c r="JQ946">
        <v>21</v>
      </c>
      <c r="JR946">
        <v>30</v>
      </c>
      <c r="KD946" t="s">
        <v>2408</v>
      </c>
      <c r="KE946" t="s">
        <v>2409</v>
      </c>
      <c r="KH946" t="s">
        <v>2406</v>
      </c>
      <c r="KI946" t="s">
        <v>222</v>
      </c>
      <c r="KJ946" t="s">
        <v>221</v>
      </c>
      <c r="KK946" t="s">
        <v>2410</v>
      </c>
      <c r="KL946">
        <v>540</v>
      </c>
      <c r="KM946" t="s">
        <v>222</v>
      </c>
      <c r="KN946" t="s">
        <v>2411</v>
      </c>
      <c r="KO946" t="s">
        <v>2410</v>
      </c>
      <c r="KP946">
        <v>360</v>
      </c>
      <c r="KV946" t="s">
        <v>2324</v>
      </c>
      <c r="KW946" t="s">
        <v>2434</v>
      </c>
      <c r="LE946" t="s">
        <v>2407</v>
      </c>
      <c r="MS946" t="s">
        <v>2415</v>
      </c>
      <c r="MT946">
        <v>136</v>
      </c>
      <c r="MU946" t="s">
        <v>2448</v>
      </c>
      <c r="MW946" t="s">
        <v>2315</v>
      </c>
      <c r="NE946" t="s">
        <v>2448</v>
      </c>
      <c r="NG946" t="s">
        <v>8</v>
      </c>
      <c r="NH946" t="s">
        <v>13</v>
      </c>
      <c r="NQ946" t="s">
        <v>6</v>
      </c>
      <c r="NR946">
        <v>1496.1</v>
      </c>
      <c r="NS946" t="s">
        <v>29</v>
      </c>
      <c r="NW946">
        <v>3</v>
      </c>
      <c r="OH946" t="s">
        <v>2390</v>
      </c>
      <c r="OI946" t="s">
        <v>6</v>
      </c>
      <c r="OK946">
        <v>2017</v>
      </c>
      <c r="OL946">
        <v>2020</v>
      </c>
      <c r="OO946" t="s">
        <v>1178</v>
      </c>
      <c r="OP946" s="58">
        <v>46136</v>
      </c>
    </row>
    <row r="947" spans="1:406">
      <c r="A947" t="s">
        <v>248</v>
      </c>
      <c r="B947" t="s">
        <v>2396</v>
      </c>
      <c r="C947" t="s">
        <v>2397</v>
      </c>
      <c r="D947" t="s">
        <v>1955</v>
      </c>
      <c r="E947" s="90" t="s">
        <v>2398</v>
      </c>
      <c r="F947" t="s">
        <v>31</v>
      </c>
      <c r="G947" t="s">
        <v>2</v>
      </c>
      <c r="H947" t="s">
        <v>30</v>
      </c>
      <c r="I947">
        <v>7.8527777780000001</v>
      </c>
      <c r="J947">
        <v>-5.1111111109999996</v>
      </c>
      <c r="K947" t="s">
        <v>29</v>
      </c>
      <c r="O947" t="str">
        <f>_xlfn.LET(_xlpm.result, _xlfn.XLOOKUP([1]!Table5[[#This Row],[site_id02]],'[1]01_sites'!D:D,'[1]01_sites'!C:C,""), IF(_xlpm.result=0,"",_xlpm.result))</f>
        <v/>
      </c>
      <c r="R947" t="str">
        <f>_xlfn.LET(_xlpm.result, _xlfn.XLOOKUP([1]!Table5[[#This Row],[site_id02]],'[1]01_sites'!D:D,'[1]01_sites'!F:F,""), IF(_xlpm.result=0,"",_xlpm.result))</f>
        <v/>
      </c>
      <c r="S947" t="str">
        <f>_xlfn.LET(_xlpm.result, _xlfn.XLOOKUP([1]!Table5[[#This Row],[site_id02]],'[1]01_sites'!D:D,'[1]01_sites'!G:G,""), IF(_xlpm.result=0,"",_xlpm.result))</f>
        <v/>
      </c>
      <c r="T947" t="str">
        <f>_xlfn.LET(_xlpm.result, _xlfn.XLOOKUP([1]!Table5[[#This Row],[site_id02]],'[1]01_sites'!D:D,'[1]01_sites'!H:H,""), IF(_xlpm.result=0,"",_xlpm.result))</f>
        <v/>
      </c>
      <c r="X947" t="str">
        <f>_xlfn.LET(_xlpm.result, _xlfn.XLOOKUP([1]!Table5[[#This Row],[site_id03]],'[1]01_sites'!D:D,'[1]01_sites'!C:C,""), IF(_xlpm.result=0,"",_xlpm.result))</f>
        <v/>
      </c>
      <c r="AA947" t="str">
        <f>_xlfn.LET(_xlpm.result, _xlfn.XLOOKUP([1]!Table5[[#This Row],[site_id03]],'[1]01_sites'!D:D,'[1]01_sites'!F:F,""), IF(_xlpm.result=0,"",_xlpm.result))</f>
        <v/>
      </c>
      <c r="AB947" t="str">
        <f>_xlfn.LET(_xlpm.result, _xlfn.XLOOKUP([1]!Table5[[#This Row],[site_id03]],'[1]01_sites'!D:D,'[1]01_sites'!G:G,""), IF(_xlpm.result=0,"",_xlpm.result))</f>
        <v/>
      </c>
      <c r="AC947" t="str">
        <f>_xlfn.LET(_xlpm.result, _xlfn.XLOOKUP([1]!Table5[[#This Row],[site_id03]],'[1]01_sites'!D:D,'[1]01_sites'!H:H,""), IF(_xlpm.result=0,"",_xlpm.result))</f>
        <v/>
      </c>
      <c r="AG947" t="str">
        <f>_xlfn.LET(_xlpm.result, _xlfn.XLOOKUP([1]!Table5[[#This Row],[site_id04]],'[1]01_sites'!D:D,'[1]01_sites'!C:C,""), IF(_xlpm.result=0,"",_xlpm.result))</f>
        <v/>
      </c>
      <c r="AJ947" t="str">
        <f>_xlfn.LET(_xlpm.result, _xlfn.XLOOKUP([1]!Table5[[#This Row],[site_id04]],'[1]01_sites'!D:D,'[1]01_sites'!F:F,""), IF(_xlpm.result=0,"",_xlpm.result))</f>
        <v/>
      </c>
      <c r="AK947" t="str">
        <f>_xlfn.LET(_xlpm.result, _xlfn.XLOOKUP([1]!Table5[[#This Row],[site_id04]],'[1]01_sites'!D:D,'[1]01_sites'!G:G,""), IF(_xlpm.result=0,"",_xlpm.result))</f>
        <v/>
      </c>
      <c r="AL947" t="str">
        <f>_xlfn.LET(_xlpm.result, _xlfn.XLOOKUP([1]!Table5[[#This Row],[site_id04]],'[1]01_sites'!D:D,'[1]01_sites'!H:H,""), IF(_xlpm.result=0,"",_xlpm.result))</f>
        <v/>
      </c>
      <c r="AP947" t="str">
        <f>_xlfn.LET(_xlpm.result, _xlfn.XLOOKUP([1]!Table5[[#This Row],[site_id05]],'[1]01_sites'!D:D,'[1]01_sites'!C:C,""), IF(_xlpm.result=0,"",_xlpm.result))</f>
        <v/>
      </c>
      <c r="AS947" t="str">
        <f>_xlfn.LET(_xlpm.result, _xlfn.XLOOKUP([1]!Table5[[#This Row],[site_id05]],'[1]01_sites'!D:D,'[1]01_sites'!F:F,""), IF(_xlpm.result=0,"",_xlpm.result))</f>
        <v/>
      </c>
      <c r="AT947" t="str">
        <f>_xlfn.LET(_xlpm.result, _xlfn.XLOOKUP([1]!Table5[[#This Row],[site_id05]],'[1]01_sites'!D:D,'[1]01_sites'!G:G,""), IF(_xlpm.result=0,"",_xlpm.result))</f>
        <v/>
      </c>
      <c r="AU947" t="str">
        <f>_xlfn.LET(_xlpm.result, _xlfn.XLOOKUP([1]!Table5[[#This Row],[site_id05]],'[1]01_sites'!D:D,'[1]01_sites'!H:H,""), IF(_xlpm.result=0,"",_xlpm.result))</f>
        <v/>
      </c>
      <c r="AV947" t="s">
        <v>2415</v>
      </c>
      <c r="AW947">
        <v>136</v>
      </c>
      <c r="AX947" t="s">
        <v>29</v>
      </c>
      <c r="AY947">
        <v>4</v>
      </c>
      <c r="AZ947" t="s">
        <v>2399</v>
      </c>
      <c r="BA947">
        <v>2017</v>
      </c>
      <c r="BB947">
        <v>2020</v>
      </c>
      <c r="BE947" t="s">
        <v>2453</v>
      </c>
      <c r="BF947" t="s">
        <v>2462</v>
      </c>
      <c r="BG947" t="s">
        <v>1243</v>
      </c>
      <c r="BH947" t="s">
        <v>23</v>
      </c>
      <c r="BI947" t="s">
        <v>1481</v>
      </c>
      <c r="BJ947" t="s">
        <v>2403</v>
      </c>
      <c r="BK947" s="9">
        <v>55556</v>
      </c>
      <c r="BL947" t="s">
        <v>56</v>
      </c>
      <c r="BM947" t="s">
        <v>250</v>
      </c>
      <c r="BN947" t="s">
        <v>2454</v>
      </c>
      <c r="BO947" t="s">
        <v>2403</v>
      </c>
      <c r="BP947">
        <v>148000</v>
      </c>
      <c r="BQ947" t="s">
        <v>275</v>
      </c>
      <c r="BR947" t="s">
        <v>23</v>
      </c>
      <c r="BS947" t="s">
        <v>1481</v>
      </c>
      <c r="BT947" t="s">
        <v>2403</v>
      </c>
      <c r="BU947" s="9">
        <v>55556</v>
      </c>
      <c r="BV947" t="s">
        <v>56</v>
      </c>
      <c r="BW947" t="s">
        <v>2192</v>
      </c>
      <c r="BX947" t="s">
        <v>2430</v>
      </c>
      <c r="BY947" t="s">
        <v>2403</v>
      </c>
      <c r="BZ947">
        <v>55600</v>
      </c>
      <c r="CA947" t="s">
        <v>275</v>
      </c>
      <c r="CB947" t="s">
        <v>2338</v>
      </c>
      <c r="CC947" t="s">
        <v>2402</v>
      </c>
      <c r="CD947" t="s">
        <v>2403</v>
      </c>
      <c r="CE947">
        <v>722000</v>
      </c>
      <c r="HL947" t="s">
        <v>2406</v>
      </c>
      <c r="HM947" t="s">
        <v>232</v>
      </c>
      <c r="IG947" t="s">
        <v>2453</v>
      </c>
      <c r="IH947" t="s">
        <v>1453</v>
      </c>
      <c r="II947" t="s">
        <v>660</v>
      </c>
      <c r="IJ947" t="s">
        <v>661</v>
      </c>
      <c r="IK947">
        <v>2017</v>
      </c>
      <c r="IM947" t="s">
        <v>2407</v>
      </c>
      <c r="IN947" t="s">
        <v>2453</v>
      </c>
      <c r="IO947" t="s">
        <v>2431</v>
      </c>
      <c r="IP947" t="s">
        <v>2432</v>
      </c>
      <c r="IR947">
        <v>2018</v>
      </c>
      <c r="IT947" t="s">
        <v>2407</v>
      </c>
      <c r="JJ947" t="s">
        <v>15</v>
      </c>
      <c r="JK947" t="s">
        <v>14</v>
      </c>
      <c r="JL947" t="s">
        <v>2459</v>
      </c>
      <c r="JM947" t="s">
        <v>13</v>
      </c>
      <c r="JN947" t="s">
        <v>2460</v>
      </c>
      <c r="JO947" t="s">
        <v>13</v>
      </c>
      <c r="JP947">
        <v>64</v>
      </c>
      <c r="JQ947">
        <v>21</v>
      </c>
      <c r="JR947">
        <v>30</v>
      </c>
      <c r="KD947" t="s">
        <v>2408</v>
      </c>
      <c r="KE947" t="s">
        <v>2409</v>
      </c>
      <c r="KH947" t="s">
        <v>2406</v>
      </c>
      <c r="KI947" t="s">
        <v>222</v>
      </c>
      <c r="KJ947" t="s">
        <v>221</v>
      </c>
      <c r="KK947" t="s">
        <v>2410</v>
      </c>
      <c r="KL947">
        <v>540</v>
      </c>
      <c r="KM947" t="s">
        <v>222</v>
      </c>
      <c r="KN947" t="s">
        <v>2411</v>
      </c>
      <c r="KO947" t="s">
        <v>2410</v>
      </c>
      <c r="KP947">
        <v>360</v>
      </c>
      <c r="KV947" t="s">
        <v>2434</v>
      </c>
      <c r="LE947" t="s">
        <v>2407</v>
      </c>
      <c r="MS947" t="s">
        <v>2415</v>
      </c>
      <c r="MT947">
        <v>136</v>
      </c>
      <c r="MU947" t="s">
        <v>2448</v>
      </c>
      <c r="MW947" t="s">
        <v>2315</v>
      </c>
      <c r="NE947" t="s">
        <v>2448</v>
      </c>
      <c r="NG947" t="s">
        <v>8</v>
      </c>
      <c r="NH947" t="s">
        <v>13</v>
      </c>
      <c r="NQ947" t="s">
        <v>6</v>
      </c>
      <c r="NR947">
        <v>665.5</v>
      </c>
      <c r="NS947" t="s">
        <v>29</v>
      </c>
      <c r="NW947">
        <v>3</v>
      </c>
      <c r="OH947" t="s">
        <v>2390</v>
      </c>
      <c r="OI947" t="s">
        <v>6</v>
      </c>
      <c r="OK947">
        <v>2017</v>
      </c>
      <c r="OL947">
        <v>2020</v>
      </c>
      <c r="OO947" t="s">
        <v>1178</v>
      </c>
      <c r="OP947" s="58">
        <v>46136</v>
      </c>
    </row>
    <row r="948" spans="1:406">
      <c r="A948" t="s">
        <v>248</v>
      </c>
      <c r="B948" t="s">
        <v>2396</v>
      </c>
      <c r="C948" t="s">
        <v>2397</v>
      </c>
      <c r="D948" t="s">
        <v>1955</v>
      </c>
      <c r="E948" s="90" t="s">
        <v>2398</v>
      </c>
      <c r="F948" t="s">
        <v>31</v>
      </c>
      <c r="G948" t="s">
        <v>2</v>
      </c>
      <c r="H948" t="s">
        <v>30</v>
      </c>
      <c r="I948">
        <v>7.8527777780000001</v>
      </c>
      <c r="J948">
        <v>-5.1111111109999996</v>
      </c>
      <c r="K948" t="s">
        <v>29</v>
      </c>
      <c r="AV948" t="s">
        <v>2415</v>
      </c>
      <c r="AW948">
        <v>136</v>
      </c>
      <c r="AX948" t="s">
        <v>29</v>
      </c>
      <c r="AY948">
        <v>4</v>
      </c>
      <c r="AZ948" t="s">
        <v>2399</v>
      </c>
      <c r="BA948">
        <v>2017</v>
      </c>
      <c r="BB948">
        <v>2020</v>
      </c>
      <c r="BD948" t="s">
        <v>2400</v>
      </c>
      <c r="BE948" t="s">
        <v>2435</v>
      </c>
      <c r="BF948" t="s">
        <v>2463</v>
      </c>
      <c r="BG948" t="s">
        <v>1243</v>
      </c>
      <c r="BH948" t="s">
        <v>23</v>
      </c>
      <c r="BI948" t="s">
        <v>1481</v>
      </c>
      <c r="BJ948" t="s">
        <v>2403</v>
      </c>
      <c r="BK948" s="9">
        <v>55556</v>
      </c>
      <c r="BL948" t="s">
        <v>56</v>
      </c>
      <c r="BM948" t="s">
        <v>2436</v>
      </c>
      <c r="BN948" t="s">
        <v>1481</v>
      </c>
      <c r="BO948" t="s">
        <v>2403</v>
      </c>
      <c r="BP948">
        <v>148000</v>
      </c>
      <c r="BQ948" t="s">
        <v>275</v>
      </c>
      <c r="BR948" t="s">
        <v>23</v>
      </c>
      <c r="BS948" t="s">
        <v>1481</v>
      </c>
      <c r="BT948" t="s">
        <v>2403</v>
      </c>
      <c r="BU948" s="9">
        <v>55556</v>
      </c>
      <c r="BV948" t="s">
        <v>56</v>
      </c>
      <c r="BW948" t="s">
        <v>1424</v>
      </c>
      <c r="BX948" t="s">
        <v>2437</v>
      </c>
      <c r="BY948" t="s">
        <v>2403</v>
      </c>
      <c r="BZ948">
        <v>148000</v>
      </c>
      <c r="CA948" t="s">
        <v>275</v>
      </c>
      <c r="CB948" t="s">
        <v>2338</v>
      </c>
      <c r="CC948" t="s">
        <v>2402</v>
      </c>
      <c r="CD948" t="s">
        <v>2403</v>
      </c>
      <c r="CE948">
        <v>722000</v>
      </c>
      <c r="HL948" t="s">
        <v>2406</v>
      </c>
      <c r="HM948" t="s">
        <v>232</v>
      </c>
      <c r="IG948" t="s">
        <v>2435</v>
      </c>
      <c r="IH948" t="s">
        <v>1453</v>
      </c>
      <c r="II948" t="s">
        <v>660</v>
      </c>
      <c r="IJ948" t="s">
        <v>661</v>
      </c>
      <c r="IK948">
        <v>2017</v>
      </c>
      <c r="IM948" t="s">
        <v>2407</v>
      </c>
      <c r="IN948" t="s">
        <v>2435</v>
      </c>
      <c r="IO948" t="s">
        <v>2431</v>
      </c>
      <c r="IP948" t="s">
        <v>2432</v>
      </c>
      <c r="IR948">
        <v>2018</v>
      </c>
      <c r="IT948" t="s">
        <v>2407</v>
      </c>
      <c r="JJ948" t="s">
        <v>15</v>
      </c>
      <c r="JK948" t="s">
        <v>14</v>
      </c>
      <c r="JL948" t="s">
        <v>2459</v>
      </c>
      <c r="JM948" t="s">
        <v>13</v>
      </c>
      <c r="JN948" t="s">
        <v>2460</v>
      </c>
      <c r="JO948" t="s">
        <v>13</v>
      </c>
      <c r="JP948">
        <v>64</v>
      </c>
      <c r="JQ948">
        <v>21</v>
      </c>
      <c r="JR948">
        <v>30</v>
      </c>
      <c r="KD948" t="s">
        <v>2408</v>
      </c>
      <c r="KE948" t="s">
        <v>2409</v>
      </c>
      <c r="KH948" t="s">
        <v>2406</v>
      </c>
      <c r="KI948" t="s">
        <v>222</v>
      </c>
      <c r="KJ948" t="s">
        <v>221</v>
      </c>
      <c r="KK948" t="s">
        <v>2410</v>
      </c>
      <c r="KL948">
        <v>540</v>
      </c>
      <c r="KM948" t="s">
        <v>222</v>
      </c>
      <c r="KN948" t="s">
        <v>2411</v>
      </c>
      <c r="KO948" t="s">
        <v>2410</v>
      </c>
      <c r="KP948">
        <v>360</v>
      </c>
      <c r="KU948" t="s">
        <v>2412</v>
      </c>
      <c r="KV948" t="s">
        <v>2413</v>
      </c>
      <c r="LE948" t="s">
        <v>2407</v>
      </c>
      <c r="MS948" t="s">
        <v>2415</v>
      </c>
      <c r="MT948">
        <v>136</v>
      </c>
      <c r="MU948" t="s">
        <v>2448</v>
      </c>
      <c r="MW948" t="s">
        <v>2315</v>
      </c>
      <c r="NE948" t="s">
        <v>2448</v>
      </c>
      <c r="NG948" t="s">
        <v>8</v>
      </c>
      <c r="NH948" t="s">
        <v>13</v>
      </c>
      <c r="NQ948" t="s">
        <v>6</v>
      </c>
      <c r="NR948">
        <v>1603.4</v>
      </c>
      <c r="NS948" t="s">
        <v>29</v>
      </c>
      <c r="NW948">
        <v>3</v>
      </c>
      <c r="OH948" t="s">
        <v>2390</v>
      </c>
      <c r="OI948" t="s">
        <v>6</v>
      </c>
      <c r="OK948">
        <v>2017</v>
      </c>
      <c r="OL948">
        <v>2020</v>
      </c>
      <c r="OO948" t="s">
        <v>1178</v>
      </c>
      <c r="OP948" s="58">
        <v>46136</v>
      </c>
    </row>
    <row r="949" spans="1:406">
      <c r="A949" t="s">
        <v>248</v>
      </c>
      <c r="B949" t="s">
        <v>2396</v>
      </c>
      <c r="C949" t="s">
        <v>2397</v>
      </c>
      <c r="D949" t="s">
        <v>1955</v>
      </c>
      <c r="E949" s="90" t="s">
        <v>2398</v>
      </c>
      <c r="F949" t="s">
        <v>31</v>
      </c>
      <c r="G949" t="s">
        <v>2</v>
      </c>
      <c r="H949" t="s">
        <v>30</v>
      </c>
      <c r="I949">
        <v>7.8527777780000001</v>
      </c>
      <c r="J949">
        <v>-5.1111111109999996</v>
      </c>
      <c r="K949" t="s">
        <v>29</v>
      </c>
      <c r="O949" t="str">
        <f>_xlfn.LET(_xlpm.result, _xlfn.XLOOKUP([1]!Table5[[#This Row],[site_id02]],'[1]01_sites'!D:D,'[1]01_sites'!C:C,""), IF(_xlpm.result=0,"",_xlpm.result))</f>
        <v/>
      </c>
      <c r="R949" t="str">
        <f>_xlfn.LET(_xlpm.result, _xlfn.XLOOKUP([1]!Table5[[#This Row],[site_id02]],'[1]01_sites'!D:D,'[1]01_sites'!F:F,""), IF(_xlpm.result=0,"",_xlpm.result))</f>
        <v/>
      </c>
      <c r="S949" t="str">
        <f>_xlfn.LET(_xlpm.result, _xlfn.XLOOKUP([1]!Table5[[#This Row],[site_id02]],'[1]01_sites'!D:D,'[1]01_sites'!G:G,""), IF(_xlpm.result=0,"",_xlpm.result))</f>
        <v/>
      </c>
      <c r="T949" t="str">
        <f>_xlfn.LET(_xlpm.result, _xlfn.XLOOKUP([1]!Table5[[#This Row],[site_id02]],'[1]01_sites'!D:D,'[1]01_sites'!H:H,""), IF(_xlpm.result=0,"",_xlpm.result))</f>
        <v/>
      </c>
      <c r="X949" t="str">
        <f>_xlfn.LET(_xlpm.result, _xlfn.XLOOKUP([1]!Table5[[#This Row],[site_id03]],'[1]01_sites'!D:D,'[1]01_sites'!C:C,""), IF(_xlpm.result=0,"",_xlpm.result))</f>
        <v/>
      </c>
      <c r="AA949" t="str">
        <f>_xlfn.LET(_xlpm.result, _xlfn.XLOOKUP([1]!Table5[[#This Row],[site_id03]],'[1]01_sites'!D:D,'[1]01_sites'!F:F,""), IF(_xlpm.result=0,"",_xlpm.result))</f>
        <v/>
      </c>
      <c r="AB949" t="str">
        <f>_xlfn.LET(_xlpm.result, _xlfn.XLOOKUP([1]!Table5[[#This Row],[site_id03]],'[1]01_sites'!D:D,'[1]01_sites'!G:G,""), IF(_xlpm.result=0,"",_xlpm.result))</f>
        <v/>
      </c>
      <c r="AC949" t="str">
        <f>_xlfn.LET(_xlpm.result, _xlfn.XLOOKUP([1]!Table5[[#This Row],[site_id03]],'[1]01_sites'!D:D,'[1]01_sites'!H:H,""), IF(_xlpm.result=0,"",_xlpm.result))</f>
        <v/>
      </c>
      <c r="AG949" t="str">
        <f>_xlfn.LET(_xlpm.result, _xlfn.XLOOKUP([1]!Table5[[#This Row],[site_id04]],'[1]01_sites'!D:D,'[1]01_sites'!C:C,""), IF(_xlpm.result=0,"",_xlpm.result))</f>
        <v/>
      </c>
      <c r="AJ949" t="str">
        <f>_xlfn.LET(_xlpm.result, _xlfn.XLOOKUP([1]!Table5[[#This Row],[site_id04]],'[1]01_sites'!D:D,'[1]01_sites'!F:F,""), IF(_xlpm.result=0,"",_xlpm.result))</f>
        <v/>
      </c>
      <c r="AK949" t="str">
        <f>_xlfn.LET(_xlpm.result, _xlfn.XLOOKUP([1]!Table5[[#This Row],[site_id04]],'[1]01_sites'!D:D,'[1]01_sites'!G:G,""), IF(_xlpm.result=0,"",_xlpm.result))</f>
        <v/>
      </c>
      <c r="AL949" t="str">
        <f>_xlfn.LET(_xlpm.result, _xlfn.XLOOKUP([1]!Table5[[#This Row],[site_id04]],'[1]01_sites'!D:D,'[1]01_sites'!H:H,""), IF(_xlpm.result=0,"",_xlpm.result))</f>
        <v/>
      </c>
      <c r="AP949" t="str">
        <f>_xlfn.LET(_xlpm.result, _xlfn.XLOOKUP([1]!Table5[[#This Row],[site_id05]],'[1]01_sites'!D:D,'[1]01_sites'!C:C,""), IF(_xlpm.result=0,"",_xlpm.result))</f>
        <v/>
      </c>
      <c r="AS949" t="str">
        <f>_xlfn.LET(_xlpm.result, _xlfn.XLOOKUP([1]!Table5[[#This Row],[site_id05]],'[1]01_sites'!D:D,'[1]01_sites'!F:F,""), IF(_xlpm.result=0,"",_xlpm.result))</f>
        <v/>
      </c>
      <c r="AT949" t="str">
        <f>_xlfn.LET(_xlpm.result, _xlfn.XLOOKUP([1]!Table5[[#This Row],[site_id05]],'[1]01_sites'!D:D,'[1]01_sites'!G:G,""), IF(_xlpm.result=0,"",_xlpm.result))</f>
        <v/>
      </c>
      <c r="AU949" t="str">
        <f>_xlfn.LET(_xlpm.result, _xlfn.XLOOKUP([1]!Table5[[#This Row],[site_id05]],'[1]01_sites'!D:D,'[1]01_sites'!H:H,""), IF(_xlpm.result=0,"",_xlpm.result))</f>
        <v/>
      </c>
      <c r="AV949" t="s">
        <v>2415</v>
      </c>
      <c r="AW949">
        <v>136</v>
      </c>
      <c r="AX949" t="s">
        <v>29</v>
      </c>
      <c r="AY949">
        <v>4</v>
      </c>
      <c r="AZ949" t="s">
        <v>2399</v>
      </c>
      <c r="BA949">
        <v>2017</v>
      </c>
      <c r="BB949">
        <v>2020</v>
      </c>
      <c r="BE949" t="s">
        <v>2455</v>
      </c>
      <c r="BF949" t="s">
        <v>2464</v>
      </c>
      <c r="BG949" t="s">
        <v>1243</v>
      </c>
      <c r="BH949" t="s">
        <v>23</v>
      </c>
      <c r="BI949" t="s">
        <v>1481</v>
      </c>
      <c r="BJ949" t="s">
        <v>2403</v>
      </c>
      <c r="BK949" s="9">
        <v>55556</v>
      </c>
      <c r="BL949" t="s">
        <v>56</v>
      </c>
      <c r="BM949" t="s">
        <v>271</v>
      </c>
      <c r="BN949" t="s">
        <v>1481</v>
      </c>
      <c r="BO949" t="s">
        <v>2403</v>
      </c>
      <c r="BP949">
        <v>148000</v>
      </c>
      <c r="BQ949" t="s">
        <v>275</v>
      </c>
      <c r="BR949" t="s">
        <v>2456</v>
      </c>
      <c r="BS949" t="s">
        <v>2457</v>
      </c>
      <c r="BT949" t="s">
        <v>29</v>
      </c>
      <c r="BU949" t="s">
        <v>29</v>
      </c>
      <c r="BV949" t="s">
        <v>56</v>
      </c>
      <c r="BW949" t="s">
        <v>2192</v>
      </c>
      <c r="BX949" t="s">
        <v>2430</v>
      </c>
      <c r="BY949" t="s">
        <v>2403</v>
      </c>
      <c r="BZ949">
        <v>55600</v>
      </c>
      <c r="CA949" t="s">
        <v>275</v>
      </c>
      <c r="CB949" t="s">
        <v>2338</v>
      </c>
      <c r="CC949" t="s">
        <v>2402</v>
      </c>
      <c r="CD949" t="s">
        <v>2403</v>
      </c>
      <c r="CE949">
        <v>722000</v>
      </c>
      <c r="HL949" t="s">
        <v>2406</v>
      </c>
      <c r="HM949" t="s">
        <v>232</v>
      </c>
      <c r="IG949" t="s">
        <v>2455</v>
      </c>
      <c r="IH949" t="s">
        <v>1453</v>
      </c>
      <c r="II949" t="s">
        <v>660</v>
      </c>
      <c r="IJ949" t="s">
        <v>661</v>
      </c>
      <c r="IK949">
        <v>2017</v>
      </c>
      <c r="IM949" t="s">
        <v>2407</v>
      </c>
      <c r="IN949" t="s">
        <v>2455</v>
      </c>
      <c r="IO949" t="s">
        <v>2431</v>
      </c>
      <c r="IP949" t="s">
        <v>2432</v>
      </c>
      <c r="IR949">
        <v>2018</v>
      </c>
      <c r="IT949" t="s">
        <v>2407</v>
      </c>
      <c r="JJ949" t="s">
        <v>15</v>
      </c>
      <c r="JK949" t="s">
        <v>14</v>
      </c>
      <c r="JL949" t="s">
        <v>2459</v>
      </c>
      <c r="JM949" t="s">
        <v>13</v>
      </c>
      <c r="JN949" t="s">
        <v>2460</v>
      </c>
      <c r="JO949" t="s">
        <v>13</v>
      </c>
      <c r="JP949">
        <v>64</v>
      </c>
      <c r="JQ949">
        <v>21</v>
      </c>
      <c r="JR949">
        <v>30</v>
      </c>
      <c r="KD949" t="s">
        <v>2408</v>
      </c>
      <c r="KE949" t="s">
        <v>2409</v>
      </c>
      <c r="KH949" t="s">
        <v>2406</v>
      </c>
      <c r="KI949" t="s">
        <v>222</v>
      </c>
      <c r="KJ949" t="s">
        <v>221</v>
      </c>
      <c r="KK949" t="s">
        <v>2410</v>
      </c>
      <c r="KL949">
        <v>540</v>
      </c>
      <c r="KM949" t="s">
        <v>222</v>
      </c>
      <c r="KN949" t="s">
        <v>2411</v>
      </c>
      <c r="KO949" t="s">
        <v>2410</v>
      </c>
      <c r="KP949">
        <v>360</v>
      </c>
      <c r="KV949" t="s">
        <v>2458</v>
      </c>
      <c r="LE949" t="s">
        <v>2407</v>
      </c>
      <c r="MS949" t="s">
        <v>2415</v>
      </c>
      <c r="MT949">
        <v>136</v>
      </c>
      <c r="MU949" t="s">
        <v>2448</v>
      </c>
      <c r="MW949" t="s">
        <v>2315</v>
      </c>
      <c r="NE949" s="214" t="s">
        <v>2448</v>
      </c>
      <c r="NF949" s="214"/>
      <c r="NG949" t="s">
        <v>8</v>
      </c>
      <c r="NH949" t="s">
        <v>13</v>
      </c>
      <c r="NQ949" t="s">
        <v>6</v>
      </c>
      <c r="NR949">
        <v>977.2</v>
      </c>
      <c r="NS949" t="s">
        <v>29</v>
      </c>
      <c r="NW949">
        <v>3</v>
      </c>
      <c r="OH949" t="s">
        <v>2390</v>
      </c>
      <c r="OI949" t="s">
        <v>6</v>
      </c>
      <c r="OK949">
        <v>2017</v>
      </c>
      <c r="OL949">
        <v>2020</v>
      </c>
      <c r="OO949" t="s">
        <v>1178</v>
      </c>
      <c r="OP949" s="58">
        <v>46136</v>
      </c>
    </row>
    <row r="950" spans="1:406">
      <c r="A950" t="s">
        <v>248</v>
      </c>
      <c r="B950" t="s">
        <v>2396</v>
      </c>
      <c r="C950" t="s">
        <v>2397</v>
      </c>
      <c r="D950" t="s">
        <v>1955</v>
      </c>
      <c r="E950" s="90" t="s">
        <v>2398</v>
      </c>
      <c r="F950" t="s">
        <v>31</v>
      </c>
      <c r="G950" t="s">
        <v>2</v>
      </c>
      <c r="H950" t="s">
        <v>30</v>
      </c>
      <c r="I950">
        <v>7.8527777780000001</v>
      </c>
      <c r="J950">
        <v>-5.1111111109999996</v>
      </c>
      <c r="K950" t="s">
        <v>29</v>
      </c>
      <c r="AV950" t="s">
        <v>2415</v>
      </c>
      <c r="AW950">
        <v>136</v>
      </c>
      <c r="AX950" t="s">
        <v>29</v>
      </c>
      <c r="AY950">
        <v>4</v>
      </c>
      <c r="AZ950" t="s">
        <v>2399</v>
      </c>
      <c r="BA950">
        <v>2017</v>
      </c>
      <c r="BB950">
        <v>2020</v>
      </c>
      <c r="BD950" t="s">
        <v>2400</v>
      </c>
      <c r="BE950" t="s">
        <v>2438</v>
      </c>
      <c r="BF950" t="s">
        <v>2465</v>
      </c>
      <c r="BG950" t="s">
        <v>1243</v>
      </c>
      <c r="BH950" t="s">
        <v>2024</v>
      </c>
      <c r="BI950" t="s">
        <v>1481</v>
      </c>
      <c r="BJ950" t="s">
        <v>29</v>
      </c>
      <c r="BK950" t="s">
        <v>29</v>
      </c>
      <c r="BL950" t="s">
        <v>56</v>
      </c>
      <c r="BM950" t="s">
        <v>2404</v>
      </c>
      <c r="BN950" t="s">
        <v>2405</v>
      </c>
      <c r="BO950" t="s">
        <v>2403</v>
      </c>
      <c r="BP950">
        <v>940000</v>
      </c>
      <c r="BQ950" t="s">
        <v>275</v>
      </c>
      <c r="BR950" t="s">
        <v>2024</v>
      </c>
      <c r="BS950" t="s">
        <v>1481</v>
      </c>
      <c r="BT950" t="s">
        <v>29</v>
      </c>
      <c r="BU950" t="s">
        <v>29</v>
      </c>
      <c r="BV950" t="s">
        <v>56</v>
      </c>
      <c r="BW950" t="s">
        <v>2404</v>
      </c>
      <c r="BX950" t="s">
        <v>2405</v>
      </c>
      <c r="BY950" t="s">
        <v>2403</v>
      </c>
      <c r="BZ950">
        <v>940000</v>
      </c>
      <c r="CA950" t="s">
        <v>275</v>
      </c>
      <c r="CB950" t="s">
        <v>2338</v>
      </c>
      <c r="CC950" t="s">
        <v>2402</v>
      </c>
      <c r="CD950" t="s">
        <v>2403</v>
      </c>
      <c r="CE950">
        <v>722000</v>
      </c>
      <c r="CF950" t="s">
        <v>56</v>
      </c>
      <c r="CG950" t="s">
        <v>2404</v>
      </c>
      <c r="CH950" t="s">
        <v>2439</v>
      </c>
      <c r="CI950" t="s">
        <v>2403</v>
      </c>
      <c r="CJ950">
        <v>940000</v>
      </c>
      <c r="HL950" t="s">
        <v>2406</v>
      </c>
      <c r="HM950" t="s">
        <v>232</v>
      </c>
      <c r="IG950" t="s">
        <v>2438</v>
      </c>
      <c r="IH950" t="s">
        <v>1453</v>
      </c>
      <c r="II950" t="s">
        <v>660</v>
      </c>
      <c r="IJ950" t="s">
        <v>661</v>
      </c>
      <c r="IK950">
        <v>2017</v>
      </c>
      <c r="IM950" t="s">
        <v>2407</v>
      </c>
      <c r="IN950" t="s">
        <v>2438</v>
      </c>
      <c r="IO950" t="s">
        <v>1939</v>
      </c>
      <c r="IP950" t="s">
        <v>273</v>
      </c>
      <c r="IR950">
        <v>2018</v>
      </c>
      <c r="IT950" t="s">
        <v>2407</v>
      </c>
      <c r="JJ950" t="s">
        <v>15</v>
      </c>
      <c r="JK950" t="s">
        <v>14</v>
      </c>
      <c r="JL950" t="s">
        <v>2459</v>
      </c>
      <c r="JM950" t="s">
        <v>13</v>
      </c>
      <c r="JN950" t="s">
        <v>2460</v>
      </c>
      <c r="JO950" t="s">
        <v>13</v>
      </c>
      <c r="JP950">
        <v>64</v>
      </c>
      <c r="JQ950">
        <v>21</v>
      </c>
      <c r="JR950">
        <v>30</v>
      </c>
      <c r="KD950" t="s">
        <v>2408</v>
      </c>
      <c r="KE950" t="s">
        <v>2409</v>
      </c>
      <c r="KH950" t="s">
        <v>2406</v>
      </c>
      <c r="KI950" t="s">
        <v>222</v>
      </c>
      <c r="KJ950" t="s">
        <v>221</v>
      </c>
      <c r="KK950" t="s">
        <v>2410</v>
      </c>
      <c r="KL950">
        <v>540</v>
      </c>
      <c r="KM950" t="s">
        <v>222</v>
      </c>
      <c r="KN950" t="s">
        <v>2411</v>
      </c>
      <c r="KO950" t="s">
        <v>2410</v>
      </c>
      <c r="KP950">
        <v>360</v>
      </c>
      <c r="KU950" t="s">
        <v>2412</v>
      </c>
      <c r="KV950" t="s">
        <v>2413</v>
      </c>
      <c r="LE950" t="s">
        <v>2407</v>
      </c>
      <c r="MS950" t="s">
        <v>2415</v>
      </c>
      <c r="MT950">
        <v>136</v>
      </c>
      <c r="MU950" t="s">
        <v>2448</v>
      </c>
      <c r="MW950" t="s">
        <v>2315</v>
      </c>
      <c r="NE950" s="214" t="s">
        <v>2448</v>
      </c>
      <c r="NF950" s="214"/>
      <c r="NG950" t="s">
        <v>8</v>
      </c>
      <c r="NH950" t="s">
        <v>13</v>
      </c>
      <c r="NQ950" t="s">
        <v>6</v>
      </c>
      <c r="NR950">
        <v>2342.1999999999998</v>
      </c>
      <c r="NS950" t="s">
        <v>29</v>
      </c>
      <c r="NW950">
        <v>3</v>
      </c>
      <c r="OH950" t="s">
        <v>2390</v>
      </c>
      <c r="OI950" t="s">
        <v>6</v>
      </c>
      <c r="OK950">
        <v>2017</v>
      </c>
      <c r="OL950">
        <v>2020</v>
      </c>
      <c r="OO950" t="s">
        <v>1178</v>
      </c>
      <c r="OP950" s="58">
        <v>46136</v>
      </c>
    </row>
    <row r="951" spans="1:406" ht="15.75" thickBot="1">
      <c r="F951" s="152"/>
      <c r="K951" s="152"/>
      <c r="O951" s="89"/>
      <c r="R951" s="89"/>
      <c r="S951" s="89"/>
      <c r="T951" s="89"/>
      <c r="X951" s="3"/>
      <c r="AA951" s="3"/>
      <c r="AB951" s="3"/>
      <c r="AC951" s="3"/>
      <c r="AG951" s="3"/>
      <c r="AJ951" s="3"/>
      <c r="AK951" s="3"/>
      <c r="AL951" s="3"/>
      <c r="AP951" s="3"/>
      <c r="AS951" s="3"/>
      <c r="AT951" s="3"/>
      <c r="AU951" s="3"/>
      <c r="FG951" s="9"/>
      <c r="FH951" s="9"/>
      <c r="FI951" s="9"/>
      <c r="FJ951" s="9"/>
      <c r="FK951" s="9"/>
      <c r="FL951" s="9"/>
      <c r="FM951" s="9"/>
      <c r="FN951" s="9"/>
      <c r="FO951" s="9"/>
      <c r="FP951" s="9"/>
      <c r="FQ951" s="9"/>
      <c r="FR951" s="9"/>
      <c r="FS951" s="9"/>
      <c r="FT951" s="9"/>
      <c r="FU951" s="9"/>
      <c r="FV951" s="9"/>
      <c r="FW951" s="9"/>
      <c r="FX951" s="9"/>
      <c r="FY951" s="9"/>
      <c r="FZ951" s="9"/>
      <c r="GA951" s="9"/>
      <c r="GB951" s="9"/>
      <c r="GC951" s="9"/>
      <c r="GD951" s="9"/>
      <c r="GE951" s="9"/>
      <c r="GF951" s="9"/>
      <c r="GG951" s="9"/>
      <c r="GH951" s="9"/>
      <c r="GI951" s="9"/>
      <c r="GJ951" s="9"/>
      <c r="GK951" s="9"/>
      <c r="GL951" s="9"/>
      <c r="GM951" s="9"/>
      <c r="GN951" s="9"/>
      <c r="GO951" s="9"/>
      <c r="GP951" s="9"/>
      <c r="GQ951" s="9"/>
      <c r="GR951" s="9"/>
      <c r="GS951" s="9"/>
      <c r="GT951" s="9"/>
      <c r="GU951" s="9"/>
      <c r="GV951" s="9"/>
      <c r="GW951" s="9"/>
      <c r="GX951" s="9"/>
      <c r="GY951" s="9"/>
      <c r="GZ951" s="9"/>
      <c r="HA951" s="9"/>
      <c r="HB951" s="9"/>
      <c r="HC951" s="9"/>
      <c r="HD951" s="9"/>
      <c r="HE951" s="9"/>
      <c r="HF951" s="9"/>
      <c r="HG951" s="9"/>
      <c r="HH951" s="9"/>
      <c r="HI951" s="9"/>
      <c r="HJ951" s="9"/>
      <c r="HK951" s="9"/>
    </row>
    <row r="952" spans="1:406" ht="15.75" thickBot="1">
      <c r="A952" s="207"/>
      <c r="B952" s="89"/>
      <c r="C952" s="89"/>
      <c r="D952" s="152"/>
      <c r="E952" s="89"/>
      <c r="F952" s="152"/>
      <c r="G952" s="89"/>
      <c r="H952" s="89"/>
      <c r="I952" s="152"/>
      <c r="J952" s="152"/>
      <c r="K952" s="152"/>
      <c r="L952" s="89"/>
      <c r="M952" s="152"/>
      <c r="N952" s="89"/>
      <c r="O952" s="89"/>
      <c r="P952" s="89"/>
      <c r="Q952" s="89"/>
      <c r="R952" s="89"/>
      <c r="S952" s="89"/>
      <c r="T952" s="89"/>
      <c r="X952" s="3"/>
      <c r="AA952" s="3"/>
      <c r="AB952" s="3"/>
      <c r="AC952" s="3"/>
      <c r="AG952" s="3"/>
      <c r="AJ952" s="3"/>
      <c r="AK952" s="3"/>
      <c r="AL952" s="3"/>
      <c r="AP952" s="3"/>
      <c r="AS952" s="3"/>
      <c r="AT952" s="3"/>
      <c r="AU952" s="3"/>
      <c r="AV952" s="89"/>
      <c r="AW952" s="89"/>
      <c r="AX952" s="89"/>
      <c r="AY952" s="89"/>
      <c r="AZ952" s="89"/>
      <c r="BA952" s="89"/>
      <c r="BB952" s="89"/>
      <c r="BC952" s="89"/>
      <c r="BD952" s="89"/>
      <c r="BE952" s="89"/>
      <c r="BF952" s="89"/>
      <c r="BG952" s="89"/>
      <c r="BH952" s="89"/>
      <c r="BI952" s="89"/>
      <c r="BJ952" s="152"/>
      <c r="BK952" s="175"/>
      <c r="BL952" s="89"/>
      <c r="BM952" s="89"/>
      <c r="BN952" s="89"/>
      <c r="BO952" s="89"/>
      <c r="BP952" s="89"/>
      <c r="BQ952" s="89"/>
      <c r="BR952" s="89"/>
      <c r="BS952" s="89"/>
      <c r="BT952" s="89"/>
      <c r="BU952" s="89"/>
      <c r="BV952" s="89"/>
      <c r="EE952" s="89"/>
      <c r="EF952" s="89"/>
      <c r="EG952" s="89"/>
      <c r="EH952" s="89"/>
      <c r="EI952" s="89"/>
      <c r="EJ952" s="89"/>
      <c r="EK952" s="89"/>
      <c r="EL952" s="89"/>
      <c r="EM952" s="9"/>
      <c r="EN952" s="9"/>
      <c r="EO952" s="9"/>
      <c r="EP952" s="9"/>
      <c r="EQ952" s="9"/>
      <c r="ER952" s="9"/>
      <c r="ES952" s="9"/>
      <c r="ET952" s="9"/>
      <c r="EU952" s="9"/>
      <c r="EV952" s="9"/>
      <c r="EW952" s="9"/>
      <c r="EX952" s="9"/>
      <c r="EY952" s="9"/>
      <c r="EZ952" s="9"/>
      <c r="FA952" s="9"/>
      <c r="FB952" s="9"/>
      <c r="FC952" s="9"/>
      <c r="FD952" s="9"/>
      <c r="FE952" s="9"/>
      <c r="FF952" s="9"/>
      <c r="FG952" s="9"/>
      <c r="FH952" s="9"/>
      <c r="FI952" s="9"/>
      <c r="FJ952" s="9"/>
      <c r="FK952" s="9"/>
      <c r="FL952" s="9"/>
      <c r="FM952" s="9"/>
      <c r="FN952" s="9"/>
      <c r="FO952" s="9"/>
      <c r="FP952" s="9"/>
      <c r="FQ952" s="9"/>
      <c r="FR952" s="9"/>
      <c r="FS952" s="9"/>
      <c r="FT952" s="9"/>
      <c r="FU952" s="9"/>
      <c r="FV952" s="9"/>
      <c r="FW952" s="9"/>
      <c r="FX952" s="9"/>
      <c r="FY952" s="9"/>
      <c r="FZ952" s="9"/>
      <c r="GA952" s="9"/>
      <c r="GB952" s="9"/>
      <c r="GC952" s="9"/>
      <c r="GD952" s="9"/>
      <c r="GE952" s="9"/>
      <c r="GF952" s="9"/>
      <c r="GG952" s="9"/>
      <c r="GH952" s="9"/>
      <c r="GI952" s="9"/>
      <c r="GJ952" s="9"/>
      <c r="GK952" s="9"/>
      <c r="GL952" s="9"/>
      <c r="GM952" s="9"/>
      <c r="GN952" s="9"/>
      <c r="GO952" s="9"/>
      <c r="GP952" s="9"/>
      <c r="GQ952" s="9"/>
      <c r="GR952" s="9"/>
      <c r="GS952" s="9"/>
      <c r="GT952" s="9"/>
      <c r="GU952" s="9"/>
      <c r="GV952" s="9"/>
      <c r="GW952" s="9"/>
      <c r="GX952" s="9"/>
      <c r="GY952" s="9"/>
      <c r="GZ952" s="9"/>
      <c r="HA952" s="9"/>
      <c r="HB952" s="9"/>
      <c r="HC952" s="9"/>
      <c r="HD952" s="9"/>
      <c r="HE952" s="9"/>
      <c r="HF952" s="9"/>
      <c r="HG952" s="9"/>
      <c r="HH952" s="9"/>
      <c r="HI952" s="9"/>
      <c r="HJ952" s="9"/>
      <c r="HK952" s="9"/>
      <c r="HL952" s="89"/>
      <c r="HM952" s="89"/>
      <c r="HN952" s="89"/>
      <c r="HO952" s="89"/>
      <c r="HP952" s="89"/>
      <c r="HQ952" s="89"/>
      <c r="HR952" s="89"/>
      <c r="HS952" s="89"/>
      <c r="HT952" s="152"/>
      <c r="HU952" s="89"/>
      <c r="HV952" s="89"/>
      <c r="HW952" s="89"/>
      <c r="HX952" s="89"/>
      <c r="HY952" s="89"/>
      <c r="HZ952" s="89"/>
      <c r="IA952" s="89"/>
      <c r="IB952" s="89"/>
      <c r="IC952" s="89"/>
      <c r="ID952" s="89"/>
      <c r="IE952" s="89"/>
      <c r="IF952" s="89"/>
      <c r="IG952" s="89"/>
      <c r="IH952" s="89"/>
      <c r="II952" s="89"/>
      <c r="IJ952" s="89"/>
      <c r="IK952" s="89"/>
      <c r="IL952" s="89"/>
      <c r="IM952" s="89"/>
      <c r="IN952" s="89"/>
      <c r="IO952" s="89"/>
      <c r="IP952" s="157"/>
      <c r="IQ952" s="178"/>
      <c r="IR952" s="89"/>
      <c r="IS952" s="89"/>
      <c r="IT952" s="89"/>
      <c r="IU952" s="152"/>
      <c r="IV952" s="89"/>
      <c r="IW952" s="89"/>
      <c r="IX952" s="89"/>
      <c r="IY952" s="89"/>
      <c r="IZ952" s="89"/>
      <c r="JA952" s="89"/>
      <c r="JB952" s="89"/>
      <c r="JC952" s="89"/>
      <c r="JD952" s="89"/>
      <c r="JE952" s="89"/>
      <c r="JF952" s="89"/>
      <c r="JG952" s="89"/>
      <c r="JH952" s="89"/>
      <c r="JI952" s="89"/>
      <c r="JJ952" s="89"/>
      <c r="JK952" s="89"/>
      <c r="JL952" s="205"/>
      <c r="JM952" s="178"/>
      <c r="JN952" s="2"/>
      <c r="JO952" s="89"/>
      <c r="JP952" s="89"/>
      <c r="JQ952" s="152"/>
      <c r="JR952" s="89"/>
      <c r="JS952" s="89"/>
      <c r="JT952" s="89"/>
      <c r="JU952" s="89"/>
      <c r="JV952" s="89"/>
      <c r="JW952" s="89"/>
      <c r="JX952" s="89"/>
      <c r="JY952" s="89"/>
      <c r="JZ952" s="89"/>
      <c r="KA952" s="89"/>
      <c r="KB952" s="89"/>
      <c r="KC952" s="89"/>
      <c r="KD952" s="89"/>
      <c r="KE952" s="89"/>
      <c r="KF952" s="89"/>
      <c r="KG952" s="157"/>
      <c r="KH952" s="178"/>
      <c r="KI952" s="89"/>
      <c r="KJ952" s="89"/>
      <c r="KK952" s="89"/>
      <c r="KL952" s="89"/>
      <c r="KM952" s="89"/>
      <c r="KN952" s="89"/>
      <c r="KO952" s="157"/>
      <c r="KP952" s="178"/>
      <c r="KQ952" s="89"/>
      <c r="KR952" s="89"/>
      <c r="KS952" s="89"/>
      <c r="KT952" s="89"/>
      <c r="KU952" s="89"/>
      <c r="KV952" s="89"/>
      <c r="KW952" s="89"/>
      <c r="LB952" s="89"/>
      <c r="LC952" s="89"/>
      <c r="LD952" s="89"/>
      <c r="LE952" s="89"/>
      <c r="LF952" s="89"/>
      <c r="LG952" s="89"/>
      <c r="LH952" s="89"/>
      <c r="LI952" s="89"/>
      <c r="LJ952" s="89"/>
      <c r="LK952" s="89"/>
      <c r="LL952" s="89"/>
      <c r="LM952" s="89"/>
      <c r="LN952" s="89"/>
      <c r="LO952" s="89"/>
      <c r="LP952" s="89"/>
      <c r="LQ952" s="89"/>
      <c r="LR952" s="89"/>
      <c r="LS952" s="89"/>
      <c r="LT952" s="89"/>
      <c r="LU952" s="89"/>
      <c r="LV952" s="89"/>
      <c r="LW952" s="89"/>
      <c r="LX952" s="89"/>
      <c r="LY952" s="89"/>
      <c r="LZ952" s="89"/>
      <c r="MA952" s="89"/>
      <c r="MB952" s="89"/>
      <c r="MC952" s="89"/>
      <c r="MD952" s="89"/>
      <c r="ME952" s="89"/>
      <c r="MF952" s="89"/>
      <c r="MG952" s="89"/>
      <c r="MH952" s="89"/>
      <c r="MI952" s="89"/>
      <c r="MJ952" s="89"/>
      <c r="MK952" s="89"/>
      <c r="ML952" s="89"/>
      <c r="MM952" s="89"/>
      <c r="MN952" s="89"/>
      <c r="MO952" s="89"/>
      <c r="MP952" s="89"/>
      <c r="MQ952" s="89"/>
      <c r="MR952" s="89"/>
      <c r="MS952" s="89"/>
      <c r="MT952" s="89"/>
      <c r="MU952" s="89"/>
      <c r="MV952" s="89"/>
      <c r="MW952" s="89"/>
      <c r="MX952" s="89"/>
      <c r="MY952" s="89"/>
      <c r="MZ952" s="89"/>
      <c r="NA952" s="89"/>
      <c r="NB952" s="89"/>
      <c r="NC952" s="89"/>
      <c r="ND952" s="89"/>
      <c r="NE952" s="89"/>
      <c r="NF952" s="89"/>
      <c r="NG952" s="89"/>
      <c r="NH952" s="89"/>
      <c r="NI952" s="152"/>
      <c r="NJ952" s="204"/>
      <c r="NK952" s="89"/>
      <c r="NL952" s="89"/>
      <c r="NM952" s="89"/>
      <c r="NN952" s="89"/>
      <c r="NO952" s="89"/>
      <c r="NP952" s="89"/>
      <c r="NQ952" s="89"/>
      <c r="NR952" s="89"/>
      <c r="NS952" s="89"/>
      <c r="NT952" s="89"/>
      <c r="NU952" s="152"/>
      <c r="NV952" s="97"/>
      <c r="NW952" s="89"/>
      <c r="NX952" s="89"/>
      <c r="NY952" s="89"/>
      <c r="NZ952" s="89"/>
      <c r="OA952" s="89"/>
      <c r="OB952" s="89"/>
      <c r="OC952" s="89"/>
      <c r="OD952" s="89"/>
      <c r="OE952" s="89"/>
      <c r="OF952" s="89"/>
      <c r="OG952" s="89"/>
      <c r="OH952" s="89"/>
      <c r="OI952" s="89"/>
      <c r="OJ952" s="89"/>
      <c r="OK952" s="89"/>
      <c r="OL952" s="89"/>
      <c r="OM952" s="89"/>
      <c r="ON952" s="89"/>
      <c r="OO952" s="89"/>
      <c r="OP952" s="89"/>
    </row>
    <row r="953" spans="1:406" ht="15.75" thickBot="1">
      <c r="A953" s="209"/>
      <c r="B953" s="2"/>
      <c r="C953" s="2"/>
      <c r="D953" s="99"/>
      <c r="E953" s="2"/>
      <c r="F953" s="152"/>
      <c r="G953" s="2"/>
      <c r="H953" s="2"/>
      <c r="I953" s="152"/>
      <c r="J953" s="152"/>
      <c r="K953" s="152"/>
      <c r="L953" s="2"/>
      <c r="M953" s="99"/>
      <c r="N953" s="2"/>
      <c r="O953" s="89"/>
      <c r="P953" s="2"/>
      <c r="Q953" s="2"/>
      <c r="R953" s="89"/>
      <c r="S953" s="89"/>
      <c r="T953" s="89"/>
      <c r="X953" s="3"/>
      <c r="AA953" s="3"/>
      <c r="AB953" s="3"/>
      <c r="AC953" s="3"/>
      <c r="AG953" s="3"/>
      <c r="AJ953" s="3"/>
      <c r="AK953" s="3"/>
      <c r="AL953" s="3"/>
      <c r="AP953" s="3"/>
      <c r="AS953" s="3"/>
      <c r="AT953" s="3"/>
      <c r="AU953" s="3"/>
      <c r="AV953" s="2"/>
      <c r="AW953" s="2"/>
      <c r="AX953" s="2"/>
      <c r="AY953" s="2"/>
      <c r="AZ953" s="2"/>
      <c r="BA953" s="2"/>
      <c r="BB953" s="2"/>
      <c r="BC953" s="2"/>
      <c r="BD953" s="2"/>
      <c r="BE953" s="2"/>
      <c r="BF953" s="2"/>
      <c r="BG953" s="2"/>
      <c r="BH953" s="2"/>
      <c r="BI953" s="2"/>
      <c r="BJ953" s="99"/>
      <c r="BK953" s="210"/>
      <c r="BL953" s="2"/>
      <c r="BM953" s="2"/>
      <c r="BN953" s="2"/>
      <c r="BO953" s="2"/>
      <c r="BP953" s="2"/>
      <c r="BQ953" s="2"/>
      <c r="BR953" s="2"/>
      <c r="BS953" s="2"/>
      <c r="BT953" s="2"/>
      <c r="BU953" s="2"/>
      <c r="BV953" s="2"/>
      <c r="EE953" s="2"/>
      <c r="EF953" s="2"/>
      <c r="EG953" s="2"/>
      <c r="EH953" s="2"/>
      <c r="EI953" s="2"/>
      <c r="EJ953" s="2"/>
      <c r="EK953" s="2"/>
      <c r="EL953" s="2"/>
      <c r="EM953" s="9"/>
      <c r="EN953" s="9"/>
      <c r="EO953" s="9"/>
      <c r="EP953" s="9"/>
      <c r="EQ953" s="9"/>
      <c r="ER953" s="9"/>
      <c r="ES953" s="9"/>
      <c r="ET953" s="9"/>
      <c r="EU953" s="9"/>
      <c r="EV953" s="9"/>
      <c r="EW953" s="9"/>
      <c r="EX953" s="9"/>
      <c r="EY953" s="9"/>
      <c r="EZ953" s="9"/>
      <c r="FA953" s="9"/>
      <c r="FB953" s="9"/>
      <c r="FC953" s="9"/>
      <c r="FD953" s="9"/>
      <c r="FE953" s="9"/>
      <c r="FF953" s="9"/>
      <c r="FG953" s="9"/>
      <c r="FH953" s="9"/>
      <c r="FI953" s="9"/>
      <c r="FJ953" s="9"/>
      <c r="FK953" s="9"/>
      <c r="FL953" s="9"/>
      <c r="FM953" s="9"/>
      <c r="FN953" s="9"/>
      <c r="FO953" s="9"/>
      <c r="FP953" s="9"/>
      <c r="FQ953" s="9"/>
      <c r="FR953" s="9"/>
      <c r="FS953" s="9"/>
      <c r="FT953" s="9"/>
      <c r="FU953" s="9"/>
      <c r="FV953" s="9"/>
      <c r="FW953" s="9"/>
      <c r="FX953" s="9"/>
      <c r="FY953" s="9"/>
      <c r="FZ953" s="9"/>
      <c r="GA953" s="9"/>
      <c r="GB953" s="9"/>
      <c r="GC953" s="9"/>
      <c r="GD953" s="9"/>
      <c r="GE953" s="9"/>
      <c r="GF953" s="9"/>
      <c r="GG953" s="9"/>
      <c r="GH953" s="9"/>
      <c r="GI953" s="9"/>
      <c r="GJ953" s="9"/>
      <c r="GK953" s="9"/>
      <c r="GL953" s="9"/>
      <c r="GM953" s="9"/>
      <c r="GN953" s="9"/>
      <c r="GO953" s="9"/>
      <c r="GP953" s="9"/>
      <c r="GQ953" s="9"/>
      <c r="GR953" s="9"/>
      <c r="GS953" s="9"/>
      <c r="GT953" s="9"/>
      <c r="GU953" s="9"/>
      <c r="GV953" s="9"/>
      <c r="GW953" s="9"/>
      <c r="GX953" s="9"/>
      <c r="GY953" s="9"/>
      <c r="GZ953" s="9"/>
      <c r="HA953" s="9"/>
      <c r="HB953" s="9"/>
      <c r="HC953" s="9"/>
      <c r="HD953" s="9"/>
      <c r="HE953" s="9"/>
      <c r="HF953" s="9"/>
      <c r="HG953" s="9"/>
      <c r="HH953" s="9"/>
      <c r="HI953" s="9"/>
      <c r="HJ953" s="9"/>
      <c r="HK953" s="9"/>
      <c r="HL953" s="2"/>
      <c r="HM953" s="2"/>
      <c r="HN953" s="2"/>
      <c r="HO953" s="2"/>
      <c r="HP953" s="2"/>
      <c r="HQ953" s="2"/>
      <c r="HR953" s="2"/>
      <c r="HS953" s="2"/>
      <c r="HT953" s="99"/>
      <c r="HU953" s="2"/>
      <c r="HV953" s="2"/>
      <c r="HW953" s="2"/>
      <c r="HX953" s="2"/>
      <c r="HY953" s="2"/>
      <c r="HZ953" s="2"/>
      <c r="IA953" s="2"/>
      <c r="IB953" s="2"/>
      <c r="IC953" s="2"/>
      <c r="ID953" s="2"/>
      <c r="IE953" s="2"/>
      <c r="IF953" s="2"/>
      <c r="IG953" s="2"/>
      <c r="IH953" s="2"/>
      <c r="II953" s="2"/>
      <c r="IJ953" s="2"/>
      <c r="IK953" s="2"/>
      <c r="IL953" s="2"/>
      <c r="IM953" s="2"/>
      <c r="IN953" s="2"/>
      <c r="IO953" s="2"/>
      <c r="IP953" s="168"/>
      <c r="IQ953" s="172"/>
      <c r="IR953" s="2"/>
      <c r="IS953" s="2"/>
      <c r="IT953" s="2"/>
      <c r="IU953" s="99"/>
      <c r="IV953" s="2"/>
      <c r="IW953" s="2"/>
      <c r="IX953" s="2"/>
      <c r="IY953" s="2"/>
      <c r="IZ953" s="2"/>
      <c r="JA953" s="2"/>
      <c r="JB953" s="2"/>
      <c r="JC953" s="2"/>
      <c r="JD953" s="2"/>
      <c r="JE953" s="2"/>
      <c r="JF953" s="2"/>
      <c r="JG953" s="2"/>
      <c r="JH953" s="2"/>
      <c r="JI953" s="2"/>
      <c r="JJ953" s="2"/>
      <c r="JK953" s="2"/>
      <c r="JL953" s="212"/>
      <c r="JM953" s="171"/>
      <c r="JN953" s="2"/>
      <c r="JO953" s="2"/>
      <c r="JP953" s="2"/>
      <c r="JQ953" s="99"/>
      <c r="JR953" s="2"/>
      <c r="JS953" s="2"/>
      <c r="JT953" s="2"/>
      <c r="JU953" s="2"/>
      <c r="JV953" s="2"/>
      <c r="JW953" s="2"/>
      <c r="JX953" s="2"/>
      <c r="JY953" s="2"/>
      <c r="JZ953" s="2"/>
      <c r="KA953" s="2"/>
      <c r="KB953" s="2"/>
      <c r="KC953" s="2"/>
      <c r="KD953" s="2"/>
      <c r="KE953" s="2"/>
      <c r="KF953" s="2"/>
      <c r="KG953" s="168"/>
      <c r="KH953" s="172"/>
      <c r="KI953" s="2"/>
      <c r="KJ953" s="2"/>
      <c r="KK953" s="2"/>
      <c r="KL953" s="2"/>
      <c r="KM953" s="2"/>
      <c r="KN953" s="2"/>
      <c r="KO953" s="168"/>
      <c r="KP953" s="172"/>
      <c r="KQ953" s="2"/>
      <c r="KR953" s="2"/>
      <c r="KS953" s="2"/>
      <c r="KT953" s="2"/>
      <c r="KU953" s="2"/>
      <c r="KV953" s="2"/>
      <c r="KW953" s="2"/>
      <c r="LB953" s="2"/>
      <c r="LC953" s="2"/>
      <c r="LD953" s="2"/>
      <c r="LE953" s="2"/>
      <c r="LF953" s="2"/>
      <c r="LG953" s="2"/>
      <c r="LH953" s="2"/>
      <c r="LI953" s="2"/>
      <c r="LJ953" s="2"/>
      <c r="LK953" s="2"/>
      <c r="LL953" s="2"/>
      <c r="LM953" s="2"/>
      <c r="LN953" s="2"/>
      <c r="LO953" s="2"/>
      <c r="LP953" s="2"/>
      <c r="LQ953" s="2"/>
      <c r="LR953" s="2"/>
      <c r="LS953" s="2"/>
      <c r="LT953" s="2"/>
      <c r="LU953" s="2"/>
      <c r="LV953" s="2"/>
      <c r="LW953" s="2"/>
      <c r="LX953" s="2"/>
      <c r="LY953" s="2"/>
      <c r="LZ953" s="2"/>
      <c r="MA953" s="2"/>
      <c r="MB953" s="2"/>
      <c r="MC953" s="2"/>
      <c r="MD953" s="2"/>
      <c r="ME953" s="2"/>
      <c r="MF953" s="2"/>
      <c r="MG953" s="2"/>
      <c r="MH953" s="2"/>
      <c r="MI953" s="2"/>
      <c r="MJ953" s="2"/>
      <c r="MK953" s="2"/>
      <c r="ML953" s="2"/>
      <c r="MM953" s="2"/>
      <c r="MN953" s="2"/>
      <c r="MO953" s="2"/>
      <c r="MP953" s="2"/>
      <c r="MQ953" s="2"/>
      <c r="MR953" s="2"/>
      <c r="MS953" s="2"/>
      <c r="MT953" s="2"/>
      <c r="MU953" s="2"/>
      <c r="MV953" s="2"/>
      <c r="MW953" s="2"/>
      <c r="MX953" s="2"/>
      <c r="MY953" s="2"/>
      <c r="MZ953" s="2"/>
      <c r="NA953" s="2"/>
      <c r="NB953" s="2"/>
      <c r="NC953" s="2"/>
      <c r="ND953" s="2"/>
      <c r="NE953" s="2"/>
      <c r="NF953" s="2"/>
      <c r="NG953" s="2"/>
      <c r="NH953" s="2"/>
      <c r="NI953" s="99"/>
      <c r="NJ953" s="208"/>
      <c r="NK953" s="2"/>
      <c r="NL953" s="2"/>
      <c r="NM953" s="2"/>
      <c r="NN953" s="2"/>
      <c r="NO953" s="2"/>
      <c r="NP953" s="2"/>
      <c r="NQ953" s="2"/>
      <c r="NR953" s="2"/>
      <c r="NS953" s="2"/>
      <c r="NT953" s="2"/>
      <c r="NU953" s="99"/>
      <c r="NV953" s="173"/>
      <c r="NW953" s="2"/>
      <c r="NX953" s="2"/>
      <c r="NY953" s="2"/>
      <c r="NZ953" s="2"/>
      <c r="OA953" s="2"/>
      <c r="OB953" s="2"/>
      <c r="OC953" s="2"/>
      <c r="OD953" s="2"/>
      <c r="OE953" s="2"/>
      <c r="OF953" s="2"/>
      <c r="OG953" s="2"/>
      <c r="OH953" s="2"/>
      <c r="OI953" s="2"/>
      <c r="OJ953" s="2"/>
      <c r="OK953" s="2"/>
      <c r="OL953" s="2"/>
      <c r="OM953" s="2"/>
      <c r="ON953" s="2"/>
      <c r="OO953" s="2"/>
      <c r="OP953" s="2"/>
    </row>
    <row r="954" spans="1:406" ht="15.75" thickBot="1">
      <c r="A954" s="207"/>
      <c r="B954" s="89"/>
      <c r="C954" s="89"/>
      <c r="D954" s="152"/>
      <c r="E954" s="89"/>
      <c r="F954" s="152"/>
      <c r="G954" s="89"/>
      <c r="H954" s="89"/>
      <c r="I954" s="152"/>
      <c r="J954" s="152"/>
      <c r="K954" s="152"/>
      <c r="L954" s="89"/>
      <c r="M954" s="152"/>
      <c r="N954" s="89"/>
      <c r="O954" s="89"/>
      <c r="P954" s="89"/>
      <c r="Q954" s="89"/>
      <c r="R954" s="89"/>
      <c r="S954" s="89"/>
      <c r="T954" s="89"/>
      <c r="X954" s="3"/>
      <c r="AA954" s="3"/>
      <c r="AB954" s="3"/>
      <c r="AC954" s="3"/>
      <c r="AG954" s="3"/>
      <c r="AJ954" s="3"/>
      <c r="AK954" s="3"/>
      <c r="AL954" s="3"/>
      <c r="AP954" s="3"/>
      <c r="AS954" s="3"/>
      <c r="AT954" s="3"/>
      <c r="AU954" s="3"/>
      <c r="AV954" s="89"/>
      <c r="AW954" s="89"/>
      <c r="AX954" s="89"/>
      <c r="AY954" s="89"/>
      <c r="AZ954" s="89"/>
      <c r="BA954" s="89"/>
      <c r="BB954" s="89"/>
      <c r="BC954" s="89"/>
      <c r="BD954" s="89"/>
      <c r="BE954" s="89"/>
      <c r="BF954" s="89"/>
      <c r="BG954" s="89"/>
      <c r="BH954" s="89"/>
      <c r="BI954" s="89"/>
      <c r="BJ954" s="152"/>
      <c r="BK954" s="175"/>
      <c r="BL954" s="89"/>
      <c r="BM954" s="89"/>
      <c r="BN954" s="89"/>
      <c r="BO954" s="89"/>
      <c r="BP954" s="89"/>
      <c r="BQ954" s="89"/>
      <c r="BR954" s="89"/>
      <c r="BS954" s="89"/>
      <c r="BT954" s="89"/>
      <c r="BU954" s="89"/>
      <c r="BV954" s="89"/>
      <c r="EE954" s="89"/>
      <c r="EF954" s="152"/>
      <c r="EG954" s="175"/>
      <c r="EH954" s="175"/>
      <c r="EI954" s="175"/>
      <c r="EJ954" s="175"/>
      <c r="EK954" s="175"/>
      <c r="EL954" s="175"/>
      <c r="HL954" s="89"/>
      <c r="HM954" s="89"/>
      <c r="HN954" s="89"/>
      <c r="HO954" s="89"/>
      <c r="HP954" s="89"/>
      <c r="HQ954" s="89"/>
      <c r="HR954" s="89"/>
      <c r="HS954" s="89"/>
      <c r="HT954" s="152"/>
      <c r="HU954" s="89"/>
      <c r="HV954" s="89"/>
      <c r="HW954" s="89"/>
      <c r="HX954" s="89"/>
      <c r="HY954" s="89"/>
      <c r="HZ954" s="89"/>
      <c r="IA954" s="89"/>
      <c r="IB954" s="89"/>
      <c r="IC954" s="89"/>
      <c r="ID954" s="89"/>
      <c r="IE954" s="89"/>
      <c r="IF954" s="89"/>
      <c r="IG954" s="89"/>
      <c r="IH954" s="89"/>
      <c r="II954" s="89"/>
      <c r="IJ954" s="89"/>
      <c r="IK954" s="89"/>
      <c r="IL954" s="89"/>
      <c r="IM954" s="89"/>
      <c r="IN954" s="152"/>
      <c r="IO954" s="89"/>
      <c r="IP954" s="157"/>
      <c r="IQ954" s="178"/>
      <c r="IR954" s="89"/>
      <c r="IS954" s="89"/>
      <c r="IT954" s="89"/>
      <c r="IU954" s="152"/>
      <c r="IV954" s="89"/>
      <c r="IW954" s="206"/>
      <c r="IX954" s="178"/>
      <c r="IY954" s="89"/>
      <c r="IZ954" s="89"/>
      <c r="JA954" s="89"/>
      <c r="JB954" s="89"/>
      <c r="JC954" s="89"/>
      <c r="JD954" s="89"/>
      <c r="JE954" s="89"/>
      <c r="JF954" s="89"/>
      <c r="JG954" s="89"/>
      <c r="JH954" s="89"/>
      <c r="JI954" s="89"/>
      <c r="JJ954" s="89"/>
      <c r="JK954" s="89"/>
      <c r="JL954" s="205"/>
      <c r="JM954" s="178"/>
      <c r="JN954" s="2"/>
      <c r="JO954" s="89"/>
      <c r="JP954" s="89"/>
      <c r="JQ954" s="152"/>
      <c r="JR954" s="89"/>
      <c r="JS954" s="89"/>
      <c r="JT954" s="89"/>
      <c r="JU954" s="89"/>
      <c r="JV954" s="89"/>
      <c r="JW954" s="89"/>
      <c r="JX954" s="89"/>
      <c r="JY954" s="89"/>
      <c r="JZ954" s="89"/>
      <c r="KA954" s="89"/>
      <c r="KB954" s="89"/>
      <c r="KC954" s="89"/>
      <c r="KD954" s="89"/>
      <c r="KE954" s="89"/>
      <c r="KF954" s="89"/>
      <c r="KG954" s="157"/>
      <c r="KH954" s="178"/>
      <c r="KI954" s="89"/>
      <c r="KJ954" s="89"/>
      <c r="KK954" s="89"/>
      <c r="KL954" s="89"/>
      <c r="KM954" s="89"/>
      <c r="KN954" s="89"/>
      <c r="KO954" s="182"/>
      <c r="KP954" s="159"/>
      <c r="KQ954" s="89"/>
      <c r="KR954" s="89"/>
      <c r="KS954" s="89"/>
      <c r="KT954" s="89"/>
      <c r="KU954" s="89"/>
      <c r="KV954" s="89"/>
      <c r="KW954" s="89"/>
      <c r="LB954" s="89"/>
      <c r="LC954" s="89"/>
      <c r="LD954" s="89"/>
      <c r="LE954" s="89"/>
      <c r="LF954" s="89"/>
      <c r="LG954" s="89"/>
      <c r="LH954" s="89"/>
      <c r="LI954" s="89"/>
      <c r="LJ954" s="89"/>
      <c r="LK954" s="89"/>
      <c r="LL954" s="89"/>
      <c r="LM954" s="89"/>
      <c r="LN954" s="89"/>
      <c r="LO954" s="89"/>
      <c r="LP954" s="89"/>
      <c r="LQ954" s="89"/>
      <c r="LR954" s="89"/>
      <c r="LS954" s="89"/>
      <c r="LT954" s="89"/>
      <c r="LU954" s="89"/>
      <c r="LV954" s="89"/>
      <c r="LW954" s="89"/>
      <c r="LX954" s="89"/>
      <c r="LY954" s="89"/>
      <c r="LZ954" s="89"/>
      <c r="MA954" s="89"/>
      <c r="MB954" s="89"/>
      <c r="MC954" s="89"/>
      <c r="MD954" s="89"/>
      <c r="ME954" s="89"/>
      <c r="MF954" s="89"/>
      <c r="MG954" s="89"/>
      <c r="MH954" s="89"/>
      <c r="MI954" s="89"/>
      <c r="MJ954" s="89"/>
      <c r="MK954" s="89"/>
      <c r="ML954" s="89"/>
      <c r="MM954" s="89"/>
      <c r="MN954" s="89"/>
      <c r="MO954" s="89"/>
      <c r="MP954" s="89"/>
      <c r="MQ954" s="89"/>
      <c r="MR954" s="89"/>
      <c r="MS954" s="89"/>
      <c r="MT954" s="89"/>
      <c r="MU954" s="89"/>
      <c r="MV954" s="89"/>
      <c r="MW954" s="89"/>
      <c r="MX954" s="89"/>
      <c r="MY954" s="89"/>
      <c r="MZ954" s="89"/>
      <c r="NA954" s="89"/>
      <c r="NB954" s="89"/>
      <c r="NC954" s="89"/>
      <c r="ND954" s="89"/>
      <c r="NE954" s="89"/>
      <c r="NF954" s="89"/>
      <c r="NG954" s="89"/>
      <c r="NH954" s="89"/>
      <c r="NI954" s="152"/>
      <c r="NJ954" s="204"/>
      <c r="NK954" s="89"/>
      <c r="NL954" s="89"/>
      <c r="NM954" s="89"/>
      <c r="NN954" s="89"/>
      <c r="NO954" s="89"/>
      <c r="NP954" s="89"/>
      <c r="NQ954" s="89"/>
      <c r="NR954" s="89"/>
      <c r="NS954" s="89"/>
      <c r="NT954" s="89"/>
      <c r="NU954" s="152"/>
      <c r="NV954" s="97"/>
      <c r="NW954" s="89"/>
      <c r="NX954" s="89"/>
      <c r="NY954" s="89"/>
      <c r="NZ954" s="89"/>
      <c r="OA954" s="89"/>
      <c r="OB954" s="89"/>
      <c r="OC954" s="89"/>
      <c r="OD954" s="89"/>
      <c r="OE954" s="89"/>
      <c r="OF954" s="89"/>
      <c r="OG954" s="89"/>
      <c r="OH954" s="89"/>
      <c r="OI954" s="89"/>
      <c r="OJ954" s="89"/>
      <c r="OK954" s="89"/>
      <c r="OL954" s="89"/>
      <c r="OM954" s="89"/>
      <c r="ON954" s="89"/>
      <c r="OO954" s="89"/>
      <c r="OP954" s="89"/>
    </row>
    <row r="955" spans="1:406" ht="15.75" thickBot="1">
      <c r="A955" s="209"/>
      <c r="B955" s="2"/>
      <c r="C955" s="2"/>
      <c r="D955" s="99"/>
      <c r="E955" s="2"/>
      <c r="F955" s="152"/>
      <c r="G955" s="2"/>
      <c r="H955" s="2"/>
      <c r="I955" s="152"/>
      <c r="J955" s="152"/>
      <c r="K955" s="152"/>
      <c r="L955" s="2"/>
      <c r="M955" s="99"/>
      <c r="N955" s="2"/>
      <c r="O955" s="89"/>
      <c r="P955" s="2"/>
      <c r="Q955" s="2"/>
      <c r="R955" s="89"/>
      <c r="S955" s="89"/>
      <c r="T955" s="89"/>
      <c r="X955" s="3"/>
      <c r="AA955" s="3"/>
      <c r="AB955" s="3"/>
      <c r="AC955" s="3"/>
      <c r="AG955" s="3"/>
      <c r="AJ955" s="3"/>
      <c r="AK955" s="3"/>
      <c r="AL955" s="3"/>
      <c r="AP955" s="3"/>
      <c r="AS955" s="3"/>
      <c r="AT955" s="3"/>
      <c r="AU955" s="3"/>
      <c r="AV955" s="2"/>
      <c r="AW955" s="2"/>
      <c r="AX955" s="2"/>
      <c r="AY955" s="2"/>
      <c r="AZ955" s="2"/>
      <c r="BA955" s="2"/>
      <c r="BB955" s="2"/>
      <c r="BC955" s="2"/>
      <c r="BD955" s="2"/>
      <c r="BE955" s="2"/>
      <c r="BF955" s="2"/>
      <c r="BG955" s="2"/>
      <c r="BH955" s="2"/>
      <c r="BI955" s="2"/>
      <c r="BJ955" s="99"/>
      <c r="BK955" s="210"/>
      <c r="BL955" s="2"/>
      <c r="BM955" s="2"/>
      <c r="BN955" s="2"/>
      <c r="BO955" s="2"/>
      <c r="BP955" s="2"/>
      <c r="BQ955" s="2"/>
      <c r="BR955" s="2"/>
      <c r="BS955" s="2"/>
      <c r="BT955" s="2"/>
      <c r="BU955" s="2"/>
      <c r="BV955" s="2"/>
      <c r="EE955" s="2"/>
      <c r="EF955" s="99"/>
      <c r="EG955" s="210"/>
      <c r="EH955" s="210"/>
      <c r="EI955" s="210"/>
      <c r="EJ955" s="210"/>
      <c r="EK955" s="210"/>
      <c r="EL955" s="210"/>
      <c r="HL955" s="2"/>
      <c r="HM955" s="2"/>
      <c r="HN955" s="2"/>
      <c r="HO955" s="2"/>
      <c r="HP955" s="2"/>
      <c r="HQ955" s="2"/>
      <c r="HR955" s="2"/>
      <c r="HS955" s="2"/>
      <c r="HT955" s="99"/>
      <c r="HU955" s="2"/>
      <c r="HV955" s="2"/>
      <c r="HW955" s="2"/>
      <c r="HX955" s="2"/>
      <c r="HY955" s="2"/>
      <c r="HZ955" s="2"/>
      <c r="IA955" s="2"/>
      <c r="IB955" s="2"/>
      <c r="IC955" s="2"/>
      <c r="ID955" s="2"/>
      <c r="IE955" s="2"/>
      <c r="IF955" s="2"/>
      <c r="IG955" s="2"/>
      <c r="IH955" s="2"/>
      <c r="II955" s="2"/>
      <c r="IJ955" s="2"/>
      <c r="IK955" s="2"/>
      <c r="IL955" s="2"/>
      <c r="IM955" s="2"/>
      <c r="IN955" s="99"/>
      <c r="IO955" s="2"/>
      <c r="IP955" s="168"/>
      <c r="IQ955" s="172"/>
      <c r="IR955" s="2"/>
      <c r="IS955" s="2"/>
      <c r="IT955" s="2"/>
      <c r="IU955" s="99"/>
      <c r="IV955" s="2"/>
      <c r="IW955" s="211"/>
      <c r="IX955" s="172"/>
      <c r="IY955" s="2"/>
      <c r="IZ955" s="2"/>
      <c r="JA955" s="2"/>
      <c r="JB955" s="2"/>
      <c r="JC955" s="2"/>
      <c r="JD955" s="2"/>
      <c r="JE955" s="2"/>
      <c r="JF955" s="2"/>
      <c r="JG955" s="2"/>
      <c r="JH955" s="2"/>
      <c r="JI955" s="2"/>
      <c r="JJ955" s="2"/>
      <c r="JK955" s="2"/>
      <c r="JL955" s="205"/>
      <c r="JM955" s="172"/>
      <c r="JN955" s="2"/>
      <c r="JO955" s="2"/>
      <c r="JP955" s="2"/>
      <c r="JQ955" s="99"/>
      <c r="JR955" s="2"/>
      <c r="JS955" s="2"/>
      <c r="JT955" s="2"/>
      <c r="JU955" s="2"/>
      <c r="JV955" s="2"/>
      <c r="JW955" s="2"/>
      <c r="JX955" s="2"/>
      <c r="JY955" s="2"/>
      <c r="JZ955" s="2"/>
      <c r="KA955" s="2"/>
      <c r="KB955" s="2"/>
      <c r="KC955" s="2"/>
      <c r="KD955" s="2"/>
      <c r="KE955" s="2"/>
      <c r="KF955" s="2"/>
      <c r="KG955" s="168"/>
      <c r="KH955" s="172"/>
      <c r="KI955" s="2"/>
      <c r="KJ955" s="2"/>
      <c r="KK955" s="2"/>
      <c r="KL955" s="2"/>
      <c r="KM955" s="2"/>
      <c r="KN955" s="2"/>
      <c r="KO955" s="182"/>
      <c r="KP955" s="171"/>
      <c r="KQ955" s="2"/>
      <c r="KR955" s="2"/>
      <c r="KS955" s="2"/>
      <c r="KT955" s="2"/>
      <c r="KU955" s="2"/>
      <c r="KV955" s="2"/>
      <c r="KW955" s="2"/>
      <c r="LB955" s="2"/>
      <c r="LC955" s="2"/>
      <c r="LD955" s="2"/>
      <c r="LE955" s="2"/>
      <c r="LF955" s="2"/>
      <c r="LG955" s="2"/>
      <c r="LH955" s="2"/>
      <c r="LI955" s="2"/>
      <c r="LJ955" s="2"/>
      <c r="LK955" s="2"/>
      <c r="LL955" s="2"/>
      <c r="LM955" s="2"/>
      <c r="LN955" s="2"/>
      <c r="LO955" s="2"/>
      <c r="LP955" s="2"/>
      <c r="LQ955" s="2"/>
      <c r="LR955" s="2"/>
      <c r="LS955" s="2"/>
      <c r="LT955" s="2"/>
      <c r="LU955" s="2"/>
      <c r="LV955" s="2"/>
      <c r="LW955" s="2"/>
      <c r="LX955" s="2"/>
      <c r="LY955" s="2"/>
      <c r="LZ955" s="2"/>
      <c r="MA955" s="2"/>
      <c r="MB955" s="2"/>
      <c r="MC955" s="2"/>
      <c r="MD955" s="2"/>
      <c r="ME955" s="2"/>
      <c r="MF955" s="2"/>
      <c r="MG955" s="2"/>
      <c r="MH955" s="2"/>
      <c r="MI955" s="2"/>
      <c r="MJ955" s="2"/>
      <c r="MK955" s="2"/>
      <c r="ML955" s="2"/>
      <c r="MM955" s="2"/>
      <c r="MN955" s="2"/>
      <c r="MO955" s="2"/>
      <c r="MP955" s="2"/>
      <c r="MQ955" s="2"/>
      <c r="MR955" s="2"/>
      <c r="MS955" s="2"/>
      <c r="MT955" s="2"/>
      <c r="MU955" s="2"/>
      <c r="MV955" s="2"/>
      <c r="MW955" s="2"/>
      <c r="MX955" s="2"/>
      <c r="MY955" s="2"/>
      <c r="MZ955" s="2"/>
      <c r="NA955" s="2"/>
      <c r="NB955" s="2"/>
      <c r="NC955" s="2"/>
      <c r="ND955" s="2"/>
      <c r="NE955" s="2"/>
      <c r="NF955" s="2"/>
      <c r="NG955" s="2"/>
      <c r="NH955" s="2"/>
      <c r="NI955" s="99"/>
      <c r="NJ955" s="208"/>
      <c r="NK955" s="2"/>
      <c r="NL955" s="2"/>
      <c r="NM955" s="2"/>
      <c r="NN955" s="2"/>
      <c r="NO955" s="2"/>
      <c r="NP955" s="2"/>
      <c r="NQ955" s="2"/>
      <c r="NR955" s="2"/>
      <c r="NS955" s="2"/>
      <c r="NT955" s="2"/>
      <c r="NU955" s="99"/>
      <c r="NV955" s="173"/>
      <c r="NW955" s="2"/>
      <c r="NX955" s="2"/>
      <c r="NY955" s="2"/>
      <c r="NZ955" s="2"/>
      <c r="OA955" s="2"/>
      <c r="OB955" s="2"/>
      <c r="OC955" s="2"/>
      <c r="OD955" s="2"/>
      <c r="OE955" s="2"/>
      <c r="OF955" s="2"/>
      <c r="OG955" s="2"/>
      <c r="OH955" s="2"/>
      <c r="OI955" s="2"/>
      <c r="OJ955" s="2"/>
      <c r="OK955" s="2"/>
      <c r="OL955" s="2"/>
      <c r="OM955" s="2"/>
      <c r="ON955" s="2"/>
      <c r="OO955" s="2"/>
      <c r="OP955" s="2"/>
    </row>
    <row r="956" spans="1:406" ht="15.75" thickBot="1">
      <c r="A956" s="207"/>
      <c r="B956" s="89"/>
      <c r="C956" s="89"/>
      <c r="D956" s="152"/>
      <c r="E956" s="89"/>
      <c r="F956" s="152"/>
      <c r="G956" s="89"/>
      <c r="H956" s="89"/>
      <c r="I956" s="152"/>
      <c r="J956" s="152"/>
      <c r="K956" s="152"/>
      <c r="L956" s="89"/>
      <c r="M956" s="152"/>
      <c r="N956" s="89"/>
      <c r="O956" s="89"/>
      <c r="P956" s="89"/>
      <c r="Q956" s="89"/>
      <c r="R956" s="89"/>
      <c r="S956" s="89"/>
      <c r="T956" s="89"/>
      <c r="X956" s="3"/>
      <c r="AA956" s="3"/>
      <c r="AB956" s="3"/>
      <c r="AC956" s="3"/>
      <c r="AG956" s="3"/>
      <c r="AJ956" s="3"/>
      <c r="AK956" s="3"/>
      <c r="AL956" s="3"/>
      <c r="AP956" s="3"/>
      <c r="AS956" s="3"/>
      <c r="AT956" s="3"/>
      <c r="AU956" s="3"/>
      <c r="AV956" s="89"/>
      <c r="AW956" s="89"/>
      <c r="AX956" s="89"/>
      <c r="AY956" s="89"/>
      <c r="AZ956" s="89"/>
      <c r="BA956" s="89"/>
      <c r="BB956" s="89"/>
      <c r="BC956" s="89"/>
      <c r="BD956" s="89"/>
      <c r="BE956" s="89"/>
      <c r="BF956" s="89"/>
      <c r="BG956" s="89"/>
      <c r="BH956" s="89"/>
      <c r="BI956" s="89"/>
      <c r="BJ956" s="152"/>
      <c r="BK956" s="175"/>
      <c r="BL956" s="89"/>
      <c r="BM956" s="89"/>
      <c r="BN956" s="89"/>
      <c r="BO956" s="89"/>
      <c r="BP956" s="89"/>
      <c r="BQ956" s="89"/>
      <c r="BR956" s="89"/>
      <c r="BS956" s="89"/>
      <c r="BT956" s="89"/>
      <c r="BU956" s="89"/>
      <c r="BV956" s="89"/>
      <c r="EE956" s="89"/>
      <c r="EF956" s="152"/>
      <c r="EG956" s="175"/>
      <c r="EH956" s="175"/>
      <c r="EI956" s="175"/>
      <c r="EJ956" s="175"/>
      <c r="EK956" s="175"/>
      <c r="EL956" s="175"/>
      <c r="EM956" s="9"/>
      <c r="EN956" s="9"/>
      <c r="EO956" s="9"/>
      <c r="EP956" s="9"/>
      <c r="EQ956" s="9"/>
      <c r="ER956" s="9"/>
      <c r="ES956" s="9"/>
      <c r="ET956" s="9"/>
      <c r="EU956" s="9"/>
      <c r="EV956" s="9"/>
      <c r="EW956" s="9"/>
      <c r="EX956" s="9"/>
      <c r="EY956" s="9"/>
      <c r="EZ956" s="9"/>
      <c r="FA956" s="9"/>
      <c r="FB956" s="9"/>
      <c r="FC956" s="9"/>
      <c r="FD956" s="9"/>
      <c r="FE956" s="9"/>
      <c r="FF956" s="9"/>
      <c r="FG956" s="9"/>
      <c r="FH956" s="9"/>
      <c r="FI956" s="9"/>
      <c r="FJ956" s="9"/>
      <c r="FK956" s="9"/>
      <c r="FL956" s="9"/>
      <c r="FM956" s="9"/>
      <c r="FN956" s="9"/>
      <c r="FO956" s="9"/>
      <c r="FP956" s="9"/>
      <c r="FQ956" s="9"/>
      <c r="FR956" s="9"/>
      <c r="FS956" s="9"/>
      <c r="FT956" s="9"/>
      <c r="FU956" s="9"/>
      <c r="FV956" s="9"/>
      <c r="FW956" s="9"/>
      <c r="FX956" s="9"/>
      <c r="FY956" s="9"/>
      <c r="FZ956" s="9"/>
      <c r="GA956" s="9"/>
      <c r="GB956" s="9"/>
      <c r="GC956" s="9"/>
      <c r="GD956" s="9"/>
      <c r="GE956" s="9"/>
      <c r="GF956" s="9"/>
      <c r="GG956" s="9"/>
      <c r="GH956" s="9"/>
      <c r="GI956" s="9"/>
      <c r="GJ956" s="9"/>
      <c r="GK956" s="9"/>
      <c r="GL956" s="9"/>
      <c r="GM956" s="9"/>
      <c r="GN956" s="9"/>
      <c r="GO956" s="9"/>
      <c r="GP956" s="9"/>
      <c r="GQ956" s="9"/>
      <c r="GR956" s="9"/>
      <c r="GS956" s="9"/>
      <c r="GT956" s="9"/>
      <c r="GU956" s="9"/>
      <c r="GV956" s="9"/>
      <c r="GW956" s="9"/>
      <c r="GX956" s="9"/>
      <c r="GY956" s="9"/>
      <c r="GZ956" s="9"/>
      <c r="HA956" s="9"/>
      <c r="HB956" s="9"/>
      <c r="HC956" s="9"/>
      <c r="HD956" s="9"/>
      <c r="HE956" s="9"/>
      <c r="HF956" s="9"/>
      <c r="HG956" s="9"/>
      <c r="HH956" s="9"/>
      <c r="HI956" s="9"/>
      <c r="HJ956" s="9"/>
      <c r="HK956" s="9"/>
      <c r="HL956" s="89"/>
      <c r="HM956" s="89"/>
      <c r="HN956" s="89"/>
      <c r="HO956" s="89"/>
      <c r="HP956" s="89"/>
      <c r="HQ956" s="89"/>
      <c r="HR956" s="89"/>
      <c r="HS956" s="89"/>
      <c r="HT956" s="152"/>
      <c r="HU956" s="89"/>
      <c r="HV956" s="89"/>
      <c r="HW956" s="89"/>
      <c r="HX956" s="89"/>
      <c r="HY956" s="89"/>
      <c r="HZ956" s="89"/>
      <c r="IA956" s="89"/>
      <c r="IB956" s="89"/>
      <c r="IC956" s="89"/>
      <c r="ID956" s="89"/>
      <c r="IE956" s="89"/>
      <c r="IF956" s="89"/>
      <c r="IG956" s="89"/>
      <c r="IH956" s="89"/>
      <c r="II956" s="89"/>
      <c r="IJ956" s="89"/>
      <c r="IK956" s="89"/>
      <c r="IL956" s="89"/>
      <c r="IM956" s="89"/>
      <c r="IN956" s="89"/>
      <c r="IO956" s="89"/>
      <c r="IP956" s="157"/>
      <c r="IQ956" s="178"/>
      <c r="IR956" s="89"/>
      <c r="IS956" s="89"/>
      <c r="IT956" s="89"/>
      <c r="IU956" s="152"/>
      <c r="IV956" s="89"/>
      <c r="IW956" s="153"/>
      <c r="IX956" s="89"/>
      <c r="IY956" s="89"/>
      <c r="IZ956" s="89"/>
      <c r="JA956" s="89"/>
      <c r="JB956" s="89"/>
      <c r="JC956" s="89"/>
      <c r="JD956" s="89"/>
      <c r="JE956" s="89"/>
      <c r="JF956" s="89"/>
      <c r="JG956" s="89"/>
      <c r="JH956" s="89"/>
      <c r="JI956" s="89"/>
      <c r="JJ956" s="89"/>
      <c r="JK956" s="89"/>
      <c r="JL956" s="205"/>
      <c r="JM956" s="178"/>
      <c r="JN956" s="2"/>
      <c r="JO956" s="89"/>
      <c r="JP956" s="89"/>
      <c r="JQ956" s="152"/>
      <c r="JR956" s="89"/>
      <c r="JS956" s="89"/>
      <c r="JT956" s="89"/>
      <c r="JU956" s="89"/>
      <c r="JV956" s="89"/>
      <c r="JW956" s="89"/>
      <c r="JX956" s="89"/>
      <c r="JY956" s="89"/>
      <c r="JZ956" s="89"/>
      <c r="KA956" s="89"/>
      <c r="KB956" s="89"/>
      <c r="KC956" s="89"/>
      <c r="KD956" s="89"/>
      <c r="KE956" s="89"/>
      <c r="KF956" s="89"/>
      <c r="KG956" s="157"/>
      <c r="KH956" s="178"/>
      <c r="KI956" s="89"/>
      <c r="KJ956" s="89"/>
      <c r="KK956" s="89"/>
      <c r="KL956" s="89"/>
      <c r="KM956" s="89"/>
      <c r="KN956" s="89"/>
      <c r="KO956" s="157"/>
      <c r="KP956" s="178"/>
      <c r="KQ956" s="89"/>
      <c r="KR956" s="89"/>
      <c r="KS956" s="89"/>
      <c r="KT956" s="89"/>
      <c r="KU956" s="89"/>
      <c r="KV956" s="89"/>
      <c r="KW956" s="89"/>
      <c r="LB956" s="89"/>
      <c r="LC956" s="89"/>
      <c r="LD956" s="89"/>
      <c r="LE956" s="89"/>
      <c r="LF956" s="89"/>
      <c r="LG956" s="89"/>
      <c r="LH956" s="89"/>
      <c r="LI956" s="89"/>
      <c r="LJ956" s="89"/>
      <c r="LK956" s="89"/>
      <c r="LL956" s="89"/>
      <c r="LM956" s="89"/>
      <c r="LN956" s="89"/>
      <c r="LO956" s="89"/>
      <c r="LP956" s="89"/>
      <c r="LQ956" s="89"/>
      <c r="LR956" s="89"/>
      <c r="LS956" s="89"/>
      <c r="LT956" s="89"/>
      <c r="LU956" s="89"/>
      <c r="LV956" s="89"/>
      <c r="LW956" s="89"/>
      <c r="LX956" s="89"/>
      <c r="LY956" s="89"/>
      <c r="LZ956" s="89"/>
      <c r="MA956" s="89"/>
      <c r="MB956" s="89"/>
      <c r="MC956" s="89"/>
      <c r="MD956" s="89"/>
      <c r="ME956" s="89"/>
      <c r="MF956" s="89"/>
      <c r="MG956" s="89"/>
      <c r="MH956" s="89"/>
      <c r="MI956" s="89"/>
      <c r="MJ956" s="89"/>
      <c r="MK956" s="89"/>
      <c r="ML956" s="89"/>
      <c r="MM956" s="89"/>
      <c r="MN956" s="89"/>
      <c r="MO956" s="89"/>
      <c r="MP956" s="89"/>
      <c r="MQ956" s="89"/>
      <c r="MR956" s="89"/>
      <c r="MS956" s="89"/>
      <c r="MT956" s="89"/>
      <c r="MU956" s="89"/>
      <c r="MV956" s="89"/>
      <c r="MW956" s="89"/>
      <c r="MX956" s="89"/>
      <c r="MY956" s="89"/>
      <c r="MZ956" s="89"/>
      <c r="NA956" s="89"/>
      <c r="NB956" s="89"/>
      <c r="NC956" s="89"/>
      <c r="ND956" s="89"/>
      <c r="NE956" s="89"/>
      <c r="NF956" s="89"/>
      <c r="NG956" s="89"/>
      <c r="NH956" s="89"/>
      <c r="NI956" s="152"/>
      <c r="NJ956" s="204"/>
      <c r="NK956" s="89"/>
      <c r="NL956" s="89"/>
      <c r="NM956" s="89"/>
      <c r="NN956" s="89"/>
      <c r="NO956" s="89"/>
      <c r="NP956" s="89"/>
      <c r="NQ956" s="89"/>
      <c r="NR956" s="89"/>
      <c r="NS956" s="89"/>
      <c r="NT956" s="89"/>
      <c r="NU956" s="152"/>
      <c r="NV956" s="97"/>
      <c r="NW956" s="89"/>
      <c r="NX956" s="89"/>
      <c r="NY956" s="89"/>
      <c r="NZ956" s="89"/>
      <c r="OA956" s="89"/>
      <c r="OB956" s="89"/>
      <c r="OC956" s="89"/>
      <c r="OD956" s="89"/>
      <c r="OE956" s="89"/>
      <c r="OF956" s="89"/>
      <c r="OG956" s="89"/>
      <c r="OH956" s="89"/>
      <c r="OI956" s="89"/>
      <c r="OJ956" s="89"/>
      <c r="OK956" s="89"/>
      <c r="OL956" s="89"/>
      <c r="OM956" s="89"/>
      <c r="ON956" s="89"/>
      <c r="OO956" s="89"/>
      <c r="OP956" s="89"/>
    </row>
    <row r="957" spans="1:406" ht="15.75" thickBot="1">
      <c r="A957" s="209"/>
      <c r="B957" s="2"/>
      <c r="C957" s="2"/>
      <c r="D957" s="99"/>
      <c r="E957" s="2"/>
      <c r="F957" s="152"/>
      <c r="G957" s="2"/>
      <c r="H957" s="2"/>
      <c r="I957" s="152"/>
      <c r="J957" s="152"/>
      <c r="K957" s="152"/>
      <c r="L957" s="2"/>
      <c r="M957" s="99"/>
      <c r="N957" s="2"/>
      <c r="O957" s="89"/>
      <c r="P957" s="2"/>
      <c r="Q957" s="2"/>
      <c r="R957" s="89"/>
      <c r="S957" s="89"/>
      <c r="T957" s="89"/>
      <c r="X957" s="3"/>
      <c r="AA957" s="3"/>
      <c r="AB957" s="3"/>
      <c r="AC957" s="3"/>
      <c r="AG957" s="3"/>
      <c r="AJ957" s="3"/>
      <c r="AK957" s="3"/>
      <c r="AL957" s="3"/>
      <c r="AP957" s="3"/>
      <c r="AS957" s="3"/>
      <c r="AT957" s="3"/>
      <c r="AU957" s="3"/>
      <c r="AV957" s="2"/>
      <c r="AW957" s="2"/>
      <c r="AX957" s="2"/>
      <c r="AY957" s="2"/>
      <c r="AZ957" s="2"/>
      <c r="BA957" s="2"/>
      <c r="BB957" s="2"/>
      <c r="BC957" s="2"/>
      <c r="BD957" s="2"/>
      <c r="BE957" s="2"/>
      <c r="BF957" s="2"/>
      <c r="BG957" s="2"/>
      <c r="BH957" s="2"/>
      <c r="BI957" s="2"/>
      <c r="BJ957" s="99"/>
      <c r="BK957" s="210"/>
      <c r="BL957" s="2"/>
      <c r="BM957" s="2"/>
      <c r="BN957" s="2"/>
      <c r="BO957" s="2"/>
      <c r="BP957" s="2"/>
      <c r="BQ957" s="2"/>
      <c r="BR957" s="2"/>
      <c r="BS957" s="2"/>
      <c r="BT957" s="2"/>
      <c r="BU957" s="2"/>
      <c r="BV957" s="2"/>
      <c r="EE957" s="2"/>
      <c r="EF957" s="99"/>
      <c r="EG957" s="210"/>
      <c r="EH957" s="210"/>
      <c r="EI957" s="210"/>
      <c r="EJ957" s="210"/>
      <c r="EK957" s="210"/>
      <c r="EL957" s="210"/>
      <c r="EM957" s="9"/>
      <c r="EN957" s="9"/>
      <c r="EO957" s="9"/>
      <c r="EP957" s="9"/>
      <c r="EQ957" s="9"/>
      <c r="ER957" s="9"/>
      <c r="ES957" s="9"/>
      <c r="ET957" s="9"/>
      <c r="EU957" s="9"/>
      <c r="EV957" s="9"/>
      <c r="EW957" s="9"/>
      <c r="EX957" s="9"/>
      <c r="EY957" s="9"/>
      <c r="EZ957" s="9"/>
      <c r="FA957" s="9"/>
      <c r="FB957" s="9"/>
      <c r="FC957" s="9"/>
      <c r="FD957" s="9"/>
      <c r="FE957" s="9"/>
      <c r="FF957" s="9"/>
      <c r="FG957" s="9"/>
      <c r="FH957" s="9"/>
      <c r="FI957" s="9"/>
      <c r="FJ957" s="9"/>
      <c r="FK957" s="9"/>
      <c r="FL957" s="9"/>
      <c r="FM957" s="9"/>
      <c r="FN957" s="9"/>
      <c r="FO957" s="9"/>
      <c r="FP957" s="9"/>
      <c r="FQ957" s="9"/>
      <c r="FR957" s="9"/>
      <c r="FS957" s="9"/>
      <c r="FT957" s="9"/>
      <c r="FU957" s="9"/>
      <c r="FV957" s="9"/>
      <c r="FW957" s="9"/>
      <c r="FX957" s="9"/>
      <c r="FY957" s="9"/>
      <c r="FZ957" s="9"/>
      <c r="GA957" s="9"/>
      <c r="GB957" s="9"/>
      <c r="GC957" s="9"/>
      <c r="GD957" s="9"/>
      <c r="GE957" s="9"/>
      <c r="GF957" s="9"/>
      <c r="GG957" s="9"/>
      <c r="GH957" s="9"/>
      <c r="GI957" s="9"/>
      <c r="GJ957" s="9"/>
      <c r="GK957" s="9"/>
      <c r="GL957" s="9"/>
      <c r="GM957" s="9"/>
      <c r="GN957" s="9"/>
      <c r="GO957" s="9"/>
      <c r="GP957" s="9"/>
      <c r="GQ957" s="9"/>
      <c r="GR957" s="9"/>
      <c r="GS957" s="9"/>
      <c r="GT957" s="9"/>
      <c r="GU957" s="9"/>
      <c r="GV957" s="9"/>
      <c r="GW957" s="9"/>
      <c r="GX957" s="9"/>
      <c r="GY957" s="9"/>
      <c r="GZ957" s="9"/>
      <c r="HA957" s="9"/>
      <c r="HB957" s="9"/>
      <c r="HC957" s="9"/>
      <c r="HD957" s="9"/>
      <c r="HE957" s="9"/>
      <c r="HF957" s="9"/>
      <c r="HG957" s="9"/>
      <c r="HH957" s="9"/>
      <c r="HI957" s="9"/>
      <c r="HJ957" s="9"/>
      <c r="HK957" s="9"/>
      <c r="HL957" s="2"/>
      <c r="HM957" s="2"/>
      <c r="HN957" s="2"/>
      <c r="HO957" s="2"/>
      <c r="HP957" s="2"/>
      <c r="HQ957" s="2"/>
      <c r="HR957" s="2"/>
      <c r="HS957" s="2"/>
      <c r="HT957" s="99"/>
      <c r="HU957" s="2"/>
      <c r="HV957" s="2"/>
      <c r="HW957" s="2"/>
      <c r="HX957" s="2"/>
      <c r="HY957" s="2"/>
      <c r="HZ957" s="2"/>
      <c r="IA957" s="2"/>
      <c r="IB957" s="2"/>
      <c r="IC957" s="2"/>
      <c r="ID957" s="2"/>
      <c r="IE957" s="2"/>
      <c r="IF957" s="2"/>
      <c r="IG957" s="2"/>
      <c r="IH957" s="2"/>
      <c r="II957" s="2"/>
      <c r="IJ957" s="2"/>
      <c r="IK957" s="2"/>
      <c r="IL957" s="2"/>
      <c r="IM957" s="2"/>
      <c r="IN957" s="2"/>
      <c r="IO957" s="2"/>
      <c r="IP957" s="168"/>
      <c r="IQ957" s="172"/>
      <c r="IR957" s="2"/>
      <c r="IS957" s="2"/>
      <c r="IT957" s="2"/>
      <c r="IU957" s="99"/>
      <c r="IV957" s="2"/>
      <c r="IW957" s="2"/>
      <c r="IX957" s="2"/>
      <c r="IY957" s="2"/>
      <c r="IZ957" s="2"/>
      <c r="JA957" s="2"/>
      <c r="JB957" s="2"/>
      <c r="JC957" s="2"/>
      <c r="JD957" s="2"/>
      <c r="JE957" s="2"/>
      <c r="JF957" s="2"/>
      <c r="JG957" s="2"/>
      <c r="JH957" s="2"/>
      <c r="JI957" s="2"/>
      <c r="JJ957" s="2"/>
      <c r="JK957" s="2"/>
      <c r="JL957" s="205"/>
      <c r="JM957" s="172"/>
      <c r="JN957" s="2"/>
      <c r="JO957" s="2"/>
      <c r="JP957" s="2"/>
      <c r="JQ957" s="99"/>
      <c r="JR957" s="2"/>
      <c r="JS957" s="2"/>
      <c r="JT957" s="2"/>
      <c r="JU957" s="2"/>
      <c r="JV957" s="2"/>
      <c r="JW957" s="2"/>
      <c r="JX957" s="2"/>
      <c r="JY957" s="2"/>
      <c r="JZ957" s="2"/>
      <c r="KA957" s="2"/>
      <c r="KB957" s="2"/>
      <c r="KC957" s="2"/>
      <c r="KD957" s="2"/>
      <c r="KE957" s="2"/>
      <c r="KF957" s="2"/>
      <c r="KG957" s="168"/>
      <c r="KH957" s="172"/>
      <c r="KI957" s="2"/>
      <c r="KJ957" s="2"/>
      <c r="KK957" s="2"/>
      <c r="KL957" s="2"/>
      <c r="KM957" s="2"/>
      <c r="KN957" s="2"/>
      <c r="KO957" s="168"/>
      <c r="KP957" s="172"/>
      <c r="KQ957" s="2"/>
      <c r="KR957" s="2"/>
      <c r="KS957" s="2"/>
      <c r="KT957" s="2"/>
      <c r="KU957" s="2"/>
      <c r="KV957" s="2"/>
      <c r="KW957" s="2"/>
      <c r="LB957" s="2"/>
      <c r="LC957" s="2"/>
      <c r="LD957" s="2"/>
      <c r="LE957" s="2"/>
      <c r="LF957" s="2"/>
      <c r="LG957" s="2"/>
      <c r="LH957" s="2"/>
      <c r="LI957" s="2"/>
      <c r="LJ957" s="2"/>
      <c r="LK957" s="2"/>
      <c r="LL957" s="2"/>
      <c r="LM957" s="2"/>
      <c r="LN957" s="2"/>
      <c r="LO957" s="2"/>
      <c r="LP957" s="2"/>
      <c r="LQ957" s="2"/>
      <c r="LR957" s="2"/>
      <c r="LS957" s="2"/>
      <c r="LT957" s="2"/>
      <c r="LU957" s="2"/>
      <c r="LV957" s="2"/>
      <c r="LW957" s="2"/>
      <c r="LX957" s="2"/>
      <c r="LY957" s="2"/>
      <c r="LZ957" s="2"/>
      <c r="MA957" s="2"/>
      <c r="MB957" s="2"/>
      <c r="MC957" s="2"/>
      <c r="MD957" s="2"/>
      <c r="ME957" s="2"/>
      <c r="MF957" s="2"/>
      <c r="MG957" s="2"/>
      <c r="MH957" s="2"/>
      <c r="MI957" s="2"/>
      <c r="MJ957" s="2"/>
      <c r="MK957" s="2"/>
      <c r="ML957" s="2"/>
      <c r="MM957" s="2"/>
      <c r="MN957" s="2"/>
      <c r="MO957" s="2"/>
      <c r="MP957" s="2"/>
      <c r="MQ957" s="2"/>
      <c r="MR957" s="2"/>
      <c r="MS957" s="2"/>
      <c r="MT957" s="2"/>
      <c r="MU957" s="2"/>
      <c r="MV957" s="2"/>
      <c r="MW957" s="2"/>
      <c r="MX957" s="2"/>
      <c r="MY957" s="2"/>
      <c r="MZ957" s="2"/>
      <c r="NA957" s="2"/>
      <c r="NB957" s="2"/>
      <c r="NC957" s="2"/>
      <c r="ND957" s="2"/>
      <c r="NE957" s="2"/>
      <c r="NF957" s="2"/>
      <c r="NG957" s="2"/>
      <c r="NH957" s="2"/>
      <c r="NI957" s="99"/>
      <c r="NJ957" s="208"/>
      <c r="NK957" s="2"/>
      <c r="NL957" s="2"/>
      <c r="NM957" s="2"/>
      <c r="NN957" s="2"/>
      <c r="NO957" s="2"/>
      <c r="NP957" s="2"/>
      <c r="NQ957" s="2"/>
      <c r="NR957" s="2"/>
      <c r="NS957" s="2"/>
      <c r="NT957" s="2"/>
      <c r="NU957" s="99"/>
      <c r="NV957" s="173"/>
      <c r="NW957" s="2"/>
      <c r="NX957" s="2"/>
      <c r="NY957" s="2"/>
      <c r="NZ957" s="2"/>
      <c r="OA957" s="2"/>
      <c r="OB957" s="2"/>
      <c r="OC957" s="2"/>
      <c r="OD957" s="2"/>
      <c r="OE957" s="2"/>
      <c r="OF957" s="2"/>
      <c r="OG957" s="2"/>
      <c r="OH957" s="2"/>
      <c r="OI957" s="2"/>
      <c r="OJ957" s="2"/>
      <c r="OK957" s="2"/>
      <c r="OL957" s="2"/>
      <c r="OM957" s="2"/>
      <c r="ON957" s="2"/>
      <c r="OO957" s="2"/>
      <c r="OP957" s="2"/>
    </row>
    <row r="958" spans="1:406" ht="15.75" thickBot="1">
      <c r="A958" s="207"/>
      <c r="B958" s="89"/>
      <c r="C958" s="89"/>
      <c r="D958" s="152"/>
      <c r="E958" s="89"/>
      <c r="F958" s="152"/>
      <c r="G958" s="89"/>
      <c r="H958" s="89"/>
      <c r="I958" s="152"/>
      <c r="J958" s="152"/>
      <c r="K958" s="152"/>
      <c r="L958" s="89"/>
      <c r="M958" s="152"/>
      <c r="N958" s="89"/>
      <c r="O958" s="89"/>
      <c r="P958" s="89"/>
      <c r="Q958" s="89"/>
      <c r="R958" s="89"/>
      <c r="S958" s="89"/>
      <c r="T958" s="89"/>
      <c r="X958" s="3"/>
      <c r="AA958" s="3"/>
      <c r="AB958" s="3"/>
      <c r="AC958" s="3"/>
      <c r="AG958" s="3"/>
      <c r="AJ958" s="3"/>
      <c r="AK958" s="3"/>
      <c r="AL958" s="3"/>
      <c r="AP958" s="3"/>
      <c r="AS958" s="3"/>
      <c r="AT958" s="3"/>
      <c r="AU958" s="3"/>
      <c r="AV958" s="89"/>
      <c r="AW958" s="89"/>
      <c r="AX958" s="89"/>
      <c r="AY958" s="89"/>
      <c r="AZ958" s="89"/>
      <c r="BA958" s="89"/>
      <c r="BB958" s="89"/>
      <c r="BC958" s="89"/>
      <c r="BD958" s="89"/>
      <c r="BE958" s="89"/>
      <c r="BF958" s="89"/>
      <c r="BG958" s="89"/>
      <c r="BH958" s="89"/>
      <c r="BI958" s="89"/>
      <c r="BJ958" s="152"/>
      <c r="BK958" s="175"/>
      <c r="BL958" s="89"/>
      <c r="BM958" s="89"/>
      <c r="BN958" s="89"/>
      <c r="BO958" s="89"/>
      <c r="BP958" s="89"/>
      <c r="BQ958" s="89"/>
      <c r="BR958" s="89"/>
      <c r="BS958" s="89"/>
      <c r="BT958" s="89"/>
      <c r="BU958" s="89"/>
      <c r="BV958" s="89"/>
      <c r="EE958" s="89"/>
      <c r="EF958" s="89"/>
      <c r="EG958" s="89"/>
      <c r="EH958" s="89"/>
      <c r="EI958" s="89"/>
      <c r="EJ958" s="89"/>
      <c r="EK958" s="89"/>
      <c r="EL958" s="89"/>
      <c r="EM958" s="9"/>
      <c r="EN958" s="9"/>
      <c r="EO958" s="9"/>
      <c r="EP958" s="9"/>
      <c r="EQ958" s="9"/>
      <c r="ER958" s="9"/>
      <c r="ES958" s="9"/>
      <c r="ET958" s="9"/>
      <c r="EU958" s="9"/>
      <c r="EV958" s="9"/>
      <c r="EW958" s="9"/>
      <c r="EX958" s="9"/>
      <c r="EY958" s="9"/>
      <c r="EZ958" s="9"/>
      <c r="FA958" s="9"/>
      <c r="FB958" s="9"/>
      <c r="FC958" s="9"/>
      <c r="FD958" s="9"/>
      <c r="FE958" s="9"/>
      <c r="FF958" s="9"/>
      <c r="FG958" s="9"/>
      <c r="FH958" s="9"/>
      <c r="FI958" s="9"/>
      <c r="FJ958" s="9"/>
      <c r="FK958" s="9"/>
      <c r="FL958" s="9"/>
      <c r="FM958" s="9"/>
      <c r="FN958" s="9"/>
      <c r="FO958" s="9"/>
      <c r="FP958" s="9"/>
      <c r="FQ958" s="9"/>
      <c r="FR958" s="9"/>
      <c r="FS958" s="9"/>
      <c r="FT958" s="9"/>
      <c r="FU958" s="9"/>
      <c r="FV958" s="9"/>
      <c r="FW958" s="9"/>
      <c r="FX958" s="9"/>
      <c r="FY958" s="9"/>
      <c r="FZ958" s="9"/>
      <c r="GA958" s="9"/>
      <c r="GB958" s="9"/>
      <c r="GC958" s="9"/>
      <c r="GD958" s="9"/>
      <c r="GE958" s="9"/>
      <c r="GF958" s="9"/>
      <c r="GG958" s="9"/>
      <c r="GH958" s="9"/>
      <c r="GI958" s="9"/>
      <c r="GJ958" s="9"/>
      <c r="GK958" s="9"/>
      <c r="GL958" s="9"/>
      <c r="GM958" s="9"/>
      <c r="GN958" s="9"/>
      <c r="GO958" s="9"/>
      <c r="GP958" s="9"/>
      <c r="GQ958" s="9"/>
      <c r="GR958" s="9"/>
      <c r="GS958" s="9"/>
      <c r="GT958" s="9"/>
      <c r="GU958" s="9"/>
      <c r="GV958" s="9"/>
      <c r="GW958" s="9"/>
      <c r="GX958" s="9"/>
      <c r="GY958" s="9"/>
      <c r="GZ958" s="9"/>
      <c r="HA958" s="9"/>
      <c r="HB958" s="9"/>
      <c r="HC958" s="9"/>
      <c r="HD958" s="9"/>
      <c r="HE958" s="9"/>
      <c r="HF958" s="9"/>
      <c r="HG958" s="9"/>
      <c r="HH958" s="9"/>
      <c r="HI958" s="9"/>
      <c r="HJ958" s="9"/>
      <c r="HK958" s="9"/>
      <c r="HL958" s="89"/>
      <c r="HM958" s="89"/>
      <c r="HN958" s="89"/>
      <c r="HO958" s="89"/>
      <c r="HP958" s="89"/>
      <c r="HQ958" s="89"/>
      <c r="HR958" s="89"/>
      <c r="HS958" s="89"/>
      <c r="HT958" s="152"/>
      <c r="HU958" s="89"/>
      <c r="HV958" s="89"/>
      <c r="HW958" s="89"/>
      <c r="HX958" s="89"/>
      <c r="HY958" s="89"/>
      <c r="HZ958" s="89"/>
      <c r="IA958" s="89"/>
      <c r="IB958" s="89"/>
      <c r="IC958" s="89"/>
      <c r="ID958" s="89"/>
      <c r="IE958" s="89"/>
      <c r="IF958" s="89"/>
      <c r="IG958" s="89"/>
      <c r="IH958" s="89"/>
      <c r="II958" s="89"/>
      <c r="IJ958" s="89"/>
      <c r="IK958" s="89"/>
      <c r="IL958" s="89"/>
      <c r="IM958" s="89"/>
      <c r="IN958" s="89"/>
      <c r="IO958" s="89"/>
      <c r="IP958" s="157"/>
      <c r="IQ958" s="178"/>
      <c r="IR958" s="89"/>
      <c r="IS958" s="89"/>
      <c r="IT958" s="89"/>
      <c r="IU958" s="152"/>
      <c r="IV958" s="89"/>
      <c r="IW958" s="89"/>
      <c r="IX958" s="89"/>
      <c r="IY958" s="89"/>
      <c r="IZ958" s="89"/>
      <c r="JA958" s="89"/>
      <c r="JB958" s="89"/>
      <c r="JC958" s="89"/>
      <c r="JD958" s="89"/>
      <c r="JE958" s="89"/>
      <c r="JF958" s="89"/>
      <c r="JG958" s="89"/>
      <c r="JH958" s="89"/>
      <c r="JI958" s="89"/>
      <c r="JJ958" s="89"/>
      <c r="JK958" s="89"/>
      <c r="JL958" s="205"/>
      <c r="JM958" s="178"/>
      <c r="JN958" s="2"/>
      <c r="JO958" s="89"/>
      <c r="JP958" s="89"/>
      <c r="JQ958" s="152"/>
      <c r="JR958" s="89"/>
      <c r="JS958" s="89"/>
      <c r="JT958" s="89"/>
      <c r="JU958" s="89"/>
      <c r="JV958" s="89"/>
      <c r="JW958" s="89"/>
      <c r="JX958" s="89"/>
      <c r="JY958" s="89"/>
      <c r="JZ958" s="89"/>
      <c r="KA958" s="89"/>
      <c r="KB958" s="89"/>
      <c r="KC958" s="89"/>
      <c r="KD958" s="89"/>
      <c r="KE958" s="89"/>
      <c r="KF958" s="89"/>
      <c r="KG958" s="157"/>
      <c r="KH958" s="178"/>
      <c r="KI958" s="89"/>
      <c r="KJ958" s="89"/>
      <c r="KK958" s="89"/>
      <c r="KL958" s="89"/>
      <c r="KM958" s="89"/>
      <c r="KN958" s="89"/>
      <c r="KO958" s="157"/>
      <c r="KP958" s="178"/>
      <c r="KQ958" s="89"/>
      <c r="KR958" s="89"/>
      <c r="KS958" s="89"/>
      <c r="KT958" s="89"/>
      <c r="KU958" s="89"/>
      <c r="KV958" s="89"/>
      <c r="KW958" s="89"/>
      <c r="LB958" s="89"/>
      <c r="LC958" s="89"/>
      <c r="LD958" s="89"/>
      <c r="LE958" s="89"/>
      <c r="LF958" s="89"/>
      <c r="LG958" s="89"/>
      <c r="LH958" s="89"/>
      <c r="LI958" s="89"/>
      <c r="LJ958" s="89"/>
      <c r="LK958" s="89"/>
      <c r="LL958" s="89"/>
      <c r="LM958" s="89"/>
      <c r="LN958" s="89"/>
      <c r="LO958" s="89"/>
      <c r="LP958" s="89"/>
      <c r="LQ958" s="89"/>
      <c r="LR958" s="89"/>
      <c r="LS958" s="89"/>
      <c r="LT958" s="89"/>
      <c r="LU958" s="89"/>
      <c r="LV958" s="89"/>
      <c r="LW958" s="89"/>
      <c r="LX958" s="89"/>
      <c r="LY958" s="89"/>
      <c r="LZ958" s="89"/>
      <c r="MA958" s="89"/>
      <c r="MB958" s="89"/>
      <c r="MC958" s="89"/>
      <c r="MD958" s="89"/>
      <c r="ME958" s="89"/>
      <c r="MF958" s="89"/>
      <c r="MG958" s="89"/>
      <c r="MH958" s="89"/>
      <c r="MI958" s="89"/>
      <c r="MJ958" s="89"/>
      <c r="MK958" s="89"/>
      <c r="ML958" s="89"/>
      <c r="MM958" s="89"/>
      <c r="MN958" s="89"/>
      <c r="MO958" s="89"/>
      <c r="MP958" s="89"/>
      <c r="MQ958" s="89"/>
      <c r="MR958" s="89"/>
      <c r="MS958" s="89"/>
      <c r="MT958" s="89"/>
      <c r="MU958" s="89"/>
      <c r="MV958" s="89"/>
      <c r="MW958" s="89"/>
      <c r="MX958" s="89"/>
      <c r="MY958" s="89"/>
      <c r="MZ958" s="89"/>
      <c r="NA958" s="89"/>
      <c r="NB958" s="89"/>
      <c r="NC958" s="89"/>
      <c r="ND958" s="89"/>
      <c r="NE958" s="89"/>
      <c r="NF958" s="89"/>
      <c r="NG958" s="89"/>
      <c r="NH958" s="89"/>
      <c r="NI958" s="152"/>
      <c r="NJ958" s="204"/>
      <c r="NK958" s="89"/>
      <c r="NL958" s="89"/>
      <c r="NM958" s="89"/>
      <c r="NN958" s="89"/>
      <c r="NO958" s="89"/>
      <c r="NP958" s="89"/>
      <c r="NQ958" s="89"/>
      <c r="NR958" s="89"/>
      <c r="NS958" s="89"/>
      <c r="NT958" s="89"/>
      <c r="NU958" s="152"/>
      <c r="NV958" s="97"/>
      <c r="NW958" s="89"/>
      <c r="NX958" s="89"/>
      <c r="NY958" s="89"/>
      <c r="NZ958" s="89"/>
      <c r="OA958" s="89"/>
      <c r="OB958" s="89"/>
      <c r="OC958" s="89"/>
      <c r="OD958" s="89"/>
      <c r="OE958" s="89"/>
      <c r="OF958" s="89"/>
      <c r="OG958" s="89"/>
      <c r="OH958" s="89"/>
      <c r="OI958" s="89"/>
      <c r="OJ958" s="89"/>
      <c r="OK958" s="89"/>
      <c r="OL958" s="89"/>
      <c r="OM958" s="89"/>
      <c r="ON958" s="89"/>
      <c r="OO958" s="89"/>
      <c r="OP958" s="89"/>
    </row>
    <row r="959" spans="1:406" ht="15.75" thickBot="1">
      <c r="A959" s="209"/>
      <c r="B959" s="2"/>
      <c r="C959" s="2"/>
      <c r="D959" s="99"/>
      <c r="E959" s="2"/>
      <c r="F959" s="152"/>
      <c r="G959" s="2"/>
      <c r="H959" s="2"/>
      <c r="I959" s="152"/>
      <c r="J959" s="152"/>
      <c r="K959" s="152"/>
      <c r="L959" s="2"/>
      <c r="M959" s="99"/>
      <c r="N959" s="2"/>
      <c r="O959" s="89"/>
      <c r="P959" s="2"/>
      <c r="Q959" s="2"/>
      <c r="R959" s="89"/>
      <c r="S959" s="89"/>
      <c r="T959" s="89"/>
      <c r="X959" s="3"/>
      <c r="AA959" s="3"/>
      <c r="AB959" s="3"/>
      <c r="AC959" s="3"/>
      <c r="AG959" s="3"/>
      <c r="AJ959" s="3"/>
      <c r="AK959" s="3"/>
      <c r="AL959" s="3"/>
      <c r="AP959" s="3"/>
      <c r="AS959" s="3"/>
      <c r="AT959" s="3"/>
      <c r="AU959" s="3"/>
      <c r="AV959" s="2"/>
      <c r="AW959" s="2"/>
      <c r="AX959" s="2"/>
      <c r="AY959" s="2"/>
      <c r="AZ959" s="2"/>
      <c r="BA959" s="2"/>
      <c r="BB959" s="2"/>
      <c r="BC959" s="2"/>
      <c r="BD959" s="2"/>
      <c r="BE959" s="2"/>
      <c r="BF959" s="2"/>
      <c r="BG959" s="2"/>
      <c r="BH959" s="2"/>
      <c r="BI959" s="2"/>
      <c r="BJ959" s="99"/>
      <c r="BK959" s="210"/>
      <c r="BL959" s="2"/>
      <c r="BM959" s="2"/>
      <c r="BN959" s="2"/>
      <c r="BO959" s="2"/>
      <c r="BP959" s="2"/>
      <c r="BQ959" s="2"/>
      <c r="BR959" s="2"/>
      <c r="BS959" s="2"/>
      <c r="BT959" s="2"/>
      <c r="BU959" s="2"/>
      <c r="BV959" s="2"/>
      <c r="EE959" s="2"/>
      <c r="EF959" s="2"/>
      <c r="EG959" s="2"/>
      <c r="EH959" s="2"/>
      <c r="EI959" s="2"/>
      <c r="EJ959" s="2"/>
      <c r="EK959" s="2"/>
      <c r="EL959" s="2"/>
      <c r="EM959" s="9"/>
      <c r="EN959" s="9"/>
      <c r="EO959" s="9"/>
      <c r="EP959" s="9"/>
      <c r="EQ959" s="9"/>
      <c r="ER959" s="9"/>
      <c r="ES959" s="9"/>
      <c r="ET959" s="9"/>
      <c r="EU959" s="9"/>
      <c r="EV959" s="9"/>
      <c r="EW959" s="9"/>
      <c r="EX959" s="9"/>
      <c r="EY959" s="9"/>
      <c r="EZ959" s="9"/>
      <c r="FA959" s="9"/>
      <c r="FB959" s="9"/>
      <c r="FC959" s="9"/>
      <c r="FD959" s="9"/>
      <c r="FE959" s="9"/>
      <c r="FF959" s="9"/>
      <c r="FG959" s="9"/>
      <c r="FH959" s="9"/>
      <c r="FI959" s="9"/>
      <c r="FJ959" s="9"/>
      <c r="FK959" s="9"/>
      <c r="FL959" s="9"/>
      <c r="FM959" s="9"/>
      <c r="FN959" s="9"/>
      <c r="FO959" s="9"/>
      <c r="FP959" s="9"/>
      <c r="FQ959" s="9"/>
      <c r="FR959" s="9"/>
      <c r="FS959" s="9"/>
      <c r="FT959" s="9"/>
      <c r="FU959" s="9"/>
      <c r="FV959" s="9"/>
      <c r="FW959" s="9"/>
      <c r="FX959" s="9"/>
      <c r="FY959" s="9"/>
      <c r="FZ959" s="9"/>
      <c r="GA959" s="9"/>
      <c r="GB959" s="9"/>
      <c r="GC959" s="9"/>
      <c r="GD959" s="9"/>
      <c r="GE959" s="9"/>
      <c r="GF959" s="9"/>
      <c r="GG959" s="9"/>
      <c r="GH959" s="9"/>
      <c r="GI959" s="9"/>
      <c r="GJ959" s="9"/>
      <c r="GK959" s="9"/>
      <c r="GL959" s="9"/>
      <c r="GM959" s="9"/>
      <c r="GN959" s="9"/>
      <c r="GO959" s="9"/>
      <c r="GP959" s="9"/>
      <c r="GQ959" s="9"/>
      <c r="GR959" s="9"/>
      <c r="GS959" s="9"/>
      <c r="GT959" s="9"/>
      <c r="GU959" s="9"/>
      <c r="GV959" s="9"/>
      <c r="GW959" s="9"/>
      <c r="GX959" s="9"/>
      <c r="GY959" s="9"/>
      <c r="GZ959" s="9"/>
      <c r="HA959" s="9"/>
      <c r="HB959" s="9"/>
      <c r="HC959" s="9"/>
      <c r="HD959" s="9"/>
      <c r="HE959" s="9"/>
      <c r="HF959" s="9"/>
      <c r="HG959" s="9"/>
      <c r="HH959" s="9"/>
      <c r="HI959" s="9"/>
      <c r="HJ959" s="9"/>
      <c r="HK959" s="9"/>
      <c r="HL959" s="2"/>
      <c r="HM959" s="2"/>
      <c r="HN959" s="2"/>
      <c r="HO959" s="2"/>
      <c r="HP959" s="2"/>
      <c r="HQ959" s="2"/>
      <c r="HR959" s="2"/>
      <c r="HS959" s="2"/>
      <c r="HT959" s="99"/>
      <c r="HU959" s="2"/>
      <c r="HV959" s="2"/>
      <c r="HW959" s="2"/>
      <c r="HX959" s="2"/>
      <c r="HY959" s="2"/>
      <c r="HZ959" s="2"/>
      <c r="IA959" s="2"/>
      <c r="IB959" s="2"/>
      <c r="IC959" s="2"/>
      <c r="ID959" s="2"/>
      <c r="IE959" s="2"/>
      <c r="IF959" s="2"/>
      <c r="IG959" s="2"/>
      <c r="IH959" s="2"/>
      <c r="II959" s="2"/>
      <c r="IJ959" s="2"/>
      <c r="IK959" s="2"/>
      <c r="IL959" s="2"/>
      <c r="IM959" s="2"/>
      <c r="IN959" s="2"/>
      <c r="IO959" s="2"/>
      <c r="IP959" s="168"/>
      <c r="IQ959" s="172"/>
      <c r="IR959" s="2"/>
      <c r="IS959" s="2"/>
      <c r="IT959" s="2"/>
      <c r="IU959" s="99"/>
      <c r="IV959" s="2"/>
      <c r="IW959" s="2"/>
      <c r="IX959" s="2"/>
      <c r="IY959" s="2"/>
      <c r="IZ959" s="2"/>
      <c r="JA959" s="2"/>
      <c r="JB959" s="2"/>
      <c r="JC959" s="2"/>
      <c r="JD959" s="2"/>
      <c r="JE959" s="2"/>
      <c r="JF959" s="2"/>
      <c r="JG959" s="2"/>
      <c r="JH959" s="2"/>
      <c r="JI959" s="2"/>
      <c r="JJ959" s="2"/>
      <c r="JK959" s="2"/>
      <c r="JL959" s="212"/>
      <c r="JM959" s="171"/>
      <c r="JN959" s="2"/>
      <c r="JO959" s="2"/>
      <c r="JP959" s="2"/>
      <c r="JQ959" s="99"/>
      <c r="JR959" s="2"/>
      <c r="JS959" s="2"/>
      <c r="JT959" s="2"/>
      <c r="JU959" s="2"/>
      <c r="JV959" s="2"/>
      <c r="JW959" s="2"/>
      <c r="JX959" s="2"/>
      <c r="JY959" s="2"/>
      <c r="JZ959" s="2"/>
      <c r="KA959" s="2"/>
      <c r="KB959" s="2"/>
      <c r="KC959" s="2"/>
      <c r="KD959" s="2"/>
      <c r="KE959" s="2"/>
      <c r="KF959" s="2"/>
      <c r="KG959" s="168"/>
      <c r="KH959" s="172"/>
      <c r="KI959" s="2"/>
      <c r="KJ959" s="2"/>
      <c r="KK959" s="2"/>
      <c r="KL959" s="2"/>
      <c r="KM959" s="2"/>
      <c r="KN959" s="2"/>
      <c r="KO959" s="168"/>
      <c r="KP959" s="172"/>
      <c r="KQ959" s="2"/>
      <c r="KR959" s="2"/>
      <c r="KS959" s="2"/>
      <c r="KT959" s="2"/>
      <c r="KU959" s="2"/>
      <c r="KV959" s="2"/>
      <c r="KW959" s="2"/>
      <c r="LB959" s="2"/>
      <c r="LC959" s="2"/>
      <c r="LD959" s="2"/>
      <c r="LE959" s="2"/>
      <c r="LF959" s="2"/>
      <c r="LG959" s="2"/>
      <c r="LH959" s="2"/>
      <c r="LI959" s="2"/>
      <c r="LJ959" s="2"/>
      <c r="LK959" s="2"/>
      <c r="LL959" s="2"/>
      <c r="LM959" s="2"/>
      <c r="LN959" s="2"/>
      <c r="LO959" s="2"/>
      <c r="LP959" s="2"/>
      <c r="LQ959" s="2"/>
      <c r="LR959" s="2"/>
      <c r="LS959" s="2"/>
      <c r="LT959" s="2"/>
      <c r="LU959" s="2"/>
      <c r="LV959" s="2"/>
      <c r="LW959" s="2"/>
      <c r="LX959" s="2"/>
      <c r="LY959" s="2"/>
      <c r="LZ959" s="2"/>
      <c r="MA959" s="2"/>
      <c r="MB959" s="2"/>
      <c r="MC959" s="2"/>
      <c r="MD959" s="2"/>
      <c r="ME959" s="2"/>
      <c r="MF959" s="2"/>
      <c r="MG959" s="2"/>
      <c r="MH959" s="2"/>
      <c r="MI959" s="2"/>
      <c r="MJ959" s="2"/>
      <c r="MK959" s="2"/>
      <c r="ML959" s="2"/>
      <c r="MM959" s="2"/>
      <c r="MN959" s="2"/>
      <c r="MO959" s="2"/>
      <c r="MP959" s="2"/>
      <c r="MQ959" s="2"/>
      <c r="MR959" s="2"/>
      <c r="MS959" s="2"/>
      <c r="MT959" s="2"/>
      <c r="MU959" s="2"/>
      <c r="MV959" s="2"/>
      <c r="MW959" s="2"/>
      <c r="MX959" s="2"/>
      <c r="MY959" s="2"/>
      <c r="MZ959" s="2"/>
      <c r="NA959" s="2"/>
      <c r="NB959" s="2"/>
      <c r="NC959" s="2"/>
      <c r="ND959" s="2"/>
      <c r="NE959" s="2"/>
      <c r="NF959" s="2"/>
      <c r="NG959" s="2"/>
      <c r="NH959" s="2"/>
      <c r="NI959" s="99"/>
      <c r="NJ959" s="208"/>
      <c r="NK959" s="2"/>
      <c r="NL959" s="2"/>
      <c r="NM959" s="2"/>
      <c r="NN959" s="2"/>
      <c r="NO959" s="2"/>
      <c r="NP959" s="2"/>
      <c r="NQ959" s="2"/>
      <c r="NR959" s="2"/>
      <c r="NS959" s="2"/>
      <c r="NT959" s="2"/>
      <c r="NU959" s="99"/>
      <c r="NV959" s="173"/>
      <c r="NW959" s="2"/>
      <c r="NX959" s="2"/>
      <c r="NY959" s="2"/>
      <c r="NZ959" s="2"/>
      <c r="OA959" s="2"/>
      <c r="OB959" s="2"/>
      <c r="OC959" s="2"/>
      <c r="OD959" s="2"/>
      <c r="OE959" s="2"/>
      <c r="OF959" s="2"/>
      <c r="OG959" s="2"/>
      <c r="OH959" s="2"/>
      <c r="OI959" s="2"/>
      <c r="OJ959" s="2"/>
      <c r="OK959" s="2"/>
      <c r="OL959" s="2"/>
      <c r="OM959" s="2"/>
      <c r="ON959" s="2"/>
      <c r="OO959" s="2"/>
      <c r="OP959" s="2"/>
    </row>
    <row r="960" spans="1:406" ht="15.75" thickBot="1">
      <c r="A960" s="207"/>
      <c r="B960" s="89"/>
      <c r="C960" s="89"/>
      <c r="D960" s="152"/>
      <c r="E960" s="89"/>
      <c r="F960" s="152"/>
      <c r="G960" s="89"/>
      <c r="H960" s="89"/>
      <c r="I960" s="152"/>
      <c r="J960" s="152"/>
      <c r="K960" s="152"/>
      <c r="L960" s="89"/>
      <c r="M960" s="152"/>
      <c r="N960" s="89"/>
      <c r="O960" s="89"/>
      <c r="P960" s="89"/>
      <c r="Q960" s="89"/>
      <c r="R960" s="89"/>
      <c r="S960" s="89"/>
      <c r="T960" s="89"/>
      <c r="X960" s="3"/>
      <c r="AA960" s="3"/>
      <c r="AB960" s="3"/>
      <c r="AC960" s="3"/>
      <c r="AG960" s="3"/>
      <c r="AJ960" s="3"/>
      <c r="AK960" s="3"/>
      <c r="AL960" s="3"/>
      <c r="AP960" s="3"/>
      <c r="AS960" s="3"/>
      <c r="AT960" s="3"/>
      <c r="AU960" s="3"/>
      <c r="AV960" s="89"/>
      <c r="AW960" s="89"/>
      <c r="AX960" s="89"/>
      <c r="AY960" s="89"/>
      <c r="AZ960" s="89"/>
      <c r="BA960" s="89"/>
      <c r="BB960" s="89"/>
      <c r="BC960" s="89"/>
      <c r="BD960" s="89"/>
      <c r="BE960" s="89"/>
      <c r="BF960" s="89"/>
      <c r="BG960" s="89"/>
      <c r="BH960" s="89"/>
      <c r="BI960" s="89"/>
      <c r="BJ960" s="152"/>
      <c r="BK960" s="175"/>
      <c r="BL960" s="89"/>
      <c r="BM960" s="89"/>
      <c r="BN960" s="89"/>
      <c r="BO960" s="89"/>
      <c r="BP960" s="89"/>
      <c r="BQ960" s="89"/>
      <c r="BR960" s="89"/>
      <c r="BS960" s="89"/>
      <c r="BT960" s="89"/>
      <c r="BU960" s="89"/>
      <c r="BV960" s="89"/>
      <c r="EE960" s="89"/>
      <c r="EF960" s="152"/>
      <c r="EG960" s="175"/>
      <c r="EH960" s="175"/>
      <c r="EI960" s="175"/>
      <c r="EJ960" s="175"/>
      <c r="EK960" s="175"/>
      <c r="EL960" s="175"/>
      <c r="HL960" s="89"/>
      <c r="HM960" s="89"/>
      <c r="HN960" s="89"/>
      <c r="HO960" s="89"/>
      <c r="HP960" s="89"/>
      <c r="HQ960" s="89"/>
      <c r="HR960" s="89"/>
      <c r="HS960" s="89"/>
      <c r="HT960" s="152"/>
      <c r="HU960" s="89"/>
      <c r="HV960" s="89"/>
      <c r="HW960" s="89"/>
      <c r="HX960" s="89"/>
      <c r="HY960" s="89"/>
      <c r="HZ960" s="89"/>
      <c r="IA960" s="89"/>
      <c r="IB960" s="89"/>
      <c r="IC960" s="89"/>
      <c r="ID960" s="89"/>
      <c r="IE960" s="89"/>
      <c r="IF960" s="89"/>
      <c r="IG960" s="89"/>
      <c r="IH960" s="89"/>
      <c r="II960" s="89"/>
      <c r="IJ960" s="89"/>
      <c r="IK960" s="89"/>
      <c r="IL960" s="89"/>
      <c r="IM960" s="89"/>
      <c r="IN960" s="152"/>
      <c r="IO960" s="89"/>
      <c r="IP960" s="157"/>
      <c r="IQ960" s="178"/>
      <c r="IR960" s="89"/>
      <c r="IS960" s="89"/>
      <c r="IT960" s="89"/>
      <c r="IU960" s="152"/>
      <c r="IV960" s="89"/>
      <c r="IW960" s="206"/>
      <c r="IX960" s="178"/>
      <c r="IY960" s="89"/>
      <c r="IZ960" s="89"/>
      <c r="JA960" s="89"/>
      <c r="JB960" s="89"/>
      <c r="JC960" s="89"/>
      <c r="JD960" s="89"/>
      <c r="JE960" s="89"/>
      <c r="JF960" s="89"/>
      <c r="JG960" s="89"/>
      <c r="JH960" s="89"/>
      <c r="JI960" s="89"/>
      <c r="JJ960" s="89"/>
      <c r="JK960" s="89"/>
      <c r="JL960" s="205"/>
      <c r="JM960" s="178"/>
      <c r="JN960" s="2"/>
      <c r="JO960" s="89"/>
      <c r="JP960" s="89"/>
      <c r="JQ960" s="152"/>
      <c r="JR960" s="89"/>
      <c r="JS960" s="89"/>
      <c r="JT960" s="89"/>
      <c r="JU960" s="89"/>
      <c r="JV960" s="89"/>
      <c r="JW960" s="89"/>
      <c r="JX960" s="89"/>
      <c r="JY960" s="89"/>
      <c r="JZ960" s="89"/>
      <c r="KA960" s="89"/>
      <c r="KB960" s="89"/>
      <c r="KC960" s="89"/>
      <c r="KD960" s="89"/>
      <c r="KE960" s="89"/>
      <c r="KF960" s="89"/>
      <c r="KG960" s="157"/>
      <c r="KH960" s="178"/>
      <c r="KI960" s="89"/>
      <c r="KJ960" s="89"/>
      <c r="KK960" s="89"/>
      <c r="KL960" s="89"/>
      <c r="KM960" s="89"/>
      <c r="KN960" s="89"/>
      <c r="KO960" s="182"/>
      <c r="KP960" s="159"/>
      <c r="KQ960" s="89"/>
      <c r="KR960" s="89"/>
      <c r="KS960" s="89"/>
      <c r="KT960" s="89"/>
      <c r="KU960" s="89"/>
      <c r="KV960" s="89"/>
      <c r="KW960" s="89"/>
      <c r="LB960" s="89"/>
      <c r="LC960" s="89"/>
      <c r="LD960" s="89"/>
      <c r="LE960" s="89"/>
      <c r="LF960" s="89"/>
      <c r="LG960" s="89"/>
      <c r="LH960" s="89"/>
      <c r="LI960" s="89"/>
      <c r="LJ960" s="89"/>
      <c r="LK960" s="89"/>
      <c r="LL960" s="89"/>
      <c r="LM960" s="89"/>
      <c r="LN960" s="89"/>
      <c r="LO960" s="89"/>
      <c r="LP960" s="89"/>
      <c r="LQ960" s="89"/>
      <c r="LR960" s="89"/>
      <c r="LS960" s="89"/>
      <c r="LT960" s="89"/>
      <c r="LU960" s="89"/>
      <c r="LV960" s="89"/>
      <c r="LW960" s="89"/>
      <c r="LX960" s="89"/>
      <c r="LY960" s="89"/>
      <c r="LZ960" s="89"/>
      <c r="MA960" s="89"/>
      <c r="MB960" s="89"/>
      <c r="MC960" s="89"/>
      <c r="MD960" s="89"/>
      <c r="ME960" s="89"/>
      <c r="MF960" s="89"/>
      <c r="MG960" s="89"/>
      <c r="MH960" s="89"/>
      <c r="MI960" s="89"/>
      <c r="MJ960" s="89"/>
      <c r="MK960" s="89"/>
      <c r="ML960" s="89"/>
      <c r="MM960" s="89"/>
      <c r="MN960" s="89"/>
      <c r="MO960" s="89"/>
      <c r="MP960" s="89"/>
      <c r="MQ960" s="89"/>
      <c r="MR960" s="89"/>
      <c r="MS960" s="89"/>
      <c r="MT960" s="89"/>
      <c r="MU960" s="89"/>
      <c r="MV960" s="89"/>
      <c r="MW960" s="89"/>
      <c r="MX960" s="89"/>
      <c r="MY960" s="89"/>
      <c r="MZ960" s="89"/>
      <c r="NA960" s="89"/>
      <c r="NB960" s="89"/>
      <c r="NC960" s="89"/>
      <c r="ND960" s="89"/>
      <c r="NE960" s="89"/>
      <c r="NF960" s="89"/>
      <c r="NG960" s="89"/>
      <c r="NH960" s="89"/>
      <c r="NI960" s="152"/>
      <c r="NJ960" s="204"/>
      <c r="NK960" s="89"/>
      <c r="NL960" s="89"/>
      <c r="NM960" s="89"/>
      <c r="NN960" s="89"/>
      <c r="NO960" s="89"/>
      <c r="NP960" s="89"/>
      <c r="NQ960" s="89"/>
      <c r="NR960" s="89"/>
      <c r="NS960" s="89"/>
      <c r="NT960" s="89"/>
      <c r="NU960" s="152"/>
      <c r="NV960" s="97"/>
      <c r="NW960" s="89"/>
      <c r="NX960" s="89"/>
      <c r="NY960" s="89"/>
      <c r="NZ960" s="89"/>
      <c r="OA960" s="89"/>
      <c r="OB960" s="89"/>
      <c r="OC960" s="89"/>
      <c r="OD960" s="89"/>
      <c r="OE960" s="89"/>
      <c r="OF960" s="89"/>
      <c r="OG960" s="89"/>
      <c r="OH960" s="89"/>
      <c r="OI960" s="89"/>
      <c r="OJ960" s="89"/>
      <c r="OK960" s="89"/>
      <c r="OL960" s="89"/>
      <c r="OM960" s="89"/>
      <c r="ON960" s="89"/>
      <c r="OO960" s="89"/>
      <c r="OP960" s="89"/>
    </row>
    <row r="961" spans="1:406" ht="15.75" thickBot="1">
      <c r="A961" s="209"/>
      <c r="B961" s="2"/>
      <c r="C961" s="2"/>
      <c r="D961" s="99"/>
      <c r="E961" s="2"/>
      <c r="F961" s="152"/>
      <c r="G961" s="2"/>
      <c r="H961" s="2"/>
      <c r="I961" s="152"/>
      <c r="J961" s="152"/>
      <c r="K961" s="152"/>
      <c r="L961" s="2"/>
      <c r="M961" s="99"/>
      <c r="N961" s="2"/>
      <c r="O961" s="89"/>
      <c r="P961" s="2"/>
      <c r="Q961" s="2"/>
      <c r="R961" s="89"/>
      <c r="S961" s="89"/>
      <c r="T961" s="89"/>
      <c r="X961" s="3"/>
      <c r="AA961" s="3"/>
      <c r="AB961" s="3"/>
      <c r="AC961" s="3"/>
      <c r="AG961" s="3"/>
      <c r="AJ961" s="3"/>
      <c r="AK961" s="3"/>
      <c r="AL961" s="3"/>
      <c r="AP961" s="3"/>
      <c r="AS961" s="3"/>
      <c r="AT961" s="3"/>
      <c r="AU961" s="3"/>
      <c r="AV961" s="2"/>
      <c r="AW961" s="2"/>
      <c r="AX961" s="2"/>
      <c r="AY961" s="2"/>
      <c r="AZ961" s="2"/>
      <c r="BA961" s="2"/>
      <c r="BB961" s="2"/>
      <c r="BC961" s="2"/>
      <c r="BD961" s="2"/>
      <c r="BE961" s="2"/>
      <c r="BF961" s="2"/>
      <c r="BG961" s="2"/>
      <c r="BH961" s="2"/>
      <c r="BI961" s="2"/>
      <c r="BJ961" s="99"/>
      <c r="BK961" s="210"/>
      <c r="BL961" s="2"/>
      <c r="BM961" s="2"/>
      <c r="BN961" s="2"/>
      <c r="BO961" s="2"/>
      <c r="BP961" s="2"/>
      <c r="BQ961" s="2"/>
      <c r="BR961" s="2"/>
      <c r="BS961" s="2"/>
      <c r="BT961" s="2"/>
      <c r="BU961" s="2"/>
      <c r="BV961" s="2"/>
      <c r="EE961" s="2"/>
      <c r="EF961" s="99"/>
      <c r="EG961" s="210"/>
      <c r="EH961" s="210"/>
      <c r="EI961" s="210"/>
      <c r="EJ961" s="210"/>
      <c r="EK961" s="210"/>
      <c r="EL961" s="210"/>
      <c r="HL961" s="2"/>
      <c r="HM961" s="2"/>
      <c r="HN961" s="2"/>
      <c r="HO961" s="2"/>
      <c r="HP961" s="2"/>
      <c r="HQ961" s="2"/>
      <c r="HR961" s="2"/>
      <c r="HS961" s="2"/>
      <c r="HT961" s="99"/>
      <c r="HU961" s="2"/>
      <c r="HV961" s="2"/>
      <c r="HW961" s="2"/>
      <c r="HX961" s="2"/>
      <c r="HY961" s="2"/>
      <c r="HZ961" s="2"/>
      <c r="IA961" s="2"/>
      <c r="IB961" s="2"/>
      <c r="IC961" s="2"/>
      <c r="ID961" s="2"/>
      <c r="IE961" s="2"/>
      <c r="IF961" s="2"/>
      <c r="IG961" s="2"/>
      <c r="IH961" s="2"/>
      <c r="II961" s="2"/>
      <c r="IJ961" s="2"/>
      <c r="IK961" s="2"/>
      <c r="IL961" s="2"/>
      <c r="IM961" s="2"/>
      <c r="IN961" s="99"/>
      <c r="IO961" s="2"/>
      <c r="IP961" s="168"/>
      <c r="IQ961" s="172"/>
      <c r="IR961" s="2"/>
      <c r="IS961" s="2"/>
      <c r="IT961" s="2"/>
      <c r="IU961" s="99"/>
      <c r="IV961" s="2"/>
      <c r="IW961" s="211"/>
      <c r="IX961" s="172"/>
      <c r="IY961" s="2"/>
      <c r="IZ961" s="2"/>
      <c r="JA961" s="2"/>
      <c r="JB961" s="2"/>
      <c r="JC961" s="2"/>
      <c r="JD961" s="2"/>
      <c r="JE961" s="2"/>
      <c r="JF961" s="2"/>
      <c r="JG961" s="2"/>
      <c r="JH961" s="2"/>
      <c r="JI961" s="2"/>
      <c r="JJ961" s="2"/>
      <c r="JK961" s="2"/>
      <c r="JL961" s="205"/>
      <c r="JM961" s="172"/>
      <c r="JN961" s="2"/>
      <c r="JO961" s="2"/>
      <c r="JP961" s="2"/>
      <c r="JQ961" s="99"/>
      <c r="JR961" s="2"/>
      <c r="JS961" s="2"/>
      <c r="JT961" s="2"/>
      <c r="JU961" s="2"/>
      <c r="JV961" s="2"/>
      <c r="JW961" s="2"/>
      <c r="JX961" s="2"/>
      <c r="JY961" s="2"/>
      <c r="JZ961" s="2"/>
      <c r="KA961" s="2"/>
      <c r="KB961" s="2"/>
      <c r="KC961" s="2"/>
      <c r="KD961" s="2"/>
      <c r="KE961" s="2"/>
      <c r="KF961" s="2"/>
      <c r="KG961" s="168"/>
      <c r="KH961" s="172"/>
      <c r="KI961" s="2"/>
      <c r="KJ961" s="2"/>
      <c r="KK961" s="2"/>
      <c r="KL961" s="2"/>
      <c r="KM961" s="2"/>
      <c r="KN961" s="2"/>
      <c r="KO961" s="182"/>
      <c r="KP961" s="171"/>
      <c r="KQ961" s="2"/>
      <c r="KR961" s="2"/>
      <c r="KS961" s="2"/>
      <c r="KT961" s="2"/>
      <c r="KU961" s="2"/>
      <c r="KV961" s="2"/>
      <c r="KW961" s="2"/>
      <c r="LB961" s="2"/>
      <c r="LC961" s="2"/>
      <c r="LD961" s="2"/>
      <c r="LE961" s="2"/>
      <c r="LF961" s="2"/>
      <c r="LG961" s="2"/>
      <c r="LH961" s="2"/>
      <c r="LI961" s="2"/>
      <c r="LJ961" s="2"/>
      <c r="LK961" s="2"/>
      <c r="LL961" s="2"/>
      <c r="LM961" s="2"/>
      <c r="LN961" s="2"/>
      <c r="LO961" s="2"/>
      <c r="LP961" s="2"/>
      <c r="LQ961" s="2"/>
      <c r="LR961" s="2"/>
      <c r="LS961" s="2"/>
      <c r="LT961" s="2"/>
      <c r="LU961" s="2"/>
      <c r="LV961" s="2"/>
      <c r="LW961" s="2"/>
      <c r="LX961" s="2"/>
      <c r="LY961" s="2"/>
      <c r="LZ961" s="2"/>
      <c r="MA961" s="2"/>
      <c r="MB961" s="2"/>
      <c r="MC961" s="2"/>
      <c r="MD961" s="2"/>
      <c r="ME961" s="2"/>
      <c r="MF961" s="2"/>
      <c r="MG961" s="2"/>
      <c r="MH961" s="2"/>
      <c r="MI961" s="2"/>
      <c r="MJ961" s="2"/>
      <c r="MK961" s="2"/>
      <c r="ML961" s="2"/>
      <c r="MM961" s="2"/>
      <c r="MN961" s="2"/>
      <c r="MO961" s="2"/>
      <c r="MP961" s="2"/>
      <c r="MQ961" s="2"/>
      <c r="MR961" s="2"/>
      <c r="MS961" s="2"/>
      <c r="MT961" s="2"/>
      <c r="MU961" s="2"/>
      <c r="MV961" s="2"/>
      <c r="MW961" s="2"/>
      <c r="MX961" s="2"/>
      <c r="MY961" s="2"/>
      <c r="MZ961" s="2"/>
      <c r="NA961" s="2"/>
      <c r="NB961" s="2"/>
      <c r="NC961" s="2"/>
      <c r="ND961" s="2"/>
      <c r="NE961" s="2"/>
      <c r="NF961" s="2"/>
      <c r="NG961" s="2"/>
      <c r="NH961" s="2"/>
      <c r="NI961" s="99"/>
      <c r="NJ961" s="208"/>
      <c r="NK961" s="2"/>
      <c r="NL961" s="2"/>
      <c r="NM961" s="2"/>
      <c r="NN961" s="2"/>
      <c r="NO961" s="2"/>
      <c r="NP961" s="2"/>
      <c r="NQ961" s="2"/>
      <c r="NR961" s="2"/>
      <c r="NS961" s="2"/>
      <c r="NT961" s="2"/>
      <c r="NU961" s="99"/>
      <c r="NV961" s="173"/>
      <c r="NW961" s="2"/>
      <c r="NX961" s="2"/>
      <c r="NY961" s="2"/>
      <c r="NZ961" s="2"/>
      <c r="OA961" s="2"/>
      <c r="OB961" s="2"/>
      <c r="OC961" s="2"/>
      <c r="OD961" s="2"/>
      <c r="OE961" s="2"/>
      <c r="OF961" s="2"/>
      <c r="OG961" s="2"/>
      <c r="OH961" s="2"/>
      <c r="OI961" s="2"/>
      <c r="OJ961" s="2"/>
      <c r="OK961" s="2"/>
      <c r="OL961" s="2"/>
      <c r="OM961" s="2"/>
      <c r="ON961" s="2"/>
      <c r="OO961" s="2"/>
      <c r="OP961" s="2"/>
    </row>
    <row r="962" spans="1:406" ht="15.75" thickBot="1">
      <c r="A962" s="207"/>
      <c r="B962" s="89"/>
      <c r="C962" s="89"/>
      <c r="D962" s="152"/>
      <c r="E962" s="89"/>
      <c r="F962" s="152"/>
      <c r="G962" s="89"/>
      <c r="H962" s="89"/>
      <c r="I962" s="152"/>
      <c r="J962" s="152"/>
      <c r="K962" s="152"/>
      <c r="L962" s="89"/>
      <c r="M962" s="152"/>
      <c r="N962" s="89"/>
      <c r="O962" s="89"/>
      <c r="P962" s="89"/>
      <c r="Q962" s="89"/>
      <c r="R962" s="89"/>
      <c r="S962" s="89"/>
      <c r="T962" s="89"/>
      <c r="X962" s="3"/>
      <c r="AA962" s="3"/>
      <c r="AB962" s="3"/>
      <c r="AC962" s="3"/>
      <c r="AG962" s="3"/>
      <c r="AJ962" s="3"/>
      <c r="AK962" s="3"/>
      <c r="AL962" s="3"/>
      <c r="AP962" s="3"/>
      <c r="AS962" s="3"/>
      <c r="AT962" s="3"/>
      <c r="AU962" s="3"/>
      <c r="AV962" s="89"/>
      <c r="AW962" s="89"/>
      <c r="AX962" s="89"/>
      <c r="AY962" s="89"/>
      <c r="AZ962" s="89"/>
      <c r="BA962" s="89"/>
      <c r="BB962" s="89"/>
      <c r="BC962" s="89"/>
      <c r="BD962" s="89"/>
      <c r="BE962" s="89"/>
      <c r="BF962" s="89"/>
      <c r="BG962" s="89"/>
      <c r="BH962" s="89"/>
      <c r="BI962" s="89"/>
      <c r="BJ962" s="152"/>
      <c r="BK962" s="175"/>
      <c r="BL962" s="89"/>
      <c r="BM962" s="89"/>
      <c r="BN962" s="89"/>
      <c r="BO962" s="89"/>
      <c r="BP962" s="89"/>
      <c r="BQ962" s="89"/>
      <c r="BR962" s="89"/>
      <c r="BS962" s="89"/>
      <c r="BT962" s="89"/>
      <c r="BU962" s="89"/>
      <c r="BV962" s="89"/>
      <c r="EE962" s="89"/>
      <c r="EF962" s="152"/>
      <c r="EG962" s="175"/>
      <c r="EH962" s="175"/>
      <c r="EI962" s="175"/>
      <c r="EJ962" s="175"/>
      <c r="EK962" s="175"/>
      <c r="EL962" s="175"/>
      <c r="EM962" s="9"/>
      <c r="EN962" s="9"/>
      <c r="EO962" s="9"/>
      <c r="EP962" s="9"/>
      <c r="EQ962" s="9"/>
      <c r="ER962" s="9"/>
      <c r="ES962" s="9"/>
      <c r="ET962" s="9"/>
      <c r="EU962" s="9"/>
      <c r="EV962" s="9"/>
      <c r="EW962" s="9"/>
      <c r="EX962" s="9"/>
      <c r="EY962" s="9"/>
      <c r="EZ962" s="9"/>
      <c r="FA962" s="9"/>
      <c r="FB962" s="9"/>
      <c r="FC962" s="9"/>
      <c r="FD962" s="9"/>
      <c r="FE962" s="9"/>
      <c r="FF962" s="9"/>
      <c r="FG962" s="9"/>
      <c r="FH962" s="9"/>
      <c r="FI962" s="9"/>
      <c r="FJ962" s="9"/>
      <c r="FK962" s="9"/>
      <c r="FL962" s="9"/>
      <c r="FM962" s="9"/>
      <c r="FN962" s="9"/>
      <c r="FO962" s="9"/>
      <c r="FP962" s="9"/>
      <c r="FQ962" s="9"/>
      <c r="FR962" s="9"/>
      <c r="FS962" s="9"/>
      <c r="FT962" s="9"/>
      <c r="FU962" s="9"/>
      <c r="FV962" s="9"/>
      <c r="FW962" s="9"/>
      <c r="FX962" s="9"/>
      <c r="FY962" s="9"/>
      <c r="FZ962" s="9"/>
      <c r="GA962" s="9"/>
      <c r="GB962" s="9"/>
      <c r="GC962" s="9"/>
      <c r="GD962" s="9"/>
      <c r="GE962" s="9"/>
      <c r="GF962" s="9"/>
      <c r="GG962" s="9"/>
      <c r="GH962" s="9"/>
      <c r="GI962" s="9"/>
      <c r="GJ962" s="9"/>
      <c r="GK962" s="9"/>
      <c r="GL962" s="9"/>
      <c r="GM962" s="9"/>
      <c r="GN962" s="9"/>
      <c r="GO962" s="9"/>
      <c r="GP962" s="9"/>
      <c r="GQ962" s="9"/>
      <c r="GR962" s="9"/>
      <c r="GS962" s="9"/>
      <c r="GT962" s="9"/>
      <c r="GU962" s="9"/>
      <c r="GV962" s="9"/>
      <c r="GW962" s="9"/>
      <c r="GX962" s="9"/>
      <c r="GY962" s="9"/>
      <c r="GZ962" s="9"/>
      <c r="HA962" s="9"/>
      <c r="HB962" s="9"/>
      <c r="HC962" s="9"/>
      <c r="HD962" s="9"/>
      <c r="HE962" s="9"/>
      <c r="HF962" s="9"/>
      <c r="HG962" s="9"/>
      <c r="HH962" s="9"/>
      <c r="HI962" s="9"/>
      <c r="HJ962" s="9"/>
      <c r="HK962" s="9"/>
      <c r="HL962" s="89"/>
      <c r="HM962" s="89"/>
      <c r="HN962" s="89"/>
      <c r="HO962" s="89"/>
      <c r="HP962" s="89"/>
      <c r="HQ962" s="89"/>
      <c r="HR962" s="89"/>
      <c r="HS962" s="89"/>
      <c r="HT962" s="152"/>
      <c r="HU962" s="89"/>
      <c r="HV962" s="89"/>
      <c r="HW962" s="89"/>
      <c r="HX962" s="89"/>
      <c r="HY962" s="89"/>
      <c r="HZ962" s="89"/>
      <c r="IA962" s="89"/>
      <c r="IB962" s="89"/>
      <c r="IC962" s="89"/>
      <c r="ID962" s="89"/>
      <c r="IE962" s="89"/>
      <c r="IF962" s="89"/>
      <c r="IG962" s="89"/>
      <c r="IH962" s="89"/>
      <c r="II962" s="89"/>
      <c r="IJ962" s="89"/>
      <c r="IK962" s="89"/>
      <c r="IL962" s="89"/>
      <c r="IM962" s="89"/>
      <c r="IN962" s="89"/>
      <c r="IO962" s="89"/>
      <c r="IP962" s="157"/>
      <c r="IQ962" s="178"/>
      <c r="IR962" s="89"/>
      <c r="IS962" s="89"/>
      <c r="IT962" s="89"/>
      <c r="IU962" s="152"/>
      <c r="IV962" s="89"/>
      <c r="IW962" s="153"/>
      <c r="IX962" s="89"/>
      <c r="IY962" s="89"/>
      <c r="IZ962" s="89"/>
      <c r="JA962" s="89"/>
      <c r="JB962" s="89"/>
      <c r="JC962" s="89"/>
      <c r="JD962" s="89"/>
      <c r="JE962" s="89"/>
      <c r="JF962" s="89"/>
      <c r="JG962" s="89"/>
      <c r="JH962" s="89"/>
      <c r="JI962" s="89"/>
      <c r="JJ962" s="89"/>
      <c r="JK962" s="89"/>
      <c r="JL962" s="205"/>
      <c r="JM962" s="178"/>
      <c r="JN962" s="2"/>
      <c r="JO962" s="89"/>
      <c r="JP962" s="89"/>
      <c r="JQ962" s="152"/>
      <c r="JR962" s="89"/>
      <c r="JS962" s="89"/>
      <c r="JT962" s="89"/>
      <c r="JU962" s="89"/>
      <c r="JV962" s="89"/>
      <c r="JW962" s="89"/>
      <c r="JX962" s="89"/>
      <c r="JY962" s="89"/>
      <c r="JZ962" s="89"/>
      <c r="KA962" s="89"/>
      <c r="KB962" s="89"/>
      <c r="KC962" s="89"/>
      <c r="KD962" s="89"/>
      <c r="KE962" s="89"/>
      <c r="KF962" s="89"/>
      <c r="KG962" s="157"/>
      <c r="KH962" s="178"/>
      <c r="KI962" s="89"/>
      <c r="KJ962" s="89"/>
      <c r="KK962" s="89"/>
      <c r="KL962" s="89"/>
      <c r="KM962" s="89"/>
      <c r="KN962" s="89"/>
      <c r="KO962" s="157"/>
      <c r="KP962" s="178"/>
      <c r="KQ962" s="89"/>
      <c r="KR962" s="89"/>
      <c r="KS962" s="89"/>
      <c r="KT962" s="89"/>
      <c r="KU962" s="89"/>
      <c r="KV962" s="89"/>
      <c r="KW962" s="89"/>
      <c r="LB962" s="89"/>
      <c r="LC962" s="89"/>
      <c r="LD962" s="89"/>
      <c r="LE962" s="89"/>
      <c r="LF962" s="89"/>
      <c r="LG962" s="89"/>
      <c r="LH962" s="89"/>
      <c r="LI962" s="89"/>
      <c r="LJ962" s="89"/>
      <c r="LK962" s="89"/>
      <c r="LL962" s="89"/>
      <c r="LM962" s="89"/>
      <c r="LN962" s="89"/>
      <c r="LO962" s="89"/>
      <c r="LP962" s="89"/>
      <c r="LQ962" s="89"/>
      <c r="LR962" s="89"/>
      <c r="LS962" s="89"/>
      <c r="LT962" s="89"/>
      <c r="LU962" s="89"/>
      <c r="LV962" s="89"/>
      <c r="LW962" s="89"/>
      <c r="LX962" s="89"/>
      <c r="LY962" s="89"/>
      <c r="LZ962" s="89"/>
      <c r="MA962" s="89"/>
      <c r="MB962" s="89"/>
      <c r="MC962" s="89"/>
      <c r="MD962" s="89"/>
      <c r="ME962" s="89"/>
      <c r="MF962" s="89"/>
      <c r="MG962" s="89"/>
      <c r="MH962" s="89"/>
      <c r="MI962" s="89"/>
      <c r="MJ962" s="89"/>
      <c r="MK962" s="89"/>
      <c r="ML962" s="89"/>
      <c r="MM962" s="89"/>
      <c r="MN962" s="89"/>
      <c r="MO962" s="89"/>
      <c r="MP962" s="89"/>
      <c r="MQ962" s="89"/>
      <c r="MR962" s="89"/>
      <c r="MS962" s="89"/>
      <c r="MT962" s="89"/>
      <c r="MU962" s="89"/>
      <c r="MV962" s="89"/>
      <c r="MW962" s="89"/>
      <c r="MX962" s="89"/>
      <c r="MY962" s="89"/>
      <c r="MZ962" s="89"/>
      <c r="NA962" s="89"/>
      <c r="NB962" s="89"/>
      <c r="NC962" s="89"/>
      <c r="ND962" s="89"/>
      <c r="NE962" s="89"/>
      <c r="NF962" s="89"/>
      <c r="NG962" s="89"/>
      <c r="NH962" s="89"/>
      <c r="NI962" s="152"/>
      <c r="NJ962" s="204"/>
      <c r="NK962" s="89"/>
      <c r="NL962" s="89"/>
      <c r="NM962" s="89"/>
      <c r="NN962" s="89"/>
      <c r="NO962" s="89"/>
      <c r="NP962" s="89"/>
      <c r="NQ962" s="89"/>
      <c r="NR962" s="89"/>
      <c r="NS962" s="89"/>
      <c r="NT962" s="89"/>
      <c r="NU962" s="152"/>
      <c r="NV962" s="97"/>
      <c r="NW962" s="89"/>
      <c r="NX962" s="89"/>
      <c r="NY962" s="89"/>
      <c r="NZ962" s="89"/>
      <c r="OA962" s="89"/>
      <c r="OB962" s="89"/>
      <c r="OC962" s="89"/>
      <c r="OD962" s="89"/>
      <c r="OE962" s="89"/>
      <c r="OF962" s="89"/>
      <c r="OG962" s="89"/>
      <c r="OH962" s="89"/>
      <c r="OI962" s="89"/>
      <c r="OJ962" s="89"/>
      <c r="OK962" s="89"/>
      <c r="OL962" s="89"/>
      <c r="OM962" s="89"/>
      <c r="ON962" s="89"/>
      <c r="OO962" s="89"/>
      <c r="OP962" s="89"/>
    </row>
    <row r="963" spans="1:406" ht="15.75" thickBot="1">
      <c r="A963" s="209"/>
      <c r="B963" s="2"/>
      <c r="C963" s="2"/>
      <c r="D963" s="99"/>
      <c r="E963" s="2"/>
      <c r="F963" s="152"/>
      <c r="G963" s="2"/>
      <c r="H963" s="2"/>
      <c r="I963" s="152"/>
      <c r="J963" s="152"/>
      <c r="K963" s="152"/>
      <c r="L963" s="2"/>
      <c r="M963" s="99"/>
      <c r="N963" s="2"/>
      <c r="O963" s="89"/>
      <c r="P963" s="2"/>
      <c r="Q963" s="2"/>
      <c r="R963" s="89"/>
      <c r="S963" s="89"/>
      <c r="T963" s="89"/>
      <c r="X963" s="3"/>
      <c r="AA963" s="3"/>
      <c r="AB963" s="3"/>
      <c r="AC963" s="3"/>
      <c r="AG963" s="3"/>
      <c r="AJ963" s="3"/>
      <c r="AK963" s="3"/>
      <c r="AL963" s="3"/>
      <c r="AP963" s="3"/>
      <c r="AS963" s="3"/>
      <c r="AT963" s="3"/>
      <c r="AU963" s="3"/>
      <c r="AV963" s="2"/>
      <c r="AW963" s="2"/>
      <c r="AX963" s="2"/>
      <c r="AY963" s="2"/>
      <c r="AZ963" s="2"/>
      <c r="BA963" s="2"/>
      <c r="BB963" s="2"/>
      <c r="BC963" s="2"/>
      <c r="BD963" s="2"/>
      <c r="BE963" s="2"/>
      <c r="BF963" s="2"/>
      <c r="BG963" s="2"/>
      <c r="BH963" s="2"/>
      <c r="BI963" s="2"/>
      <c r="BJ963" s="99"/>
      <c r="BK963" s="210"/>
      <c r="BL963" s="2"/>
      <c r="BM963" s="2"/>
      <c r="BN963" s="2"/>
      <c r="BO963" s="2"/>
      <c r="BP963" s="2"/>
      <c r="BQ963" s="2"/>
      <c r="BR963" s="2"/>
      <c r="BS963" s="2"/>
      <c r="BT963" s="2"/>
      <c r="BU963" s="2"/>
      <c r="BV963" s="2"/>
      <c r="EE963" s="2"/>
      <c r="EF963" s="99"/>
      <c r="EG963" s="210"/>
      <c r="EH963" s="210"/>
      <c r="EI963" s="210"/>
      <c r="EJ963" s="210"/>
      <c r="EK963" s="210"/>
      <c r="EL963" s="210"/>
      <c r="EM963" s="9"/>
      <c r="EN963" s="9"/>
      <c r="EO963" s="9"/>
      <c r="EP963" s="9"/>
      <c r="EQ963" s="9"/>
      <c r="ER963" s="9"/>
      <c r="ES963" s="9"/>
      <c r="ET963" s="9"/>
      <c r="EU963" s="9"/>
      <c r="EV963" s="9"/>
      <c r="EW963" s="9"/>
      <c r="EX963" s="9"/>
      <c r="EY963" s="9"/>
      <c r="EZ963" s="9"/>
      <c r="FA963" s="9"/>
      <c r="FB963" s="9"/>
      <c r="FC963" s="9"/>
      <c r="FD963" s="9"/>
      <c r="FE963" s="9"/>
      <c r="FF963" s="9"/>
      <c r="FG963" s="9"/>
      <c r="FH963" s="9"/>
      <c r="FI963" s="9"/>
      <c r="FJ963" s="9"/>
      <c r="FK963" s="9"/>
      <c r="FL963" s="9"/>
      <c r="FM963" s="9"/>
      <c r="FN963" s="9"/>
      <c r="FO963" s="9"/>
      <c r="FP963" s="9"/>
      <c r="FQ963" s="9"/>
      <c r="FR963" s="9"/>
      <c r="FS963" s="9"/>
      <c r="FT963" s="9"/>
      <c r="FU963" s="9"/>
      <c r="FV963" s="9"/>
      <c r="FW963" s="9"/>
      <c r="FX963" s="9"/>
      <c r="FY963" s="9"/>
      <c r="FZ963" s="9"/>
      <c r="GA963" s="9"/>
      <c r="GB963" s="9"/>
      <c r="GC963" s="9"/>
      <c r="GD963" s="9"/>
      <c r="GE963" s="9"/>
      <c r="GF963" s="9"/>
      <c r="GG963" s="9"/>
      <c r="GH963" s="9"/>
      <c r="GI963" s="9"/>
      <c r="GJ963" s="9"/>
      <c r="GK963" s="9"/>
      <c r="GL963" s="9"/>
      <c r="GM963" s="9"/>
      <c r="GN963" s="9"/>
      <c r="GO963" s="9"/>
      <c r="GP963" s="9"/>
      <c r="GQ963" s="9"/>
      <c r="GR963" s="9"/>
      <c r="GS963" s="9"/>
      <c r="GT963" s="9"/>
      <c r="GU963" s="9"/>
      <c r="GV963" s="9"/>
      <c r="GW963" s="9"/>
      <c r="GX963" s="9"/>
      <c r="GY963" s="9"/>
      <c r="GZ963" s="9"/>
      <c r="HA963" s="9"/>
      <c r="HB963" s="9"/>
      <c r="HC963" s="9"/>
      <c r="HD963" s="9"/>
      <c r="HE963" s="9"/>
      <c r="HF963" s="9"/>
      <c r="HG963" s="9"/>
      <c r="HH963" s="9"/>
      <c r="HI963" s="9"/>
      <c r="HJ963" s="9"/>
      <c r="HK963" s="9"/>
      <c r="HL963" s="2"/>
      <c r="HM963" s="2"/>
      <c r="HN963" s="2"/>
      <c r="HO963" s="2"/>
      <c r="HP963" s="2"/>
      <c r="HQ963" s="2"/>
      <c r="HR963" s="2"/>
      <c r="HS963" s="2"/>
      <c r="HT963" s="99"/>
      <c r="HU963" s="2"/>
      <c r="HV963" s="2"/>
      <c r="HW963" s="2"/>
      <c r="HX963" s="2"/>
      <c r="HY963" s="2"/>
      <c r="HZ963" s="2"/>
      <c r="IA963" s="2"/>
      <c r="IB963" s="2"/>
      <c r="IC963" s="2"/>
      <c r="ID963" s="2"/>
      <c r="IE963" s="2"/>
      <c r="IF963" s="2"/>
      <c r="IG963" s="2"/>
      <c r="IH963" s="2"/>
      <c r="II963" s="2"/>
      <c r="IJ963" s="2"/>
      <c r="IK963" s="2"/>
      <c r="IL963" s="2"/>
      <c r="IM963" s="2"/>
      <c r="IN963" s="2"/>
      <c r="IO963" s="2"/>
      <c r="IP963" s="168"/>
      <c r="IQ963" s="172"/>
      <c r="IR963" s="2"/>
      <c r="IS963" s="2"/>
      <c r="IT963" s="2"/>
      <c r="IU963" s="99"/>
      <c r="IV963" s="2"/>
      <c r="IW963" s="2"/>
      <c r="IX963" s="2"/>
      <c r="IY963" s="2"/>
      <c r="IZ963" s="2"/>
      <c r="JA963" s="2"/>
      <c r="JB963" s="2"/>
      <c r="JC963" s="2"/>
      <c r="JD963" s="2"/>
      <c r="JE963" s="2"/>
      <c r="JF963" s="2"/>
      <c r="JG963" s="2"/>
      <c r="JH963" s="2"/>
      <c r="JI963" s="2"/>
      <c r="JJ963" s="2"/>
      <c r="JK963" s="2"/>
      <c r="JL963" s="205"/>
      <c r="JM963" s="172"/>
      <c r="JN963" s="2"/>
      <c r="JO963" s="2"/>
      <c r="JP963" s="2"/>
      <c r="JQ963" s="99"/>
      <c r="JR963" s="2"/>
      <c r="JS963" s="2"/>
      <c r="JT963" s="2"/>
      <c r="JU963" s="2"/>
      <c r="JV963" s="2"/>
      <c r="JW963" s="2"/>
      <c r="JX963" s="2"/>
      <c r="JY963" s="2"/>
      <c r="JZ963" s="2"/>
      <c r="KA963" s="2"/>
      <c r="KB963" s="2"/>
      <c r="KC963" s="2"/>
      <c r="KD963" s="2"/>
      <c r="KE963" s="2"/>
      <c r="KF963" s="2"/>
      <c r="KG963" s="168"/>
      <c r="KH963" s="172"/>
      <c r="KI963" s="2"/>
      <c r="KJ963" s="2"/>
      <c r="KK963" s="2"/>
      <c r="KL963" s="2"/>
      <c r="KM963" s="2"/>
      <c r="KN963" s="2"/>
      <c r="KO963" s="168"/>
      <c r="KP963" s="172"/>
      <c r="KQ963" s="2"/>
      <c r="KR963" s="2"/>
      <c r="KS963" s="2"/>
      <c r="KT963" s="2"/>
      <c r="KU963" s="2"/>
      <c r="KV963" s="2"/>
      <c r="KW963" s="2"/>
      <c r="LB963" s="2"/>
      <c r="LC963" s="2"/>
      <c r="LD963" s="2"/>
      <c r="LE963" s="2"/>
      <c r="LF963" s="2"/>
      <c r="LG963" s="2"/>
      <c r="LH963" s="2"/>
      <c r="LI963" s="2"/>
      <c r="LJ963" s="2"/>
      <c r="LK963" s="2"/>
      <c r="LL963" s="2"/>
      <c r="LM963" s="2"/>
      <c r="LN963" s="2"/>
      <c r="LO963" s="2"/>
      <c r="LP963" s="2"/>
      <c r="LQ963" s="2"/>
      <c r="LR963" s="2"/>
      <c r="LS963" s="2"/>
      <c r="LT963" s="2"/>
      <c r="LU963" s="2"/>
      <c r="LV963" s="2"/>
      <c r="LW963" s="2"/>
      <c r="LX963" s="2"/>
      <c r="LY963" s="2"/>
      <c r="LZ963" s="2"/>
      <c r="MA963" s="2"/>
      <c r="MB963" s="2"/>
      <c r="MC963" s="2"/>
      <c r="MD963" s="2"/>
      <c r="ME963" s="2"/>
      <c r="MF963" s="2"/>
      <c r="MG963" s="2"/>
      <c r="MH963" s="2"/>
      <c r="MI963" s="2"/>
      <c r="MJ963" s="2"/>
      <c r="MK963" s="2"/>
      <c r="ML963" s="2"/>
      <c r="MM963" s="2"/>
      <c r="MN963" s="2"/>
      <c r="MO963" s="2"/>
      <c r="MP963" s="2"/>
      <c r="MQ963" s="2"/>
      <c r="MR963" s="2"/>
      <c r="MS963" s="2"/>
      <c r="MT963" s="2"/>
      <c r="MU963" s="2"/>
      <c r="MV963" s="2"/>
      <c r="MW963" s="2"/>
      <c r="MX963" s="2"/>
      <c r="MY963" s="2"/>
      <c r="MZ963" s="2"/>
      <c r="NA963" s="2"/>
      <c r="NB963" s="2"/>
      <c r="NC963" s="2"/>
      <c r="ND963" s="2"/>
      <c r="NE963" s="2"/>
      <c r="NF963" s="2"/>
      <c r="NG963" s="2"/>
      <c r="NH963" s="2"/>
      <c r="NI963" s="99"/>
      <c r="NJ963" s="208"/>
      <c r="NK963" s="2"/>
      <c r="NL963" s="2"/>
      <c r="NM963" s="2"/>
      <c r="NN963" s="2"/>
      <c r="NO963" s="2"/>
      <c r="NP963" s="2"/>
      <c r="NQ963" s="2"/>
      <c r="NR963" s="2"/>
      <c r="NS963" s="2"/>
      <c r="NT963" s="2"/>
      <c r="NU963" s="99"/>
      <c r="NV963" s="173"/>
      <c r="NW963" s="2"/>
      <c r="NX963" s="2"/>
      <c r="NY963" s="2"/>
      <c r="NZ963" s="2"/>
      <c r="OA963" s="2"/>
      <c r="OB963" s="2"/>
      <c r="OC963" s="2"/>
      <c r="OD963" s="2"/>
      <c r="OE963" s="2"/>
      <c r="OF963" s="2"/>
      <c r="OG963" s="2"/>
      <c r="OH963" s="2"/>
      <c r="OI963" s="2"/>
      <c r="OJ963" s="2"/>
      <c r="OK963" s="2"/>
      <c r="OL963" s="2"/>
      <c r="OM963" s="2"/>
      <c r="ON963" s="2"/>
      <c r="OO963" s="2"/>
      <c r="OP963" s="2"/>
    </row>
    <row r="964" spans="1:406" ht="15.75" thickBot="1">
      <c r="A964" s="207"/>
      <c r="B964" s="89"/>
      <c r="C964" s="89"/>
      <c r="D964" s="152"/>
      <c r="E964" s="89"/>
      <c r="F964" s="152"/>
      <c r="G964" s="89"/>
      <c r="H964" s="89"/>
      <c r="I964" s="152"/>
      <c r="J964" s="152"/>
      <c r="K964" s="152"/>
      <c r="L964" s="89"/>
      <c r="M964" s="152"/>
      <c r="N964" s="89"/>
      <c r="O964" s="89"/>
      <c r="P964" s="89"/>
      <c r="Q964" s="89"/>
      <c r="R964" s="89"/>
      <c r="S964" s="89"/>
      <c r="T964" s="89"/>
      <c r="X964" s="3"/>
      <c r="AA964" s="3"/>
      <c r="AB964" s="3"/>
      <c r="AC964" s="3"/>
      <c r="AG964" s="3"/>
      <c r="AJ964" s="3"/>
      <c r="AK964" s="3"/>
      <c r="AL964" s="3"/>
      <c r="AP964" s="3"/>
      <c r="AS964" s="3"/>
      <c r="AT964" s="3"/>
      <c r="AU964" s="3"/>
      <c r="AV964" s="89"/>
      <c r="AW964" s="89"/>
      <c r="AX964" s="89"/>
      <c r="AY964" s="89"/>
      <c r="AZ964" s="89"/>
      <c r="BA964" s="89"/>
      <c r="BB964" s="89"/>
      <c r="BC964" s="89"/>
      <c r="BD964" s="89"/>
      <c r="BE964" s="89"/>
      <c r="BF964" s="89"/>
      <c r="BG964" s="89"/>
      <c r="BH964" s="89"/>
      <c r="BI964" s="89"/>
      <c r="BJ964" s="152"/>
      <c r="BK964" s="175"/>
      <c r="BL964" s="89"/>
      <c r="BM964" s="89"/>
      <c r="BN964" s="89"/>
      <c r="BO964" s="89"/>
      <c r="BP964" s="89"/>
      <c r="BQ964" s="89"/>
      <c r="BR964" s="89"/>
      <c r="BS964" s="89"/>
      <c r="BT964" s="89"/>
      <c r="BU964" s="89"/>
      <c r="BV964" s="89"/>
      <c r="EE964" s="89"/>
      <c r="EF964" s="89"/>
      <c r="EG964" s="89"/>
      <c r="EH964" s="89"/>
      <c r="EI964" s="89"/>
      <c r="EJ964" s="89"/>
      <c r="EK964" s="89"/>
      <c r="EL964" s="89"/>
      <c r="EM964" s="9"/>
      <c r="EN964" s="9"/>
      <c r="EO964" s="9"/>
      <c r="EP964" s="9"/>
      <c r="EQ964" s="9"/>
      <c r="ER964" s="9"/>
      <c r="ES964" s="9"/>
      <c r="ET964" s="9"/>
      <c r="EU964" s="9"/>
      <c r="EV964" s="9"/>
      <c r="EW964" s="9"/>
      <c r="EX964" s="9"/>
      <c r="EY964" s="9"/>
      <c r="EZ964" s="9"/>
      <c r="FA964" s="9"/>
      <c r="FB964" s="9"/>
      <c r="FC964" s="9"/>
      <c r="FD964" s="9"/>
      <c r="FE964" s="9"/>
      <c r="FF964" s="9"/>
      <c r="FG964" s="9"/>
      <c r="FH964" s="9"/>
      <c r="FI964" s="9"/>
      <c r="FJ964" s="9"/>
      <c r="FK964" s="9"/>
      <c r="FL964" s="9"/>
      <c r="FM964" s="9"/>
      <c r="FN964" s="9"/>
      <c r="FO964" s="9"/>
      <c r="FP964" s="9"/>
      <c r="FQ964" s="9"/>
      <c r="FR964" s="9"/>
      <c r="FS964" s="9"/>
      <c r="FT964" s="9"/>
      <c r="FU964" s="9"/>
      <c r="FV964" s="9"/>
      <c r="FW964" s="9"/>
      <c r="FX964" s="9"/>
      <c r="FY964" s="9"/>
      <c r="FZ964" s="9"/>
      <c r="GA964" s="9"/>
      <c r="GB964" s="9"/>
      <c r="GC964" s="9"/>
      <c r="GD964" s="9"/>
      <c r="GE964" s="9"/>
      <c r="GF964" s="9"/>
      <c r="GG964" s="9"/>
      <c r="GH964" s="9"/>
      <c r="GI964" s="9"/>
      <c r="GJ964" s="9"/>
      <c r="GK964" s="9"/>
      <c r="GL964" s="9"/>
      <c r="GM964" s="9"/>
      <c r="GN964" s="9"/>
      <c r="GO964" s="9"/>
      <c r="GP964" s="9"/>
      <c r="GQ964" s="9"/>
      <c r="GR964" s="9"/>
      <c r="GS964" s="9"/>
      <c r="GT964" s="9"/>
      <c r="GU964" s="9"/>
      <c r="GV964" s="9"/>
      <c r="GW964" s="9"/>
      <c r="GX964" s="9"/>
      <c r="GY964" s="9"/>
      <c r="GZ964" s="9"/>
      <c r="HA964" s="9"/>
      <c r="HB964" s="9"/>
      <c r="HC964" s="9"/>
      <c r="HD964" s="9"/>
      <c r="HE964" s="9"/>
      <c r="HF964" s="9"/>
      <c r="HG964" s="9"/>
      <c r="HH964" s="9"/>
      <c r="HI964" s="9"/>
      <c r="HJ964" s="9"/>
      <c r="HK964" s="9"/>
      <c r="HL964" s="89"/>
      <c r="HM964" s="89"/>
      <c r="HN964" s="89"/>
      <c r="HO964" s="89"/>
      <c r="HP964" s="89"/>
      <c r="HQ964" s="89"/>
      <c r="HR964" s="89"/>
      <c r="HS964" s="89"/>
      <c r="HT964" s="152"/>
      <c r="HU964" s="89"/>
      <c r="HV964" s="89"/>
      <c r="HW964" s="89"/>
      <c r="HX964" s="89"/>
      <c r="HY964" s="89"/>
      <c r="HZ964" s="89"/>
      <c r="IA964" s="89"/>
      <c r="IB964" s="89"/>
      <c r="IC964" s="89"/>
      <c r="ID964" s="89"/>
      <c r="IE964" s="89"/>
      <c r="IF964" s="89"/>
      <c r="IG964" s="89"/>
      <c r="IH964" s="89"/>
      <c r="II964" s="89"/>
      <c r="IJ964" s="89"/>
      <c r="IK964" s="89"/>
      <c r="IL964" s="89"/>
      <c r="IM964" s="89"/>
      <c r="IN964" s="89"/>
      <c r="IO964" s="89"/>
      <c r="IP964" s="157"/>
      <c r="IQ964" s="178"/>
      <c r="IR964" s="89"/>
      <c r="IS964" s="89"/>
      <c r="IT964" s="89"/>
      <c r="IU964" s="152"/>
      <c r="IV964" s="89"/>
      <c r="IW964" s="89"/>
      <c r="IX964" s="89"/>
      <c r="IY964" s="89"/>
      <c r="IZ964" s="89"/>
      <c r="JA964" s="89"/>
      <c r="JB964" s="89"/>
      <c r="JC964" s="89"/>
      <c r="JD964" s="89"/>
      <c r="JE964" s="89"/>
      <c r="JF964" s="89"/>
      <c r="JG964" s="89"/>
      <c r="JH964" s="89"/>
      <c r="JI964" s="89"/>
      <c r="JJ964" s="89"/>
      <c r="JK964" s="89"/>
      <c r="JL964" s="205"/>
      <c r="JM964" s="178"/>
      <c r="JN964" s="2"/>
      <c r="JO964" s="89"/>
      <c r="JP964" s="89"/>
      <c r="JQ964" s="152"/>
      <c r="JR964" s="89"/>
      <c r="JS964" s="89"/>
      <c r="JT964" s="89"/>
      <c r="JU964" s="89"/>
      <c r="JV964" s="89"/>
      <c r="JW964" s="89"/>
      <c r="JX964" s="89"/>
      <c r="JY964" s="89"/>
      <c r="JZ964" s="89"/>
      <c r="KA964" s="89"/>
      <c r="KB964" s="89"/>
      <c r="KC964" s="89"/>
      <c r="KD964" s="89"/>
      <c r="KE964" s="89"/>
      <c r="KF964" s="89"/>
      <c r="KG964" s="157"/>
      <c r="KH964" s="178"/>
      <c r="KI964" s="89"/>
      <c r="KJ964" s="89"/>
      <c r="KK964" s="89"/>
      <c r="KL964" s="89"/>
      <c r="KM964" s="89"/>
      <c r="KN964" s="89"/>
      <c r="KO964" s="157"/>
      <c r="KP964" s="178"/>
      <c r="KQ964" s="89"/>
      <c r="KR964" s="89"/>
      <c r="KS964" s="89"/>
      <c r="KT964" s="89"/>
      <c r="KU964" s="89"/>
      <c r="KV964" s="89"/>
      <c r="KW964" s="89"/>
      <c r="LB964" s="89"/>
      <c r="LC964" s="89"/>
      <c r="LD964" s="89"/>
      <c r="LE964" s="89"/>
      <c r="LF964" s="89"/>
      <c r="LG964" s="89"/>
      <c r="LH964" s="89"/>
      <c r="LI964" s="89"/>
      <c r="LJ964" s="89"/>
      <c r="LK964" s="89"/>
      <c r="LL964" s="89"/>
      <c r="LM964" s="89"/>
      <c r="LN964" s="89"/>
      <c r="LO964" s="89"/>
      <c r="LP964" s="89"/>
      <c r="LQ964" s="89"/>
      <c r="LR964" s="89"/>
      <c r="LS964" s="89"/>
      <c r="LT964" s="89"/>
      <c r="LU964" s="89"/>
      <c r="LV964" s="89"/>
      <c r="LW964" s="89"/>
      <c r="LX964" s="89"/>
      <c r="LY964" s="89"/>
      <c r="LZ964" s="89"/>
      <c r="MA964" s="89"/>
      <c r="MB964" s="89"/>
      <c r="MC964" s="89"/>
      <c r="MD964" s="89"/>
      <c r="ME964" s="89"/>
      <c r="MF964" s="89"/>
      <c r="MG964" s="89"/>
      <c r="MH964" s="89"/>
      <c r="MI964" s="89"/>
      <c r="MJ964" s="89"/>
      <c r="MK964" s="89"/>
      <c r="ML964" s="89"/>
      <c r="MM964" s="89"/>
      <c r="MN964" s="89"/>
      <c r="MO964" s="89"/>
      <c r="MP964" s="89"/>
      <c r="MQ964" s="89"/>
      <c r="MR964" s="89"/>
      <c r="MS964" s="89"/>
      <c r="MT964" s="89"/>
      <c r="MU964" s="89"/>
      <c r="MV964" s="89"/>
      <c r="MW964" s="89"/>
      <c r="MX964" s="89"/>
      <c r="MY964" s="89"/>
      <c r="MZ964" s="89"/>
      <c r="NA964" s="89"/>
      <c r="NB964" s="89"/>
      <c r="NC964" s="89"/>
      <c r="ND964" s="89"/>
      <c r="NE964" s="89"/>
      <c r="NF964" s="89"/>
      <c r="NG964" s="89"/>
      <c r="NH964" s="89"/>
      <c r="NI964" s="152"/>
      <c r="NJ964" s="204"/>
      <c r="NK964" s="89"/>
      <c r="NL964" s="89"/>
      <c r="NM964" s="89"/>
      <c r="NN964" s="89"/>
      <c r="NO964" s="89"/>
      <c r="NP964" s="89"/>
      <c r="NQ964" s="89"/>
      <c r="NR964" s="89"/>
      <c r="NS964" s="89"/>
      <c r="NT964" s="89"/>
      <c r="NU964" s="152"/>
      <c r="NV964" s="97"/>
      <c r="NW964" s="89"/>
      <c r="NX964" s="89"/>
      <c r="NY964" s="89"/>
      <c r="NZ964" s="89"/>
      <c r="OA964" s="89"/>
      <c r="OB964" s="89"/>
      <c r="OC964" s="89"/>
      <c r="OD964" s="89"/>
      <c r="OE964" s="89"/>
      <c r="OF964" s="89"/>
      <c r="OG964" s="89"/>
      <c r="OH964" s="89"/>
      <c r="OI964" s="89"/>
      <c r="OJ964" s="89"/>
      <c r="OK964" s="89"/>
      <c r="OL964" s="89"/>
      <c r="OM964" s="89"/>
      <c r="ON964" s="89"/>
      <c r="OO964" s="89"/>
      <c r="OP964" s="89"/>
    </row>
    <row r="965" spans="1:406" ht="15.75" thickBot="1">
      <c r="A965" s="209"/>
      <c r="B965" s="2"/>
      <c r="C965" s="2"/>
      <c r="D965" s="99"/>
      <c r="E965" s="2"/>
      <c r="F965" s="152"/>
      <c r="G965" s="2"/>
      <c r="H965" s="2"/>
      <c r="I965" s="152"/>
      <c r="J965" s="152"/>
      <c r="K965" s="152"/>
      <c r="L965" s="2"/>
      <c r="M965" s="99"/>
      <c r="N965" s="2"/>
      <c r="O965" s="89"/>
      <c r="P965" s="2"/>
      <c r="Q965" s="2"/>
      <c r="R965" s="89"/>
      <c r="S965" s="89"/>
      <c r="T965" s="89"/>
      <c r="X965" s="3"/>
      <c r="AA965" s="3"/>
      <c r="AB965" s="3"/>
      <c r="AC965" s="3"/>
      <c r="AG965" s="3"/>
      <c r="AJ965" s="3"/>
      <c r="AK965" s="3"/>
      <c r="AL965" s="3"/>
      <c r="AP965" s="3"/>
      <c r="AS965" s="3"/>
      <c r="AT965" s="3"/>
      <c r="AU965" s="3"/>
      <c r="AV965" s="2"/>
      <c r="AW965" s="2"/>
      <c r="AX965" s="2"/>
      <c r="AY965" s="2"/>
      <c r="AZ965" s="2"/>
      <c r="BA965" s="2"/>
      <c r="BB965" s="2"/>
      <c r="BC965" s="2"/>
      <c r="BD965" s="2"/>
      <c r="BE965" s="2"/>
      <c r="BF965" s="2"/>
      <c r="BG965" s="2"/>
      <c r="BH965" s="2"/>
      <c r="BI965" s="2"/>
      <c r="BJ965" s="99"/>
      <c r="BK965" s="210"/>
      <c r="BL965" s="2"/>
      <c r="BM965" s="2"/>
      <c r="BN965" s="2"/>
      <c r="BO965" s="2"/>
      <c r="BP965" s="2"/>
      <c r="BQ965" s="2"/>
      <c r="BR965" s="2"/>
      <c r="BS965" s="2"/>
      <c r="BT965" s="2"/>
      <c r="BU965" s="2"/>
      <c r="BV965" s="2"/>
      <c r="EE965" s="2"/>
      <c r="EF965" s="2"/>
      <c r="EG965" s="2"/>
      <c r="EH965" s="2"/>
      <c r="EI965" s="2"/>
      <c r="EJ965" s="2"/>
      <c r="EK965" s="2"/>
      <c r="EL965" s="2"/>
      <c r="EM965" s="9"/>
      <c r="EN965" s="9"/>
      <c r="EO965" s="9"/>
      <c r="EP965" s="9"/>
      <c r="EQ965" s="9"/>
      <c r="ER965" s="9"/>
      <c r="ES965" s="9"/>
      <c r="ET965" s="9"/>
      <c r="EU965" s="9"/>
      <c r="EV965" s="9"/>
      <c r="EW965" s="9"/>
      <c r="EX965" s="9"/>
      <c r="EY965" s="9"/>
      <c r="EZ965" s="9"/>
      <c r="FA965" s="9"/>
      <c r="FB965" s="9"/>
      <c r="FC965" s="9"/>
      <c r="FD965" s="9"/>
      <c r="FE965" s="9"/>
      <c r="FF965" s="9"/>
      <c r="FG965" s="9"/>
      <c r="FH965" s="9"/>
      <c r="FI965" s="9"/>
      <c r="FJ965" s="9"/>
      <c r="FK965" s="9"/>
      <c r="FL965" s="9"/>
      <c r="FM965" s="9"/>
      <c r="FN965" s="9"/>
      <c r="FO965" s="9"/>
      <c r="FP965" s="9"/>
      <c r="FQ965" s="9"/>
      <c r="FR965" s="9"/>
      <c r="FS965" s="9"/>
      <c r="FT965" s="9"/>
      <c r="FU965" s="9"/>
      <c r="FV965" s="9"/>
      <c r="FW965" s="9"/>
      <c r="FX965" s="9"/>
      <c r="FY965" s="9"/>
      <c r="FZ965" s="9"/>
      <c r="GA965" s="9"/>
      <c r="GB965" s="9"/>
      <c r="GC965" s="9"/>
      <c r="GD965" s="9"/>
      <c r="GE965" s="9"/>
      <c r="GF965" s="9"/>
      <c r="GG965" s="9"/>
      <c r="GH965" s="9"/>
      <c r="GI965" s="9"/>
      <c r="GJ965" s="9"/>
      <c r="GK965" s="9"/>
      <c r="GL965" s="9"/>
      <c r="GM965" s="9"/>
      <c r="GN965" s="9"/>
      <c r="GO965" s="9"/>
      <c r="GP965" s="9"/>
      <c r="GQ965" s="9"/>
      <c r="GR965" s="9"/>
      <c r="GS965" s="9"/>
      <c r="GT965" s="9"/>
      <c r="GU965" s="9"/>
      <c r="GV965" s="9"/>
      <c r="GW965" s="9"/>
      <c r="GX965" s="9"/>
      <c r="GY965" s="9"/>
      <c r="GZ965" s="9"/>
      <c r="HA965" s="9"/>
      <c r="HB965" s="9"/>
      <c r="HC965" s="9"/>
      <c r="HD965" s="9"/>
      <c r="HE965" s="9"/>
      <c r="HF965" s="9"/>
      <c r="HG965" s="9"/>
      <c r="HH965" s="9"/>
      <c r="HI965" s="9"/>
      <c r="HJ965" s="9"/>
      <c r="HK965" s="9"/>
      <c r="HL965" s="2"/>
      <c r="HM965" s="2"/>
      <c r="HN965" s="2"/>
      <c r="HO965" s="2"/>
      <c r="HP965" s="2"/>
      <c r="HQ965" s="2"/>
      <c r="HR965" s="2"/>
      <c r="HS965" s="2"/>
      <c r="HT965" s="99"/>
      <c r="HU965" s="2"/>
      <c r="HV965" s="2"/>
      <c r="HW965" s="2"/>
      <c r="HX965" s="2"/>
      <c r="HY965" s="2"/>
      <c r="HZ965" s="2"/>
      <c r="IA965" s="2"/>
      <c r="IB965" s="2"/>
      <c r="IC965" s="2"/>
      <c r="ID965" s="2"/>
      <c r="IE965" s="2"/>
      <c r="IF965" s="2"/>
      <c r="IG965" s="2"/>
      <c r="IH965" s="2"/>
      <c r="II965" s="2"/>
      <c r="IJ965" s="2"/>
      <c r="IK965" s="2"/>
      <c r="IL965" s="2"/>
      <c r="IM965" s="2"/>
      <c r="IN965" s="2"/>
      <c r="IO965" s="2"/>
      <c r="IP965" s="168"/>
      <c r="IQ965" s="172"/>
      <c r="IR965" s="2"/>
      <c r="IS965" s="2"/>
      <c r="IT965" s="2"/>
      <c r="IU965" s="99"/>
      <c r="IV965" s="2"/>
      <c r="IW965" s="2"/>
      <c r="IX965" s="2"/>
      <c r="IY965" s="2"/>
      <c r="IZ965" s="2"/>
      <c r="JA965" s="2"/>
      <c r="JB965" s="2"/>
      <c r="JC965" s="2"/>
      <c r="JD965" s="2"/>
      <c r="JE965" s="2"/>
      <c r="JF965" s="2"/>
      <c r="JG965" s="2"/>
      <c r="JH965" s="2"/>
      <c r="JI965" s="2"/>
      <c r="JJ965" s="2"/>
      <c r="JK965" s="2"/>
      <c r="JL965" s="212"/>
      <c r="JM965" s="171"/>
      <c r="JN965" s="2"/>
      <c r="JO965" s="2"/>
      <c r="JP965" s="2"/>
      <c r="JQ965" s="99"/>
      <c r="JR965" s="2"/>
      <c r="JS965" s="2"/>
      <c r="JT965" s="2"/>
      <c r="JU965" s="2"/>
      <c r="JV965" s="2"/>
      <c r="JW965" s="2"/>
      <c r="JX965" s="2"/>
      <c r="JY965" s="2"/>
      <c r="JZ965" s="2"/>
      <c r="KA965" s="2"/>
      <c r="KB965" s="2"/>
      <c r="KC965" s="2"/>
      <c r="KD965" s="2"/>
      <c r="KE965" s="2"/>
      <c r="KF965" s="2"/>
      <c r="KG965" s="168"/>
      <c r="KH965" s="172"/>
      <c r="KI965" s="2"/>
      <c r="KJ965" s="2"/>
      <c r="KK965" s="2"/>
      <c r="KL965" s="2"/>
      <c r="KM965" s="2"/>
      <c r="KN965" s="2"/>
      <c r="KO965" s="168"/>
      <c r="KP965" s="172"/>
      <c r="KQ965" s="2"/>
      <c r="KR965" s="2"/>
      <c r="KS965" s="2"/>
      <c r="KT965" s="2"/>
      <c r="KU965" s="2"/>
      <c r="KV965" s="2"/>
      <c r="KW965" s="2"/>
      <c r="LB965" s="2"/>
      <c r="LC965" s="2"/>
      <c r="LD965" s="2"/>
      <c r="LE965" s="2"/>
      <c r="LF965" s="2"/>
      <c r="LG965" s="2"/>
      <c r="LH965" s="2"/>
      <c r="LI965" s="2"/>
      <c r="LJ965" s="2"/>
      <c r="LK965" s="2"/>
      <c r="LL965" s="2"/>
      <c r="LM965" s="2"/>
      <c r="LN965" s="2"/>
      <c r="LO965" s="2"/>
      <c r="LP965" s="2"/>
      <c r="LQ965" s="2"/>
      <c r="LR965" s="2"/>
      <c r="LS965" s="2"/>
      <c r="LT965" s="2"/>
      <c r="LU965" s="2"/>
      <c r="LV965" s="2"/>
      <c r="LW965" s="2"/>
      <c r="LX965" s="2"/>
      <c r="LY965" s="2"/>
      <c r="LZ965" s="2"/>
      <c r="MA965" s="2"/>
      <c r="MB965" s="2"/>
      <c r="MC965" s="2"/>
      <c r="MD965" s="2"/>
      <c r="ME965" s="2"/>
      <c r="MF965" s="2"/>
      <c r="MG965" s="2"/>
      <c r="MH965" s="2"/>
      <c r="MI965" s="2"/>
      <c r="MJ965" s="2"/>
      <c r="MK965" s="2"/>
      <c r="ML965" s="2"/>
      <c r="MM965" s="2"/>
      <c r="MN965" s="2"/>
      <c r="MO965" s="2"/>
      <c r="MP965" s="2"/>
      <c r="MQ965" s="2"/>
      <c r="MR965" s="2"/>
      <c r="MS965" s="2"/>
      <c r="MT965" s="2"/>
      <c r="MU965" s="2"/>
      <c r="MV965" s="2"/>
      <c r="MW965" s="2"/>
      <c r="MX965" s="2"/>
      <c r="MY965" s="2"/>
      <c r="MZ965" s="2"/>
      <c r="NA965" s="2"/>
      <c r="NB965" s="2"/>
      <c r="NC965" s="2"/>
      <c r="ND965" s="2"/>
      <c r="NE965" s="2"/>
      <c r="NF965" s="2"/>
      <c r="NG965" s="2"/>
      <c r="NH965" s="2"/>
      <c r="NI965" s="99"/>
      <c r="NJ965" s="208"/>
      <c r="NK965" s="2"/>
      <c r="NL965" s="2"/>
      <c r="NM965" s="2"/>
      <c r="NN965" s="2"/>
      <c r="NO965" s="2"/>
      <c r="NP965" s="2"/>
      <c r="NQ965" s="2"/>
      <c r="NR965" s="2"/>
      <c r="NS965" s="2"/>
      <c r="NT965" s="2"/>
      <c r="NU965" s="99"/>
      <c r="NV965" s="173"/>
      <c r="NW965" s="2"/>
      <c r="NX965" s="2"/>
      <c r="NY965" s="2"/>
      <c r="NZ965" s="2"/>
      <c r="OA965" s="2"/>
      <c r="OB965" s="2"/>
      <c r="OC965" s="2"/>
      <c r="OD965" s="2"/>
      <c r="OE965" s="2"/>
      <c r="OF965" s="2"/>
      <c r="OG965" s="2"/>
      <c r="OH965" s="2"/>
      <c r="OI965" s="2"/>
      <c r="OJ965" s="2"/>
      <c r="OK965" s="2"/>
      <c r="OL965" s="2"/>
      <c r="OM965" s="2"/>
      <c r="ON965" s="2"/>
      <c r="OO965" s="2"/>
      <c r="OP965" s="2"/>
    </row>
    <row r="966" spans="1:406" ht="15.75" thickBot="1">
      <c r="A966" s="207"/>
      <c r="B966" s="89"/>
      <c r="C966" s="89"/>
      <c r="D966" s="152"/>
      <c r="E966" s="89"/>
      <c r="F966" s="152"/>
      <c r="G966" s="89"/>
      <c r="H966" s="89"/>
      <c r="I966" s="152"/>
      <c r="J966" s="152"/>
      <c r="K966" s="152"/>
      <c r="L966" s="89"/>
      <c r="M966" s="152"/>
      <c r="N966" s="89"/>
      <c r="O966" s="89"/>
      <c r="P966" s="89"/>
      <c r="Q966" s="89"/>
      <c r="R966" s="89"/>
      <c r="S966" s="89"/>
      <c r="T966" s="89"/>
      <c r="X966" s="3"/>
      <c r="AA966" s="3"/>
      <c r="AB966" s="3"/>
      <c r="AC966" s="3"/>
      <c r="AG966" s="3"/>
      <c r="AJ966" s="3"/>
      <c r="AK966" s="3"/>
      <c r="AL966" s="3"/>
      <c r="AP966" s="3"/>
      <c r="AS966" s="3"/>
      <c r="AT966" s="3"/>
      <c r="AU966" s="3"/>
      <c r="AV966" s="89"/>
      <c r="AW966" s="89"/>
      <c r="AX966" s="89"/>
      <c r="AY966" s="89"/>
      <c r="AZ966" s="89"/>
      <c r="BA966" s="89"/>
      <c r="BB966" s="89"/>
      <c r="BC966" s="89"/>
      <c r="BD966" s="89"/>
      <c r="BE966" s="89"/>
      <c r="BF966" s="89"/>
      <c r="BG966" s="89"/>
      <c r="BH966" s="89"/>
      <c r="BI966" s="89"/>
      <c r="BJ966" s="152"/>
      <c r="BK966" s="175"/>
      <c r="BL966" s="89"/>
      <c r="BM966" s="89"/>
      <c r="BN966" s="89"/>
      <c r="BO966" s="89"/>
      <c r="BP966" s="89"/>
      <c r="BQ966" s="89"/>
      <c r="BR966" s="89"/>
      <c r="BS966" s="89"/>
      <c r="BT966" s="89"/>
      <c r="BU966" s="89"/>
      <c r="BV966" s="89"/>
      <c r="EE966" s="89"/>
      <c r="EF966" s="152"/>
      <c r="EG966" s="175"/>
      <c r="EH966" s="175"/>
      <c r="EI966" s="175"/>
      <c r="EJ966" s="175"/>
      <c r="EK966" s="175"/>
      <c r="EL966" s="175"/>
      <c r="HL966" s="89"/>
      <c r="HM966" s="89"/>
      <c r="HN966" s="89"/>
      <c r="HO966" s="89"/>
      <c r="HP966" s="89"/>
      <c r="HQ966" s="89"/>
      <c r="HR966" s="89"/>
      <c r="HS966" s="89"/>
      <c r="HT966" s="152"/>
      <c r="HU966" s="89"/>
      <c r="HV966" s="89"/>
      <c r="HW966" s="89"/>
      <c r="HX966" s="89"/>
      <c r="HY966" s="89"/>
      <c r="HZ966" s="89"/>
      <c r="IA966" s="89"/>
      <c r="IB966" s="89"/>
      <c r="IC966" s="89"/>
      <c r="ID966" s="89"/>
      <c r="IE966" s="89"/>
      <c r="IF966" s="89"/>
      <c r="IG966" s="89"/>
      <c r="IH966" s="89"/>
      <c r="II966" s="89"/>
      <c r="IJ966" s="89"/>
      <c r="IK966" s="89"/>
      <c r="IL966" s="89"/>
      <c r="IM966" s="89"/>
      <c r="IN966" s="152"/>
      <c r="IO966" s="89"/>
      <c r="IP966" s="157"/>
      <c r="IQ966" s="178"/>
      <c r="IR966" s="89"/>
      <c r="IS966" s="89"/>
      <c r="IT966" s="89"/>
      <c r="IU966" s="152"/>
      <c r="IV966" s="89"/>
      <c r="IW966" s="206"/>
      <c r="IX966" s="178"/>
      <c r="IY966" s="89"/>
      <c r="IZ966" s="89"/>
      <c r="JA966" s="89"/>
      <c r="JB966" s="89"/>
      <c r="JC966" s="89"/>
      <c r="JD966" s="89"/>
      <c r="JE966" s="89"/>
      <c r="JF966" s="89"/>
      <c r="JG966" s="89"/>
      <c r="JH966" s="89"/>
      <c r="JI966" s="89"/>
      <c r="JJ966" s="89"/>
      <c r="JK966" s="89"/>
      <c r="JL966" s="205"/>
      <c r="JM966" s="178"/>
      <c r="JN966" s="2"/>
      <c r="JO966" s="89"/>
      <c r="JP966" s="89"/>
      <c r="JQ966" s="152"/>
      <c r="JR966" s="89"/>
      <c r="JS966" s="89"/>
      <c r="JT966" s="89"/>
      <c r="JU966" s="89"/>
      <c r="JV966" s="89"/>
      <c r="JW966" s="89"/>
      <c r="JX966" s="89"/>
      <c r="JY966" s="89"/>
      <c r="JZ966" s="89"/>
      <c r="KA966" s="89"/>
      <c r="KB966" s="89"/>
      <c r="KC966" s="89"/>
      <c r="KD966" s="89"/>
      <c r="KE966" s="89"/>
      <c r="KF966" s="89"/>
      <c r="KG966" s="157"/>
      <c r="KH966" s="178"/>
      <c r="KI966" s="89"/>
      <c r="KJ966" s="89"/>
      <c r="KK966" s="89"/>
      <c r="KL966" s="89"/>
      <c r="KM966" s="89"/>
      <c r="KN966" s="89"/>
      <c r="KO966" s="182"/>
      <c r="KP966" s="159"/>
      <c r="KQ966" s="89"/>
      <c r="KR966" s="89"/>
      <c r="KS966" s="89"/>
      <c r="KT966" s="89"/>
      <c r="KU966" s="89"/>
      <c r="KV966" s="89"/>
      <c r="KW966" s="89"/>
      <c r="LB966" s="89"/>
      <c r="LC966" s="89"/>
      <c r="LD966" s="89"/>
      <c r="LE966" s="89"/>
      <c r="LF966" s="89"/>
      <c r="LG966" s="89"/>
      <c r="LH966" s="89"/>
      <c r="LI966" s="89"/>
      <c r="LJ966" s="89"/>
      <c r="LK966" s="89"/>
      <c r="LL966" s="89"/>
      <c r="LM966" s="89"/>
      <c r="LN966" s="89"/>
      <c r="LO966" s="89"/>
      <c r="LP966" s="89"/>
      <c r="LQ966" s="89"/>
      <c r="LR966" s="89"/>
      <c r="LS966" s="89"/>
      <c r="LT966" s="89"/>
      <c r="LU966" s="89"/>
      <c r="LV966" s="89"/>
      <c r="LW966" s="89"/>
      <c r="LX966" s="89"/>
      <c r="LY966" s="89"/>
      <c r="LZ966" s="89"/>
      <c r="MA966" s="89"/>
      <c r="MB966" s="89"/>
      <c r="MC966" s="89"/>
      <c r="MD966" s="89"/>
      <c r="ME966" s="89"/>
      <c r="MF966" s="89"/>
      <c r="MG966" s="89"/>
      <c r="MH966" s="89"/>
      <c r="MI966" s="89"/>
      <c r="MJ966" s="89"/>
      <c r="MK966" s="89"/>
      <c r="ML966" s="89"/>
      <c r="MM966" s="89"/>
      <c r="MN966" s="89"/>
      <c r="MO966" s="89"/>
      <c r="MP966" s="89"/>
      <c r="MQ966" s="89"/>
      <c r="MR966" s="89"/>
      <c r="MS966" s="89"/>
      <c r="MT966" s="89"/>
      <c r="MU966" s="89"/>
      <c r="MV966" s="89"/>
      <c r="MW966" s="89"/>
      <c r="MX966" s="89"/>
      <c r="MY966" s="89"/>
      <c r="MZ966" s="89"/>
      <c r="NA966" s="89"/>
      <c r="NB966" s="89"/>
      <c r="NC966" s="89"/>
      <c r="ND966" s="89"/>
      <c r="NE966" s="89"/>
      <c r="NF966" s="89"/>
      <c r="NG966" s="89"/>
      <c r="NH966" s="89"/>
      <c r="NI966" s="152"/>
      <c r="NJ966" s="204"/>
      <c r="NK966" s="89"/>
      <c r="NL966" s="89"/>
      <c r="NM966" s="89"/>
      <c r="NN966" s="89"/>
      <c r="NO966" s="89"/>
      <c r="NP966" s="89"/>
      <c r="NQ966" s="89"/>
      <c r="NR966" s="89"/>
      <c r="NS966" s="89"/>
      <c r="NT966" s="89"/>
      <c r="NU966" s="152"/>
      <c r="NV966" s="97"/>
      <c r="NW966" s="89"/>
      <c r="NX966" s="89"/>
      <c r="NY966" s="89"/>
      <c r="NZ966" s="89"/>
      <c r="OA966" s="89"/>
      <c r="OB966" s="89"/>
      <c r="OC966" s="89"/>
      <c r="OD966" s="89"/>
      <c r="OE966" s="89"/>
      <c r="OF966" s="89"/>
      <c r="OG966" s="89"/>
      <c r="OH966" s="89"/>
      <c r="OI966" s="89"/>
      <c r="OJ966" s="89"/>
      <c r="OK966" s="89"/>
      <c r="OL966" s="89"/>
      <c r="OM966" s="89"/>
      <c r="ON966" s="89"/>
      <c r="OO966" s="89"/>
      <c r="OP966" s="89"/>
    </row>
    <row r="967" spans="1:406" ht="15.75" thickBot="1">
      <c r="A967" s="209"/>
      <c r="B967" s="2"/>
      <c r="C967" s="2"/>
      <c r="D967" s="99"/>
      <c r="E967" s="2"/>
      <c r="F967" s="152"/>
      <c r="G967" s="2"/>
      <c r="H967" s="2"/>
      <c r="I967" s="152"/>
      <c r="J967" s="152"/>
      <c r="K967" s="152"/>
      <c r="L967" s="2"/>
      <c r="M967" s="99"/>
      <c r="N967" s="2"/>
      <c r="O967" s="89"/>
      <c r="P967" s="2"/>
      <c r="Q967" s="2"/>
      <c r="R967" s="89"/>
      <c r="S967" s="89"/>
      <c r="T967" s="89"/>
      <c r="X967" s="3"/>
      <c r="AA967" s="3"/>
      <c r="AB967" s="3"/>
      <c r="AC967" s="3"/>
      <c r="AG967" s="3"/>
      <c r="AJ967" s="3"/>
      <c r="AK967" s="3"/>
      <c r="AL967" s="3"/>
      <c r="AP967" s="3"/>
      <c r="AS967" s="3"/>
      <c r="AT967" s="3"/>
      <c r="AU967" s="3"/>
      <c r="AV967" s="2"/>
      <c r="AW967" s="2"/>
      <c r="AX967" s="2"/>
      <c r="AY967" s="2"/>
      <c r="AZ967" s="2"/>
      <c r="BA967" s="2"/>
      <c r="BB967" s="2"/>
      <c r="BC967" s="2"/>
      <c r="BD967" s="2"/>
      <c r="BE967" s="2"/>
      <c r="BF967" s="2"/>
      <c r="BG967" s="2"/>
      <c r="BH967" s="2"/>
      <c r="BI967" s="2"/>
      <c r="BJ967" s="99"/>
      <c r="BK967" s="210"/>
      <c r="BL967" s="2"/>
      <c r="BM967" s="2"/>
      <c r="BN967" s="2"/>
      <c r="BO967" s="2"/>
      <c r="BP967" s="2"/>
      <c r="BQ967" s="2"/>
      <c r="BR967" s="2"/>
      <c r="BS967" s="2"/>
      <c r="BT967" s="2"/>
      <c r="BU967" s="2"/>
      <c r="BV967" s="2"/>
      <c r="EE967" s="2"/>
      <c r="EF967" s="99"/>
      <c r="EG967" s="210"/>
      <c r="EH967" s="210"/>
      <c r="EI967" s="210"/>
      <c r="EJ967" s="210"/>
      <c r="EK967" s="210"/>
      <c r="EL967" s="210"/>
      <c r="HL967" s="2"/>
      <c r="HM967" s="2"/>
      <c r="HN967" s="2"/>
      <c r="HO967" s="2"/>
      <c r="HP967" s="2"/>
      <c r="HQ967" s="2"/>
      <c r="HR967" s="2"/>
      <c r="HS967" s="2"/>
      <c r="HT967" s="99"/>
      <c r="HU967" s="2"/>
      <c r="HV967" s="2"/>
      <c r="HW967" s="2"/>
      <c r="HX967" s="2"/>
      <c r="HY967" s="2"/>
      <c r="HZ967" s="2"/>
      <c r="IA967" s="2"/>
      <c r="IB967" s="2"/>
      <c r="IC967" s="2"/>
      <c r="ID967" s="2"/>
      <c r="IE967" s="2"/>
      <c r="IF967" s="2"/>
      <c r="IG967" s="2"/>
      <c r="IH967" s="2"/>
      <c r="II967" s="2"/>
      <c r="IJ967" s="2"/>
      <c r="IK967" s="2"/>
      <c r="IL967" s="2"/>
      <c r="IM967" s="2"/>
      <c r="IN967" s="99"/>
      <c r="IO967" s="2"/>
      <c r="IP967" s="168"/>
      <c r="IQ967" s="172"/>
      <c r="IR967" s="2"/>
      <c r="IS967" s="2"/>
      <c r="IT967" s="2"/>
      <c r="IU967" s="99"/>
      <c r="IV967" s="2"/>
      <c r="IW967" s="211"/>
      <c r="IX967" s="172"/>
      <c r="IY967" s="2"/>
      <c r="IZ967" s="2"/>
      <c r="JA967" s="2"/>
      <c r="JB967" s="2"/>
      <c r="JC967" s="2"/>
      <c r="JD967" s="2"/>
      <c r="JE967" s="2"/>
      <c r="JF967" s="2"/>
      <c r="JG967" s="2"/>
      <c r="JH967" s="2"/>
      <c r="JI967" s="2"/>
      <c r="JJ967" s="2"/>
      <c r="JK967" s="2"/>
      <c r="JL967" s="205"/>
      <c r="JM967" s="172"/>
      <c r="JN967" s="2"/>
      <c r="JO967" s="2"/>
      <c r="JP967" s="2"/>
      <c r="JQ967" s="99"/>
      <c r="JR967" s="2"/>
      <c r="JS967" s="2"/>
      <c r="JT967" s="2"/>
      <c r="JU967" s="2"/>
      <c r="JV967" s="2"/>
      <c r="JW967" s="2"/>
      <c r="JX967" s="2"/>
      <c r="JY967" s="2"/>
      <c r="JZ967" s="2"/>
      <c r="KA967" s="2"/>
      <c r="KB967" s="2"/>
      <c r="KC967" s="2"/>
      <c r="KD967" s="2"/>
      <c r="KE967" s="2"/>
      <c r="KF967" s="2"/>
      <c r="KG967" s="168"/>
      <c r="KH967" s="172"/>
      <c r="KI967" s="2"/>
      <c r="KJ967" s="2"/>
      <c r="KK967" s="2"/>
      <c r="KL967" s="2"/>
      <c r="KM967" s="2"/>
      <c r="KN967" s="2"/>
      <c r="KO967" s="182"/>
      <c r="KP967" s="171"/>
      <c r="KQ967" s="2"/>
      <c r="KR967" s="2"/>
      <c r="KS967" s="2"/>
      <c r="KT967" s="2"/>
      <c r="KU967" s="2"/>
      <c r="KV967" s="2"/>
      <c r="KW967" s="2"/>
      <c r="LB967" s="2"/>
      <c r="LC967" s="2"/>
      <c r="LD967" s="2"/>
      <c r="LE967" s="2"/>
      <c r="LF967" s="2"/>
      <c r="LG967" s="2"/>
      <c r="LH967" s="2"/>
      <c r="LI967" s="2"/>
      <c r="LJ967" s="2"/>
      <c r="LK967" s="2"/>
      <c r="LL967" s="2"/>
      <c r="LM967" s="2"/>
      <c r="LN967" s="2"/>
      <c r="LO967" s="2"/>
      <c r="LP967" s="2"/>
      <c r="LQ967" s="2"/>
      <c r="LR967" s="2"/>
      <c r="LS967" s="2"/>
      <c r="LT967" s="2"/>
      <c r="LU967" s="2"/>
      <c r="LV967" s="2"/>
      <c r="LW967" s="2"/>
      <c r="LX967" s="2"/>
      <c r="LY967" s="2"/>
      <c r="LZ967" s="2"/>
      <c r="MA967" s="2"/>
      <c r="MB967" s="2"/>
      <c r="MC967" s="2"/>
      <c r="MD967" s="2"/>
      <c r="ME967" s="2"/>
      <c r="MF967" s="2"/>
      <c r="MG967" s="2"/>
      <c r="MH967" s="2"/>
      <c r="MI967" s="2"/>
      <c r="MJ967" s="2"/>
      <c r="MK967" s="2"/>
      <c r="ML967" s="2"/>
      <c r="MM967" s="2"/>
      <c r="MN967" s="2"/>
      <c r="MO967" s="2"/>
      <c r="MP967" s="2"/>
      <c r="MQ967" s="2"/>
      <c r="MR967" s="2"/>
      <c r="MS967" s="2"/>
      <c r="MT967" s="2"/>
      <c r="MU967" s="2"/>
      <c r="MV967" s="2"/>
      <c r="MW967" s="2"/>
      <c r="MX967" s="2"/>
      <c r="MY967" s="2"/>
      <c r="MZ967" s="2"/>
      <c r="NA967" s="2"/>
      <c r="NB967" s="2"/>
      <c r="NC967" s="2"/>
      <c r="ND967" s="2"/>
      <c r="NE967" s="2"/>
      <c r="NF967" s="2"/>
      <c r="NG967" s="2"/>
      <c r="NH967" s="2"/>
      <c r="NI967" s="99"/>
      <c r="NJ967" s="208"/>
      <c r="NK967" s="2"/>
      <c r="NL967" s="2"/>
      <c r="NM967" s="2"/>
      <c r="NN967" s="2"/>
      <c r="NO967" s="2"/>
      <c r="NP967" s="2"/>
      <c r="NQ967" s="2"/>
      <c r="NR967" s="2"/>
      <c r="NS967" s="2"/>
      <c r="NT967" s="2"/>
      <c r="NU967" s="99"/>
      <c r="NV967" s="173"/>
      <c r="NW967" s="2"/>
      <c r="NX967" s="2"/>
      <c r="NY967" s="2"/>
      <c r="NZ967" s="2"/>
      <c r="OA967" s="2"/>
      <c r="OB967" s="2"/>
      <c r="OC967" s="2"/>
      <c r="OD967" s="2"/>
      <c r="OE967" s="2"/>
      <c r="OF967" s="2"/>
      <c r="OG967" s="2"/>
      <c r="OH967" s="2"/>
      <c r="OI967" s="2"/>
      <c r="OJ967" s="2"/>
      <c r="OK967" s="2"/>
      <c r="OL967" s="2"/>
      <c r="OM967" s="2"/>
      <c r="ON967" s="2"/>
      <c r="OO967" s="2"/>
      <c r="OP967" s="2"/>
    </row>
    <row r="968" spans="1:406" ht="15.75" thickBot="1">
      <c r="A968" s="207"/>
      <c r="B968" s="89"/>
      <c r="C968" s="89"/>
      <c r="D968" s="152"/>
      <c r="E968" s="89"/>
      <c r="F968" s="152"/>
      <c r="G968" s="89"/>
      <c r="H968" s="89"/>
      <c r="I968" s="152"/>
      <c r="J968" s="152"/>
      <c r="K968" s="152"/>
      <c r="L968" s="89"/>
      <c r="M968" s="152"/>
      <c r="N968" s="89"/>
      <c r="O968" s="89"/>
      <c r="P968" s="89"/>
      <c r="Q968" s="89"/>
      <c r="R968" s="89"/>
      <c r="S968" s="89"/>
      <c r="T968" s="89"/>
      <c r="X968" s="3"/>
      <c r="AA968" s="3"/>
      <c r="AB968" s="3"/>
      <c r="AC968" s="3"/>
      <c r="AG968" s="3"/>
      <c r="AJ968" s="3"/>
      <c r="AK968" s="3"/>
      <c r="AL968" s="3"/>
      <c r="AP968" s="3"/>
      <c r="AS968" s="3"/>
      <c r="AT968" s="3"/>
      <c r="AU968" s="3"/>
      <c r="AV968" s="89"/>
      <c r="AW968" s="89"/>
      <c r="AX968" s="89"/>
      <c r="AY968" s="89"/>
      <c r="AZ968" s="89"/>
      <c r="BA968" s="89"/>
      <c r="BB968" s="89"/>
      <c r="BC968" s="89"/>
      <c r="BD968" s="89"/>
      <c r="BE968" s="89"/>
      <c r="BF968" s="89"/>
      <c r="BG968" s="89"/>
      <c r="BH968" s="89"/>
      <c r="BI968" s="89"/>
      <c r="BJ968" s="152"/>
      <c r="BK968" s="175"/>
      <c r="BL968" s="89"/>
      <c r="BM968" s="89"/>
      <c r="BN968" s="89"/>
      <c r="BO968" s="89"/>
      <c r="BP968" s="89"/>
      <c r="BQ968" s="89"/>
      <c r="BR968" s="89"/>
      <c r="BS968" s="89"/>
      <c r="BT968" s="89"/>
      <c r="BU968" s="89"/>
      <c r="BV968" s="89"/>
      <c r="EE968" s="89"/>
      <c r="EF968" s="152"/>
      <c r="EG968" s="175"/>
      <c r="EH968" s="175"/>
      <c r="EI968" s="175"/>
      <c r="EJ968" s="175"/>
      <c r="EK968" s="175"/>
      <c r="EL968" s="175"/>
      <c r="EM968" s="9"/>
      <c r="EN968" s="9"/>
      <c r="EO968" s="9"/>
      <c r="EP968" s="9"/>
      <c r="EQ968" s="9"/>
      <c r="ER968" s="9"/>
      <c r="ES968" s="9"/>
      <c r="ET968" s="9"/>
      <c r="EU968" s="9"/>
      <c r="EV968" s="9"/>
      <c r="EW968" s="9"/>
      <c r="EX968" s="9"/>
      <c r="EY968" s="9"/>
      <c r="EZ968" s="9"/>
      <c r="FA968" s="9"/>
      <c r="FB968" s="9"/>
      <c r="FC968" s="9"/>
      <c r="FD968" s="9"/>
      <c r="FE968" s="9"/>
      <c r="FF968" s="9"/>
      <c r="FG968" s="9"/>
      <c r="FH968" s="9"/>
      <c r="FI968" s="9"/>
      <c r="FJ968" s="9"/>
      <c r="FK968" s="9"/>
      <c r="FL968" s="9"/>
      <c r="FM968" s="9"/>
      <c r="FN968" s="9"/>
      <c r="FO968" s="9"/>
      <c r="FP968" s="9"/>
      <c r="FQ968" s="9"/>
      <c r="FR968" s="9"/>
      <c r="FS968" s="9"/>
      <c r="FT968" s="9"/>
      <c r="FU968" s="9"/>
      <c r="FV968" s="9"/>
      <c r="FW968" s="9"/>
      <c r="FX968" s="9"/>
      <c r="FY968" s="9"/>
      <c r="FZ968" s="9"/>
      <c r="GA968" s="9"/>
      <c r="GB968" s="9"/>
      <c r="GC968" s="9"/>
      <c r="GD968" s="9"/>
      <c r="GE968" s="9"/>
      <c r="GF968" s="9"/>
      <c r="GG968" s="9"/>
      <c r="GH968" s="9"/>
      <c r="GI968" s="9"/>
      <c r="GJ968" s="9"/>
      <c r="GK968" s="9"/>
      <c r="GL968" s="9"/>
      <c r="GM968" s="9"/>
      <c r="GN968" s="9"/>
      <c r="GO968" s="9"/>
      <c r="GP968" s="9"/>
      <c r="GQ968" s="9"/>
      <c r="GR968" s="9"/>
      <c r="GS968" s="9"/>
      <c r="GT968" s="9"/>
      <c r="GU968" s="9"/>
      <c r="GV968" s="9"/>
      <c r="GW968" s="9"/>
      <c r="GX968" s="9"/>
      <c r="GY968" s="9"/>
      <c r="GZ968" s="9"/>
      <c r="HA968" s="9"/>
      <c r="HB968" s="9"/>
      <c r="HC968" s="9"/>
      <c r="HD968" s="9"/>
      <c r="HE968" s="9"/>
      <c r="HF968" s="9"/>
      <c r="HG968" s="9"/>
      <c r="HH968" s="9"/>
      <c r="HI968" s="9"/>
      <c r="HJ968" s="9"/>
      <c r="HK968" s="9"/>
      <c r="HL968" s="89"/>
      <c r="HM968" s="89"/>
      <c r="HN968" s="89"/>
      <c r="HO968" s="89"/>
      <c r="HP968" s="89"/>
      <c r="HQ968" s="89"/>
      <c r="HR968" s="89"/>
      <c r="HS968" s="89"/>
      <c r="HT968" s="152"/>
      <c r="HU968" s="89"/>
      <c r="HV968" s="89"/>
      <c r="HW968" s="89"/>
      <c r="HX968" s="89"/>
      <c r="HY968" s="89"/>
      <c r="HZ968" s="89"/>
      <c r="IA968" s="89"/>
      <c r="IB968" s="89"/>
      <c r="IC968" s="89"/>
      <c r="ID968" s="89"/>
      <c r="IE968" s="89"/>
      <c r="IF968" s="89"/>
      <c r="IG968" s="89"/>
      <c r="IH968" s="89"/>
      <c r="II968" s="89"/>
      <c r="IJ968" s="89"/>
      <c r="IK968" s="89"/>
      <c r="IL968" s="89"/>
      <c r="IM968" s="89"/>
      <c r="IN968" s="89"/>
      <c r="IO968" s="89"/>
      <c r="IP968" s="157"/>
      <c r="IQ968" s="178"/>
      <c r="IR968" s="89"/>
      <c r="IS968" s="89"/>
      <c r="IT968" s="89"/>
      <c r="IU968" s="152"/>
      <c r="IV968" s="89"/>
      <c r="IW968" s="153"/>
      <c r="IX968" s="89"/>
      <c r="IY968" s="89"/>
      <c r="IZ968" s="89"/>
      <c r="JA968" s="89"/>
      <c r="JB968" s="89"/>
      <c r="JC968" s="89"/>
      <c r="JD968" s="89"/>
      <c r="JE968" s="89"/>
      <c r="JF968" s="89"/>
      <c r="JG968" s="89"/>
      <c r="JH968" s="89"/>
      <c r="JI968" s="89"/>
      <c r="JJ968" s="89"/>
      <c r="JK968" s="89"/>
      <c r="JL968" s="205"/>
      <c r="JM968" s="178"/>
      <c r="JN968" s="2"/>
      <c r="JO968" s="89"/>
      <c r="JP968" s="89"/>
      <c r="JQ968" s="152"/>
      <c r="JR968" s="89"/>
      <c r="JS968" s="89"/>
      <c r="JT968" s="89"/>
      <c r="JU968" s="89"/>
      <c r="JV968" s="89"/>
      <c r="JW968" s="89"/>
      <c r="JX968" s="89"/>
      <c r="JY968" s="89"/>
      <c r="JZ968" s="89"/>
      <c r="KA968" s="89"/>
      <c r="KB968" s="89"/>
      <c r="KC968" s="89"/>
      <c r="KD968" s="89"/>
      <c r="KE968" s="89"/>
      <c r="KF968" s="89"/>
      <c r="KG968" s="157"/>
      <c r="KH968" s="178"/>
      <c r="KI968" s="89"/>
      <c r="KJ968" s="89"/>
      <c r="KK968" s="89"/>
      <c r="KL968" s="89"/>
      <c r="KM968" s="89"/>
      <c r="KN968" s="89"/>
      <c r="KO968" s="157"/>
      <c r="KP968" s="178"/>
      <c r="KQ968" s="89"/>
      <c r="KR968" s="89"/>
      <c r="KS968" s="89"/>
      <c r="KT968" s="89"/>
      <c r="KU968" s="89"/>
      <c r="KV968" s="89"/>
      <c r="KW968" s="89"/>
      <c r="LB968" s="89"/>
      <c r="LC968" s="89"/>
      <c r="LD968" s="89"/>
      <c r="LE968" s="89"/>
      <c r="LF968" s="89"/>
      <c r="LG968" s="89"/>
      <c r="LH968" s="89"/>
      <c r="LI968" s="89"/>
      <c r="LJ968" s="89"/>
      <c r="LK968" s="89"/>
      <c r="LL968" s="89"/>
      <c r="LM968" s="89"/>
      <c r="LN968" s="89"/>
      <c r="LO968" s="89"/>
      <c r="LP968" s="89"/>
      <c r="LQ968" s="89"/>
      <c r="LR968" s="89"/>
      <c r="LS968" s="89"/>
      <c r="LT968" s="89"/>
      <c r="LU968" s="89"/>
      <c r="LV968" s="89"/>
      <c r="LW968" s="89"/>
      <c r="LX968" s="89"/>
      <c r="LY968" s="89"/>
      <c r="LZ968" s="89"/>
      <c r="MA968" s="89"/>
      <c r="MB968" s="89"/>
      <c r="MC968" s="89"/>
      <c r="MD968" s="89"/>
      <c r="ME968" s="89"/>
      <c r="MF968" s="89"/>
      <c r="MG968" s="89"/>
      <c r="MH968" s="89"/>
      <c r="MI968" s="89"/>
      <c r="MJ968" s="89"/>
      <c r="MK968" s="89"/>
      <c r="ML968" s="89"/>
      <c r="MM968" s="89"/>
      <c r="MN968" s="89"/>
      <c r="MO968" s="89"/>
      <c r="MP968" s="89"/>
      <c r="MQ968" s="89"/>
      <c r="MR968" s="89"/>
      <c r="MS968" s="89"/>
      <c r="MT968" s="89"/>
      <c r="MU968" s="89"/>
      <c r="MV968" s="89"/>
      <c r="MW968" s="89"/>
      <c r="MX968" s="89"/>
      <c r="MY968" s="89"/>
      <c r="MZ968" s="89"/>
      <c r="NA968" s="89"/>
      <c r="NB968" s="89"/>
      <c r="NC968" s="89"/>
      <c r="ND968" s="89"/>
      <c r="NE968" s="89"/>
      <c r="NF968" s="89"/>
      <c r="NG968" s="89"/>
      <c r="NH968" s="89"/>
      <c r="NI968" s="152"/>
      <c r="NJ968" s="204"/>
      <c r="NK968" s="89"/>
      <c r="NL968" s="89"/>
      <c r="NM968" s="89"/>
      <c r="NN968" s="89"/>
      <c r="NO968" s="89"/>
      <c r="NP968" s="89"/>
      <c r="NQ968" s="89"/>
      <c r="NR968" s="89"/>
      <c r="NS968" s="89"/>
      <c r="NT968" s="89"/>
      <c r="NU968" s="152"/>
      <c r="NV968" s="97"/>
      <c r="NW968" s="89"/>
      <c r="NX968" s="89"/>
      <c r="NY968" s="89"/>
      <c r="NZ968" s="89"/>
      <c r="OA968" s="89"/>
      <c r="OB968" s="89"/>
      <c r="OC968" s="89"/>
      <c r="OD968" s="89"/>
      <c r="OE968" s="89"/>
      <c r="OF968" s="89"/>
      <c r="OG968" s="89"/>
      <c r="OH968" s="89"/>
      <c r="OI968" s="89"/>
      <c r="OJ968" s="89"/>
      <c r="OK968" s="89"/>
      <c r="OL968" s="89"/>
      <c r="OM968" s="89"/>
      <c r="ON968" s="89"/>
      <c r="OO968" s="89"/>
      <c r="OP968" s="89"/>
    </row>
    <row r="969" spans="1:406" ht="15.75" thickBot="1">
      <c r="A969" s="209"/>
      <c r="B969" s="2"/>
      <c r="C969" s="2"/>
      <c r="D969" s="99"/>
      <c r="E969" s="2"/>
      <c r="F969" s="152"/>
      <c r="G969" s="2"/>
      <c r="H969" s="2"/>
      <c r="I969" s="152"/>
      <c r="J969" s="152"/>
      <c r="K969" s="152"/>
      <c r="L969" s="2"/>
      <c r="M969" s="99"/>
      <c r="N969" s="2"/>
      <c r="O969" s="89"/>
      <c r="P969" s="2"/>
      <c r="Q969" s="2"/>
      <c r="R969" s="89"/>
      <c r="S969" s="89"/>
      <c r="T969" s="89"/>
      <c r="X969" s="3"/>
      <c r="AA969" s="3"/>
      <c r="AB969" s="3"/>
      <c r="AC969" s="3"/>
      <c r="AG969" s="3"/>
      <c r="AJ969" s="3"/>
      <c r="AK969" s="3"/>
      <c r="AL969" s="3"/>
      <c r="AP969" s="3"/>
      <c r="AS969" s="3"/>
      <c r="AT969" s="3"/>
      <c r="AU969" s="3"/>
      <c r="AV969" s="2"/>
      <c r="AW969" s="2"/>
      <c r="AX969" s="2"/>
      <c r="AY969" s="2"/>
      <c r="AZ969" s="2"/>
      <c r="BA969" s="2"/>
      <c r="BB969" s="2"/>
      <c r="BC969" s="2"/>
      <c r="BD969" s="2"/>
      <c r="BE969" s="2"/>
      <c r="BF969" s="2"/>
      <c r="BG969" s="2"/>
      <c r="BH969" s="2"/>
      <c r="BI969" s="2"/>
      <c r="BJ969" s="99"/>
      <c r="BK969" s="210"/>
      <c r="BL969" s="2"/>
      <c r="BM969" s="2"/>
      <c r="BN969" s="2"/>
      <c r="BO969" s="2"/>
      <c r="BP969" s="2"/>
      <c r="BQ969" s="2"/>
      <c r="BR969" s="2"/>
      <c r="BS969" s="2"/>
      <c r="BT969" s="2"/>
      <c r="BU969" s="2"/>
      <c r="BV969" s="2"/>
      <c r="EE969" s="2"/>
      <c r="EF969" s="99"/>
      <c r="EG969" s="210"/>
      <c r="EH969" s="210"/>
      <c r="EI969" s="210"/>
      <c r="EJ969" s="210"/>
      <c r="EK969" s="210"/>
      <c r="EL969" s="210"/>
      <c r="EM969" s="9"/>
      <c r="EN969" s="9"/>
      <c r="EO969" s="9"/>
      <c r="EP969" s="9"/>
      <c r="EQ969" s="9"/>
      <c r="ER969" s="9"/>
      <c r="ES969" s="9"/>
      <c r="ET969" s="9"/>
      <c r="EU969" s="9"/>
      <c r="EV969" s="9"/>
      <c r="EW969" s="9"/>
      <c r="EX969" s="9"/>
      <c r="EY969" s="9"/>
      <c r="EZ969" s="9"/>
      <c r="FA969" s="9"/>
      <c r="FB969" s="9"/>
      <c r="FC969" s="9"/>
      <c r="FD969" s="9"/>
      <c r="FE969" s="9"/>
      <c r="FF969" s="9"/>
      <c r="FG969" s="9"/>
      <c r="FH969" s="9"/>
      <c r="FI969" s="9"/>
      <c r="FJ969" s="9"/>
      <c r="FK969" s="9"/>
      <c r="FL969" s="9"/>
      <c r="FM969" s="9"/>
      <c r="FN969" s="9"/>
      <c r="FO969" s="9"/>
      <c r="FP969" s="9"/>
      <c r="FQ969" s="9"/>
      <c r="FR969" s="9"/>
      <c r="FS969" s="9"/>
      <c r="FT969" s="9"/>
      <c r="FU969" s="9"/>
      <c r="FV969" s="9"/>
      <c r="FW969" s="9"/>
      <c r="FX969" s="9"/>
      <c r="FY969" s="9"/>
      <c r="FZ969" s="9"/>
      <c r="GA969" s="9"/>
      <c r="GB969" s="9"/>
      <c r="GC969" s="9"/>
      <c r="GD969" s="9"/>
      <c r="GE969" s="9"/>
      <c r="GF969" s="9"/>
      <c r="GG969" s="9"/>
      <c r="GH969" s="9"/>
      <c r="GI969" s="9"/>
      <c r="GJ969" s="9"/>
      <c r="GK969" s="9"/>
      <c r="GL969" s="9"/>
      <c r="GM969" s="9"/>
      <c r="GN969" s="9"/>
      <c r="GO969" s="9"/>
      <c r="GP969" s="9"/>
      <c r="GQ969" s="9"/>
      <c r="GR969" s="9"/>
      <c r="GS969" s="9"/>
      <c r="GT969" s="9"/>
      <c r="GU969" s="9"/>
      <c r="GV969" s="9"/>
      <c r="GW969" s="9"/>
      <c r="GX969" s="9"/>
      <c r="GY969" s="9"/>
      <c r="GZ969" s="9"/>
      <c r="HA969" s="9"/>
      <c r="HB969" s="9"/>
      <c r="HC969" s="9"/>
      <c r="HD969" s="9"/>
      <c r="HE969" s="9"/>
      <c r="HF969" s="9"/>
      <c r="HG969" s="9"/>
      <c r="HH969" s="9"/>
      <c r="HI969" s="9"/>
      <c r="HJ969" s="9"/>
      <c r="HK969" s="9"/>
      <c r="HL969" s="2"/>
      <c r="HM969" s="2"/>
      <c r="HN969" s="2"/>
      <c r="HO969" s="2"/>
      <c r="HP969" s="2"/>
      <c r="HQ969" s="2"/>
      <c r="HR969" s="2"/>
      <c r="HS969" s="2"/>
      <c r="HT969" s="99"/>
      <c r="HU969" s="2"/>
      <c r="HV969" s="2"/>
      <c r="HW969" s="2"/>
      <c r="HX969" s="2"/>
      <c r="HY969" s="2"/>
      <c r="HZ969" s="2"/>
      <c r="IA969" s="2"/>
      <c r="IB969" s="2"/>
      <c r="IC969" s="2"/>
      <c r="ID969" s="2"/>
      <c r="IE969" s="2"/>
      <c r="IF969" s="2"/>
      <c r="IG969" s="2"/>
      <c r="IH969" s="2"/>
      <c r="II969" s="2"/>
      <c r="IJ969" s="2"/>
      <c r="IK969" s="2"/>
      <c r="IL969" s="2"/>
      <c r="IM969" s="2"/>
      <c r="IN969" s="2"/>
      <c r="IO969" s="2"/>
      <c r="IP969" s="168"/>
      <c r="IQ969" s="172"/>
      <c r="IR969" s="2"/>
      <c r="IS969" s="2"/>
      <c r="IT969" s="2"/>
      <c r="IU969" s="99"/>
      <c r="IV969" s="2"/>
      <c r="IW969" s="2"/>
      <c r="IX969" s="2"/>
      <c r="IY969" s="2"/>
      <c r="IZ969" s="2"/>
      <c r="JA969" s="2"/>
      <c r="JB969" s="2"/>
      <c r="JC969" s="2"/>
      <c r="JD969" s="2"/>
      <c r="JE969" s="2"/>
      <c r="JF969" s="2"/>
      <c r="JG969" s="2"/>
      <c r="JH969" s="2"/>
      <c r="JI969" s="2"/>
      <c r="JJ969" s="2"/>
      <c r="JK969" s="2"/>
      <c r="JL969" s="205"/>
      <c r="JM969" s="172"/>
      <c r="JN969" s="2"/>
      <c r="JO969" s="2"/>
      <c r="JP969" s="2"/>
      <c r="JQ969" s="99"/>
      <c r="JR969" s="2"/>
      <c r="JS969" s="2"/>
      <c r="JT969" s="2"/>
      <c r="JU969" s="2"/>
      <c r="JV969" s="2"/>
      <c r="JW969" s="2"/>
      <c r="JX969" s="2"/>
      <c r="JY969" s="2"/>
      <c r="JZ969" s="2"/>
      <c r="KA969" s="2"/>
      <c r="KB969" s="2"/>
      <c r="KC969" s="2"/>
      <c r="KD969" s="2"/>
      <c r="KE969" s="2"/>
      <c r="KF969" s="2"/>
      <c r="KG969" s="168"/>
      <c r="KH969" s="172"/>
      <c r="KI969" s="2"/>
      <c r="KJ969" s="2"/>
      <c r="KK969" s="2"/>
      <c r="KL969" s="2"/>
      <c r="KM969" s="2"/>
      <c r="KN969" s="2"/>
      <c r="KO969" s="168"/>
      <c r="KP969" s="172"/>
      <c r="KQ969" s="2"/>
      <c r="KR969" s="2"/>
      <c r="KS969" s="2"/>
      <c r="KT969" s="2"/>
      <c r="KU969" s="2"/>
      <c r="KV969" s="2"/>
      <c r="KW969" s="2"/>
      <c r="LB969" s="2"/>
      <c r="LC969" s="2"/>
      <c r="LD969" s="2"/>
      <c r="LE969" s="2"/>
      <c r="LF969" s="2"/>
      <c r="LG969" s="2"/>
      <c r="LH969" s="2"/>
      <c r="LI969" s="2"/>
      <c r="LJ969" s="2"/>
      <c r="LK969" s="2"/>
      <c r="LL969" s="2"/>
      <c r="LM969" s="2"/>
      <c r="LN969" s="2"/>
      <c r="LO969" s="2"/>
      <c r="LP969" s="2"/>
      <c r="LQ969" s="2"/>
      <c r="LR969" s="2"/>
      <c r="LS969" s="2"/>
      <c r="LT969" s="2"/>
      <c r="LU969" s="2"/>
      <c r="LV969" s="2"/>
      <c r="LW969" s="2"/>
      <c r="LX969" s="2"/>
      <c r="LY969" s="2"/>
      <c r="LZ969" s="2"/>
      <c r="MA969" s="2"/>
      <c r="MB969" s="2"/>
      <c r="MC969" s="2"/>
      <c r="MD969" s="2"/>
      <c r="ME969" s="2"/>
      <c r="MF969" s="2"/>
      <c r="MG969" s="2"/>
      <c r="MH969" s="2"/>
      <c r="MI969" s="2"/>
      <c r="MJ969" s="2"/>
      <c r="MK969" s="2"/>
      <c r="ML969" s="2"/>
      <c r="MM969" s="2"/>
      <c r="MN969" s="2"/>
      <c r="MO969" s="2"/>
      <c r="MP969" s="2"/>
      <c r="MQ969" s="2"/>
      <c r="MR969" s="2"/>
      <c r="MS969" s="2"/>
      <c r="MT969" s="2"/>
      <c r="MU969" s="2"/>
      <c r="MV969" s="2"/>
      <c r="MW969" s="2"/>
      <c r="MX969" s="2"/>
      <c r="MY969" s="2"/>
      <c r="MZ969" s="2"/>
      <c r="NA969" s="2"/>
      <c r="NB969" s="2"/>
      <c r="NC969" s="2"/>
      <c r="ND969" s="2"/>
      <c r="NE969" s="2"/>
      <c r="NF969" s="2"/>
      <c r="NG969" s="2"/>
      <c r="NH969" s="2"/>
      <c r="NI969" s="99"/>
      <c r="NJ969" s="208"/>
      <c r="NK969" s="2"/>
      <c r="NL969" s="2"/>
      <c r="NM969" s="2"/>
      <c r="NN969" s="2"/>
      <c r="NO969" s="2"/>
      <c r="NP969" s="2"/>
      <c r="NQ969" s="2"/>
      <c r="NR969" s="2"/>
      <c r="NS969" s="2"/>
      <c r="NT969" s="2"/>
      <c r="NU969" s="99"/>
      <c r="NV969" s="173"/>
      <c r="NW969" s="2"/>
      <c r="NX969" s="2"/>
      <c r="NY969" s="2"/>
      <c r="NZ969" s="2"/>
      <c r="OA969" s="2"/>
      <c r="OB969" s="2"/>
      <c r="OC969" s="2"/>
      <c r="OD969" s="2"/>
      <c r="OE969" s="2"/>
      <c r="OF969" s="2"/>
      <c r="OG969" s="2"/>
      <c r="OH969" s="2"/>
      <c r="OI969" s="2"/>
      <c r="OJ969" s="2"/>
      <c r="OK969" s="2"/>
      <c r="OL969" s="2"/>
      <c r="OM969" s="2"/>
      <c r="ON969" s="2"/>
      <c r="OO969" s="2"/>
      <c r="OP969" s="2"/>
    </row>
    <row r="970" spans="1:406" ht="15.75" thickBot="1">
      <c r="A970" s="207"/>
      <c r="B970" s="89"/>
      <c r="C970" s="89"/>
      <c r="D970" s="152"/>
      <c r="E970" s="89"/>
      <c r="F970" s="152"/>
      <c r="G970" s="89"/>
      <c r="H970" s="89"/>
      <c r="I970" s="152"/>
      <c r="J970" s="152"/>
      <c r="K970" s="152"/>
      <c r="L970" s="89"/>
      <c r="M970" s="152"/>
      <c r="N970" s="89"/>
      <c r="O970" s="89"/>
      <c r="P970" s="89"/>
      <c r="Q970" s="89"/>
      <c r="R970" s="89"/>
      <c r="S970" s="89"/>
      <c r="T970" s="89"/>
      <c r="X970" s="3"/>
      <c r="AA970" s="3"/>
      <c r="AB970" s="3"/>
      <c r="AC970" s="3"/>
      <c r="AG970" s="3"/>
      <c r="AJ970" s="3"/>
      <c r="AK970" s="3"/>
      <c r="AL970" s="3"/>
      <c r="AP970" s="3"/>
      <c r="AS970" s="3"/>
      <c r="AT970" s="3"/>
      <c r="AU970" s="3"/>
      <c r="AV970" s="89"/>
      <c r="AW970" s="89"/>
      <c r="AX970" s="89"/>
      <c r="AY970" s="89"/>
      <c r="AZ970" s="89"/>
      <c r="BA970" s="89"/>
      <c r="BB970" s="89"/>
      <c r="BC970" s="89"/>
      <c r="BD970" s="89"/>
      <c r="BE970" s="89"/>
      <c r="BF970" s="89"/>
      <c r="BG970" s="89"/>
      <c r="BH970" s="89"/>
      <c r="BI970" s="89"/>
      <c r="BJ970" s="152"/>
      <c r="BK970" s="175"/>
      <c r="BL970" s="89"/>
      <c r="BM970" s="89"/>
      <c r="BN970" s="89"/>
      <c r="BO970" s="89"/>
      <c r="BP970" s="89"/>
      <c r="BQ970" s="89"/>
      <c r="BR970" s="89"/>
      <c r="BS970" s="89"/>
      <c r="BT970" s="89"/>
      <c r="BU970" s="89"/>
      <c r="BV970" s="89"/>
      <c r="EE970" s="89"/>
      <c r="EF970" s="89"/>
      <c r="EG970" s="89"/>
      <c r="EH970" s="89"/>
      <c r="EI970" s="89"/>
      <c r="EJ970" s="89"/>
      <c r="EK970" s="89"/>
      <c r="EL970" s="89"/>
      <c r="EM970" s="9"/>
      <c r="EN970" s="9"/>
      <c r="EO970" s="9"/>
      <c r="EP970" s="9"/>
      <c r="EQ970" s="9"/>
      <c r="ER970" s="9"/>
      <c r="ES970" s="9"/>
      <c r="ET970" s="9"/>
      <c r="EU970" s="9"/>
      <c r="EV970" s="9"/>
      <c r="EW970" s="9"/>
      <c r="EX970" s="9"/>
      <c r="EY970" s="9"/>
      <c r="EZ970" s="9"/>
      <c r="FA970" s="9"/>
      <c r="FB970" s="9"/>
      <c r="FC970" s="9"/>
      <c r="FD970" s="9"/>
      <c r="FE970" s="9"/>
      <c r="FF970" s="9"/>
      <c r="FG970" s="9"/>
      <c r="FH970" s="9"/>
      <c r="FI970" s="9"/>
      <c r="FJ970" s="9"/>
      <c r="FK970" s="9"/>
      <c r="FL970" s="9"/>
      <c r="FM970" s="9"/>
      <c r="FN970" s="9"/>
      <c r="FO970" s="9"/>
      <c r="FP970" s="9"/>
      <c r="FQ970" s="9"/>
      <c r="FR970" s="9"/>
      <c r="FS970" s="9"/>
      <c r="FT970" s="9"/>
      <c r="FU970" s="9"/>
      <c r="FV970" s="9"/>
      <c r="FW970" s="9"/>
      <c r="FX970" s="9"/>
      <c r="FY970" s="9"/>
      <c r="FZ970" s="9"/>
      <c r="GA970" s="9"/>
      <c r="GB970" s="9"/>
      <c r="GC970" s="9"/>
      <c r="GD970" s="9"/>
      <c r="GE970" s="9"/>
      <c r="GF970" s="9"/>
      <c r="GG970" s="9"/>
      <c r="GH970" s="9"/>
      <c r="GI970" s="9"/>
      <c r="GJ970" s="9"/>
      <c r="GK970" s="9"/>
      <c r="GL970" s="9"/>
      <c r="GM970" s="9"/>
      <c r="GN970" s="9"/>
      <c r="GO970" s="9"/>
      <c r="GP970" s="9"/>
      <c r="GQ970" s="9"/>
      <c r="GR970" s="9"/>
      <c r="GS970" s="9"/>
      <c r="GT970" s="9"/>
      <c r="GU970" s="9"/>
      <c r="GV970" s="9"/>
      <c r="GW970" s="9"/>
      <c r="GX970" s="9"/>
      <c r="GY970" s="9"/>
      <c r="GZ970" s="9"/>
      <c r="HA970" s="9"/>
      <c r="HB970" s="9"/>
      <c r="HC970" s="9"/>
      <c r="HD970" s="9"/>
      <c r="HE970" s="9"/>
      <c r="HF970" s="9"/>
      <c r="HG970" s="9"/>
      <c r="HH970" s="9"/>
      <c r="HI970" s="9"/>
      <c r="HJ970" s="9"/>
      <c r="HK970" s="9"/>
      <c r="HL970" s="89"/>
      <c r="HM970" s="89"/>
      <c r="HN970" s="89"/>
      <c r="HO970" s="89"/>
      <c r="HP970" s="89"/>
      <c r="HQ970" s="89"/>
      <c r="HR970" s="89"/>
      <c r="HS970" s="89"/>
      <c r="HT970" s="152"/>
      <c r="HU970" s="89"/>
      <c r="HV970" s="89"/>
      <c r="HW970" s="89"/>
      <c r="HX970" s="89"/>
      <c r="HY970" s="89"/>
      <c r="HZ970" s="89"/>
      <c r="IA970" s="89"/>
      <c r="IB970" s="89"/>
      <c r="IC970" s="89"/>
      <c r="ID970" s="89"/>
      <c r="IE970" s="89"/>
      <c r="IF970" s="89"/>
      <c r="IG970" s="89"/>
      <c r="IH970" s="89"/>
      <c r="II970" s="89"/>
      <c r="IJ970" s="89"/>
      <c r="IK970" s="89"/>
      <c r="IL970" s="89"/>
      <c r="IM970" s="89"/>
      <c r="IN970" s="89"/>
      <c r="IO970" s="89"/>
      <c r="IP970" s="157"/>
      <c r="IQ970" s="178"/>
      <c r="IR970" s="89"/>
      <c r="IS970" s="89"/>
      <c r="IT970" s="89"/>
      <c r="IU970" s="152"/>
      <c r="IV970" s="89"/>
      <c r="IW970" s="89"/>
      <c r="IX970" s="89"/>
      <c r="IY970" s="89"/>
      <c r="IZ970" s="89"/>
      <c r="JA970" s="89"/>
      <c r="JB970" s="89"/>
      <c r="JC970" s="89"/>
      <c r="JD970" s="89"/>
      <c r="JE970" s="89"/>
      <c r="JF970" s="89"/>
      <c r="JG970" s="89"/>
      <c r="JH970" s="89"/>
      <c r="JI970" s="89"/>
      <c r="JJ970" s="89"/>
      <c r="JK970" s="89"/>
      <c r="JL970" s="205"/>
      <c r="JM970" s="178"/>
      <c r="JN970" s="2"/>
      <c r="JO970" s="89"/>
      <c r="JP970" s="89"/>
      <c r="JQ970" s="152"/>
      <c r="JR970" s="89"/>
      <c r="JS970" s="89"/>
      <c r="JT970" s="89"/>
      <c r="JU970" s="89"/>
      <c r="JV970" s="89"/>
      <c r="JW970" s="89"/>
      <c r="JX970" s="89"/>
      <c r="JY970" s="89"/>
      <c r="JZ970" s="89"/>
      <c r="KA970" s="89"/>
      <c r="KB970" s="89"/>
      <c r="KC970" s="89"/>
      <c r="KD970" s="89"/>
      <c r="KE970" s="89"/>
      <c r="KF970" s="89"/>
      <c r="KG970" s="157"/>
      <c r="KH970" s="178"/>
      <c r="KI970" s="89"/>
      <c r="KJ970" s="89"/>
      <c r="KK970" s="89"/>
      <c r="KL970" s="89"/>
      <c r="KM970" s="89"/>
      <c r="KN970" s="89"/>
      <c r="KO970" s="157"/>
      <c r="KP970" s="178"/>
      <c r="KQ970" s="89"/>
      <c r="KR970" s="89"/>
      <c r="KS970" s="89"/>
      <c r="KT970" s="89"/>
      <c r="KU970" s="89"/>
      <c r="KV970" s="89"/>
      <c r="KW970" s="89"/>
      <c r="LB970" s="89"/>
      <c r="LC970" s="89"/>
      <c r="LD970" s="89"/>
      <c r="LE970" s="89"/>
      <c r="LF970" s="89"/>
      <c r="LG970" s="89"/>
      <c r="LH970" s="89"/>
      <c r="LI970" s="89"/>
      <c r="LJ970" s="89"/>
      <c r="LK970" s="89"/>
      <c r="LL970" s="89"/>
      <c r="LM970" s="89"/>
      <c r="LN970" s="89"/>
      <c r="LO970" s="89"/>
      <c r="LP970" s="89"/>
      <c r="LQ970" s="89"/>
      <c r="LR970" s="89"/>
      <c r="LS970" s="89"/>
      <c r="LT970" s="89"/>
      <c r="LU970" s="89"/>
      <c r="LV970" s="89"/>
      <c r="LW970" s="89"/>
      <c r="LX970" s="89"/>
      <c r="LY970" s="89"/>
      <c r="LZ970" s="89"/>
      <c r="MA970" s="89"/>
      <c r="MB970" s="89"/>
      <c r="MC970" s="89"/>
      <c r="MD970" s="89"/>
      <c r="ME970" s="89"/>
      <c r="MF970" s="89"/>
      <c r="MG970" s="89"/>
      <c r="MH970" s="89"/>
      <c r="MI970" s="89"/>
      <c r="MJ970" s="89"/>
      <c r="MK970" s="89"/>
      <c r="ML970" s="89"/>
      <c r="MM970" s="89"/>
      <c r="MN970" s="89"/>
      <c r="MO970" s="89"/>
      <c r="MP970" s="89"/>
      <c r="MQ970" s="89"/>
      <c r="MR970" s="89"/>
      <c r="MS970" s="89"/>
      <c r="MT970" s="89"/>
      <c r="MU970" s="89"/>
      <c r="MV970" s="89"/>
      <c r="MW970" s="89"/>
      <c r="MX970" s="89"/>
      <c r="MY970" s="89"/>
      <c r="MZ970" s="89"/>
      <c r="NA970" s="89"/>
      <c r="NB970" s="89"/>
      <c r="NC970" s="89"/>
      <c r="ND970" s="89"/>
      <c r="NE970" s="89"/>
      <c r="NF970" s="89"/>
      <c r="NG970" s="89"/>
      <c r="NH970" s="89"/>
      <c r="NI970" s="152"/>
      <c r="NJ970" s="204"/>
      <c r="NK970" s="89"/>
      <c r="NL970" s="89"/>
      <c r="NM970" s="89"/>
      <c r="NN970" s="89"/>
      <c r="NO970" s="89"/>
      <c r="NP970" s="89"/>
      <c r="NQ970" s="89"/>
      <c r="NR970" s="89"/>
      <c r="NS970" s="89"/>
      <c r="NT970" s="89"/>
      <c r="NU970" s="152"/>
      <c r="NV970" s="97"/>
      <c r="NW970" s="89"/>
      <c r="NX970" s="89"/>
      <c r="NY970" s="89"/>
      <c r="NZ970" s="89"/>
      <c r="OA970" s="89"/>
      <c r="OB970" s="89"/>
      <c r="OC970" s="89"/>
      <c r="OD970" s="89"/>
      <c r="OE970" s="89"/>
      <c r="OF970" s="89"/>
      <c r="OG970" s="89"/>
      <c r="OH970" s="89"/>
      <c r="OI970" s="89"/>
      <c r="OJ970" s="89"/>
      <c r="OK970" s="89"/>
      <c r="OL970" s="89"/>
      <c r="OM970" s="89"/>
      <c r="ON970" s="89"/>
      <c r="OO970" s="89"/>
      <c r="OP970" s="89"/>
    </row>
    <row r="971" spans="1:406" ht="15.75" thickBot="1">
      <c r="A971" s="209"/>
      <c r="B971" s="2"/>
      <c r="C971" s="2"/>
      <c r="D971" s="99"/>
      <c r="E971" s="2"/>
      <c r="F971" s="152"/>
      <c r="G971" s="2"/>
      <c r="H971" s="2"/>
      <c r="I971" s="152"/>
      <c r="J971" s="152"/>
      <c r="K971" s="152"/>
      <c r="L971" s="2"/>
      <c r="M971" s="99"/>
      <c r="N971" s="2"/>
      <c r="O971" s="89"/>
      <c r="P971" s="2"/>
      <c r="Q971" s="2"/>
      <c r="R971" s="89"/>
      <c r="S971" s="89"/>
      <c r="T971" s="89"/>
      <c r="X971" s="3"/>
      <c r="AA971" s="3"/>
      <c r="AB971" s="3"/>
      <c r="AC971" s="3"/>
      <c r="AG971" s="3"/>
      <c r="AJ971" s="3"/>
      <c r="AK971" s="3"/>
      <c r="AL971" s="3"/>
      <c r="AP971" s="3"/>
      <c r="AS971" s="3"/>
      <c r="AT971" s="3"/>
      <c r="AU971" s="3"/>
      <c r="AV971" s="2"/>
      <c r="AW971" s="2"/>
      <c r="AX971" s="2"/>
      <c r="AY971" s="2"/>
      <c r="AZ971" s="2"/>
      <c r="BA971" s="2"/>
      <c r="BB971" s="2"/>
      <c r="BC971" s="2"/>
      <c r="BD971" s="2"/>
      <c r="BE971" s="2"/>
      <c r="BF971" s="2"/>
      <c r="BG971" s="2"/>
      <c r="BH971" s="2"/>
      <c r="BI971" s="2"/>
      <c r="BJ971" s="99"/>
      <c r="BK971" s="210"/>
      <c r="BL971" s="2"/>
      <c r="BM971" s="2"/>
      <c r="BN971" s="2"/>
      <c r="BO971" s="2"/>
      <c r="BP971" s="2"/>
      <c r="BQ971" s="2"/>
      <c r="BR971" s="2"/>
      <c r="BS971" s="2"/>
      <c r="BT971" s="2"/>
      <c r="BU971" s="2"/>
      <c r="BV971" s="2"/>
      <c r="EE971" s="2"/>
      <c r="EF971" s="2"/>
      <c r="EG971" s="2"/>
      <c r="EH971" s="2"/>
      <c r="EI971" s="2"/>
      <c r="EJ971" s="2"/>
      <c r="EK971" s="2"/>
      <c r="EL971" s="2"/>
      <c r="EM971" s="9"/>
      <c r="EN971" s="9"/>
      <c r="EO971" s="9"/>
      <c r="EP971" s="9"/>
      <c r="EQ971" s="9"/>
      <c r="ER971" s="9"/>
      <c r="ES971" s="9"/>
      <c r="ET971" s="9"/>
      <c r="EU971" s="9"/>
      <c r="EV971" s="9"/>
      <c r="EW971" s="9"/>
      <c r="EX971" s="9"/>
      <c r="EY971" s="9"/>
      <c r="EZ971" s="9"/>
      <c r="FA971" s="9"/>
      <c r="FB971" s="9"/>
      <c r="FC971" s="9"/>
      <c r="FD971" s="9"/>
      <c r="FE971" s="9"/>
      <c r="FF971" s="9"/>
      <c r="FG971" s="9"/>
      <c r="FH971" s="9"/>
      <c r="FI971" s="9"/>
      <c r="FJ971" s="9"/>
      <c r="FK971" s="9"/>
      <c r="FL971" s="9"/>
      <c r="FM971" s="9"/>
      <c r="FN971" s="9"/>
      <c r="FO971" s="9"/>
      <c r="FP971" s="9"/>
      <c r="FQ971" s="9"/>
      <c r="FR971" s="9"/>
      <c r="FS971" s="9"/>
      <c r="FT971" s="9"/>
      <c r="FU971" s="9"/>
      <c r="FV971" s="9"/>
      <c r="FW971" s="9"/>
      <c r="FX971" s="9"/>
      <c r="FY971" s="9"/>
      <c r="FZ971" s="9"/>
      <c r="GA971" s="9"/>
      <c r="GB971" s="9"/>
      <c r="GC971" s="9"/>
      <c r="GD971" s="9"/>
      <c r="GE971" s="9"/>
      <c r="GF971" s="9"/>
      <c r="GG971" s="9"/>
      <c r="GH971" s="9"/>
      <c r="GI971" s="9"/>
      <c r="GJ971" s="9"/>
      <c r="GK971" s="9"/>
      <c r="GL971" s="9"/>
      <c r="GM971" s="9"/>
      <c r="GN971" s="9"/>
      <c r="GO971" s="9"/>
      <c r="GP971" s="9"/>
      <c r="GQ971" s="9"/>
      <c r="GR971" s="9"/>
      <c r="GS971" s="9"/>
      <c r="GT971" s="9"/>
      <c r="GU971" s="9"/>
      <c r="GV971" s="9"/>
      <c r="GW971" s="9"/>
      <c r="GX971" s="9"/>
      <c r="GY971" s="9"/>
      <c r="GZ971" s="9"/>
      <c r="HA971" s="9"/>
      <c r="HB971" s="9"/>
      <c r="HC971" s="9"/>
      <c r="HD971" s="9"/>
      <c r="HE971" s="9"/>
      <c r="HF971" s="9"/>
      <c r="HG971" s="9"/>
      <c r="HH971" s="9"/>
      <c r="HI971" s="9"/>
      <c r="HJ971" s="9"/>
      <c r="HK971" s="9"/>
      <c r="HL971" s="2"/>
      <c r="HM971" s="2"/>
      <c r="HN971" s="2"/>
      <c r="HO971" s="2"/>
      <c r="HP971" s="2"/>
      <c r="HQ971" s="2"/>
      <c r="HR971" s="2"/>
      <c r="HS971" s="2"/>
      <c r="HT971" s="99"/>
      <c r="HU971" s="2"/>
      <c r="HV971" s="2"/>
      <c r="HW971" s="2"/>
      <c r="HX971" s="2"/>
      <c r="HY971" s="2"/>
      <c r="HZ971" s="2"/>
      <c r="IA971" s="2"/>
      <c r="IB971" s="2"/>
      <c r="IC971" s="2"/>
      <c r="ID971" s="2"/>
      <c r="IE971" s="2"/>
      <c r="IF971" s="2"/>
      <c r="IG971" s="2"/>
      <c r="IH971" s="2"/>
      <c r="II971" s="2"/>
      <c r="IJ971" s="2"/>
      <c r="IK971" s="2"/>
      <c r="IL971" s="2"/>
      <c r="IM971" s="2"/>
      <c r="IN971" s="2"/>
      <c r="IO971" s="2"/>
      <c r="IP971" s="168"/>
      <c r="IQ971" s="172"/>
      <c r="IR971" s="2"/>
      <c r="IS971" s="2"/>
      <c r="IT971" s="2"/>
      <c r="IU971" s="99"/>
      <c r="IV971" s="2"/>
      <c r="IW971" s="2"/>
      <c r="IX971" s="2"/>
      <c r="IY971" s="2"/>
      <c r="IZ971" s="2"/>
      <c r="JA971" s="2"/>
      <c r="JB971" s="2"/>
      <c r="JC971" s="2"/>
      <c r="JD971" s="2"/>
      <c r="JE971" s="2"/>
      <c r="JF971" s="2"/>
      <c r="JG971" s="2"/>
      <c r="JH971" s="2"/>
      <c r="JI971" s="2"/>
      <c r="JJ971" s="2"/>
      <c r="JK971" s="2"/>
      <c r="JL971" s="212"/>
      <c r="JM971" s="171"/>
      <c r="JN971" s="2"/>
      <c r="JO971" s="2"/>
      <c r="JP971" s="2"/>
      <c r="JQ971" s="99"/>
      <c r="JR971" s="2"/>
      <c r="JS971" s="2"/>
      <c r="JT971" s="2"/>
      <c r="JU971" s="2"/>
      <c r="JV971" s="2"/>
      <c r="JW971" s="2"/>
      <c r="JX971" s="2"/>
      <c r="JY971" s="2"/>
      <c r="JZ971" s="2"/>
      <c r="KA971" s="2"/>
      <c r="KB971" s="2"/>
      <c r="KC971" s="2"/>
      <c r="KD971" s="2"/>
      <c r="KE971" s="2"/>
      <c r="KF971" s="2"/>
      <c r="KG971" s="168"/>
      <c r="KH971" s="172"/>
      <c r="KI971" s="2"/>
      <c r="KJ971" s="2"/>
      <c r="KK971" s="2"/>
      <c r="KL971" s="2"/>
      <c r="KM971" s="2"/>
      <c r="KN971" s="2"/>
      <c r="KO971" s="168"/>
      <c r="KP971" s="172"/>
      <c r="KQ971" s="2"/>
      <c r="KR971" s="2"/>
      <c r="KS971" s="2"/>
      <c r="KT971" s="2"/>
      <c r="KU971" s="2"/>
      <c r="KV971" s="2"/>
      <c r="KW971" s="2"/>
      <c r="LB971" s="2"/>
      <c r="LC971" s="2"/>
      <c r="LD971" s="2"/>
      <c r="LE971" s="2"/>
      <c r="LF971" s="2"/>
      <c r="LG971" s="2"/>
      <c r="LH971" s="2"/>
      <c r="LI971" s="2"/>
      <c r="LJ971" s="2"/>
      <c r="LK971" s="2"/>
      <c r="LL971" s="2"/>
      <c r="LM971" s="2"/>
      <c r="LN971" s="2"/>
      <c r="LO971" s="2"/>
      <c r="LP971" s="2"/>
      <c r="LQ971" s="2"/>
      <c r="LR971" s="2"/>
      <c r="LS971" s="2"/>
      <c r="LT971" s="2"/>
      <c r="LU971" s="2"/>
      <c r="LV971" s="2"/>
      <c r="LW971" s="2"/>
      <c r="LX971" s="2"/>
      <c r="LY971" s="2"/>
      <c r="LZ971" s="2"/>
      <c r="MA971" s="2"/>
      <c r="MB971" s="2"/>
      <c r="MC971" s="2"/>
      <c r="MD971" s="2"/>
      <c r="ME971" s="2"/>
      <c r="MF971" s="2"/>
      <c r="MG971" s="2"/>
      <c r="MH971" s="2"/>
      <c r="MI971" s="2"/>
      <c r="MJ971" s="2"/>
      <c r="MK971" s="2"/>
      <c r="ML971" s="2"/>
      <c r="MM971" s="2"/>
      <c r="MN971" s="2"/>
      <c r="MO971" s="2"/>
      <c r="MP971" s="2"/>
      <c r="MQ971" s="2"/>
      <c r="MR971" s="2"/>
      <c r="MS971" s="2"/>
      <c r="MT971" s="2"/>
      <c r="MU971" s="2"/>
      <c r="MV971" s="2"/>
      <c r="MW971" s="2"/>
      <c r="MX971" s="2"/>
      <c r="MY971" s="2"/>
      <c r="MZ971" s="2"/>
      <c r="NA971" s="2"/>
      <c r="NB971" s="2"/>
      <c r="NC971" s="2"/>
      <c r="ND971" s="2"/>
      <c r="NE971" s="2"/>
      <c r="NF971" s="2"/>
      <c r="NG971" s="2"/>
      <c r="NH971" s="2"/>
      <c r="NI971" s="99"/>
      <c r="NJ971" s="208"/>
      <c r="NK971" s="2"/>
      <c r="NL971" s="2"/>
      <c r="NM971" s="2"/>
      <c r="NN971" s="2"/>
      <c r="NO971" s="2"/>
      <c r="NP971" s="2"/>
      <c r="NQ971" s="2"/>
      <c r="NR971" s="2"/>
      <c r="NS971" s="2"/>
      <c r="NT971" s="2"/>
      <c r="NU971" s="99"/>
      <c r="NV971" s="173"/>
      <c r="NW971" s="2"/>
      <c r="NX971" s="2"/>
      <c r="NY971" s="2"/>
      <c r="NZ971" s="2"/>
      <c r="OA971" s="2"/>
      <c r="OB971" s="2"/>
      <c r="OC971" s="2"/>
      <c r="OD971" s="2"/>
      <c r="OE971" s="2"/>
      <c r="OF971" s="2"/>
      <c r="OG971" s="2"/>
      <c r="OH971" s="2"/>
      <c r="OI971" s="2"/>
      <c r="OJ971" s="2"/>
      <c r="OK971" s="2"/>
      <c r="OL971" s="2"/>
      <c r="OM971" s="2"/>
      <c r="ON971" s="2"/>
      <c r="OO971" s="2"/>
      <c r="OP971" s="2"/>
    </row>
    <row r="972" spans="1:406" ht="15.75" thickBot="1">
      <c r="A972" s="207"/>
      <c r="B972" s="89"/>
      <c r="C972" s="89"/>
      <c r="D972" s="152"/>
      <c r="E972" s="89"/>
      <c r="F972" s="152"/>
      <c r="G972" s="89"/>
      <c r="H972" s="89"/>
      <c r="I972" s="152"/>
      <c r="J972" s="152"/>
      <c r="K972" s="152"/>
      <c r="L972" s="89"/>
      <c r="M972" s="152"/>
      <c r="N972" s="89"/>
      <c r="O972" s="89"/>
      <c r="P972" s="89"/>
      <c r="Q972" s="89"/>
      <c r="R972" s="89"/>
      <c r="S972" s="89"/>
      <c r="T972" s="89"/>
      <c r="X972" s="3"/>
      <c r="AA972" s="3"/>
      <c r="AB972" s="3"/>
      <c r="AC972" s="3"/>
      <c r="AG972" s="3"/>
      <c r="AJ972" s="3"/>
      <c r="AK972" s="3"/>
      <c r="AL972" s="3"/>
      <c r="AP972" s="3"/>
      <c r="AS972" s="3"/>
      <c r="AT972" s="3"/>
      <c r="AU972" s="3"/>
      <c r="AV972" s="89"/>
      <c r="AW972" s="89"/>
      <c r="AX972" s="89"/>
      <c r="AY972" s="89"/>
      <c r="AZ972" s="89"/>
      <c r="BA972" s="89"/>
      <c r="BB972" s="89"/>
      <c r="BC972" s="89"/>
      <c r="BD972" s="89"/>
      <c r="BE972" s="89"/>
      <c r="BF972" s="89"/>
      <c r="BG972" s="89"/>
      <c r="BH972" s="89"/>
      <c r="BI972" s="89"/>
      <c r="BJ972" s="152"/>
      <c r="BK972" s="175"/>
      <c r="BL972" s="89"/>
      <c r="BM972" s="89"/>
      <c r="BN972" s="89"/>
      <c r="BO972" s="89"/>
      <c r="BP972" s="89"/>
      <c r="BQ972" s="89"/>
      <c r="BR972" s="89"/>
      <c r="BS972" s="89"/>
      <c r="BT972" s="89"/>
      <c r="BU972" s="89"/>
      <c r="BV972" s="89"/>
      <c r="EE972" s="89"/>
      <c r="EF972" s="152"/>
      <c r="EG972" s="175"/>
      <c r="EH972" s="175"/>
      <c r="EI972" s="175"/>
      <c r="EJ972" s="175"/>
      <c r="EK972" s="175"/>
      <c r="EL972" s="175"/>
      <c r="HL972" s="89"/>
      <c r="HM972" s="89"/>
      <c r="HN972" s="89"/>
      <c r="HO972" s="89"/>
      <c r="HP972" s="89"/>
      <c r="HQ972" s="89"/>
      <c r="HR972" s="89"/>
      <c r="HS972" s="89"/>
      <c r="HT972" s="152"/>
      <c r="HU972" s="89"/>
      <c r="HV972" s="89"/>
      <c r="HW972" s="89"/>
      <c r="HX972" s="89"/>
      <c r="HY972" s="89"/>
      <c r="HZ972" s="89"/>
      <c r="IA972" s="89"/>
      <c r="IB972" s="89"/>
      <c r="IC972" s="89"/>
      <c r="ID972" s="89"/>
      <c r="IE972" s="89"/>
      <c r="IF972" s="89"/>
      <c r="IG972" s="89"/>
      <c r="IH972" s="89"/>
      <c r="II972" s="89"/>
      <c r="IJ972" s="89"/>
      <c r="IK972" s="89"/>
      <c r="IL972" s="89"/>
      <c r="IM972" s="89"/>
      <c r="IN972" s="152"/>
      <c r="IO972" s="89"/>
      <c r="IP972" s="157"/>
      <c r="IQ972" s="178"/>
      <c r="IR972" s="89"/>
      <c r="IS972" s="89"/>
      <c r="IT972" s="89"/>
      <c r="IU972" s="152"/>
      <c r="IV972" s="89"/>
      <c r="IW972" s="206"/>
      <c r="IX972" s="178"/>
      <c r="IY972" s="89"/>
      <c r="IZ972" s="89"/>
      <c r="JA972" s="89"/>
      <c r="JB972" s="89"/>
      <c r="JC972" s="89"/>
      <c r="JD972" s="89"/>
      <c r="JE972" s="89"/>
      <c r="JF972" s="89"/>
      <c r="JG972" s="89"/>
      <c r="JH972" s="89"/>
      <c r="JI972" s="89"/>
      <c r="JJ972" s="89"/>
      <c r="JK972" s="89"/>
      <c r="JL972" s="205"/>
      <c r="JM972" s="178"/>
      <c r="JN972" s="2"/>
      <c r="JO972" s="89"/>
      <c r="JP972" s="89"/>
      <c r="JQ972" s="152"/>
      <c r="JR972" s="89"/>
      <c r="JS972" s="89"/>
      <c r="JT972" s="89"/>
      <c r="JU972" s="89"/>
      <c r="JV972" s="89"/>
      <c r="JW972" s="89"/>
      <c r="JX972" s="89"/>
      <c r="JY972" s="89"/>
      <c r="JZ972" s="89"/>
      <c r="KA972" s="89"/>
      <c r="KB972" s="89"/>
      <c r="KC972" s="89"/>
      <c r="KD972" s="89"/>
      <c r="KE972" s="89"/>
      <c r="KF972" s="89"/>
      <c r="KG972" s="157"/>
      <c r="KH972" s="178"/>
      <c r="KI972" s="89"/>
      <c r="KJ972" s="89"/>
      <c r="KK972" s="89"/>
      <c r="KL972" s="89"/>
      <c r="KM972" s="89"/>
      <c r="KN972" s="89"/>
      <c r="KO972" s="182"/>
      <c r="KP972" s="159"/>
      <c r="KQ972" s="89"/>
      <c r="KR972" s="89"/>
      <c r="KS972" s="89"/>
      <c r="KT972" s="89"/>
      <c r="KU972" s="89"/>
      <c r="KV972" s="89"/>
      <c r="KW972" s="89"/>
      <c r="LB972" s="89"/>
      <c r="LC972" s="89"/>
      <c r="LD972" s="89"/>
      <c r="LE972" s="89"/>
      <c r="LF972" s="89"/>
      <c r="LG972" s="89"/>
      <c r="LH972" s="89"/>
      <c r="LI972" s="89"/>
      <c r="LJ972" s="89"/>
      <c r="LK972" s="89"/>
      <c r="LL972" s="89"/>
      <c r="LM972" s="89"/>
      <c r="LN972" s="89"/>
      <c r="LO972" s="89"/>
      <c r="LP972" s="89"/>
      <c r="LQ972" s="89"/>
      <c r="LR972" s="89"/>
      <c r="LS972" s="89"/>
      <c r="LT972" s="89"/>
      <c r="LU972" s="89"/>
      <c r="LV972" s="89"/>
      <c r="LW972" s="89"/>
      <c r="LX972" s="89"/>
      <c r="LY972" s="89"/>
      <c r="LZ972" s="89"/>
      <c r="MA972" s="89"/>
      <c r="MB972" s="89"/>
      <c r="MC972" s="89"/>
      <c r="MD972" s="89"/>
      <c r="ME972" s="89"/>
      <c r="MF972" s="89"/>
      <c r="MG972" s="89"/>
      <c r="MH972" s="89"/>
      <c r="MI972" s="89"/>
      <c r="MJ972" s="89"/>
      <c r="MK972" s="89"/>
      <c r="ML972" s="89"/>
      <c r="MM972" s="89"/>
      <c r="MN972" s="89"/>
      <c r="MO972" s="89"/>
      <c r="MP972" s="89"/>
      <c r="MQ972" s="89"/>
      <c r="MR972" s="89"/>
      <c r="MS972" s="89"/>
      <c r="MT972" s="89"/>
      <c r="MU972" s="89"/>
      <c r="MV972" s="89"/>
      <c r="MW972" s="89"/>
      <c r="MX972" s="89"/>
      <c r="MY972" s="89"/>
      <c r="MZ972" s="89"/>
      <c r="NA972" s="89"/>
      <c r="NB972" s="89"/>
      <c r="NC972" s="89"/>
      <c r="ND972" s="89"/>
      <c r="NE972" s="89"/>
      <c r="NF972" s="89"/>
      <c r="NG972" s="89"/>
      <c r="NH972" s="89"/>
      <c r="NI972" s="152"/>
      <c r="NJ972" s="204"/>
      <c r="NK972" s="89"/>
      <c r="NL972" s="89"/>
      <c r="NM972" s="89"/>
      <c r="NN972" s="89"/>
      <c r="NO972" s="89"/>
      <c r="NP972" s="89"/>
      <c r="NQ972" s="89"/>
      <c r="NR972" s="89"/>
      <c r="NS972" s="89"/>
      <c r="NT972" s="89"/>
      <c r="NU972" s="152"/>
      <c r="NV972" s="97"/>
      <c r="NW972" s="89"/>
      <c r="NX972" s="89"/>
      <c r="NY972" s="89"/>
      <c r="NZ972" s="89"/>
      <c r="OA972" s="89"/>
      <c r="OB972" s="89"/>
      <c r="OC972" s="89"/>
      <c r="OD972" s="89"/>
      <c r="OE972" s="89"/>
      <c r="OF972" s="89"/>
      <c r="OG972" s="89"/>
      <c r="OH972" s="89"/>
      <c r="OI972" s="89"/>
      <c r="OJ972" s="89"/>
      <c r="OK972" s="89"/>
      <c r="OL972" s="89"/>
      <c r="OM972" s="89"/>
      <c r="ON972" s="89"/>
      <c r="OO972" s="89"/>
      <c r="OP972" s="89"/>
    </row>
    <row r="973" spans="1:406" ht="15.75" thickBot="1">
      <c r="A973" s="209"/>
      <c r="B973" s="2"/>
      <c r="C973" s="2"/>
      <c r="D973" s="99"/>
      <c r="E973" s="2"/>
      <c r="F973" s="152"/>
      <c r="G973" s="2"/>
      <c r="H973" s="2"/>
      <c r="I973" s="152"/>
      <c r="J973" s="152"/>
      <c r="K973" s="152"/>
      <c r="L973" s="2"/>
      <c r="M973" s="99"/>
      <c r="N973" s="2"/>
      <c r="O973" s="89"/>
      <c r="P973" s="2"/>
      <c r="Q973" s="2"/>
      <c r="R973" s="89"/>
      <c r="S973" s="89"/>
      <c r="T973" s="89"/>
      <c r="X973" s="3"/>
      <c r="AA973" s="3"/>
      <c r="AB973" s="3"/>
      <c r="AC973" s="3"/>
      <c r="AG973" s="3"/>
      <c r="AJ973" s="3"/>
      <c r="AK973" s="3"/>
      <c r="AL973" s="3"/>
      <c r="AP973" s="3"/>
      <c r="AS973" s="3"/>
      <c r="AT973" s="3"/>
      <c r="AU973" s="3"/>
      <c r="AV973" s="2"/>
      <c r="AW973" s="2"/>
      <c r="AX973" s="2"/>
      <c r="AY973" s="2"/>
      <c r="AZ973" s="2"/>
      <c r="BA973" s="2"/>
      <c r="BB973" s="2"/>
      <c r="BC973" s="2"/>
      <c r="BD973" s="2"/>
      <c r="BE973" s="2"/>
      <c r="BF973" s="2"/>
      <c r="BG973" s="2"/>
      <c r="BH973" s="2"/>
      <c r="BI973" s="2"/>
      <c r="BJ973" s="99"/>
      <c r="BK973" s="210"/>
      <c r="BL973" s="2"/>
      <c r="BM973" s="2"/>
      <c r="BN973" s="2"/>
      <c r="BO973" s="2"/>
      <c r="BP973" s="2"/>
      <c r="BQ973" s="2"/>
      <c r="BR973" s="2"/>
      <c r="BS973" s="2"/>
      <c r="BT973" s="2"/>
      <c r="BU973" s="2"/>
      <c r="BV973" s="2"/>
      <c r="EE973" s="2"/>
      <c r="EF973" s="99"/>
      <c r="EG973" s="210"/>
      <c r="EH973" s="210"/>
      <c r="EI973" s="210"/>
      <c r="EJ973" s="210"/>
      <c r="EK973" s="210"/>
      <c r="EL973" s="210"/>
      <c r="HL973" s="2"/>
      <c r="HM973" s="2"/>
      <c r="HN973" s="2"/>
      <c r="HO973" s="2"/>
      <c r="HP973" s="2"/>
      <c r="HQ973" s="2"/>
      <c r="HR973" s="2"/>
      <c r="HS973" s="2"/>
      <c r="HT973" s="99"/>
      <c r="HU973" s="2"/>
      <c r="HV973" s="2"/>
      <c r="HW973" s="2"/>
      <c r="HX973" s="2"/>
      <c r="HY973" s="2"/>
      <c r="HZ973" s="2"/>
      <c r="IA973" s="2"/>
      <c r="IB973" s="2"/>
      <c r="IC973" s="2"/>
      <c r="ID973" s="2"/>
      <c r="IE973" s="2"/>
      <c r="IF973" s="2"/>
      <c r="IG973" s="2"/>
      <c r="IH973" s="2"/>
      <c r="II973" s="2"/>
      <c r="IJ973" s="2"/>
      <c r="IK973" s="2"/>
      <c r="IL973" s="2"/>
      <c r="IM973" s="2"/>
      <c r="IN973" s="99"/>
      <c r="IO973" s="2"/>
      <c r="IP973" s="168"/>
      <c r="IQ973" s="172"/>
      <c r="IR973" s="2"/>
      <c r="IS973" s="2"/>
      <c r="IT973" s="2"/>
      <c r="IU973" s="99"/>
      <c r="IV973" s="2"/>
      <c r="IW973" s="211"/>
      <c r="IX973" s="172"/>
      <c r="IY973" s="2"/>
      <c r="IZ973" s="2"/>
      <c r="JA973" s="2"/>
      <c r="JB973" s="2"/>
      <c r="JC973" s="2"/>
      <c r="JD973" s="2"/>
      <c r="JE973" s="2"/>
      <c r="JF973" s="2"/>
      <c r="JG973" s="2"/>
      <c r="JH973" s="2"/>
      <c r="JI973" s="2"/>
      <c r="JJ973" s="2"/>
      <c r="JK973" s="2"/>
      <c r="JL973" s="205"/>
      <c r="JM973" s="172"/>
      <c r="JN973" s="2"/>
      <c r="JO973" s="2"/>
      <c r="JP973" s="2"/>
      <c r="JQ973" s="99"/>
      <c r="JR973" s="2"/>
      <c r="JS973" s="2"/>
      <c r="JT973" s="2"/>
      <c r="JU973" s="2"/>
      <c r="JV973" s="2"/>
      <c r="JW973" s="2"/>
      <c r="JX973" s="2"/>
      <c r="JY973" s="2"/>
      <c r="JZ973" s="2"/>
      <c r="KA973" s="2"/>
      <c r="KB973" s="2"/>
      <c r="KC973" s="2"/>
      <c r="KD973" s="2"/>
      <c r="KE973" s="2"/>
      <c r="KF973" s="2"/>
      <c r="KG973" s="168"/>
      <c r="KH973" s="172"/>
      <c r="KI973" s="2"/>
      <c r="KJ973" s="2"/>
      <c r="KK973" s="2"/>
      <c r="KL973" s="2"/>
      <c r="KM973" s="2"/>
      <c r="KN973" s="2"/>
      <c r="KO973" s="182"/>
      <c r="KP973" s="171"/>
      <c r="KQ973" s="2"/>
      <c r="KR973" s="2"/>
      <c r="KS973" s="2"/>
      <c r="KT973" s="2"/>
      <c r="KU973" s="2"/>
      <c r="KV973" s="2"/>
      <c r="KW973" s="2"/>
      <c r="LB973" s="2"/>
      <c r="LC973" s="2"/>
      <c r="LD973" s="2"/>
      <c r="LE973" s="2"/>
      <c r="LF973" s="2"/>
      <c r="LG973" s="2"/>
      <c r="LH973" s="2"/>
      <c r="LI973" s="2"/>
      <c r="LJ973" s="2"/>
      <c r="LK973" s="2"/>
      <c r="LL973" s="2"/>
      <c r="LM973" s="2"/>
      <c r="LN973" s="2"/>
      <c r="LO973" s="2"/>
      <c r="LP973" s="2"/>
      <c r="LQ973" s="2"/>
      <c r="LR973" s="2"/>
      <c r="LS973" s="2"/>
      <c r="LT973" s="2"/>
      <c r="LU973" s="2"/>
      <c r="LV973" s="2"/>
      <c r="LW973" s="2"/>
      <c r="LX973" s="2"/>
      <c r="LY973" s="2"/>
      <c r="LZ973" s="2"/>
      <c r="MA973" s="2"/>
      <c r="MB973" s="2"/>
      <c r="MC973" s="2"/>
      <c r="MD973" s="2"/>
      <c r="ME973" s="2"/>
      <c r="MF973" s="2"/>
      <c r="MG973" s="2"/>
      <c r="MH973" s="2"/>
      <c r="MI973" s="2"/>
      <c r="MJ973" s="2"/>
      <c r="MK973" s="2"/>
      <c r="ML973" s="2"/>
      <c r="MM973" s="2"/>
      <c r="MN973" s="2"/>
      <c r="MO973" s="2"/>
      <c r="MP973" s="2"/>
      <c r="MQ973" s="2"/>
      <c r="MR973" s="2"/>
      <c r="MS973" s="2"/>
      <c r="MT973" s="2"/>
      <c r="MU973" s="2"/>
      <c r="MV973" s="2"/>
      <c r="MW973" s="2"/>
      <c r="MX973" s="2"/>
      <c r="MY973" s="2"/>
      <c r="MZ973" s="2"/>
      <c r="NA973" s="2"/>
      <c r="NB973" s="2"/>
      <c r="NC973" s="2"/>
      <c r="ND973" s="2"/>
      <c r="NE973" s="2"/>
      <c r="NF973" s="2"/>
      <c r="NG973" s="2"/>
      <c r="NH973" s="2"/>
      <c r="NI973" s="99"/>
      <c r="NJ973" s="208"/>
      <c r="NK973" s="2"/>
      <c r="NL973" s="2"/>
      <c r="NM973" s="2"/>
      <c r="NN973" s="2"/>
      <c r="NO973" s="2"/>
      <c r="NP973" s="2"/>
      <c r="NQ973" s="2"/>
      <c r="NR973" s="2"/>
      <c r="NS973" s="2"/>
      <c r="NT973" s="2"/>
      <c r="NU973" s="99"/>
      <c r="NV973" s="173"/>
      <c r="NW973" s="2"/>
      <c r="NX973" s="2"/>
      <c r="NY973" s="2"/>
      <c r="NZ973" s="2"/>
      <c r="OA973" s="2"/>
      <c r="OB973" s="2"/>
      <c r="OC973" s="2"/>
      <c r="OD973" s="2"/>
      <c r="OE973" s="2"/>
      <c r="OF973" s="2"/>
      <c r="OG973" s="2"/>
      <c r="OH973" s="2"/>
      <c r="OI973" s="2"/>
      <c r="OJ973" s="2"/>
      <c r="OK973" s="2"/>
      <c r="OL973" s="2"/>
      <c r="OM973" s="2"/>
      <c r="ON973" s="2"/>
      <c r="OO973" s="2"/>
      <c r="OP973" s="2"/>
    </row>
    <row r="974" spans="1:406" ht="15.75" thickBot="1">
      <c r="A974" s="207"/>
      <c r="B974" s="89"/>
      <c r="C974" s="89"/>
      <c r="D974" s="152"/>
      <c r="E974" s="89"/>
      <c r="F974" s="152"/>
      <c r="G974" s="89"/>
      <c r="H974" s="89"/>
      <c r="I974" s="152"/>
      <c r="J974" s="152"/>
      <c r="K974" s="152"/>
      <c r="L974" s="89"/>
      <c r="M974" s="152"/>
      <c r="N974" s="89"/>
      <c r="O974" s="89"/>
      <c r="P974" s="89"/>
      <c r="Q974" s="89"/>
      <c r="R974" s="89"/>
      <c r="S974" s="89"/>
      <c r="T974" s="89"/>
      <c r="X974" s="3"/>
      <c r="AA974" s="3"/>
      <c r="AB974" s="3"/>
      <c r="AC974" s="3"/>
      <c r="AG974" s="3"/>
      <c r="AJ974" s="3"/>
      <c r="AK974" s="3"/>
      <c r="AL974" s="3"/>
      <c r="AP974" s="3"/>
      <c r="AS974" s="3"/>
      <c r="AT974" s="3"/>
      <c r="AU974" s="3"/>
      <c r="AV974" s="89"/>
      <c r="AW974" s="89"/>
      <c r="AX974" s="89"/>
      <c r="AY974" s="89"/>
      <c r="AZ974" s="89"/>
      <c r="BA974" s="89"/>
      <c r="BB974" s="89"/>
      <c r="BC974" s="89"/>
      <c r="BD974" s="89"/>
      <c r="BE974" s="89"/>
      <c r="BF974" s="89"/>
      <c r="BG974" s="89"/>
      <c r="BH974" s="89"/>
      <c r="BI974" s="89"/>
      <c r="BJ974" s="152"/>
      <c r="BK974" s="175"/>
      <c r="BL974" s="89"/>
      <c r="BM974" s="89"/>
      <c r="BN974" s="89"/>
      <c r="BO974" s="89"/>
      <c r="BP974" s="89"/>
      <c r="BQ974" s="89"/>
      <c r="BR974" s="89"/>
      <c r="BS974" s="89"/>
      <c r="BT974" s="89"/>
      <c r="BU974" s="89"/>
      <c r="BV974" s="89"/>
      <c r="EE974" s="89"/>
      <c r="EF974" s="152"/>
      <c r="EG974" s="175"/>
      <c r="EH974" s="175"/>
      <c r="EI974" s="175"/>
      <c r="EJ974" s="175"/>
      <c r="EK974" s="175"/>
      <c r="EL974" s="175"/>
      <c r="EM974" s="9"/>
      <c r="EN974" s="9"/>
      <c r="EO974" s="9"/>
      <c r="EP974" s="9"/>
      <c r="EQ974" s="9"/>
      <c r="ER974" s="9"/>
      <c r="ES974" s="9"/>
      <c r="ET974" s="9"/>
      <c r="EU974" s="9"/>
      <c r="EV974" s="9"/>
      <c r="EW974" s="9"/>
      <c r="EX974" s="9"/>
      <c r="EY974" s="9"/>
      <c r="EZ974" s="9"/>
      <c r="FA974" s="9"/>
      <c r="FB974" s="9"/>
      <c r="FC974" s="9"/>
      <c r="FD974" s="9"/>
      <c r="FE974" s="9"/>
      <c r="FF974" s="9"/>
      <c r="FG974" s="9"/>
      <c r="FH974" s="9"/>
      <c r="FI974" s="9"/>
      <c r="FJ974" s="9"/>
      <c r="FK974" s="9"/>
      <c r="FL974" s="9"/>
      <c r="FM974" s="9"/>
      <c r="FN974" s="9"/>
      <c r="FO974" s="9"/>
      <c r="FP974" s="9"/>
      <c r="FQ974" s="9"/>
      <c r="FR974" s="9"/>
      <c r="FS974" s="9"/>
      <c r="FT974" s="9"/>
      <c r="FU974" s="9"/>
      <c r="FV974" s="9"/>
      <c r="FW974" s="9"/>
      <c r="FX974" s="9"/>
      <c r="FY974" s="9"/>
      <c r="FZ974" s="9"/>
      <c r="GA974" s="9"/>
      <c r="GB974" s="9"/>
      <c r="GC974" s="9"/>
      <c r="GD974" s="9"/>
      <c r="GE974" s="9"/>
      <c r="GF974" s="9"/>
      <c r="GG974" s="9"/>
      <c r="GH974" s="9"/>
      <c r="GI974" s="9"/>
      <c r="GJ974" s="9"/>
      <c r="GK974" s="9"/>
      <c r="GL974" s="9"/>
      <c r="GM974" s="9"/>
      <c r="GN974" s="9"/>
      <c r="GO974" s="9"/>
      <c r="GP974" s="9"/>
      <c r="GQ974" s="9"/>
      <c r="GR974" s="9"/>
      <c r="GS974" s="9"/>
      <c r="GT974" s="9"/>
      <c r="GU974" s="9"/>
      <c r="GV974" s="9"/>
      <c r="GW974" s="9"/>
      <c r="GX974" s="9"/>
      <c r="GY974" s="9"/>
      <c r="GZ974" s="9"/>
      <c r="HA974" s="9"/>
      <c r="HB974" s="9"/>
      <c r="HC974" s="9"/>
      <c r="HD974" s="9"/>
      <c r="HE974" s="9"/>
      <c r="HF974" s="9"/>
      <c r="HG974" s="9"/>
      <c r="HH974" s="9"/>
      <c r="HI974" s="9"/>
      <c r="HJ974" s="9"/>
      <c r="HK974" s="9"/>
      <c r="HL974" s="89"/>
      <c r="HM974" s="89"/>
      <c r="HN974" s="89"/>
      <c r="HO974" s="89"/>
      <c r="HP974" s="89"/>
      <c r="HQ974" s="89"/>
      <c r="HR974" s="89"/>
      <c r="HS974" s="89"/>
      <c r="HT974" s="152"/>
      <c r="HU974" s="89"/>
      <c r="HV974" s="89"/>
      <c r="HW974" s="89"/>
      <c r="HX974" s="89"/>
      <c r="HY974" s="89"/>
      <c r="HZ974" s="89"/>
      <c r="IA974" s="89"/>
      <c r="IB974" s="89"/>
      <c r="IC974" s="89"/>
      <c r="ID974" s="89"/>
      <c r="IE974" s="89"/>
      <c r="IF974" s="89"/>
      <c r="IG974" s="89"/>
      <c r="IH974" s="89"/>
      <c r="II974" s="89"/>
      <c r="IJ974" s="89"/>
      <c r="IK974" s="89"/>
      <c r="IL974" s="89"/>
      <c r="IM974" s="89"/>
      <c r="IN974" s="89"/>
      <c r="IO974" s="89"/>
      <c r="IP974" s="157"/>
      <c r="IQ974" s="178"/>
      <c r="IR974" s="89"/>
      <c r="IS974" s="89"/>
      <c r="IT974" s="89"/>
      <c r="IU974" s="152"/>
      <c r="IV974" s="89"/>
      <c r="IW974" s="153"/>
      <c r="IX974" s="89"/>
      <c r="IY974" s="89"/>
      <c r="IZ974" s="89"/>
      <c r="JA974" s="89"/>
      <c r="JB974" s="89"/>
      <c r="JC974" s="89"/>
      <c r="JD974" s="89"/>
      <c r="JE974" s="89"/>
      <c r="JF974" s="89"/>
      <c r="JG974" s="89"/>
      <c r="JH974" s="89"/>
      <c r="JI974" s="89"/>
      <c r="JJ974" s="89"/>
      <c r="JK974" s="89"/>
      <c r="JL974" s="205"/>
      <c r="JM974" s="178"/>
      <c r="JN974" s="2"/>
      <c r="JO974" s="89"/>
      <c r="JP974" s="89"/>
      <c r="JQ974" s="152"/>
      <c r="JR974" s="89"/>
      <c r="JS974" s="89"/>
      <c r="JT974" s="89"/>
      <c r="JU974" s="89"/>
      <c r="JV974" s="89"/>
      <c r="JW974" s="89"/>
      <c r="JX974" s="89"/>
      <c r="JY974" s="89"/>
      <c r="JZ974" s="89"/>
      <c r="KA974" s="89"/>
      <c r="KB974" s="89"/>
      <c r="KC974" s="89"/>
      <c r="KD974" s="89"/>
      <c r="KE974" s="89"/>
      <c r="KF974" s="89"/>
      <c r="KG974" s="157"/>
      <c r="KH974" s="178"/>
      <c r="KI974" s="89"/>
      <c r="KJ974" s="89"/>
      <c r="KK974" s="89"/>
      <c r="KL974" s="89"/>
      <c r="KM974" s="89"/>
      <c r="KN974" s="89"/>
      <c r="KO974" s="157"/>
      <c r="KP974" s="178"/>
      <c r="KQ974" s="89"/>
      <c r="KR974" s="89"/>
      <c r="KS974" s="89"/>
      <c r="KT974" s="89"/>
      <c r="KU974" s="89"/>
      <c r="KV974" s="89"/>
      <c r="KW974" s="89"/>
      <c r="LB974" s="89"/>
      <c r="LC974" s="89"/>
      <c r="LD974" s="89"/>
      <c r="LE974" s="89"/>
      <c r="LF974" s="89"/>
      <c r="LG974" s="89"/>
      <c r="LH974" s="89"/>
      <c r="LI974" s="89"/>
      <c r="LJ974" s="89"/>
      <c r="LK974" s="89"/>
      <c r="LL974" s="89"/>
      <c r="LM974" s="89"/>
      <c r="LN974" s="89"/>
      <c r="LO974" s="89"/>
      <c r="LP974" s="89"/>
      <c r="LQ974" s="89"/>
      <c r="LR974" s="89"/>
      <c r="LS974" s="89"/>
      <c r="LT974" s="89"/>
      <c r="LU974" s="89"/>
      <c r="LV974" s="89"/>
      <c r="LW974" s="89"/>
      <c r="LX974" s="89"/>
      <c r="LY974" s="89"/>
      <c r="LZ974" s="89"/>
      <c r="MA974" s="89"/>
      <c r="MB974" s="89"/>
      <c r="MC974" s="89"/>
      <c r="MD974" s="89"/>
      <c r="ME974" s="89"/>
      <c r="MF974" s="89"/>
      <c r="MG974" s="89"/>
      <c r="MH974" s="89"/>
      <c r="MI974" s="89"/>
      <c r="MJ974" s="89"/>
      <c r="MK974" s="89"/>
      <c r="ML974" s="89"/>
      <c r="MM974" s="89"/>
      <c r="MN974" s="89"/>
      <c r="MO974" s="89"/>
      <c r="MP974" s="89"/>
      <c r="MQ974" s="89"/>
      <c r="MR974" s="89"/>
      <c r="MS974" s="89"/>
      <c r="MT974" s="89"/>
      <c r="MU974" s="89"/>
      <c r="MV974" s="89"/>
      <c r="MW974" s="89"/>
      <c r="MX974" s="89"/>
      <c r="MY974" s="89"/>
      <c r="MZ974" s="89"/>
      <c r="NA974" s="89"/>
      <c r="NB974" s="89"/>
      <c r="NC974" s="89"/>
      <c r="ND974" s="89"/>
      <c r="NE974" s="89"/>
      <c r="NF974" s="89"/>
      <c r="NG974" s="89"/>
      <c r="NH974" s="89"/>
      <c r="NI974" s="152"/>
      <c r="NJ974" s="204"/>
      <c r="NK974" s="89"/>
      <c r="NL974" s="89"/>
      <c r="NM974" s="89"/>
      <c r="NN974" s="89"/>
      <c r="NO974" s="89"/>
      <c r="NP974" s="89"/>
      <c r="NQ974" s="89"/>
      <c r="NR974" s="89"/>
      <c r="NS974" s="89"/>
      <c r="NT974" s="89"/>
      <c r="NU974" s="152"/>
      <c r="NV974" s="97"/>
      <c r="NW974" s="89"/>
      <c r="NX974" s="89"/>
      <c r="NY974" s="89"/>
      <c r="NZ974" s="89"/>
      <c r="OA974" s="89"/>
      <c r="OB974" s="89"/>
      <c r="OC974" s="89"/>
      <c r="OD974" s="89"/>
      <c r="OE974" s="89"/>
      <c r="OF974" s="89"/>
      <c r="OG974" s="89"/>
      <c r="OH974" s="89"/>
      <c r="OI974" s="89"/>
      <c r="OJ974" s="89"/>
      <c r="OK974" s="89"/>
      <c r="OL974" s="89"/>
      <c r="OM974" s="89"/>
      <c r="ON974" s="89"/>
      <c r="OO974" s="89"/>
      <c r="OP974" s="89"/>
    </row>
    <row r="975" spans="1:406" ht="15.75" thickBot="1">
      <c r="A975" s="209"/>
      <c r="B975" s="2"/>
      <c r="C975" s="2"/>
      <c r="D975" s="99"/>
      <c r="E975" s="2"/>
      <c r="F975" s="152"/>
      <c r="G975" s="2"/>
      <c r="H975" s="2"/>
      <c r="I975" s="152"/>
      <c r="J975" s="152"/>
      <c r="K975" s="152"/>
      <c r="L975" s="2"/>
      <c r="M975" s="99"/>
      <c r="N975" s="2"/>
      <c r="O975" s="89"/>
      <c r="P975" s="2"/>
      <c r="Q975" s="2"/>
      <c r="R975" s="89"/>
      <c r="S975" s="89"/>
      <c r="T975" s="89"/>
      <c r="X975" s="3"/>
      <c r="AA975" s="3"/>
      <c r="AB975" s="3"/>
      <c r="AC975" s="3"/>
      <c r="AG975" s="3"/>
      <c r="AJ975" s="3"/>
      <c r="AK975" s="3"/>
      <c r="AL975" s="3"/>
      <c r="AP975" s="3"/>
      <c r="AS975" s="3"/>
      <c r="AT975" s="3"/>
      <c r="AU975" s="3"/>
      <c r="AV975" s="2"/>
      <c r="AW975" s="2"/>
      <c r="AX975" s="2"/>
      <c r="AY975" s="2"/>
      <c r="AZ975" s="2"/>
      <c r="BA975" s="2"/>
      <c r="BB975" s="2"/>
      <c r="BC975" s="2"/>
      <c r="BD975" s="2"/>
      <c r="BE975" s="2"/>
      <c r="BF975" s="2"/>
      <c r="BG975" s="2"/>
      <c r="BH975" s="2"/>
      <c r="BI975" s="2"/>
      <c r="BJ975" s="99"/>
      <c r="BK975" s="210"/>
      <c r="BL975" s="2"/>
      <c r="BM975" s="2"/>
      <c r="BN975" s="2"/>
      <c r="BO975" s="2"/>
      <c r="BP975" s="2"/>
      <c r="BQ975" s="2"/>
      <c r="BR975" s="2"/>
      <c r="BS975" s="2"/>
      <c r="BT975" s="2"/>
      <c r="BU975" s="2"/>
      <c r="BV975" s="2"/>
      <c r="EE975" s="2"/>
      <c r="EF975" s="99"/>
      <c r="EG975" s="210"/>
      <c r="EH975" s="210"/>
      <c r="EI975" s="210"/>
      <c r="EJ975" s="210"/>
      <c r="EK975" s="210"/>
      <c r="EL975" s="210"/>
      <c r="EM975" s="9"/>
      <c r="EN975" s="9"/>
      <c r="EO975" s="9"/>
      <c r="EP975" s="9"/>
      <c r="EQ975" s="9"/>
      <c r="ER975" s="9"/>
      <c r="ES975" s="9"/>
      <c r="ET975" s="9"/>
      <c r="EU975" s="9"/>
      <c r="EV975" s="9"/>
      <c r="EW975" s="9"/>
      <c r="EX975" s="9"/>
      <c r="EY975" s="9"/>
      <c r="EZ975" s="9"/>
      <c r="FA975" s="9"/>
      <c r="FB975" s="9"/>
      <c r="FC975" s="9"/>
      <c r="FD975" s="9"/>
      <c r="FE975" s="9"/>
      <c r="FF975" s="9"/>
      <c r="FG975" s="9"/>
      <c r="FH975" s="9"/>
      <c r="FI975" s="9"/>
      <c r="FJ975" s="9"/>
      <c r="FK975" s="9"/>
      <c r="FL975" s="9"/>
      <c r="FM975" s="9"/>
      <c r="FN975" s="9"/>
      <c r="FO975" s="9"/>
      <c r="FP975" s="9"/>
      <c r="FQ975" s="9"/>
      <c r="FR975" s="9"/>
      <c r="FS975" s="9"/>
      <c r="FT975" s="9"/>
      <c r="FU975" s="9"/>
      <c r="FV975" s="9"/>
      <c r="FW975" s="9"/>
      <c r="FX975" s="9"/>
      <c r="FY975" s="9"/>
      <c r="FZ975" s="9"/>
      <c r="GA975" s="9"/>
      <c r="GB975" s="9"/>
      <c r="GC975" s="9"/>
      <c r="GD975" s="9"/>
      <c r="GE975" s="9"/>
      <c r="GF975" s="9"/>
      <c r="GG975" s="9"/>
      <c r="GH975" s="9"/>
      <c r="GI975" s="9"/>
      <c r="GJ975" s="9"/>
      <c r="GK975" s="9"/>
      <c r="GL975" s="9"/>
      <c r="GM975" s="9"/>
      <c r="GN975" s="9"/>
      <c r="GO975" s="9"/>
      <c r="GP975" s="9"/>
      <c r="GQ975" s="9"/>
      <c r="GR975" s="9"/>
      <c r="GS975" s="9"/>
      <c r="GT975" s="9"/>
      <c r="GU975" s="9"/>
      <c r="GV975" s="9"/>
      <c r="GW975" s="9"/>
      <c r="GX975" s="9"/>
      <c r="GY975" s="9"/>
      <c r="GZ975" s="9"/>
      <c r="HA975" s="9"/>
      <c r="HB975" s="9"/>
      <c r="HC975" s="9"/>
      <c r="HD975" s="9"/>
      <c r="HE975" s="9"/>
      <c r="HF975" s="9"/>
      <c r="HG975" s="9"/>
      <c r="HH975" s="9"/>
      <c r="HI975" s="9"/>
      <c r="HJ975" s="9"/>
      <c r="HK975" s="9"/>
      <c r="HL975" s="2"/>
      <c r="HM975" s="2"/>
      <c r="HN975" s="2"/>
      <c r="HO975" s="2"/>
      <c r="HP975" s="2"/>
      <c r="HQ975" s="2"/>
      <c r="HR975" s="2"/>
      <c r="HS975" s="2"/>
      <c r="HT975" s="99"/>
      <c r="HU975" s="2"/>
      <c r="HV975" s="2"/>
      <c r="HW975" s="2"/>
      <c r="HX975" s="2"/>
      <c r="HY975" s="2"/>
      <c r="HZ975" s="2"/>
      <c r="IA975" s="2"/>
      <c r="IB975" s="2"/>
      <c r="IC975" s="2"/>
      <c r="ID975" s="2"/>
      <c r="IE975" s="2"/>
      <c r="IF975" s="2"/>
      <c r="IG975" s="2"/>
      <c r="IH975" s="2"/>
      <c r="II975" s="2"/>
      <c r="IJ975" s="2"/>
      <c r="IK975" s="2"/>
      <c r="IL975" s="2"/>
      <c r="IM975" s="2"/>
      <c r="IN975" s="2"/>
      <c r="IO975" s="2"/>
      <c r="IP975" s="168"/>
      <c r="IQ975" s="172"/>
      <c r="IR975" s="2"/>
      <c r="IS975" s="2"/>
      <c r="IT975" s="2"/>
      <c r="IU975" s="99"/>
      <c r="IV975" s="2"/>
      <c r="IW975" s="2"/>
      <c r="IX975" s="2"/>
      <c r="IY975" s="2"/>
      <c r="IZ975" s="2"/>
      <c r="JA975" s="2"/>
      <c r="JB975" s="2"/>
      <c r="JC975" s="2"/>
      <c r="JD975" s="2"/>
      <c r="JE975" s="2"/>
      <c r="JF975" s="2"/>
      <c r="JG975" s="2"/>
      <c r="JH975" s="2"/>
      <c r="JI975" s="2"/>
      <c r="JJ975" s="2"/>
      <c r="JK975" s="2"/>
      <c r="JL975" s="205"/>
      <c r="JM975" s="172"/>
      <c r="JN975" s="2"/>
      <c r="JO975" s="2"/>
      <c r="JP975" s="2"/>
      <c r="JQ975" s="99"/>
      <c r="JR975" s="2"/>
      <c r="JS975" s="2"/>
      <c r="JT975" s="2"/>
      <c r="JU975" s="2"/>
      <c r="JV975" s="2"/>
      <c r="JW975" s="2"/>
      <c r="JX975" s="2"/>
      <c r="JY975" s="2"/>
      <c r="JZ975" s="2"/>
      <c r="KA975" s="2"/>
      <c r="KB975" s="2"/>
      <c r="KC975" s="2"/>
      <c r="KD975" s="2"/>
      <c r="KE975" s="2"/>
      <c r="KF975" s="2"/>
      <c r="KG975" s="168"/>
      <c r="KH975" s="172"/>
      <c r="KI975" s="2"/>
      <c r="KJ975" s="2"/>
      <c r="KK975" s="2"/>
      <c r="KL975" s="2"/>
      <c r="KM975" s="2"/>
      <c r="KN975" s="2"/>
      <c r="KO975" s="168"/>
      <c r="KP975" s="172"/>
      <c r="KQ975" s="2"/>
      <c r="KR975" s="2"/>
      <c r="KS975" s="2"/>
      <c r="KT975" s="2"/>
      <c r="KU975" s="2"/>
      <c r="KV975" s="2"/>
      <c r="KW975" s="2"/>
      <c r="LB975" s="2"/>
      <c r="LC975" s="2"/>
      <c r="LD975" s="2"/>
      <c r="LE975" s="2"/>
      <c r="LF975" s="2"/>
      <c r="LG975" s="2"/>
      <c r="LH975" s="2"/>
      <c r="LI975" s="2"/>
      <c r="LJ975" s="2"/>
      <c r="LK975" s="2"/>
      <c r="LL975" s="2"/>
      <c r="LM975" s="2"/>
      <c r="LN975" s="2"/>
      <c r="LO975" s="2"/>
      <c r="LP975" s="2"/>
      <c r="LQ975" s="2"/>
      <c r="LR975" s="2"/>
      <c r="LS975" s="2"/>
      <c r="LT975" s="2"/>
      <c r="LU975" s="2"/>
      <c r="LV975" s="2"/>
      <c r="LW975" s="2"/>
      <c r="LX975" s="2"/>
      <c r="LY975" s="2"/>
      <c r="LZ975" s="2"/>
      <c r="MA975" s="2"/>
      <c r="MB975" s="2"/>
      <c r="MC975" s="2"/>
      <c r="MD975" s="2"/>
      <c r="ME975" s="2"/>
      <c r="MF975" s="2"/>
      <c r="MG975" s="2"/>
      <c r="MH975" s="2"/>
      <c r="MI975" s="2"/>
      <c r="MJ975" s="2"/>
      <c r="MK975" s="2"/>
      <c r="ML975" s="2"/>
      <c r="MM975" s="2"/>
      <c r="MN975" s="2"/>
      <c r="MO975" s="2"/>
      <c r="MP975" s="2"/>
      <c r="MQ975" s="2"/>
      <c r="MR975" s="2"/>
      <c r="MS975" s="2"/>
      <c r="MT975" s="2"/>
      <c r="MU975" s="2"/>
      <c r="MV975" s="2"/>
      <c r="MW975" s="2"/>
      <c r="MX975" s="2"/>
      <c r="MY975" s="2"/>
      <c r="MZ975" s="2"/>
      <c r="NA975" s="2"/>
      <c r="NB975" s="2"/>
      <c r="NC975" s="2"/>
      <c r="ND975" s="2"/>
      <c r="NE975" s="2"/>
      <c r="NF975" s="2"/>
      <c r="NG975" s="2"/>
      <c r="NH975" s="2"/>
      <c r="NI975" s="99"/>
      <c r="NJ975" s="208"/>
      <c r="NK975" s="2"/>
      <c r="NL975" s="2"/>
      <c r="NM975" s="2"/>
      <c r="NN975" s="2"/>
      <c r="NO975" s="2"/>
      <c r="NP975" s="2"/>
      <c r="NQ975" s="2"/>
      <c r="NR975" s="2"/>
      <c r="NS975" s="2"/>
      <c r="NT975" s="2"/>
      <c r="NU975" s="99"/>
      <c r="NV975" s="173"/>
      <c r="NW975" s="2"/>
      <c r="NX975" s="2"/>
      <c r="NY975" s="2"/>
      <c r="NZ975" s="2"/>
      <c r="OA975" s="2"/>
      <c r="OB975" s="2"/>
      <c r="OC975" s="2"/>
      <c r="OD975" s="2"/>
      <c r="OE975" s="2"/>
      <c r="OF975" s="2"/>
      <c r="OG975" s="2"/>
      <c r="OH975" s="2"/>
      <c r="OI975" s="2"/>
      <c r="OJ975" s="2"/>
      <c r="OK975" s="2"/>
      <c r="OL975" s="2"/>
      <c r="OM975" s="2"/>
      <c r="ON975" s="2"/>
      <c r="OO975" s="2"/>
      <c r="OP975" s="2"/>
    </row>
    <row r="976" spans="1:406" ht="15.75" thickBot="1">
      <c r="A976" s="207"/>
      <c r="B976" s="89"/>
      <c r="C976" s="89"/>
      <c r="D976" s="152"/>
      <c r="E976" s="89"/>
      <c r="F976" s="152"/>
      <c r="G976" s="89"/>
      <c r="H976" s="89"/>
      <c r="I976" s="152"/>
      <c r="J976" s="152"/>
      <c r="K976" s="152"/>
      <c r="L976" s="89"/>
      <c r="M976" s="152"/>
      <c r="N976" s="89"/>
      <c r="O976" s="89"/>
      <c r="P976" s="89"/>
      <c r="Q976" s="89"/>
      <c r="R976" s="89"/>
      <c r="S976" s="89"/>
      <c r="T976" s="89"/>
      <c r="X976" s="3"/>
      <c r="AA976" s="3"/>
      <c r="AB976" s="3"/>
      <c r="AC976" s="3"/>
      <c r="AG976" s="3"/>
      <c r="AJ976" s="3"/>
      <c r="AK976" s="3"/>
      <c r="AL976" s="3"/>
      <c r="AP976" s="3"/>
      <c r="AS976" s="3"/>
      <c r="AT976" s="3"/>
      <c r="AU976" s="3"/>
      <c r="AV976" s="89"/>
      <c r="AW976" s="89"/>
      <c r="AX976" s="89"/>
      <c r="AY976" s="89"/>
      <c r="AZ976" s="89"/>
      <c r="BA976" s="89"/>
      <c r="BB976" s="89"/>
      <c r="BC976" s="89"/>
      <c r="BD976" s="89"/>
      <c r="BE976" s="89"/>
      <c r="BF976" s="89"/>
      <c r="BG976" s="89"/>
      <c r="BH976" s="89"/>
      <c r="BI976" s="89"/>
      <c r="BJ976" s="152"/>
      <c r="BK976" s="175"/>
      <c r="BL976" s="89"/>
      <c r="BM976" s="89"/>
      <c r="BN976" s="89"/>
      <c r="BO976" s="89"/>
      <c r="BP976" s="89"/>
      <c r="BQ976" s="89"/>
      <c r="BR976" s="89"/>
      <c r="BS976" s="89"/>
      <c r="BT976" s="89"/>
      <c r="BU976" s="89"/>
      <c r="BV976" s="89"/>
      <c r="EE976" s="89"/>
      <c r="EF976" s="89"/>
      <c r="EG976" s="89"/>
      <c r="EH976" s="89"/>
      <c r="EI976" s="89"/>
      <c r="EJ976" s="89"/>
      <c r="EK976" s="89"/>
      <c r="EL976" s="89"/>
      <c r="EM976" s="9"/>
      <c r="EN976" s="9"/>
      <c r="EO976" s="9"/>
      <c r="EP976" s="9"/>
      <c r="EQ976" s="9"/>
      <c r="ER976" s="9"/>
      <c r="ES976" s="9"/>
      <c r="ET976" s="9"/>
      <c r="EU976" s="9"/>
      <c r="EV976" s="9"/>
      <c r="EW976" s="9"/>
      <c r="EX976" s="9"/>
      <c r="EY976" s="9"/>
      <c r="EZ976" s="9"/>
      <c r="FA976" s="9"/>
      <c r="FB976" s="9"/>
      <c r="FC976" s="9"/>
      <c r="FD976" s="9"/>
      <c r="FE976" s="9"/>
      <c r="FF976" s="9"/>
      <c r="FG976" s="9"/>
      <c r="FH976" s="9"/>
      <c r="FI976" s="9"/>
      <c r="FJ976" s="9"/>
      <c r="FK976" s="9"/>
      <c r="FL976" s="9"/>
      <c r="FM976" s="9"/>
      <c r="FN976" s="9"/>
      <c r="FO976" s="9"/>
      <c r="FP976" s="9"/>
      <c r="FQ976" s="9"/>
      <c r="FR976" s="9"/>
      <c r="FS976" s="9"/>
      <c r="FT976" s="9"/>
      <c r="FU976" s="9"/>
      <c r="FV976" s="9"/>
      <c r="FW976" s="9"/>
      <c r="FX976" s="9"/>
      <c r="FY976" s="9"/>
      <c r="FZ976" s="9"/>
      <c r="GA976" s="9"/>
      <c r="GB976" s="9"/>
      <c r="GC976" s="9"/>
      <c r="GD976" s="9"/>
      <c r="GE976" s="9"/>
      <c r="GF976" s="9"/>
      <c r="GG976" s="9"/>
      <c r="GH976" s="9"/>
      <c r="GI976" s="9"/>
      <c r="GJ976" s="9"/>
      <c r="GK976" s="9"/>
      <c r="GL976" s="9"/>
      <c r="GM976" s="9"/>
      <c r="GN976" s="9"/>
      <c r="GO976" s="9"/>
      <c r="GP976" s="9"/>
      <c r="GQ976" s="9"/>
      <c r="GR976" s="9"/>
      <c r="GS976" s="9"/>
      <c r="GT976" s="9"/>
      <c r="GU976" s="9"/>
      <c r="GV976" s="9"/>
      <c r="GW976" s="9"/>
      <c r="GX976" s="9"/>
      <c r="GY976" s="9"/>
      <c r="GZ976" s="9"/>
      <c r="HA976" s="9"/>
      <c r="HB976" s="9"/>
      <c r="HC976" s="9"/>
      <c r="HD976" s="9"/>
      <c r="HE976" s="9"/>
      <c r="HF976" s="9"/>
      <c r="HG976" s="9"/>
      <c r="HH976" s="9"/>
      <c r="HI976" s="9"/>
      <c r="HJ976" s="9"/>
      <c r="HK976" s="9"/>
      <c r="HL976" s="89"/>
      <c r="HM976" s="89"/>
      <c r="HN976" s="89"/>
      <c r="HO976" s="89"/>
      <c r="HP976" s="89"/>
      <c r="HQ976" s="89"/>
      <c r="HR976" s="89"/>
      <c r="HS976" s="89"/>
      <c r="HT976" s="152"/>
      <c r="HU976" s="89"/>
      <c r="HV976" s="89"/>
      <c r="HW976" s="89"/>
      <c r="HX976" s="89"/>
      <c r="HY976" s="89"/>
      <c r="HZ976" s="89"/>
      <c r="IA976" s="89"/>
      <c r="IB976" s="89"/>
      <c r="IC976" s="89"/>
      <c r="ID976" s="89"/>
      <c r="IE976" s="89"/>
      <c r="IF976" s="89"/>
      <c r="IG976" s="89"/>
      <c r="IH976" s="89"/>
      <c r="II976" s="89"/>
      <c r="IJ976" s="89"/>
      <c r="IK976" s="89"/>
      <c r="IL976" s="89"/>
      <c r="IM976" s="89"/>
      <c r="IN976" s="89"/>
      <c r="IO976" s="89"/>
      <c r="IP976" s="157"/>
      <c r="IQ976" s="178"/>
      <c r="IR976" s="89"/>
      <c r="IS976" s="89"/>
      <c r="IT976" s="89"/>
      <c r="IU976" s="152"/>
      <c r="IV976" s="89"/>
      <c r="IW976" s="89"/>
      <c r="IX976" s="89"/>
      <c r="IY976" s="89"/>
      <c r="IZ976" s="89"/>
      <c r="JA976" s="89"/>
      <c r="JB976" s="89"/>
      <c r="JC976" s="89"/>
      <c r="JD976" s="89"/>
      <c r="JE976" s="89"/>
      <c r="JF976" s="89"/>
      <c r="JG976" s="89"/>
      <c r="JH976" s="89"/>
      <c r="JI976" s="89"/>
      <c r="JJ976" s="89"/>
      <c r="JK976" s="89"/>
      <c r="JL976" s="205"/>
      <c r="JM976" s="178"/>
      <c r="JN976" s="2"/>
      <c r="JO976" s="89"/>
      <c r="JP976" s="89"/>
      <c r="JQ976" s="152"/>
      <c r="JR976" s="89"/>
      <c r="JS976" s="89"/>
      <c r="JT976" s="89"/>
      <c r="JU976" s="89"/>
      <c r="JV976" s="89"/>
      <c r="JW976" s="89"/>
      <c r="JX976" s="89"/>
      <c r="JY976" s="89"/>
      <c r="JZ976" s="89"/>
      <c r="KA976" s="89"/>
      <c r="KB976" s="89"/>
      <c r="KC976" s="89"/>
      <c r="KD976" s="89"/>
      <c r="KE976" s="89"/>
      <c r="KF976" s="89"/>
      <c r="KG976" s="157"/>
      <c r="KH976" s="178"/>
      <c r="KI976" s="89"/>
      <c r="KJ976" s="89"/>
      <c r="KK976" s="89"/>
      <c r="KL976" s="89"/>
      <c r="KM976" s="89"/>
      <c r="KN976" s="89"/>
      <c r="KO976" s="157"/>
      <c r="KP976" s="178"/>
      <c r="KQ976" s="89"/>
      <c r="KR976" s="89"/>
      <c r="KS976" s="89"/>
      <c r="KT976" s="89"/>
      <c r="KU976" s="89"/>
      <c r="KV976" s="89"/>
      <c r="KW976" s="89"/>
      <c r="LB976" s="89"/>
      <c r="LC976" s="89"/>
      <c r="LD976" s="89"/>
      <c r="LE976" s="89"/>
      <c r="LF976" s="89"/>
      <c r="LG976" s="89"/>
      <c r="LH976" s="89"/>
      <c r="LI976" s="89"/>
      <c r="LJ976" s="89"/>
      <c r="LK976" s="89"/>
      <c r="LL976" s="89"/>
      <c r="LM976" s="89"/>
      <c r="LN976" s="89"/>
      <c r="LO976" s="89"/>
      <c r="LP976" s="89"/>
      <c r="LQ976" s="89"/>
      <c r="LR976" s="89"/>
      <c r="LS976" s="89"/>
      <c r="LT976" s="89"/>
      <c r="LU976" s="89"/>
      <c r="LV976" s="89"/>
      <c r="LW976" s="89"/>
      <c r="LX976" s="89"/>
      <c r="LY976" s="89"/>
      <c r="LZ976" s="89"/>
      <c r="MA976" s="89"/>
      <c r="MB976" s="89"/>
      <c r="MC976" s="89"/>
      <c r="MD976" s="89"/>
      <c r="ME976" s="89"/>
      <c r="MF976" s="89"/>
      <c r="MG976" s="89"/>
      <c r="MH976" s="89"/>
      <c r="MI976" s="89"/>
      <c r="MJ976" s="89"/>
      <c r="MK976" s="89"/>
      <c r="ML976" s="89"/>
      <c r="MM976" s="89"/>
      <c r="MN976" s="89"/>
      <c r="MO976" s="89"/>
      <c r="MP976" s="89"/>
      <c r="MQ976" s="89"/>
      <c r="MR976" s="89"/>
      <c r="MS976" s="89"/>
      <c r="MT976" s="89"/>
      <c r="MU976" s="89"/>
      <c r="MV976" s="89"/>
      <c r="MW976" s="89"/>
      <c r="MX976" s="89"/>
      <c r="MY976" s="89"/>
      <c r="MZ976" s="89"/>
      <c r="NA976" s="89"/>
      <c r="NB976" s="89"/>
      <c r="NC976" s="89"/>
      <c r="ND976" s="89"/>
      <c r="NE976" s="89"/>
      <c r="NF976" s="89"/>
      <c r="NG976" s="89"/>
      <c r="NH976" s="89"/>
      <c r="NI976" s="152"/>
      <c r="NJ976" s="204"/>
      <c r="NK976" s="89"/>
      <c r="NL976" s="89"/>
      <c r="NM976" s="89"/>
      <c r="NN976" s="89"/>
      <c r="NO976" s="89"/>
      <c r="NP976" s="89"/>
      <c r="NQ976" s="89"/>
      <c r="NR976" s="89"/>
      <c r="NS976" s="89"/>
      <c r="NT976" s="89"/>
      <c r="NU976" s="152"/>
      <c r="NV976" s="97"/>
      <c r="NW976" s="89"/>
      <c r="NX976" s="89"/>
      <c r="NY976" s="89"/>
      <c r="NZ976" s="89"/>
      <c r="OA976" s="89"/>
      <c r="OB976" s="89"/>
      <c r="OC976" s="89"/>
      <c r="OD976" s="89"/>
      <c r="OE976" s="89"/>
      <c r="OF976" s="89"/>
      <c r="OG976" s="89"/>
      <c r="OH976" s="89"/>
      <c r="OI976" s="89"/>
      <c r="OJ976" s="89"/>
      <c r="OK976" s="89"/>
      <c r="OL976" s="89"/>
      <c r="OM976" s="89"/>
      <c r="ON976" s="89"/>
      <c r="OO976" s="89"/>
      <c r="OP976" s="89"/>
    </row>
    <row r="977" spans="1:406" ht="15.75" thickBot="1">
      <c r="A977" s="209"/>
      <c r="B977" s="2"/>
      <c r="C977" s="2"/>
      <c r="D977" s="99"/>
      <c r="E977" s="2"/>
      <c r="F977" s="152"/>
      <c r="G977" s="2"/>
      <c r="H977" s="2"/>
      <c r="I977" s="152"/>
      <c r="J977" s="152"/>
      <c r="K977" s="152"/>
      <c r="L977" s="2"/>
      <c r="M977" s="99"/>
      <c r="N977" s="2"/>
      <c r="O977" s="89"/>
      <c r="P977" s="2"/>
      <c r="Q977" s="2"/>
      <c r="R977" s="89"/>
      <c r="S977" s="89"/>
      <c r="T977" s="89"/>
      <c r="X977" s="3"/>
      <c r="AA977" s="3"/>
      <c r="AB977" s="3"/>
      <c r="AC977" s="3"/>
      <c r="AG977" s="3"/>
      <c r="AJ977" s="3"/>
      <c r="AK977" s="3"/>
      <c r="AL977" s="3"/>
      <c r="AP977" s="3"/>
      <c r="AS977" s="3"/>
      <c r="AT977" s="3"/>
      <c r="AU977" s="3"/>
      <c r="AV977" s="2"/>
      <c r="AW977" s="2"/>
      <c r="AX977" s="2"/>
      <c r="AY977" s="2"/>
      <c r="AZ977" s="2"/>
      <c r="BA977" s="2"/>
      <c r="BB977" s="2"/>
      <c r="BC977" s="2"/>
      <c r="BD977" s="2"/>
      <c r="BE977" s="2"/>
      <c r="BF977" s="2"/>
      <c r="BG977" s="2"/>
      <c r="BH977" s="2"/>
      <c r="BI977" s="2"/>
      <c r="BJ977" s="99"/>
      <c r="BK977" s="210"/>
      <c r="BL977" s="2"/>
      <c r="BM977" s="2"/>
      <c r="BN977" s="2"/>
      <c r="BO977" s="2"/>
      <c r="BP977" s="2"/>
      <c r="BQ977" s="2"/>
      <c r="BR977" s="2"/>
      <c r="BS977" s="2"/>
      <c r="BT977" s="2"/>
      <c r="BU977" s="2"/>
      <c r="BV977" s="2"/>
      <c r="EE977" s="2"/>
      <c r="EF977" s="2"/>
      <c r="EG977" s="2"/>
      <c r="EH977" s="2"/>
      <c r="EI977" s="2"/>
      <c r="EJ977" s="2"/>
      <c r="EK977" s="2"/>
      <c r="EL977" s="2"/>
      <c r="EM977" s="9"/>
      <c r="EN977" s="9"/>
      <c r="EO977" s="9"/>
      <c r="EP977" s="9"/>
      <c r="EQ977" s="9"/>
      <c r="ER977" s="9"/>
      <c r="ES977" s="9"/>
      <c r="ET977" s="9"/>
      <c r="EU977" s="9"/>
      <c r="EV977" s="9"/>
      <c r="EW977" s="9"/>
      <c r="EX977" s="9"/>
      <c r="EY977" s="9"/>
      <c r="EZ977" s="9"/>
      <c r="FA977" s="9"/>
      <c r="FB977" s="9"/>
      <c r="FC977" s="9"/>
      <c r="FD977" s="9"/>
      <c r="FE977" s="9"/>
      <c r="FF977" s="9"/>
      <c r="FG977" s="9"/>
      <c r="FH977" s="9"/>
      <c r="FI977" s="9"/>
      <c r="FJ977" s="9"/>
      <c r="FK977" s="9"/>
      <c r="FL977" s="9"/>
      <c r="FM977" s="9"/>
      <c r="FN977" s="9"/>
      <c r="FO977" s="9"/>
      <c r="FP977" s="9"/>
      <c r="FQ977" s="9"/>
      <c r="FR977" s="9"/>
      <c r="FS977" s="9"/>
      <c r="FT977" s="9"/>
      <c r="FU977" s="9"/>
      <c r="FV977" s="9"/>
      <c r="FW977" s="9"/>
      <c r="FX977" s="9"/>
      <c r="FY977" s="9"/>
      <c r="FZ977" s="9"/>
      <c r="GA977" s="9"/>
      <c r="GB977" s="9"/>
      <c r="GC977" s="9"/>
      <c r="GD977" s="9"/>
      <c r="GE977" s="9"/>
      <c r="GF977" s="9"/>
      <c r="GG977" s="9"/>
      <c r="GH977" s="9"/>
      <c r="GI977" s="9"/>
      <c r="GJ977" s="9"/>
      <c r="GK977" s="9"/>
      <c r="GL977" s="9"/>
      <c r="GM977" s="9"/>
      <c r="GN977" s="9"/>
      <c r="GO977" s="9"/>
      <c r="GP977" s="9"/>
      <c r="GQ977" s="9"/>
      <c r="GR977" s="9"/>
      <c r="GS977" s="9"/>
      <c r="GT977" s="9"/>
      <c r="GU977" s="9"/>
      <c r="GV977" s="9"/>
      <c r="GW977" s="9"/>
      <c r="GX977" s="9"/>
      <c r="GY977" s="9"/>
      <c r="GZ977" s="9"/>
      <c r="HA977" s="9"/>
      <c r="HB977" s="9"/>
      <c r="HC977" s="9"/>
      <c r="HD977" s="9"/>
      <c r="HE977" s="9"/>
      <c r="HF977" s="9"/>
      <c r="HG977" s="9"/>
      <c r="HH977" s="9"/>
      <c r="HI977" s="9"/>
      <c r="HJ977" s="9"/>
      <c r="HK977" s="9"/>
      <c r="HL977" s="2"/>
      <c r="HM977" s="2"/>
      <c r="HN977" s="2"/>
      <c r="HO977" s="2"/>
      <c r="HP977" s="2"/>
      <c r="HQ977" s="2"/>
      <c r="HR977" s="2"/>
      <c r="HS977" s="2"/>
      <c r="HT977" s="99"/>
      <c r="HU977" s="2"/>
      <c r="HV977" s="2"/>
      <c r="HW977" s="2"/>
      <c r="HX977" s="2"/>
      <c r="HY977" s="2"/>
      <c r="HZ977" s="2"/>
      <c r="IA977" s="2"/>
      <c r="IB977" s="2"/>
      <c r="IC977" s="2"/>
      <c r="ID977" s="2"/>
      <c r="IE977" s="2"/>
      <c r="IF977" s="2"/>
      <c r="IG977" s="2"/>
      <c r="IH977" s="2"/>
      <c r="II977" s="2"/>
      <c r="IJ977" s="2"/>
      <c r="IK977" s="2"/>
      <c r="IL977" s="2"/>
      <c r="IM977" s="2"/>
      <c r="IN977" s="2"/>
      <c r="IO977" s="2"/>
      <c r="IP977" s="168"/>
      <c r="IQ977" s="172"/>
      <c r="IR977" s="2"/>
      <c r="IS977" s="2"/>
      <c r="IT977" s="2"/>
      <c r="IU977" s="99"/>
      <c r="IV977" s="2"/>
      <c r="IW977" s="2"/>
      <c r="IX977" s="2"/>
      <c r="IY977" s="2"/>
      <c r="IZ977" s="2"/>
      <c r="JA977" s="2"/>
      <c r="JB977" s="2"/>
      <c r="JC977" s="2"/>
      <c r="JD977" s="2"/>
      <c r="JE977" s="2"/>
      <c r="JF977" s="2"/>
      <c r="JG977" s="2"/>
      <c r="JH977" s="2"/>
      <c r="JI977" s="2"/>
      <c r="JJ977" s="2"/>
      <c r="JK977" s="2"/>
      <c r="JL977" s="212"/>
      <c r="JM977" s="171"/>
      <c r="JN977" s="2"/>
      <c r="JO977" s="2"/>
      <c r="JP977" s="2"/>
      <c r="JQ977" s="99"/>
      <c r="JR977" s="2"/>
      <c r="JS977" s="2"/>
      <c r="JT977" s="2"/>
      <c r="JU977" s="2"/>
      <c r="JV977" s="2"/>
      <c r="JW977" s="2"/>
      <c r="JX977" s="2"/>
      <c r="JY977" s="2"/>
      <c r="JZ977" s="2"/>
      <c r="KA977" s="2"/>
      <c r="KB977" s="2"/>
      <c r="KC977" s="2"/>
      <c r="KD977" s="2"/>
      <c r="KE977" s="2"/>
      <c r="KF977" s="2"/>
      <c r="KG977" s="168"/>
      <c r="KH977" s="172"/>
      <c r="KI977" s="2"/>
      <c r="KJ977" s="2"/>
      <c r="KK977" s="2"/>
      <c r="KL977" s="2"/>
      <c r="KM977" s="2"/>
      <c r="KN977" s="2"/>
      <c r="KO977" s="168"/>
      <c r="KP977" s="172"/>
      <c r="KQ977" s="2"/>
      <c r="KR977" s="2"/>
      <c r="KS977" s="2"/>
      <c r="KT977" s="2"/>
      <c r="KU977" s="2"/>
      <c r="KV977" s="2"/>
      <c r="KW977" s="2"/>
      <c r="LB977" s="2"/>
      <c r="LC977" s="2"/>
      <c r="LD977" s="2"/>
      <c r="LE977" s="2"/>
      <c r="LF977" s="2"/>
      <c r="LG977" s="2"/>
      <c r="LH977" s="2"/>
      <c r="LI977" s="2"/>
      <c r="LJ977" s="2"/>
      <c r="LK977" s="2"/>
      <c r="LL977" s="2"/>
      <c r="LM977" s="2"/>
      <c r="LN977" s="2"/>
      <c r="LO977" s="2"/>
      <c r="LP977" s="2"/>
      <c r="LQ977" s="2"/>
      <c r="LR977" s="2"/>
      <c r="LS977" s="2"/>
      <c r="LT977" s="2"/>
      <c r="LU977" s="2"/>
      <c r="LV977" s="2"/>
      <c r="LW977" s="2"/>
      <c r="LX977" s="2"/>
      <c r="LY977" s="2"/>
      <c r="LZ977" s="2"/>
      <c r="MA977" s="2"/>
      <c r="MB977" s="2"/>
      <c r="MC977" s="2"/>
      <c r="MD977" s="2"/>
      <c r="ME977" s="2"/>
      <c r="MF977" s="2"/>
      <c r="MG977" s="2"/>
      <c r="MH977" s="2"/>
      <c r="MI977" s="2"/>
      <c r="MJ977" s="2"/>
      <c r="MK977" s="2"/>
      <c r="ML977" s="2"/>
      <c r="MM977" s="2"/>
      <c r="MN977" s="2"/>
      <c r="MO977" s="2"/>
      <c r="MP977" s="2"/>
      <c r="MQ977" s="2"/>
      <c r="MR977" s="2"/>
      <c r="MS977" s="2"/>
      <c r="MT977" s="2"/>
      <c r="MU977" s="2"/>
      <c r="MV977" s="2"/>
      <c r="MW977" s="2"/>
      <c r="MX977" s="2"/>
      <c r="MY977" s="2"/>
      <c r="MZ977" s="2"/>
      <c r="NA977" s="2"/>
      <c r="NB977" s="2"/>
      <c r="NC977" s="2"/>
      <c r="ND977" s="2"/>
      <c r="NE977" s="2"/>
      <c r="NF977" s="2"/>
      <c r="NG977" s="2"/>
      <c r="NH977" s="2"/>
      <c r="NI977" s="99"/>
      <c r="NJ977" s="208"/>
      <c r="NK977" s="2"/>
      <c r="NL977" s="2"/>
      <c r="NM977" s="2"/>
      <c r="NN977" s="2"/>
      <c r="NO977" s="2"/>
      <c r="NP977" s="2"/>
      <c r="NQ977" s="2"/>
      <c r="NR977" s="2"/>
      <c r="NS977" s="2"/>
      <c r="NT977" s="2"/>
      <c r="NU977" s="99"/>
      <c r="NV977" s="173"/>
      <c r="NW977" s="2"/>
      <c r="NX977" s="2"/>
      <c r="NY977" s="2"/>
      <c r="NZ977" s="2"/>
      <c r="OA977" s="2"/>
      <c r="OB977" s="2"/>
      <c r="OC977" s="2"/>
      <c r="OD977" s="2"/>
      <c r="OE977" s="2"/>
      <c r="OF977" s="2"/>
      <c r="OG977" s="2"/>
      <c r="OH977" s="2"/>
      <c r="OI977" s="2"/>
      <c r="OJ977" s="2"/>
      <c r="OK977" s="2"/>
      <c r="OL977" s="2"/>
      <c r="OM977" s="2"/>
      <c r="ON977" s="2"/>
      <c r="OO977" s="2"/>
      <c r="OP977" s="2"/>
    </row>
    <row r="978" spans="1:406" ht="15.75" thickBot="1">
      <c r="A978" s="207"/>
      <c r="B978" s="89"/>
      <c r="C978" s="89"/>
      <c r="D978" s="152"/>
      <c r="E978" s="89"/>
      <c r="F978" s="152"/>
      <c r="G978" s="89"/>
      <c r="H978" s="89"/>
      <c r="I978" s="152"/>
      <c r="J978" s="152"/>
      <c r="K978" s="152"/>
      <c r="L978" s="89"/>
      <c r="M978" s="152"/>
      <c r="N978" s="89"/>
      <c r="O978" s="89"/>
      <c r="P978" s="89"/>
      <c r="Q978" s="89"/>
      <c r="R978" s="89"/>
      <c r="S978" s="89"/>
      <c r="T978" s="89"/>
      <c r="X978" s="3"/>
      <c r="AA978" s="3"/>
      <c r="AB978" s="3"/>
      <c r="AC978" s="3"/>
      <c r="AG978" s="3"/>
      <c r="AJ978" s="3"/>
      <c r="AK978" s="3"/>
      <c r="AL978" s="3"/>
      <c r="AP978" s="3"/>
      <c r="AS978" s="3"/>
      <c r="AT978" s="3"/>
      <c r="AU978" s="3"/>
      <c r="AV978" s="89"/>
      <c r="AW978" s="89"/>
      <c r="AX978" s="89"/>
      <c r="AY978" s="89"/>
      <c r="AZ978" s="89"/>
      <c r="BA978" s="89"/>
      <c r="BB978" s="89"/>
      <c r="BC978" s="89"/>
      <c r="BD978" s="89"/>
      <c r="BE978" s="89"/>
      <c r="BF978" s="89"/>
      <c r="BG978" s="89"/>
      <c r="BH978" s="89"/>
      <c r="BI978" s="89"/>
      <c r="BJ978" s="152"/>
      <c r="BK978" s="175"/>
      <c r="BL978" s="89"/>
      <c r="BM978" s="89"/>
      <c r="BN978" s="89"/>
      <c r="BO978" s="89"/>
      <c r="BP978" s="89"/>
      <c r="BQ978" s="89"/>
      <c r="BR978" s="89"/>
      <c r="BS978" s="89"/>
      <c r="BT978" s="89"/>
      <c r="BU978" s="89"/>
      <c r="BV978" s="89"/>
      <c r="EE978" s="89"/>
      <c r="EF978" s="152"/>
      <c r="EG978" s="175"/>
      <c r="EH978" s="175"/>
      <c r="EI978" s="175"/>
      <c r="EJ978" s="175"/>
      <c r="EK978" s="175"/>
      <c r="EL978" s="175"/>
      <c r="HL978" s="89"/>
      <c r="HM978" s="89"/>
      <c r="HN978" s="89"/>
      <c r="HO978" s="89"/>
      <c r="HP978" s="89"/>
      <c r="HQ978" s="89"/>
      <c r="HR978" s="89"/>
      <c r="HS978" s="89"/>
      <c r="HT978" s="152"/>
      <c r="HU978" s="89"/>
      <c r="HV978" s="89"/>
      <c r="HW978" s="89"/>
      <c r="HX978" s="89"/>
      <c r="HY978" s="89"/>
      <c r="HZ978" s="89"/>
      <c r="IA978" s="89"/>
      <c r="IB978" s="89"/>
      <c r="IC978" s="89"/>
      <c r="ID978" s="89"/>
      <c r="IE978" s="89"/>
      <c r="IF978" s="89"/>
      <c r="IG978" s="89"/>
      <c r="IH978" s="89"/>
      <c r="II978" s="89"/>
      <c r="IJ978" s="89"/>
      <c r="IK978" s="89"/>
      <c r="IL978" s="89"/>
      <c r="IM978" s="89"/>
      <c r="IN978" s="152"/>
      <c r="IO978" s="89"/>
      <c r="IP978" s="157"/>
      <c r="IQ978" s="178"/>
      <c r="IR978" s="89"/>
      <c r="IS978" s="89"/>
      <c r="IT978" s="89"/>
      <c r="IU978" s="152"/>
      <c r="IV978" s="89"/>
      <c r="IW978" s="206"/>
      <c r="IX978" s="178"/>
      <c r="IY978" s="89"/>
      <c r="IZ978" s="89"/>
      <c r="JA978" s="89"/>
      <c r="JB978" s="89"/>
      <c r="JC978" s="89"/>
      <c r="JD978" s="89"/>
      <c r="JE978" s="89"/>
      <c r="JF978" s="89"/>
      <c r="JG978" s="89"/>
      <c r="JH978" s="89"/>
      <c r="JI978" s="89"/>
      <c r="JJ978" s="89"/>
      <c r="JK978" s="89"/>
      <c r="JL978" s="205"/>
      <c r="JM978" s="178"/>
      <c r="JN978" s="2"/>
      <c r="JO978" s="89"/>
      <c r="JP978" s="89"/>
      <c r="JQ978" s="152"/>
      <c r="JR978" s="89"/>
      <c r="JS978" s="89"/>
      <c r="JT978" s="89"/>
      <c r="JU978" s="89"/>
      <c r="JV978" s="89"/>
      <c r="JW978" s="89"/>
      <c r="JX978" s="89"/>
      <c r="JY978" s="89"/>
      <c r="JZ978" s="89"/>
      <c r="KA978" s="89"/>
      <c r="KB978" s="89"/>
      <c r="KC978" s="89"/>
      <c r="KD978" s="89"/>
      <c r="KE978" s="89"/>
      <c r="KF978" s="89"/>
      <c r="KG978" s="157"/>
      <c r="KH978" s="178"/>
      <c r="KI978" s="89"/>
      <c r="KJ978" s="89"/>
      <c r="KK978" s="89"/>
      <c r="KL978" s="89"/>
      <c r="KM978" s="89"/>
      <c r="KN978" s="89"/>
      <c r="KO978" s="182"/>
      <c r="KP978" s="159"/>
      <c r="KQ978" s="89"/>
      <c r="KR978" s="89"/>
      <c r="KS978" s="89"/>
      <c r="KT978" s="89"/>
      <c r="KU978" s="89"/>
      <c r="KV978" s="89"/>
      <c r="KW978" s="89"/>
      <c r="LB978" s="89"/>
      <c r="LC978" s="89"/>
      <c r="LD978" s="89"/>
      <c r="LE978" s="89"/>
      <c r="LF978" s="89"/>
      <c r="LG978" s="89"/>
      <c r="LH978" s="89"/>
      <c r="LI978" s="89"/>
      <c r="LJ978" s="89"/>
      <c r="LK978" s="89"/>
      <c r="LL978" s="89"/>
      <c r="LM978" s="89"/>
      <c r="LN978" s="89"/>
      <c r="LO978" s="89"/>
      <c r="LP978" s="89"/>
      <c r="LQ978" s="89"/>
      <c r="LR978" s="89"/>
      <c r="LS978" s="89"/>
      <c r="LT978" s="89"/>
      <c r="LU978" s="89"/>
      <c r="LV978" s="89"/>
      <c r="LW978" s="89"/>
      <c r="LX978" s="89"/>
      <c r="LY978" s="89"/>
      <c r="LZ978" s="89"/>
      <c r="MA978" s="89"/>
      <c r="MB978" s="89"/>
      <c r="MC978" s="89"/>
      <c r="MD978" s="89"/>
      <c r="ME978" s="89"/>
      <c r="MF978" s="89"/>
      <c r="MG978" s="89"/>
      <c r="MH978" s="89"/>
      <c r="MI978" s="89"/>
      <c r="MJ978" s="89"/>
      <c r="MK978" s="89"/>
      <c r="ML978" s="89"/>
      <c r="MM978" s="89"/>
      <c r="MN978" s="89"/>
      <c r="MO978" s="89"/>
      <c r="MP978" s="89"/>
      <c r="MQ978" s="89"/>
      <c r="MR978" s="89"/>
      <c r="MS978" s="89"/>
      <c r="MT978" s="89"/>
      <c r="MU978" s="89"/>
      <c r="MV978" s="89"/>
      <c r="MW978" s="89"/>
      <c r="MX978" s="89"/>
      <c r="MY978" s="89"/>
      <c r="MZ978" s="89"/>
      <c r="NA978" s="89"/>
      <c r="NB978" s="89"/>
      <c r="NC978" s="89"/>
      <c r="ND978" s="89"/>
      <c r="NE978" s="89"/>
      <c r="NF978" s="89"/>
      <c r="NG978" s="89"/>
      <c r="NH978" s="89"/>
      <c r="NI978" s="152"/>
      <c r="NJ978" s="204"/>
      <c r="NK978" s="89"/>
      <c r="NL978" s="89"/>
      <c r="NM978" s="89"/>
      <c r="NN978" s="89"/>
      <c r="NO978" s="89"/>
      <c r="NP978" s="89"/>
      <c r="NQ978" s="89"/>
      <c r="NR978" s="89"/>
      <c r="NS978" s="89"/>
      <c r="NT978" s="89"/>
      <c r="NU978" s="152"/>
      <c r="NV978" s="97"/>
      <c r="NW978" s="89"/>
      <c r="NX978" s="89"/>
      <c r="NY978" s="89"/>
      <c r="NZ978" s="89"/>
      <c r="OA978" s="89"/>
      <c r="OB978" s="89"/>
      <c r="OC978" s="89"/>
      <c r="OD978" s="89"/>
      <c r="OE978" s="89"/>
      <c r="OF978" s="89"/>
      <c r="OG978" s="89"/>
      <c r="OH978" s="89"/>
      <c r="OI978" s="89"/>
      <c r="OJ978" s="89"/>
      <c r="OK978" s="89"/>
      <c r="OL978" s="89"/>
      <c r="OM978" s="89"/>
      <c r="ON978" s="89"/>
      <c r="OO978" s="89"/>
      <c r="OP978" s="89"/>
    </row>
    <row r="979" spans="1:406" ht="15.75" thickBot="1">
      <c r="A979" s="209"/>
      <c r="B979" s="2"/>
      <c r="C979" s="2"/>
      <c r="D979" s="99"/>
      <c r="E979" s="2"/>
      <c r="F979" s="152"/>
      <c r="G979" s="2"/>
      <c r="H979" s="2"/>
      <c r="I979" s="152"/>
      <c r="J979" s="152"/>
      <c r="K979" s="152"/>
      <c r="L979" s="2"/>
      <c r="M979" s="99"/>
      <c r="N979" s="2"/>
      <c r="O979" s="89"/>
      <c r="P979" s="2"/>
      <c r="Q979" s="2"/>
      <c r="R979" s="89"/>
      <c r="S979" s="89"/>
      <c r="T979" s="89"/>
      <c r="X979" s="3"/>
      <c r="AA979" s="3"/>
      <c r="AB979" s="3"/>
      <c r="AC979" s="3"/>
      <c r="AG979" s="3"/>
      <c r="AJ979" s="3"/>
      <c r="AK979" s="3"/>
      <c r="AL979" s="3"/>
      <c r="AP979" s="3"/>
      <c r="AS979" s="3"/>
      <c r="AT979" s="3"/>
      <c r="AU979" s="3"/>
      <c r="AV979" s="2"/>
      <c r="AW979" s="2"/>
      <c r="AX979" s="2"/>
      <c r="AY979" s="2"/>
      <c r="AZ979" s="2"/>
      <c r="BA979" s="2"/>
      <c r="BB979" s="2"/>
      <c r="BC979" s="2"/>
      <c r="BD979" s="2"/>
      <c r="BE979" s="2"/>
      <c r="BF979" s="2"/>
      <c r="BG979" s="2"/>
      <c r="BH979" s="2"/>
      <c r="BI979" s="2"/>
      <c r="BJ979" s="99"/>
      <c r="BK979" s="210"/>
      <c r="BL979" s="2"/>
      <c r="BM979" s="2"/>
      <c r="BN979" s="2"/>
      <c r="BO979" s="2"/>
      <c r="BP979" s="2"/>
      <c r="BQ979" s="2"/>
      <c r="BR979" s="2"/>
      <c r="BS979" s="2"/>
      <c r="BT979" s="2"/>
      <c r="BU979" s="2"/>
      <c r="BV979" s="2"/>
      <c r="EE979" s="2"/>
      <c r="EF979" s="99"/>
      <c r="EG979" s="210"/>
      <c r="EH979" s="210"/>
      <c r="EI979" s="210"/>
      <c r="EJ979" s="210"/>
      <c r="EK979" s="210"/>
      <c r="EL979" s="210"/>
      <c r="HL979" s="2"/>
      <c r="HM979" s="2"/>
      <c r="HN979" s="2"/>
      <c r="HO979" s="2"/>
      <c r="HP979" s="2"/>
      <c r="HQ979" s="2"/>
      <c r="HR979" s="2"/>
      <c r="HS979" s="2"/>
      <c r="HT979" s="99"/>
      <c r="HU979" s="2"/>
      <c r="HV979" s="2"/>
      <c r="HW979" s="2"/>
      <c r="HX979" s="2"/>
      <c r="HY979" s="2"/>
      <c r="HZ979" s="2"/>
      <c r="IA979" s="2"/>
      <c r="IB979" s="2"/>
      <c r="IC979" s="2"/>
      <c r="ID979" s="2"/>
      <c r="IE979" s="2"/>
      <c r="IF979" s="2"/>
      <c r="IG979" s="2"/>
      <c r="IH979" s="2"/>
      <c r="II979" s="2"/>
      <c r="IJ979" s="2"/>
      <c r="IK979" s="2"/>
      <c r="IL979" s="2"/>
      <c r="IM979" s="2"/>
      <c r="IN979" s="99"/>
      <c r="IO979" s="2"/>
      <c r="IP979" s="168"/>
      <c r="IQ979" s="172"/>
      <c r="IR979" s="2"/>
      <c r="IS979" s="2"/>
      <c r="IT979" s="2"/>
      <c r="IU979" s="99"/>
      <c r="IV979" s="2"/>
      <c r="IW979" s="211"/>
      <c r="IX979" s="172"/>
      <c r="IY979" s="2"/>
      <c r="IZ979" s="2"/>
      <c r="JA979" s="2"/>
      <c r="JB979" s="2"/>
      <c r="JC979" s="2"/>
      <c r="JD979" s="2"/>
      <c r="JE979" s="2"/>
      <c r="JF979" s="2"/>
      <c r="JG979" s="2"/>
      <c r="JH979" s="2"/>
      <c r="JI979" s="2"/>
      <c r="JJ979" s="2"/>
      <c r="JK979" s="2"/>
      <c r="JL979" s="205"/>
      <c r="JM979" s="172"/>
      <c r="JN979" s="2"/>
      <c r="JO979" s="2"/>
      <c r="JP979" s="2"/>
      <c r="JQ979" s="99"/>
      <c r="JR979" s="2"/>
      <c r="JS979" s="2"/>
      <c r="JT979" s="2"/>
      <c r="JU979" s="2"/>
      <c r="JV979" s="2"/>
      <c r="JW979" s="2"/>
      <c r="JX979" s="2"/>
      <c r="JY979" s="2"/>
      <c r="JZ979" s="2"/>
      <c r="KA979" s="2"/>
      <c r="KB979" s="2"/>
      <c r="KC979" s="2"/>
      <c r="KD979" s="2"/>
      <c r="KE979" s="2"/>
      <c r="KF979" s="2"/>
      <c r="KG979" s="168"/>
      <c r="KH979" s="172"/>
      <c r="KI979" s="2"/>
      <c r="KJ979" s="2"/>
      <c r="KK979" s="2"/>
      <c r="KL979" s="2"/>
      <c r="KM979" s="2"/>
      <c r="KN979" s="2"/>
      <c r="KO979" s="182"/>
      <c r="KP979" s="171"/>
      <c r="KQ979" s="2"/>
      <c r="KR979" s="2"/>
      <c r="KS979" s="2"/>
      <c r="KT979" s="2"/>
      <c r="KU979" s="2"/>
      <c r="KV979" s="2"/>
      <c r="KW979" s="2"/>
      <c r="LB979" s="2"/>
      <c r="LC979" s="2"/>
      <c r="LD979" s="2"/>
      <c r="LE979" s="2"/>
      <c r="LF979" s="2"/>
      <c r="LG979" s="2"/>
      <c r="LH979" s="2"/>
      <c r="LI979" s="2"/>
      <c r="LJ979" s="2"/>
      <c r="LK979" s="2"/>
      <c r="LL979" s="2"/>
      <c r="LM979" s="2"/>
      <c r="LN979" s="2"/>
      <c r="LO979" s="2"/>
      <c r="LP979" s="2"/>
      <c r="LQ979" s="2"/>
      <c r="LR979" s="2"/>
      <c r="LS979" s="2"/>
      <c r="LT979" s="2"/>
      <c r="LU979" s="2"/>
      <c r="LV979" s="2"/>
      <c r="LW979" s="2"/>
      <c r="LX979" s="2"/>
      <c r="LY979" s="2"/>
      <c r="LZ979" s="2"/>
      <c r="MA979" s="2"/>
      <c r="MB979" s="2"/>
      <c r="MC979" s="2"/>
      <c r="MD979" s="2"/>
      <c r="ME979" s="2"/>
      <c r="MF979" s="2"/>
      <c r="MG979" s="2"/>
      <c r="MH979" s="2"/>
      <c r="MI979" s="2"/>
      <c r="MJ979" s="2"/>
      <c r="MK979" s="2"/>
      <c r="ML979" s="2"/>
      <c r="MM979" s="2"/>
      <c r="MN979" s="2"/>
      <c r="MO979" s="2"/>
      <c r="MP979" s="2"/>
      <c r="MQ979" s="2"/>
      <c r="MR979" s="2"/>
      <c r="MS979" s="2"/>
      <c r="MT979" s="2"/>
      <c r="MU979" s="2"/>
      <c r="MV979" s="2"/>
      <c r="MW979" s="2"/>
      <c r="MX979" s="2"/>
      <c r="MY979" s="2"/>
      <c r="MZ979" s="2"/>
      <c r="NA979" s="2"/>
      <c r="NB979" s="2"/>
      <c r="NC979" s="2"/>
      <c r="ND979" s="2"/>
      <c r="NE979" s="2"/>
      <c r="NF979" s="2"/>
      <c r="NG979" s="2"/>
      <c r="NH979" s="2"/>
      <c r="NI979" s="99"/>
      <c r="NJ979" s="208"/>
      <c r="NK979" s="2"/>
      <c r="NL979" s="2"/>
      <c r="NM979" s="2"/>
      <c r="NN979" s="2"/>
      <c r="NO979" s="2"/>
      <c r="NP979" s="2"/>
      <c r="NQ979" s="2"/>
      <c r="NR979" s="2"/>
      <c r="NS979" s="2"/>
      <c r="NT979" s="2"/>
      <c r="NU979" s="99"/>
      <c r="NV979" s="173"/>
      <c r="NW979" s="2"/>
      <c r="NX979" s="2"/>
      <c r="NY979" s="2"/>
      <c r="NZ979" s="2"/>
      <c r="OA979" s="2"/>
      <c r="OB979" s="2"/>
      <c r="OC979" s="2"/>
      <c r="OD979" s="2"/>
      <c r="OE979" s="2"/>
      <c r="OF979" s="2"/>
      <c r="OG979" s="2"/>
      <c r="OH979" s="2"/>
      <c r="OI979" s="2"/>
      <c r="OJ979" s="2"/>
      <c r="OK979" s="2"/>
      <c r="OL979" s="2"/>
      <c r="OM979" s="2"/>
      <c r="ON979" s="2"/>
      <c r="OO979" s="2"/>
      <c r="OP979" s="2"/>
    </row>
    <row r="980" spans="1:406" ht="15.75" thickBot="1">
      <c r="A980" s="207"/>
      <c r="B980" s="89"/>
      <c r="C980" s="89"/>
      <c r="D980" s="152"/>
      <c r="E980" s="89"/>
      <c r="F980" s="152"/>
      <c r="G980" s="89"/>
      <c r="H980" s="89"/>
      <c r="I980" s="152"/>
      <c r="J980" s="152"/>
      <c r="K980" s="152"/>
      <c r="L980" s="89"/>
      <c r="M980" s="152"/>
      <c r="N980" s="89"/>
      <c r="O980" s="89"/>
      <c r="P980" s="89"/>
      <c r="Q980" s="89"/>
      <c r="R980" s="89"/>
      <c r="S980" s="89"/>
      <c r="T980" s="89"/>
      <c r="X980" s="3"/>
      <c r="AA980" s="3"/>
      <c r="AB980" s="3"/>
      <c r="AC980" s="3"/>
      <c r="AG980" s="3"/>
      <c r="AJ980" s="3"/>
      <c r="AK980" s="3"/>
      <c r="AL980" s="3"/>
      <c r="AP980" s="3"/>
      <c r="AS980" s="3"/>
      <c r="AT980" s="3"/>
      <c r="AU980" s="3"/>
      <c r="AV980" s="89"/>
      <c r="AW980" s="89"/>
      <c r="AX980" s="89"/>
      <c r="AY980" s="89"/>
      <c r="AZ980" s="89"/>
      <c r="BA980" s="89"/>
      <c r="BB980" s="89"/>
      <c r="BC980" s="89"/>
      <c r="BD980" s="89"/>
      <c r="BE980" s="89"/>
      <c r="BF980" s="89"/>
      <c r="BG980" s="89"/>
      <c r="BH980" s="89"/>
      <c r="BI980" s="89"/>
      <c r="BJ980" s="152"/>
      <c r="BK980" s="175"/>
      <c r="BL980" s="89"/>
      <c r="BM980" s="89"/>
      <c r="BN980" s="89"/>
      <c r="BO980" s="89"/>
      <c r="BP980" s="89"/>
      <c r="BQ980" s="89"/>
      <c r="BR980" s="89"/>
      <c r="BS980" s="89"/>
      <c r="BT980" s="89"/>
      <c r="BU980" s="89"/>
      <c r="BV980" s="89"/>
      <c r="EE980" s="89"/>
      <c r="EF980" s="152"/>
      <c r="EG980" s="175"/>
      <c r="EH980" s="175"/>
      <c r="EI980" s="175"/>
      <c r="EJ980" s="175"/>
      <c r="EK980" s="175"/>
      <c r="EL980" s="175"/>
      <c r="EM980" s="9"/>
      <c r="EN980" s="9"/>
      <c r="EO980" s="9"/>
      <c r="EP980" s="9"/>
      <c r="EQ980" s="9"/>
      <c r="ER980" s="9"/>
      <c r="ES980" s="9"/>
      <c r="ET980" s="9"/>
      <c r="EU980" s="9"/>
      <c r="EV980" s="9"/>
      <c r="EW980" s="9"/>
      <c r="EX980" s="9"/>
      <c r="EY980" s="9"/>
      <c r="EZ980" s="9"/>
      <c r="FA980" s="9"/>
      <c r="FB980" s="9"/>
      <c r="FC980" s="9"/>
      <c r="FD980" s="9"/>
      <c r="FE980" s="9"/>
      <c r="FF980" s="9"/>
      <c r="FG980" s="9"/>
      <c r="FH980" s="9"/>
      <c r="FI980" s="9"/>
      <c r="FJ980" s="9"/>
      <c r="FK980" s="9"/>
      <c r="FL980" s="9"/>
      <c r="FM980" s="9"/>
      <c r="FN980" s="9"/>
      <c r="FO980" s="9"/>
      <c r="FP980" s="9"/>
      <c r="FQ980" s="9"/>
      <c r="FR980" s="9"/>
      <c r="FS980" s="9"/>
      <c r="FT980" s="9"/>
      <c r="FU980" s="9"/>
      <c r="FV980" s="9"/>
      <c r="FW980" s="9"/>
      <c r="FX980" s="9"/>
      <c r="FY980" s="9"/>
      <c r="FZ980" s="9"/>
      <c r="GA980" s="9"/>
      <c r="GB980" s="9"/>
      <c r="GC980" s="9"/>
      <c r="GD980" s="9"/>
      <c r="GE980" s="9"/>
      <c r="GF980" s="9"/>
      <c r="GG980" s="9"/>
      <c r="GH980" s="9"/>
      <c r="GI980" s="9"/>
      <c r="GJ980" s="9"/>
      <c r="GK980" s="9"/>
      <c r="GL980" s="9"/>
      <c r="GM980" s="9"/>
      <c r="GN980" s="9"/>
      <c r="GO980" s="9"/>
      <c r="GP980" s="9"/>
      <c r="GQ980" s="9"/>
      <c r="GR980" s="9"/>
      <c r="GS980" s="9"/>
      <c r="GT980" s="9"/>
      <c r="GU980" s="9"/>
      <c r="GV980" s="9"/>
      <c r="GW980" s="9"/>
      <c r="GX980" s="9"/>
      <c r="GY980" s="9"/>
      <c r="GZ980" s="9"/>
      <c r="HA980" s="9"/>
      <c r="HB980" s="9"/>
      <c r="HC980" s="9"/>
      <c r="HD980" s="9"/>
      <c r="HE980" s="9"/>
      <c r="HF980" s="9"/>
      <c r="HG980" s="9"/>
      <c r="HH980" s="9"/>
      <c r="HI980" s="9"/>
      <c r="HJ980" s="9"/>
      <c r="HK980" s="9"/>
      <c r="HL980" s="89"/>
      <c r="HM980" s="89"/>
      <c r="HN980" s="89"/>
      <c r="HO980" s="89"/>
      <c r="HP980" s="89"/>
      <c r="HQ980" s="89"/>
      <c r="HR980" s="89"/>
      <c r="HS980" s="89"/>
      <c r="HT980" s="152"/>
      <c r="HU980" s="89"/>
      <c r="HV980" s="89"/>
      <c r="HW980" s="89"/>
      <c r="HX980" s="89"/>
      <c r="HY980" s="89"/>
      <c r="HZ980" s="89"/>
      <c r="IA980" s="89"/>
      <c r="IB980" s="89"/>
      <c r="IC980" s="89"/>
      <c r="ID980" s="89"/>
      <c r="IE980" s="89"/>
      <c r="IF980" s="89"/>
      <c r="IG980" s="89"/>
      <c r="IH980" s="89"/>
      <c r="II980" s="89"/>
      <c r="IJ980" s="89"/>
      <c r="IK980" s="89"/>
      <c r="IL980" s="89"/>
      <c r="IM980" s="89"/>
      <c r="IN980" s="89"/>
      <c r="IO980" s="89"/>
      <c r="IP980" s="157"/>
      <c r="IQ980" s="178"/>
      <c r="IR980" s="89"/>
      <c r="IS980" s="89"/>
      <c r="IT980" s="89"/>
      <c r="IU980" s="152"/>
      <c r="IV980" s="89"/>
      <c r="IW980" s="153"/>
      <c r="IX980" s="89"/>
      <c r="IY980" s="89"/>
      <c r="IZ980" s="89"/>
      <c r="JA980" s="89"/>
      <c r="JB980" s="89"/>
      <c r="JC980" s="89"/>
      <c r="JD980" s="89"/>
      <c r="JE980" s="89"/>
      <c r="JF980" s="89"/>
      <c r="JG980" s="89"/>
      <c r="JH980" s="89"/>
      <c r="JI980" s="89"/>
      <c r="JJ980" s="89"/>
      <c r="JK980" s="89"/>
      <c r="JL980" s="205"/>
      <c r="JM980" s="178"/>
      <c r="JN980" s="2"/>
      <c r="JO980" s="89"/>
      <c r="JP980" s="89"/>
      <c r="JQ980" s="152"/>
      <c r="JR980" s="89"/>
      <c r="JS980" s="89"/>
      <c r="JT980" s="89"/>
      <c r="JU980" s="89"/>
      <c r="JV980" s="89"/>
      <c r="JW980" s="89"/>
      <c r="JX980" s="89"/>
      <c r="JY980" s="89"/>
      <c r="JZ980" s="89"/>
      <c r="KA980" s="89"/>
      <c r="KB980" s="89"/>
      <c r="KC980" s="89"/>
      <c r="KD980" s="89"/>
      <c r="KE980" s="89"/>
      <c r="KF980" s="89"/>
      <c r="KG980" s="157"/>
      <c r="KH980" s="178"/>
      <c r="KI980" s="89"/>
      <c r="KJ980" s="89"/>
      <c r="KK980" s="89"/>
      <c r="KL980" s="89"/>
      <c r="KM980" s="89"/>
      <c r="KN980" s="89"/>
      <c r="KO980" s="157"/>
      <c r="KP980" s="178"/>
      <c r="KQ980" s="89"/>
      <c r="KR980" s="89"/>
      <c r="KS980" s="89"/>
      <c r="KT980" s="89"/>
      <c r="KU980" s="89"/>
      <c r="KV980" s="89"/>
      <c r="KW980" s="89"/>
      <c r="LB980" s="89"/>
      <c r="LC980" s="89"/>
      <c r="LD980" s="89"/>
      <c r="LE980" s="89"/>
      <c r="LF980" s="89"/>
      <c r="LG980" s="89"/>
      <c r="LH980" s="89"/>
      <c r="LI980" s="89"/>
      <c r="LJ980" s="89"/>
      <c r="LK980" s="89"/>
      <c r="LL980" s="89"/>
      <c r="LM980" s="89"/>
      <c r="LN980" s="89"/>
      <c r="LO980" s="89"/>
      <c r="LP980" s="89"/>
      <c r="LQ980" s="89"/>
      <c r="LR980" s="89"/>
      <c r="LS980" s="89"/>
      <c r="LT980" s="89"/>
      <c r="LU980" s="89"/>
      <c r="LV980" s="89"/>
      <c r="LW980" s="89"/>
      <c r="LX980" s="89"/>
      <c r="LY980" s="89"/>
      <c r="LZ980" s="89"/>
      <c r="MA980" s="89"/>
      <c r="MB980" s="89"/>
      <c r="MC980" s="89"/>
      <c r="MD980" s="89"/>
      <c r="ME980" s="89"/>
      <c r="MF980" s="89"/>
      <c r="MG980" s="89"/>
      <c r="MH980" s="89"/>
      <c r="MI980" s="89"/>
      <c r="MJ980" s="89"/>
      <c r="MK980" s="89"/>
      <c r="ML980" s="89"/>
      <c r="MM980" s="89"/>
      <c r="MN980" s="89"/>
      <c r="MO980" s="89"/>
      <c r="MP980" s="89"/>
      <c r="MQ980" s="89"/>
      <c r="MR980" s="89"/>
      <c r="MS980" s="89"/>
      <c r="MT980" s="89"/>
      <c r="MU980" s="89"/>
      <c r="MV980" s="89"/>
      <c r="MW980" s="89"/>
      <c r="MX980" s="89"/>
      <c r="MY980" s="89"/>
      <c r="MZ980" s="89"/>
      <c r="NA980" s="89"/>
      <c r="NB980" s="89"/>
      <c r="NC980" s="89"/>
      <c r="ND980" s="89"/>
      <c r="NE980" s="89"/>
      <c r="NF980" s="89"/>
      <c r="NG980" s="89"/>
      <c r="NH980" s="89"/>
      <c r="NI980" s="152"/>
      <c r="NJ980" s="204"/>
      <c r="NK980" s="89"/>
      <c r="NL980" s="89"/>
      <c r="NM980" s="89"/>
      <c r="NN980" s="89"/>
      <c r="NO980" s="89"/>
      <c r="NP980" s="89"/>
      <c r="NQ980" s="89"/>
      <c r="NR980" s="89"/>
      <c r="NS980" s="89"/>
      <c r="NT980" s="89"/>
      <c r="NU980" s="152"/>
      <c r="NV980" s="97"/>
      <c r="NW980" s="89"/>
      <c r="NX980" s="89"/>
      <c r="NY980" s="89"/>
      <c r="NZ980" s="89"/>
      <c r="OA980" s="89"/>
      <c r="OB980" s="89"/>
      <c r="OC980" s="89"/>
      <c r="OD980" s="89"/>
      <c r="OE980" s="89"/>
      <c r="OF980" s="89"/>
      <c r="OG980" s="89"/>
      <c r="OH980" s="89"/>
      <c r="OI980" s="89"/>
      <c r="OJ980" s="89"/>
      <c r="OK980" s="89"/>
      <c r="OL980" s="89"/>
      <c r="OM980" s="89"/>
      <c r="ON980" s="89"/>
      <c r="OO980" s="89"/>
      <c r="OP980" s="89"/>
    </row>
    <row r="981" spans="1:406" ht="15.75" thickBot="1">
      <c r="A981" s="209"/>
      <c r="B981" s="2"/>
      <c r="C981" s="2"/>
      <c r="D981" s="99"/>
      <c r="E981" s="2"/>
      <c r="F981" s="152"/>
      <c r="G981" s="2"/>
      <c r="H981" s="2"/>
      <c r="I981" s="152"/>
      <c r="J981" s="152"/>
      <c r="K981" s="152"/>
      <c r="L981" s="2"/>
      <c r="M981" s="99"/>
      <c r="N981" s="2"/>
      <c r="O981" s="89"/>
      <c r="P981" s="2"/>
      <c r="Q981" s="2"/>
      <c r="R981" s="89"/>
      <c r="S981" s="89"/>
      <c r="T981" s="89"/>
      <c r="X981" s="3"/>
      <c r="AA981" s="3"/>
      <c r="AB981" s="3"/>
      <c r="AC981" s="3"/>
      <c r="AG981" s="3"/>
      <c r="AJ981" s="3"/>
      <c r="AK981" s="3"/>
      <c r="AL981" s="3"/>
      <c r="AP981" s="3"/>
      <c r="AS981" s="3"/>
      <c r="AT981" s="3"/>
      <c r="AU981" s="3"/>
      <c r="AV981" s="2"/>
      <c r="AW981" s="2"/>
      <c r="AX981" s="2"/>
      <c r="AY981" s="2"/>
      <c r="AZ981" s="2"/>
      <c r="BA981" s="2"/>
      <c r="BB981" s="2"/>
      <c r="BC981" s="2"/>
      <c r="BD981" s="2"/>
      <c r="BE981" s="2"/>
      <c r="BF981" s="2"/>
      <c r="BG981" s="2"/>
      <c r="BH981" s="2"/>
      <c r="BI981" s="2"/>
      <c r="BJ981" s="99"/>
      <c r="BK981" s="210"/>
      <c r="BL981" s="2"/>
      <c r="BM981" s="2"/>
      <c r="BN981" s="2"/>
      <c r="BO981" s="2"/>
      <c r="BP981" s="2"/>
      <c r="BQ981" s="2"/>
      <c r="BR981" s="2"/>
      <c r="BS981" s="2"/>
      <c r="BT981" s="2"/>
      <c r="BU981" s="2"/>
      <c r="BV981" s="2"/>
      <c r="EE981" s="2"/>
      <c r="EF981" s="99"/>
      <c r="EG981" s="210"/>
      <c r="EH981" s="210"/>
      <c r="EI981" s="210"/>
      <c r="EJ981" s="210"/>
      <c r="EK981" s="210"/>
      <c r="EL981" s="210"/>
      <c r="EM981" s="9"/>
      <c r="EN981" s="9"/>
      <c r="EO981" s="9"/>
      <c r="EP981" s="9"/>
      <c r="EQ981" s="9"/>
      <c r="ER981" s="9"/>
      <c r="ES981" s="9"/>
      <c r="ET981" s="9"/>
      <c r="EU981" s="9"/>
      <c r="EV981" s="9"/>
      <c r="EW981" s="9"/>
      <c r="EX981" s="9"/>
      <c r="EY981" s="9"/>
      <c r="EZ981" s="9"/>
      <c r="FA981" s="9"/>
      <c r="FB981" s="9"/>
      <c r="FC981" s="9"/>
      <c r="FD981" s="9"/>
      <c r="FE981" s="9"/>
      <c r="FF981" s="9"/>
      <c r="FG981" s="9"/>
      <c r="FH981" s="9"/>
      <c r="FI981" s="9"/>
      <c r="FJ981" s="9"/>
      <c r="FK981" s="9"/>
      <c r="FL981" s="9"/>
      <c r="FM981" s="9"/>
      <c r="FN981" s="9"/>
      <c r="FO981" s="9"/>
      <c r="FP981" s="9"/>
      <c r="FQ981" s="9"/>
      <c r="FR981" s="9"/>
      <c r="FS981" s="9"/>
      <c r="FT981" s="9"/>
      <c r="FU981" s="9"/>
      <c r="FV981" s="9"/>
      <c r="FW981" s="9"/>
      <c r="FX981" s="9"/>
      <c r="FY981" s="9"/>
      <c r="FZ981" s="9"/>
      <c r="GA981" s="9"/>
      <c r="GB981" s="9"/>
      <c r="GC981" s="9"/>
      <c r="GD981" s="9"/>
      <c r="GE981" s="9"/>
      <c r="GF981" s="9"/>
      <c r="GG981" s="9"/>
      <c r="GH981" s="9"/>
      <c r="GI981" s="9"/>
      <c r="GJ981" s="9"/>
      <c r="GK981" s="9"/>
      <c r="GL981" s="9"/>
      <c r="GM981" s="9"/>
      <c r="GN981" s="9"/>
      <c r="GO981" s="9"/>
      <c r="GP981" s="9"/>
      <c r="GQ981" s="9"/>
      <c r="GR981" s="9"/>
      <c r="GS981" s="9"/>
      <c r="GT981" s="9"/>
      <c r="GU981" s="9"/>
      <c r="GV981" s="9"/>
      <c r="GW981" s="9"/>
      <c r="GX981" s="9"/>
      <c r="GY981" s="9"/>
      <c r="GZ981" s="9"/>
      <c r="HA981" s="9"/>
      <c r="HB981" s="9"/>
      <c r="HC981" s="9"/>
      <c r="HD981" s="9"/>
      <c r="HE981" s="9"/>
      <c r="HF981" s="9"/>
      <c r="HG981" s="9"/>
      <c r="HH981" s="9"/>
      <c r="HI981" s="9"/>
      <c r="HJ981" s="9"/>
      <c r="HK981" s="9"/>
      <c r="HL981" s="2"/>
      <c r="HM981" s="2"/>
      <c r="HN981" s="2"/>
      <c r="HO981" s="2"/>
      <c r="HP981" s="2"/>
      <c r="HQ981" s="2"/>
      <c r="HR981" s="2"/>
      <c r="HS981" s="2"/>
      <c r="HT981" s="99"/>
      <c r="HU981" s="2"/>
      <c r="HV981" s="2"/>
      <c r="HW981" s="2"/>
      <c r="HX981" s="2"/>
      <c r="HY981" s="2"/>
      <c r="HZ981" s="2"/>
      <c r="IA981" s="2"/>
      <c r="IB981" s="2"/>
      <c r="IC981" s="2"/>
      <c r="ID981" s="2"/>
      <c r="IE981" s="2"/>
      <c r="IF981" s="2"/>
      <c r="IG981" s="2"/>
      <c r="IH981" s="2"/>
      <c r="II981" s="2"/>
      <c r="IJ981" s="2"/>
      <c r="IK981" s="2"/>
      <c r="IL981" s="2"/>
      <c r="IM981" s="2"/>
      <c r="IN981" s="2"/>
      <c r="IO981" s="2"/>
      <c r="IP981" s="168"/>
      <c r="IQ981" s="172"/>
      <c r="IR981" s="2"/>
      <c r="IS981" s="2"/>
      <c r="IT981" s="2"/>
      <c r="IU981" s="99"/>
      <c r="IV981" s="2"/>
      <c r="IW981" s="2"/>
      <c r="IX981" s="2"/>
      <c r="IY981" s="2"/>
      <c r="IZ981" s="2"/>
      <c r="JA981" s="2"/>
      <c r="JB981" s="2"/>
      <c r="JC981" s="2"/>
      <c r="JD981" s="2"/>
      <c r="JE981" s="2"/>
      <c r="JF981" s="2"/>
      <c r="JG981" s="2"/>
      <c r="JH981" s="2"/>
      <c r="JI981" s="2"/>
      <c r="JJ981" s="2"/>
      <c r="JK981" s="2"/>
      <c r="JL981" s="205"/>
      <c r="JM981" s="172"/>
      <c r="JN981" s="2"/>
      <c r="JO981" s="2"/>
      <c r="JP981" s="2"/>
      <c r="JQ981" s="99"/>
      <c r="JR981" s="2"/>
      <c r="JS981" s="2"/>
      <c r="JT981" s="2"/>
      <c r="JU981" s="2"/>
      <c r="JV981" s="2"/>
      <c r="JW981" s="2"/>
      <c r="JX981" s="2"/>
      <c r="JY981" s="2"/>
      <c r="JZ981" s="2"/>
      <c r="KA981" s="2"/>
      <c r="KB981" s="2"/>
      <c r="KC981" s="2"/>
      <c r="KD981" s="2"/>
      <c r="KE981" s="2"/>
      <c r="KF981" s="2"/>
      <c r="KG981" s="168"/>
      <c r="KH981" s="172"/>
      <c r="KI981" s="2"/>
      <c r="KJ981" s="2"/>
      <c r="KK981" s="2"/>
      <c r="KL981" s="2"/>
      <c r="KM981" s="2"/>
      <c r="KN981" s="2"/>
      <c r="KO981" s="168"/>
      <c r="KP981" s="172"/>
      <c r="KQ981" s="2"/>
      <c r="KR981" s="2"/>
      <c r="KS981" s="2"/>
      <c r="KT981" s="2"/>
      <c r="KU981" s="2"/>
      <c r="KV981" s="2"/>
      <c r="KW981" s="2"/>
      <c r="LB981" s="2"/>
      <c r="LC981" s="2"/>
      <c r="LD981" s="2"/>
      <c r="LE981" s="2"/>
      <c r="LF981" s="2"/>
      <c r="LG981" s="2"/>
      <c r="LH981" s="2"/>
      <c r="LI981" s="2"/>
      <c r="LJ981" s="2"/>
      <c r="LK981" s="2"/>
      <c r="LL981" s="2"/>
      <c r="LM981" s="2"/>
      <c r="LN981" s="2"/>
      <c r="LO981" s="2"/>
      <c r="LP981" s="2"/>
      <c r="LQ981" s="2"/>
      <c r="LR981" s="2"/>
      <c r="LS981" s="2"/>
      <c r="LT981" s="2"/>
      <c r="LU981" s="2"/>
      <c r="LV981" s="2"/>
      <c r="LW981" s="2"/>
      <c r="LX981" s="2"/>
      <c r="LY981" s="2"/>
      <c r="LZ981" s="2"/>
      <c r="MA981" s="2"/>
      <c r="MB981" s="2"/>
      <c r="MC981" s="2"/>
      <c r="MD981" s="2"/>
      <c r="ME981" s="2"/>
      <c r="MF981" s="2"/>
      <c r="MG981" s="2"/>
      <c r="MH981" s="2"/>
      <c r="MI981" s="2"/>
      <c r="MJ981" s="2"/>
      <c r="MK981" s="2"/>
      <c r="ML981" s="2"/>
      <c r="MM981" s="2"/>
      <c r="MN981" s="2"/>
      <c r="MO981" s="2"/>
      <c r="MP981" s="2"/>
      <c r="MQ981" s="2"/>
      <c r="MR981" s="2"/>
      <c r="MS981" s="2"/>
      <c r="MT981" s="2"/>
      <c r="MU981" s="2"/>
      <c r="MV981" s="2"/>
      <c r="MW981" s="2"/>
      <c r="MX981" s="2"/>
      <c r="MY981" s="2"/>
      <c r="MZ981" s="2"/>
      <c r="NA981" s="2"/>
      <c r="NB981" s="2"/>
      <c r="NC981" s="2"/>
      <c r="ND981" s="2"/>
      <c r="NE981" s="2"/>
      <c r="NF981" s="2"/>
      <c r="NG981" s="2"/>
      <c r="NH981" s="2"/>
      <c r="NI981" s="99"/>
      <c r="NJ981" s="208"/>
      <c r="NK981" s="2"/>
      <c r="NL981" s="2"/>
      <c r="NM981" s="2"/>
      <c r="NN981" s="2"/>
      <c r="NO981" s="2"/>
      <c r="NP981" s="2"/>
      <c r="NQ981" s="2"/>
      <c r="NR981" s="2"/>
      <c r="NS981" s="2"/>
      <c r="NT981" s="2"/>
      <c r="NU981" s="99"/>
      <c r="NV981" s="173"/>
      <c r="NW981" s="2"/>
      <c r="NX981" s="2"/>
      <c r="NY981" s="2"/>
      <c r="NZ981" s="2"/>
      <c r="OA981" s="2"/>
      <c r="OB981" s="2"/>
      <c r="OC981" s="2"/>
      <c r="OD981" s="2"/>
      <c r="OE981" s="2"/>
      <c r="OF981" s="2"/>
      <c r="OG981" s="2"/>
      <c r="OH981" s="2"/>
      <c r="OI981" s="2"/>
      <c r="OJ981" s="2"/>
      <c r="OK981" s="2"/>
      <c r="OL981" s="2"/>
      <c r="OM981" s="2"/>
      <c r="ON981" s="2"/>
      <c r="OO981" s="2"/>
      <c r="OP981" s="2"/>
    </row>
    <row r="982" spans="1:406" ht="15.75" thickBot="1">
      <c r="A982" s="207"/>
      <c r="B982" s="89"/>
      <c r="C982" s="89"/>
      <c r="D982" s="152"/>
      <c r="E982" s="89"/>
      <c r="F982" s="152"/>
      <c r="G982" s="89"/>
      <c r="H982" s="89"/>
      <c r="I982" s="152"/>
      <c r="J982" s="152"/>
      <c r="K982" s="152"/>
      <c r="L982" s="89"/>
      <c r="M982" s="152"/>
      <c r="N982" s="89"/>
      <c r="O982" s="89"/>
      <c r="P982" s="89"/>
      <c r="Q982" s="89"/>
      <c r="R982" s="89"/>
      <c r="S982" s="89"/>
      <c r="T982" s="89"/>
      <c r="X982" s="3"/>
      <c r="AA982" s="3"/>
      <c r="AB982" s="3"/>
      <c r="AC982" s="3"/>
      <c r="AG982" s="3"/>
      <c r="AJ982" s="3"/>
      <c r="AK982" s="3"/>
      <c r="AL982" s="3"/>
      <c r="AP982" s="3"/>
      <c r="AS982" s="3"/>
      <c r="AT982" s="3"/>
      <c r="AU982" s="3"/>
      <c r="AV982" s="89"/>
      <c r="AW982" s="89"/>
      <c r="AX982" s="89"/>
      <c r="AY982" s="89"/>
      <c r="AZ982" s="89"/>
      <c r="BA982" s="89"/>
      <c r="BB982" s="89"/>
      <c r="BC982" s="89"/>
      <c r="BD982" s="89"/>
      <c r="BE982" s="89"/>
      <c r="BF982" s="89"/>
      <c r="BG982" s="89"/>
      <c r="BH982" s="89"/>
      <c r="BI982" s="89"/>
      <c r="BJ982" s="152"/>
      <c r="BK982" s="175"/>
      <c r="BL982" s="89"/>
      <c r="BM982" s="89"/>
      <c r="BN982" s="89"/>
      <c r="BO982" s="89"/>
      <c r="BP982" s="89"/>
      <c r="BQ982" s="89"/>
      <c r="BR982" s="89"/>
      <c r="BS982" s="89"/>
      <c r="BT982" s="89"/>
      <c r="BU982" s="89"/>
      <c r="BV982" s="89"/>
      <c r="EE982" s="89"/>
      <c r="EF982" s="89"/>
      <c r="EG982" s="89"/>
      <c r="EH982" s="89"/>
      <c r="EI982" s="89"/>
      <c r="EJ982" s="89"/>
      <c r="EK982" s="89"/>
      <c r="EL982" s="89"/>
      <c r="EM982" s="9"/>
      <c r="EN982" s="9"/>
      <c r="EO982" s="9"/>
      <c r="EP982" s="9"/>
      <c r="EQ982" s="9"/>
      <c r="ER982" s="9"/>
      <c r="ES982" s="9"/>
      <c r="ET982" s="9"/>
      <c r="EU982" s="9"/>
      <c r="EV982" s="9"/>
      <c r="EW982" s="9"/>
      <c r="EX982" s="9"/>
      <c r="EY982" s="9"/>
      <c r="EZ982" s="9"/>
      <c r="FA982" s="9"/>
      <c r="FB982" s="9"/>
      <c r="FC982" s="9"/>
      <c r="FD982" s="9"/>
      <c r="FE982" s="9"/>
      <c r="FF982" s="9"/>
      <c r="FG982" s="9"/>
      <c r="FH982" s="9"/>
      <c r="FI982" s="9"/>
      <c r="FJ982" s="9"/>
      <c r="FK982" s="9"/>
      <c r="FL982" s="9"/>
      <c r="FM982" s="9"/>
      <c r="FN982" s="9"/>
      <c r="FO982" s="9"/>
      <c r="FP982" s="9"/>
      <c r="FQ982" s="9"/>
      <c r="FR982" s="9"/>
      <c r="FS982" s="9"/>
      <c r="FT982" s="9"/>
      <c r="FU982" s="9"/>
      <c r="FV982" s="9"/>
      <c r="FW982" s="9"/>
      <c r="FX982" s="9"/>
      <c r="FY982" s="9"/>
      <c r="FZ982" s="9"/>
      <c r="GA982" s="9"/>
      <c r="GB982" s="9"/>
      <c r="GC982" s="9"/>
      <c r="GD982" s="9"/>
      <c r="GE982" s="9"/>
      <c r="GF982" s="9"/>
      <c r="GG982" s="9"/>
      <c r="GH982" s="9"/>
      <c r="GI982" s="9"/>
      <c r="GJ982" s="9"/>
      <c r="GK982" s="9"/>
      <c r="GL982" s="9"/>
      <c r="GM982" s="9"/>
      <c r="GN982" s="9"/>
      <c r="GO982" s="9"/>
      <c r="GP982" s="9"/>
      <c r="GQ982" s="9"/>
      <c r="GR982" s="9"/>
      <c r="GS982" s="9"/>
      <c r="GT982" s="9"/>
      <c r="GU982" s="9"/>
      <c r="GV982" s="9"/>
      <c r="GW982" s="9"/>
      <c r="GX982" s="9"/>
      <c r="GY982" s="9"/>
      <c r="GZ982" s="9"/>
      <c r="HA982" s="9"/>
      <c r="HB982" s="9"/>
      <c r="HC982" s="9"/>
      <c r="HD982" s="9"/>
      <c r="HE982" s="9"/>
      <c r="HF982" s="9"/>
      <c r="HG982" s="9"/>
      <c r="HH982" s="9"/>
      <c r="HI982" s="9"/>
      <c r="HJ982" s="9"/>
      <c r="HK982" s="9"/>
      <c r="HL982" s="89"/>
      <c r="HM982" s="89"/>
      <c r="HN982" s="89"/>
      <c r="HO982" s="89"/>
      <c r="HP982" s="89"/>
      <c r="HQ982" s="89"/>
      <c r="HR982" s="89"/>
      <c r="HS982" s="89"/>
      <c r="HT982" s="152"/>
      <c r="HU982" s="89"/>
      <c r="HV982" s="89"/>
      <c r="HW982" s="89"/>
      <c r="HX982" s="89"/>
      <c r="HY982" s="89"/>
      <c r="HZ982" s="89"/>
      <c r="IA982" s="89"/>
      <c r="IB982" s="89"/>
      <c r="IC982" s="89"/>
      <c r="ID982" s="89"/>
      <c r="IE982" s="89"/>
      <c r="IF982" s="89"/>
      <c r="IG982" s="89"/>
      <c r="IH982" s="89"/>
      <c r="II982" s="89"/>
      <c r="IJ982" s="89"/>
      <c r="IK982" s="89"/>
      <c r="IL982" s="89"/>
      <c r="IM982" s="89"/>
      <c r="IN982" s="89"/>
      <c r="IO982" s="89"/>
      <c r="IP982" s="157"/>
      <c r="IQ982" s="178"/>
      <c r="IR982" s="89"/>
      <c r="IS982" s="89"/>
      <c r="IT982" s="89"/>
      <c r="IU982" s="152"/>
      <c r="IV982" s="89"/>
      <c r="IW982" s="89"/>
      <c r="IX982" s="89"/>
      <c r="IY982" s="89"/>
      <c r="IZ982" s="89"/>
      <c r="JA982" s="89"/>
      <c r="JB982" s="89"/>
      <c r="JC982" s="89"/>
      <c r="JD982" s="89"/>
      <c r="JE982" s="89"/>
      <c r="JF982" s="89"/>
      <c r="JG982" s="89"/>
      <c r="JH982" s="89"/>
      <c r="JI982" s="89"/>
      <c r="JJ982" s="89"/>
      <c r="JK982" s="89"/>
      <c r="JL982" s="205"/>
      <c r="JM982" s="178"/>
      <c r="JN982" s="2"/>
      <c r="JO982" s="89"/>
      <c r="JP982" s="89"/>
      <c r="JQ982" s="152"/>
      <c r="JR982" s="89"/>
      <c r="JS982" s="89"/>
      <c r="JT982" s="89"/>
      <c r="JU982" s="89"/>
      <c r="JV982" s="89"/>
      <c r="JW982" s="89"/>
      <c r="JX982" s="89"/>
      <c r="JY982" s="89"/>
      <c r="JZ982" s="89"/>
      <c r="KA982" s="89"/>
      <c r="KB982" s="89"/>
      <c r="KC982" s="89"/>
      <c r="KD982" s="89"/>
      <c r="KE982" s="89"/>
      <c r="KF982" s="89"/>
      <c r="KG982" s="157"/>
      <c r="KH982" s="178"/>
      <c r="KI982" s="89"/>
      <c r="KJ982" s="89"/>
      <c r="KK982" s="89"/>
      <c r="KL982" s="89"/>
      <c r="KM982" s="89"/>
      <c r="KN982" s="89"/>
      <c r="KO982" s="157"/>
      <c r="KP982" s="178"/>
      <c r="KQ982" s="89"/>
      <c r="KR982" s="89"/>
      <c r="KS982" s="89"/>
      <c r="KT982" s="89"/>
      <c r="KU982" s="89"/>
      <c r="KV982" s="89"/>
      <c r="KW982" s="89"/>
      <c r="LB982" s="89"/>
      <c r="LC982" s="89"/>
      <c r="LD982" s="89"/>
      <c r="LE982" s="89"/>
      <c r="LF982" s="89"/>
      <c r="LG982" s="89"/>
      <c r="LH982" s="89"/>
      <c r="LI982" s="89"/>
      <c r="LJ982" s="89"/>
      <c r="LK982" s="89"/>
      <c r="LL982" s="89"/>
      <c r="LM982" s="89"/>
      <c r="LN982" s="89"/>
      <c r="LO982" s="89"/>
      <c r="LP982" s="89"/>
      <c r="LQ982" s="89"/>
      <c r="LR982" s="89"/>
      <c r="LS982" s="89"/>
      <c r="LT982" s="89"/>
      <c r="LU982" s="89"/>
      <c r="LV982" s="89"/>
      <c r="LW982" s="89"/>
      <c r="LX982" s="89"/>
      <c r="LY982" s="89"/>
      <c r="LZ982" s="89"/>
      <c r="MA982" s="89"/>
      <c r="MB982" s="89"/>
      <c r="MC982" s="89"/>
      <c r="MD982" s="89"/>
      <c r="ME982" s="89"/>
      <c r="MF982" s="89"/>
      <c r="MG982" s="89"/>
      <c r="MH982" s="89"/>
      <c r="MI982" s="89"/>
      <c r="MJ982" s="89"/>
      <c r="MK982" s="89"/>
      <c r="ML982" s="89"/>
      <c r="MM982" s="89"/>
      <c r="MN982" s="89"/>
      <c r="MO982" s="89"/>
      <c r="MP982" s="89"/>
      <c r="MQ982" s="89"/>
      <c r="MR982" s="89"/>
      <c r="MS982" s="89"/>
      <c r="MT982" s="89"/>
      <c r="MU982" s="89"/>
      <c r="MV982" s="89"/>
      <c r="MW982" s="89"/>
      <c r="MX982" s="89"/>
      <c r="MY982" s="89"/>
      <c r="MZ982" s="89"/>
      <c r="NA982" s="89"/>
      <c r="NB982" s="89"/>
      <c r="NC982" s="89"/>
      <c r="ND982" s="89"/>
      <c r="NE982" s="89"/>
      <c r="NF982" s="89"/>
      <c r="NG982" s="89"/>
      <c r="NH982" s="89"/>
      <c r="NI982" s="152"/>
      <c r="NJ982" s="204"/>
      <c r="NK982" s="89"/>
      <c r="NL982" s="89"/>
      <c r="NM982" s="89"/>
      <c r="NN982" s="89"/>
      <c r="NO982" s="89"/>
      <c r="NP982" s="89"/>
      <c r="NQ982" s="89"/>
      <c r="NR982" s="89"/>
      <c r="NS982" s="89"/>
      <c r="NT982" s="89"/>
      <c r="NU982" s="152"/>
      <c r="NV982" s="97"/>
      <c r="NW982" s="89"/>
      <c r="NX982" s="89"/>
      <c r="NY982" s="89"/>
      <c r="NZ982" s="89"/>
      <c r="OA982" s="89"/>
      <c r="OB982" s="89"/>
      <c r="OC982" s="89"/>
      <c r="OD982" s="89"/>
      <c r="OE982" s="89"/>
      <c r="OF982" s="89"/>
      <c r="OG982" s="89"/>
      <c r="OH982" s="89"/>
      <c r="OI982" s="89"/>
      <c r="OJ982" s="89"/>
      <c r="OK982" s="89"/>
      <c r="OL982" s="89"/>
      <c r="OM982" s="89"/>
      <c r="ON982" s="89"/>
      <c r="OO982" s="89"/>
      <c r="OP982" s="89"/>
    </row>
    <row r="983" spans="1:406" ht="15.75" thickBot="1">
      <c r="A983" s="209"/>
      <c r="B983" s="2"/>
      <c r="C983" s="2"/>
      <c r="D983" s="99"/>
      <c r="E983" s="2"/>
      <c r="F983" s="152"/>
      <c r="G983" s="2"/>
      <c r="H983" s="2"/>
      <c r="I983" s="152"/>
      <c r="J983" s="152"/>
      <c r="K983" s="152"/>
      <c r="L983" s="2"/>
      <c r="M983" s="99"/>
      <c r="N983" s="2"/>
      <c r="O983" s="89"/>
      <c r="P983" s="2"/>
      <c r="Q983" s="2"/>
      <c r="R983" s="89"/>
      <c r="S983" s="89"/>
      <c r="T983" s="89"/>
      <c r="X983" s="3"/>
      <c r="AA983" s="3"/>
      <c r="AB983" s="3"/>
      <c r="AC983" s="3"/>
      <c r="AG983" s="3"/>
      <c r="AJ983" s="3"/>
      <c r="AK983" s="3"/>
      <c r="AL983" s="3"/>
      <c r="AP983" s="3"/>
      <c r="AS983" s="3"/>
      <c r="AT983" s="3"/>
      <c r="AU983" s="3"/>
      <c r="AV983" s="2"/>
      <c r="AW983" s="2"/>
      <c r="AX983" s="2"/>
      <c r="AY983" s="2"/>
      <c r="AZ983" s="2"/>
      <c r="BA983" s="2"/>
      <c r="BB983" s="2"/>
      <c r="BC983" s="2"/>
      <c r="BD983" s="2"/>
      <c r="BE983" s="2"/>
      <c r="BF983" s="2"/>
      <c r="BG983" s="2"/>
      <c r="BH983" s="2"/>
      <c r="BI983" s="2"/>
      <c r="BJ983" s="99"/>
      <c r="BK983" s="210"/>
      <c r="BL983" s="2"/>
      <c r="BM983" s="2"/>
      <c r="BN983" s="2"/>
      <c r="BO983" s="2"/>
      <c r="BP983" s="2"/>
      <c r="BQ983" s="2"/>
      <c r="BR983" s="2"/>
      <c r="BS983" s="2"/>
      <c r="BT983" s="2"/>
      <c r="BU983" s="2"/>
      <c r="BV983" s="2"/>
      <c r="EE983" s="2"/>
      <c r="EF983" s="2"/>
      <c r="EG983" s="2"/>
      <c r="EH983" s="2"/>
      <c r="EI983" s="2"/>
      <c r="EJ983" s="2"/>
      <c r="EK983" s="2"/>
      <c r="EL983" s="2"/>
      <c r="EM983" s="9"/>
      <c r="EN983" s="9"/>
      <c r="EO983" s="9"/>
      <c r="EP983" s="9"/>
      <c r="EQ983" s="9"/>
      <c r="ER983" s="9"/>
      <c r="ES983" s="9"/>
      <c r="ET983" s="9"/>
      <c r="EU983" s="9"/>
      <c r="EV983" s="9"/>
      <c r="EW983" s="9"/>
      <c r="EX983" s="9"/>
      <c r="EY983" s="9"/>
      <c r="EZ983" s="9"/>
      <c r="FA983" s="9"/>
      <c r="FB983" s="9"/>
      <c r="FC983" s="9"/>
      <c r="FD983" s="9"/>
      <c r="FE983" s="9"/>
      <c r="FF983" s="9"/>
      <c r="FG983" s="9"/>
      <c r="FH983" s="9"/>
      <c r="FI983" s="9"/>
      <c r="FJ983" s="9"/>
      <c r="FK983" s="9"/>
      <c r="FL983" s="9"/>
      <c r="FM983" s="9"/>
      <c r="FN983" s="9"/>
      <c r="FO983" s="9"/>
      <c r="FP983" s="9"/>
      <c r="FQ983" s="9"/>
      <c r="FR983" s="9"/>
      <c r="FS983" s="9"/>
      <c r="FT983" s="9"/>
      <c r="FU983" s="9"/>
      <c r="FV983" s="9"/>
      <c r="FW983" s="9"/>
      <c r="FX983" s="9"/>
      <c r="FY983" s="9"/>
      <c r="FZ983" s="9"/>
      <c r="GA983" s="9"/>
      <c r="GB983" s="9"/>
      <c r="GC983" s="9"/>
      <c r="GD983" s="9"/>
      <c r="GE983" s="9"/>
      <c r="GF983" s="9"/>
      <c r="GG983" s="9"/>
      <c r="GH983" s="9"/>
      <c r="GI983" s="9"/>
      <c r="GJ983" s="9"/>
      <c r="GK983" s="9"/>
      <c r="GL983" s="9"/>
      <c r="GM983" s="9"/>
      <c r="GN983" s="9"/>
      <c r="GO983" s="9"/>
      <c r="GP983" s="9"/>
      <c r="GQ983" s="9"/>
      <c r="GR983" s="9"/>
      <c r="GS983" s="9"/>
      <c r="GT983" s="9"/>
      <c r="GU983" s="9"/>
      <c r="GV983" s="9"/>
      <c r="GW983" s="9"/>
      <c r="GX983" s="9"/>
      <c r="GY983" s="9"/>
      <c r="GZ983" s="9"/>
      <c r="HA983" s="9"/>
      <c r="HB983" s="9"/>
      <c r="HC983" s="9"/>
      <c r="HD983" s="9"/>
      <c r="HE983" s="9"/>
      <c r="HF983" s="9"/>
      <c r="HG983" s="9"/>
      <c r="HH983" s="9"/>
      <c r="HI983" s="9"/>
      <c r="HJ983" s="9"/>
      <c r="HK983" s="9"/>
      <c r="HL983" s="2"/>
      <c r="HM983" s="2"/>
      <c r="HN983" s="2"/>
      <c r="HO983" s="2"/>
      <c r="HP983" s="2"/>
      <c r="HQ983" s="2"/>
      <c r="HR983" s="2"/>
      <c r="HS983" s="2"/>
      <c r="HT983" s="99"/>
      <c r="HU983" s="2"/>
      <c r="HV983" s="2"/>
      <c r="HW983" s="2"/>
      <c r="HX983" s="2"/>
      <c r="HY983" s="2"/>
      <c r="HZ983" s="2"/>
      <c r="IA983" s="2"/>
      <c r="IB983" s="2"/>
      <c r="IC983" s="2"/>
      <c r="ID983" s="2"/>
      <c r="IE983" s="2"/>
      <c r="IF983" s="2"/>
      <c r="IG983" s="2"/>
      <c r="IH983" s="2"/>
      <c r="II983" s="2"/>
      <c r="IJ983" s="2"/>
      <c r="IK983" s="2"/>
      <c r="IL983" s="2"/>
      <c r="IM983" s="2"/>
      <c r="IN983" s="2"/>
      <c r="IO983" s="2"/>
      <c r="IP983" s="168"/>
      <c r="IQ983" s="172"/>
      <c r="IR983" s="2"/>
      <c r="IS983" s="2"/>
      <c r="IT983" s="2"/>
      <c r="IU983" s="99"/>
      <c r="IV983" s="2"/>
      <c r="IW983" s="2"/>
      <c r="IX983" s="2"/>
      <c r="IY983" s="2"/>
      <c r="IZ983" s="2"/>
      <c r="JA983" s="2"/>
      <c r="JB983" s="2"/>
      <c r="JC983" s="2"/>
      <c r="JD983" s="2"/>
      <c r="JE983" s="2"/>
      <c r="JF983" s="2"/>
      <c r="JG983" s="2"/>
      <c r="JH983" s="2"/>
      <c r="JI983" s="2"/>
      <c r="JJ983" s="2"/>
      <c r="JK983" s="2"/>
      <c r="JL983" s="212"/>
      <c r="JM983" s="171"/>
      <c r="JN983" s="2"/>
      <c r="JO983" s="2"/>
      <c r="JP983" s="2"/>
      <c r="JQ983" s="99"/>
      <c r="JR983" s="2"/>
      <c r="JS983" s="2"/>
      <c r="JT983" s="2"/>
      <c r="JU983" s="2"/>
      <c r="JV983" s="2"/>
      <c r="JW983" s="2"/>
      <c r="JX983" s="2"/>
      <c r="JY983" s="2"/>
      <c r="JZ983" s="2"/>
      <c r="KA983" s="2"/>
      <c r="KB983" s="2"/>
      <c r="KC983" s="2"/>
      <c r="KD983" s="2"/>
      <c r="KE983" s="2"/>
      <c r="KF983" s="2"/>
      <c r="KG983" s="168"/>
      <c r="KH983" s="172"/>
      <c r="KI983" s="2"/>
      <c r="KJ983" s="2"/>
      <c r="KK983" s="2"/>
      <c r="KL983" s="2"/>
      <c r="KM983" s="2"/>
      <c r="KN983" s="2"/>
      <c r="KO983" s="168"/>
      <c r="KP983" s="172"/>
      <c r="KQ983" s="2"/>
      <c r="KR983" s="2"/>
      <c r="KS983" s="2"/>
      <c r="KT983" s="2"/>
      <c r="KU983" s="2"/>
      <c r="KV983" s="2"/>
      <c r="KW983" s="2"/>
      <c r="LB983" s="2"/>
      <c r="LC983" s="2"/>
      <c r="LD983" s="2"/>
      <c r="LE983" s="2"/>
      <c r="LF983" s="2"/>
      <c r="LG983" s="2"/>
      <c r="LH983" s="2"/>
      <c r="LI983" s="2"/>
      <c r="LJ983" s="2"/>
      <c r="LK983" s="2"/>
      <c r="LL983" s="2"/>
      <c r="LM983" s="2"/>
      <c r="LN983" s="2"/>
      <c r="LO983" s="2"/>
      <c r="LP983" s="2"/>
      <c r="LQ983" s="2"/>
      <c r="LR983" s="2"/>
      <c r="LS983" s="2"/>
      <c r="LT983" s="2"/>
      <c r="LU983" s="2"/>
      <c r="LV983" s="2"/>
      <c r="LW983" s="2"/>
      <c r="LX983" s="2"/>
      <c r="LY983" s="2"/>
      <c r="LZ983" s="2"/>
      <c r="MA983" s="2"/>
      <c r="MB983" s="2"/>
      <c r="MC983" s="2"/>
      <c r="MD983" s="2"/>
      <c r="ME983" s="2"/>
      <c r="MF983" s="2"/>
      <c r="MG983" s="2"/>
      <c r="MH983" s="2"/>
      <c r="MI983" s="2"/>
      <c r="MJ983" s="2"/>
      <c r="MK983" s="2"/>
      <c r="ML983" s="2"/>
      <c r="MM983" s="2"/>
      <c r="MN983" s="2"/>
      <c r="MO983" s="2"/>
      <c r="MP983" s="2"/>
      <c r="MQ983" s="2"/>
      <c r="MR983" s="2"/>
      <c r="MS983" s="2"/>
      <c r="MT983" s="2"/>
      <c r="MU983" s="2"/>
      <c r="MV983" s="2"/>
      <c r="MW983" s="2"/>
      <c r="MX983" s="2"/>
      <c r="MY983" s="2"/>
      <c r="MZ983" s="2"/>
      <c r="NA983" s="2"/>
      <c r="NB983" s="2"/>
      <c r="NC983" s="2"/>
      <c r="ND983" s="2"/>
      <c r="NE983" s="2"/>
      <c r="NF983" s="2"/>
      <c r="NG983" s="2"/>
      <c r="NH983" s="2"/>
      <c r="NI983" s="99"/>
      <c r="NJ983" s="208"/>
      <c r="NK983" s="2"/>
      <c r="NL983" s="2"/>
      <c r="NM983" s="2"/>
      <c r="NN983" s="2"/>
      <c r="NO983" s="2"/>
      <c r="NP983" s="2"/>
      <c r="NQ983" s="2"/>
      <c r="NR983" s="2"/>
      <c r="NS983" s="2"/>
      <c r="NT983" s="2"/>
      <c r="NU983" s="99"/>
      <c r="NV983" s="173"/>
      <c r="NW983" s="2"/>
      <c r="NX983" s="2"/>
      <c r="NY983" s="2"/>
      <c r="NZ983" s="2"/>
      <c r="OA983" s="2"/>
      <c r="OB983" s="2"/>
      <c r="OC983" s="2"/>
      <c r="OD983" s="2"/>
      <c r="OE983" s="2"/>
      <c r="OF983" s="2"/>
      <c r="OG983" s="2"/>
      <c r="OH983" s="2"/>
      <c r="OI983" s="2"/>
      <c r="OJ983" s="2"/>
      <c r="OK983" s="2"/>
      <c r="OL983" s="2"/>
      <c r="OM983" s="2"/>
      <c r="ON983" s="2"/>
      <c r="OO983" s="2"/>
      <c r="OP983" s="2"/>
    </row>
    <row r="984" spans="1:406" ht="15.75" thickBot="1">
      <c r="A984" s="207"/>
      <c r="B984" s="89"/>
      <c r="C984" s="89"/>
      <c r="D984" s="152"/>
      <c r="E984" s="89"/>
      <c r="F984" s="152"/>
      <c r="G984" s="89"/>
      <c r="H984" s="89"/>
      <c r="I984" s="152"/>
      <c r="J984" s="152"/>
      <c r="K984" s="152"/>
      <c r="L984" s="89"/>
      <c r="M984" s="152"/>
      <c r="N984" s="89"/>
      <c r="O984" s="89"/>
      <c r="P984" s="89"/>
      <c r="Q984" s="89"/>
      <c r="R984" s="89"/>
      <c r="S984" s="89"/>
      <c r="T984" s="89"/>
      <c r="X984" s="3"/>
      <c r="AA984" s="3"/>
      <c r="AB984" s="3"/>
      <c r="AC984" s="3"/>
      <c r="AG984" s="3"/>
      <c r="AJ984" s="3"/>
      <c r="AK984" s="3"/>
      <c r="AL984" s="3"/>
      <c r="AP984" s="3"/>
      <c r="AS984" s="3"/>
      <c r="AT984" s="3"/>
      <c r="AU984" s="3"/>
      <c r="AV984" s="89"/>
      <c r="AW984" s="89"/>
      <c r="AX984" s="89"/>
      <c r="AY984" s="89"/>
      <c r="AZ984" s="89"/>
      <c r="BA984" s="89"/>
      <c r="BB984" s="89"/>
      <c r="BC984" s="89"/>
      <c r="BD984" s="89"/>
      <c r="BE984" s="89"/>
      <c r="BF984" s="89"/>
      <c r="BG984" s="89"/>
      <c r="BH984" s="89"/>
      <c r="BI984" s="89"/>
      <c r="BJ984" s="152"/>
      <c r="BK984" s="175"/>
      <c r="BL984" s="89"/>
      <c r="BM984" s="89"/>
      <c r="BN984" s="89"/>
      <c r="BO984" s="89"/>
      <c r="BP984" s="89"/>
      <c r="BQ984" s="89"/>
      <c r="BR984" s="89"/>
      <c r="BS984" s="89"/>
      <c r="BT984" s="89"/>
      <c r="BU984" s="89"/>
      <c r="BV984" s="89"/>
      <c r="EE984" s="89"/>
      <c r="EF984" s="152"/>
      <c r="EG984" s="175"/>
      <c r="EH984" s="175"/>
      <c r="EI984" s="175"/>
      <c r="EJ984" s="175"/>
      <c r="EK984" s="175"/>
      <c r="EL984" s="175"/>
      <c r="HL984" s="89"/>
      <c r="HM984" s="89"/>
      <c r="HN984" s="89"/>
      <c r="HO984" s="89"/>
      <c r="HP984" s="89"/>
      <c r="HQ984" s="89"/>
      <c r="HR984" s="89"/>
      <c r="HS984" s="89"/>
      <c r="HT984" s="152"/>
      <c r="HU984" s="89"/>
      <c r="HV984" s="89"/>
      <c r="HW984" s="89"/>
      <c r="HX984" s="89"/>
      <c r="HY984" s="89"/>
      <c r="HZ984" s="89"/>
      <c r="IA984" s="89"/>
      <c r="IB984" s="89"/>
      <c r="IC984" s="89"/>
      <c r="ID984" s="89"/>
      <c r="IE984" s="89"/>
      <c r="IF984" s="89"/>
      <c r="IG984" s="89"/>
      <c r="IH984" s="89"/>
      <c r="II984" s="89"/>
      <c r="IJ984" s="89"/>
      <c r="IK984" s="89"/>
      <c r="IL984" s="89"/>
      <c r="IM984" s="89"/>
      <c r="IN984" s="152"/>
      <c r="IO984" s="89"/>
      <c r="IP984" s="157"/>
      <c r="IQ984" s="178"/>
      <c r="IR984" s="89"/>
      <c r="IS984" s="89"/>
      <c r="IT984" s="89"/>
      <c r="IU984" s="152"/>
      <c r="IV984" s="89"/>
      <c r="IW984" s="206"/>
      <c r="IX984" s="178"/>
      <c r="IY984" s="89"/>
      <c r="IZ984" s="89"/>
      <c r="JA984" s="89"/>
      <c r="JB984" s="89"/>
      <c r="JC984" s="89"/>
      <c r="JD984" s="89"/>
      <c r="JE984" s="89"/>
      <c r="JF984" s="89"/>
      <c r="JG984" s="89"/>
      <c r="JH984" s="89"/>
      <c r="JI984" s="89"/>
      <c r="JJ984" s="89"/>
      <c r="JK984" s="89"/>
      <c r="JL984" s="205"/>
      <c r="JM984" s="178"/>
      <c r="JN984" s="2"/>
      <c r="JO984" s="89"/>
      <c r="JP984" s="89"/>
      <c r="JQ984" s="152"/>
      <c r="JR984" s="89"/>
      <c r="JS984" s="89"/>
      <c r="JT984" s="89"/>
      <c r="JU984" s="89"/>
      <c r="JV984" s="89"/>
      <c r="JW984" s="89"/>
      <c r="JX984" s="89"/>
      <c r="JY984" s="89"/>
      <c r="JZ984" s="89"/>
      <c r="KA984" s="89"/>
      <c r="KB984" s="89"/>
      <c r="KC984" s="89"/>
      <c r="KD984" s="89"/>
      <c r="KE984" s="89"/>
      <c r="KF984" s="89"/>
      <c r="KG984" s="157"/>
      <c r="KH984" s="178"/>
      <c r="KI984" s="89"/>
      <c r="KJ984" s="89"/>
      <c r="KK984" s="89"/>
      <c r="KL984" s="89"/>
      <c r="KM984" s="89"/>
      <c r="KN984" s="89"/>
      <c r="KO984" s="182"/>
      <c r="KP984" s="159"/>
      <c r="KQ984" s="89"/>
      <c r="KR984" s="89"/>
      <c r="KS984" s="89"/>
      <c r="KT984" s="89"/>
      <c r="KU984" s="89"/>
      <c r="KV984" s="89"/>
      <c r="KW984" s="89"/>
      <c r="LB984" s="89"/>
      <c r="LC984" s="89"/>
      <c r="LD984" s="89"/>
      <c r="LE984" s="89"/>
      <c r="LF984" s="89"/>
      <c r="LG984" s="89"/>
      <c r="LH984" s="89"/>
      <c r="LI984" s="89"/>
      <c r="LJ984" s="89"/>
      <c r="LK984" s="89"/>
      <c r="LL984" s="89"/>
      <c r="LM984" s="89"/>
      <c r="LN984" s="89"/>
      <c r="LO984" s="89"/>
      <c r="LP984" s="89"/>
      <c r="LQ984" s="89"/>
      <c r="LR984" s="89"/>
      <c r="LS984" s="89"/>
      <c r="LT984" s="89"/>
      <c r="LU984" s="89"/>
      <c r="LV984" s="89"/>
      <c r="LW984" s="89"/>
      <c r="LX984" s="89"/>
      <c r="LY984" s="89"/>
      <c r="LZ984" s="89"/>
      <c r="MA984" s="89"/>
      <c r="MB984" s="89"/>
      <c r="MC984" s="89"/>
      <c r="MD984" s="89"/>
      <c r="ME984" s="89"/>
      <c r="MF984" s="89"/>
      <c r="MG984" s="89"/>
      <c r="MH984" s="89"/>
      <c r="MI984" s="89"/>
      <c r="MJ984" s="89"/>
      <c r="MK984" s="89"/>
      <c r="ML984" s="89"/>
      <c r="MM984" s="89"/>
      <c r="MN984" s="89"/>
      <c r="MO984" s="89"/>
      <c r="MP984" s="89"/>
      <c r="MQ984" s="89"/>
      <c r="MR984" s="89"/>
      <c r="MS984" s="89"/>
      <c r="MT984" s="89"/>
      <c r="MU984" s="89"/>
      <c r="MV984" s="89"/>
      <c r="MW984" s="89"/>
      <c r="MX984" s="89"/>
      <c r="MY984" s="89"/>
      <c r="MZ984" s="89"/>
      <c r="NA984" s="89"/>
      <c r="NB984" s="89"/>
      <c r="NC984" s="89"/>
      <c r="ND984" s="89"/>
      <c r="NE984" s="89"/>
      <c r="NF984" s="89"/>
      <c r="NG984" s="89"/>
      <c r="NH984" s="89"/>
      <c r="NI984" s="152"/>
      <c r="NJ984" s="204"/>
      <c r="NK984" s="89"/>
      <c r="NL984" s="89"/>
      <c r="NM984" s="89"/>
      <c r="NN984" s="89"/>
      <c r="NO984" s="89"/>
      <c r="NP984" s="89"/>
      <c r="NQ984" s="89"/>
      <c r="NR984" s="89"/>
      <c r="NS984" s="89"/>
      <c r="NT984" s="89"/>
      <c r="NU984" s="152"/>
      <c r="NV984" s="97"/>
      <c r="NW984" s="89"/>
      <c r="NX984" s="89"/>
      <c r="NY984" s="89"/>
      <c r="NZ984" s="89"/>
      <c r="OA984" s="89"/>
      <c r="OB984" s="89"/>
      <c r="OC984" s="89"/>
      <c r="OD984" s="89"/>
      <c r="OE984" s="89"/>
      <c r="OF984" s="89"/>
      <c r="OG984" s="89"/>
      <c r="OH984" s="89"/>
      <c r="OI984" s="89"/>
      <c r="OJ984" s="89"/>
      <c r="OK984" s="89"/>
      <c r="OL984" s="89"/>
      <c r="OM984" s="89"/>
      <c r="ON984" s="89"/>
      <c r="OO984" s="89"/>
      <c r="OP984" s="89"/>
    </row>
    <row r="985" spans="1:406" ht="15.75" thickBot="1">
      <c r="A985" s="209"/>
      <c r="B985" s="2"/>
      <c r="C985" s="2"/>
      <c r="D985" s="99"/>
      <c r="E985" s="2"/>
      <c r="F985" s="152"/>
      <c r="G985" s="2"/>
      <c r="H985" s="2"/>
      <c r="I985" s="152"/>
      <c r="J985" s="152"/>
      <c r="K985" s="152"/>
      <c r="L985" s="2"/>
      <c r="M985" s="99"/>
      <c r="N985" s="2"/>
      <c r="O985" s="89"/>
      <c r="P985" s="2"/>
      <c r="Q985" s="2"/>
      <c r="R985" s="89"/>
      <c r="S985" s="89"/>
      <c r="T985" s="89"/>
      <c r="X985" s="3"/>
      <c r="AA985" s="3"/>
      <c r="AB985" s="3"/>
      <c r="AC985" s="3"/>
      <c r="AG985" s="3"/>
      <c r="AJ985" s="3"/>
      <c r="AK985" s="3"/>
      <c r="AL985" s="3"/>
      <c r="AP985" s="3"/>
      <c r="AS985" s="3"/>
      <c r="AT985" s="3"/>
      <c r="AU985" s="3"/>
      <c r="AV985" s="2"/>
      <c r="AW985" s="2"/>
      <c r="AX985" s="2"/>
      <c r="AY985" s="2"/>
      <c r="AZ985" s="2"/>
      <c r="BA985" s="2"/>
      <c r="BB985" s="2"/>
      <c r="BC985" s="2"/>
      <c r="BD985" s="2"/>
      <c r="BE985" s="2"/>
      <c r="BF985" s="2"/>
      <c r="BG985" s="2"/>
      <c r="BH985" s="2"/>
      <c r="BI985" s="2"/>
      <c r="BJ985" s="99"/>
      <c r="BK985" s="210"/>
      <c r="BL985" s="2"/>
      <c r="BM985" s="2"/>
      <c r="BN985" s="2"/>
      <c r="BO985" s="2"/>
      <c r="BP985" s="2"/>
      <c r="BQ985" s="2"/>
      <c r="BR985" s="2"/>
      <c r="BS985" s="2"/>
      <c r="BT985" s="2"/>
      <c r="BU985" s="2"/>
      <c r="BV985" s="2"/>
      <c r="EE985" s="2"/>
      <c r="EF985" s="99"/>
      <c r="EG985" s="210"/>
      <c r="EH985" s="210"/>
      <c r="EI985" s="210"/>
      <c r="EJ985" s="210"/>
      <c r="EK985" s="210"/>
      <c r="EL985" s="210"/>
      <c r="HL985" s="2"/>
      <c r="HM985" s="2"/>
      <c r="HN985" s="2"/>
      <c r="HO985" s="2"/>
      <c r="HP985" s="2"/>
      <c r="HQ985" s="2"/>
      <c r="HR985" s="2"/>
      <c r="HS985" s="2"/>
      <c r="HT985" s="99"/>
      <c r="HU985" s="2"/>
      <c r="HV985" s="2"/>
      <c r="HW985" s="2"/>
      <c r="HX985" s="2"/>
      <c r="HY985" s="2"/>
      <c r="HZ985" s="2"/>
      <c r="IA985" s="2"/>
      <c r="IB985" s="2"/>
      <c r="IC985" s="2"/>
      <c r="ID985" s="2"/>
      <c r="IE985" s="2"/>
      <c r="IF985" s="2"/>
      <c r="IG985" s="2"/>
      <c r="IH985" s="2"/>
      <c r="II985" s="2"/>
      <c r="IJ985" s="2"/>
      <c r="IK985" s="2"/>
      <c r="IL985" s="2"/>
      <c r="IM985" s="2"/>
      <c r="IN985" s="99"/>
      <c r="IO985" s="2"/>
      <c r="IP985" s="168"/>
      <c r="IQ985" s="172"/>
      <c r="IR985" s="2"/>
      <c r="IS985" s="2"/>
      <c r="IT985" s="2"/>
      <c r="IU985" s="99"/>
      <c r="IV985" s="2"/>
      <c r="IW985" s="211"/>
      <c r="IX985" s="172"/>
      <c r="IY985" s="2"/>
      <c r="IZ985" s="2"/>
      <c r="JA985" s="2"/>
      <c r="JB985" s="2"/>
      <c r="JC985" s="2"/>
      <c r="JD985" s="2"/>
      <c r="JE985" s="2"/>
      <c r="JF985" s="2"/>
      <c r="JG985" s="2"/>
      <c r="JH985" s="2"/>
      <c r="JI985" s="2"/>
      <c r="JJ985" s="2"/>
      <c r="JK985" s="2"/>
      <c r="JL985" s="205"/>
      <c r="JM985" s="172"/>
      <c r="JN985" s="2"/>
      <c r="JO985" s="2"/>
      <c r="JP985" s="2"/>
      <c r="JQ985" s="99"/>
      <c r="JR985" s="2"/>
      <c r="JS985" s="2"/>
      <c r="JT985" s="2"/>
      <c r="JU985" s="2"/>
      <c r="JV985" s="2"/>
      <c r="JW985" s="2"/>
      <c r="JX985" s="2"/>
      <c r="JY985" s="2"/>
      <c r="JZ985" s="2"/>
      <c r="KA985" s="2"/>
      <c r="KB985" s="2"/>
      <c r="KC985" s="2"/>
      <c r="KD985" s="2"/>
      <c r="KE985" s="2"/>
      <c r="KF985" s="2"/>
      <c r="KG985" s="168"/>
      <c r="KH985" s="172"/>
      <c r="KI985" s="2"/>
      <c r="KJ985" s="2"/>
      <c r="KK985" s="2"/>
      <c r="KL985" s="2"/>
      <c r="KM985" s="2"/>
      <c r="KN985" s="2"/>
      <c r="KO985" s="182"/>
      <c r="KP985" s="171"/>
      <c r="KQ985" s="2"/>
      <c r="KR985" s="2"/>
      <c r="KS985" s="2"/>
      <c r="KT985" s="2"/>
      <c r="KU985" s="2"/>
      <c r="KV985" s="2"/>
      <c r="KW985" s="2"/>
      <c r="LB985" s="2"/>
      <c r="LC985" s="2"/>
      <c r="LD985" s="2"/>
      <c r="LE985" s="2"/>
      <c r="LF985" s="2"/>
      <c r="LG985" s="2"/>
      <c r="LH985" s="2"/>
      <c r="LI985" s="2"/>
      <c r="LJ985" s="2"/>
      <c r="LK985" s="2"/>
      <c r="LL985" s="2"/>
      <c r="LM985" s="2"/>
      <c r="LN985" s="2"/>
      <c r="LO985" s="2"/>
      <c r="LP985" s="2"/>
      <c r="LQ985" s="2"/>
      <c r="LR985" s="2"/>
      <c r="LS985" s="2"/>
      <c r="LT985" s="2"/>
      <c r="LU985" s="2"/>
      <c r="LV985" s="2"/>
      <c r="LW985" s="2"/>
      <c r="LX985" s="2"/>
      <c r="LY985" s="2"/>
      <c r="LZ985" s="2"/>
      <c r="MA985" s="2"/>
      <c r="MB985" s="2"/>
      <c r="MC985" s="2"/>
      <c r="MD985" s="2"/>
      <c r="ME985" s="2"/>
      <c r="MF985" s="2"/>
      <c r="MG985" s="2"/>
      <c r="MH985" s="2"/>
      <c r="MI985" s="2"/>
      <c r="MJ985" s="2"/>
      <c r="MK985" s="2"/>
      <c r="ML985" s="2"/>
      <c r="MM985" s="2"/>
      <c r="MN985" s="2"/>
      <c r="MO985" s="2"/>
      <c r="MP985" s="2"/>
      <c r="MQ985" s="2"/>
      <c r="MR985" s="2"/>
      <c r="MS985" s="2"/>
      <c r="MT985" s="2"/>
      <c r="MU985" s="2"/>
      <c r="MV985" s="2"/>
      <c r="MW985" s="2"/>
      <c r="MX985" s="2"/>
      <c r="MY985" s="2"/>
      <c r="MZ985" s="2"/>
      <c r="NA985" s="2"/>
      <c r="NB985" s="2"/>
      <c r="NC985" s="2"/>
      <c r="ND985" s="2"/>
      <c r="NE985" s="2"/>
      <c r="NF985" s="2"/>
      <c r="NG985" s="2"/>
      <c r="NH985" s="2"/>
      <c r="NI985" s="99"/>
      <c r="NJ985" s="208"/>
      <c r="NK985" s="2"/>
      <c r="NL985" s="2"/>
      <c r="NM985" s="2"/>
      <c r="NN985" s="2"/>
      <c r="NO985" s="2"/>
      <c r="NP985" s="2"/>
      <c r="NQ985" s="2"/>
      <c r="NR985" s="2"/>
      <c r="NS985" s="2"/>
      <c r="NT985" s="2"/>
      <c r="NU985" s="99"/>
      <c r="NV985" s="173"/>
      <c r="NW985" s="2"/>
      <c r="NX985" s="2"/>
      <c r="NY985" s="2"/>
      <c r="NZ985" s="2"/>
      <c r="OA985" s="2"/>
      <c r="OB985" s="2"/>
      <c r="OC985" s="2"/>
      <c r="OD985" s="2"/>
      <c r="OE985" s="2"/>
      <c r="OF985" s="2"/>
      <c r="OG985" s="2"/>
      <c r="OH985" s="2"/>
      <c r="OI985" s="2"/>
      <c r="OJ985" s="2"/>
      <c r="OK985" s="2"/>
      <c r="OL985" s="2"/>
      <c r="OM985" s="2"/>
      <c r="ON985" s="2"/>
      <c r="OO985" s="2"/>
      <c r="OP985" s="2"/>
    </row>
    <row r="986" spans="1:406" ht="15.75" thickBot="1">
      <c r="A986" s="207"/>
      <c r="B986" s="89"/>
      <c r="C986" s="89"/>
      <c r="D986" s="152"/>
      <c r="E986" s="89"/>
      <c r="F986" s="152"/>
      <c r="G986" s="89"/>
      <c r="H986" s="89"/>
      <c r="I986" s="152"/>
      <c r="J986" s="152"/>
      <c r="K986" s="152"/>
      <c r="L986" s="89"/>
      <c r="M986" s="152"/>
      <c r="N986" s="89"/>
      <c r="O986" s="89"/>
      <c r="P986" s="89"/>
      <c r="Q986" s="89"/>
      <c r="R986" s="89"/>
      <c r="S986" s="89"/>
      <c r="T986" s="89"/>
      <c r="X986" s="3"/>
      <c r="AA986" s="3"/>
      <c r="AB986" s="3"/>
      <c r="AC986" s="3"/>
      <c r="AG986" s="3"/>
      <c r="AJ986" s="3"/>
      <c r="AK986" s="3"/>
      <c r="AL986" s="3"/>
      <c r="AP986" s="3"/>
      <c r="AS986" s="3"/>
      <c r="AT986" s="3"/>
      <c r="AU986" s="3"/>
      <c r="AV986" s="89"/>
      <c r="AW986" s="89"/>
      <c r="AX986" s="89"/>
      <c r="AY986" s="89"/>
      <c r="AZ986" s="89"/>
      <c r="BA986" s="89"/>
      <c r="BB986" s="89"/>
      <c r="BC986" s="89"/>
      <c r="BD986" s="89"/>
      <c r="BE986" s="89"/>
      <c r="BF986" s="89"/>
      <c r="BG986" s="89"/>
      <c r="BH986" s="89"/>
      <c r="BI986" s="89"/>
      <c r="BJ986" s="152"/>
      <c r="BK986" s="175"/>
      <c r="BL986" s="89"/>
      <c r="BM986" s="89"/>
      <c r="BN986" s="89"/>
      <c r="BO986" s="89"/>
      <c r="BP986" s="89"/>
      <c r="BQ986" s="89"/>
      <c r="BR986" s="89"/>
      <c r="BS986" s="89"/>
      <c r="BT986" s="89"/>
      <c r="BU986" s="89"/>
      <c r="BV986" s="89"/>
      <c r="EE986" s="89"/>
      <c r="EF986" s="152"/>
      <c r="EG986" s="175"/>
      <c r="EH986" s="175"/>
      <c r="EI986" s="175"/>
      <c r="EJ986" s="175"/>
      <c r="EK986" s="175"/>
      <c r="EL986" s="175"/>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89"/>
      <c r="HM986" s="89"/>
      <c r="HN986" s="89"/>
      <c r="HO986" s="89"/>
      <c r="HP986" s="89"/>
      <c r="HQ986" s="89"/>
      <c r="HR986" s="89"/>
      <c r="HS986" s="89"/>
      <c r="HT986" s="152"/>
      <c r="HU986" s="89"/>
      <c r="HV986" s="89"/>
      <c r="HW986" s="89"/>
      <c r="HX986" s="89"/>
      <c r="HY986" s="89"/>
      <c r="HZ986" s="89"/>
      <c r="IA986" s="89"/>
      <c r="IB986" s="89"/>
      <c r="IC986" s="89"/>
      <c r="ID986" s="89"/>
      <c r="IE986" s="89"/>
      <c r="IF986" s="89"/>
      <c r="IG986" s="89"/>
      <c r="IH986" s="89"/>
      <c r="II986" s="89"/>
      <c r="IJ986" s="89"/>
      <c r="IK986" s="89"/>
      <c r="IL986" s="89"/>
      <c r="IM986" s="89"/>
      <c r="IN986" s="89"/>
      <c r="IO986" s="89"/>
      <c r="IP986" s="157"/>
      <c r="IQ986" s="178"/>
      <c r="IR986" s="89"/>
      <c r="IS986" s="89"/>
      <c r="IT986" s="89"/>
      <c r="IU986" s="152"/>
      <c r="IV986" s="89"/>
      <c r="IW986" s="153"/>
      <c r="IX986" s="89"/>
      <c r="IY986" s="89"/>
      <c r="IZ986" s="89"/>
      <c r="JA986" s="89"/>
      <c r="JB986" s="89"/>
      <c r="JC986" s="89"/>
      <c r="JD986" s="89"/>
      <c r="JE986" s="89"/>
      <c r="JF986" s="89"/>
      <c r="JG986" s="89"/>
      <c r="JH986" s="89"/>
      <c r="JI986" s="89"/>
      <c r="JJ986" s="89"/>
      <c r="JK986" s="89"/>
      <c r="JL986" s="205"/>
      <c r="JM986" s="178"/>
      <c r="JN986" s="2"/>
      <c r="JO986" s="89"/>
      <c r="JP986" s="89"/>
      <c r="JQ986" s="152"/>
      <c r="JR986" s="89"/>
      <c r="JS986" s="89"/>
      <c r="JT986" s="89"/>
      <c r="JU986" s="89"/>
      <c r="JV986" s="89"/>
      <c r="JW986" s="89"/>
      <c r="JX986" s="89"/>
      <c r="JY986" s="89"/>
      <c r="JZ986" s="89"/>
      <c r="KA986" s="89"/>
      <c r="KB986" s="89"/>
      <c r="KC986" s="89"/>
      <c r="KD986" s="89"/>
      <c r="KE986" s="89"/>
      <c r="KF986" s="89"/>
      <c r="KG986" s="157"/>
      <c r="KH986" s="178"/>
      <c r="KI986" s="89"/>
      <c r="KJ986" s="89"/>
      <c r="KK986" s="89"/>
      <c r="KL986" s="89"/>
      <c r="KM986" s="89"/>
      <c r="KN986" s="89"/>
      <c r="KO986" s="157"/>
      <c r="KP986" s="178"/>
      <c r="KQ986" s="89"/>
      <c r="KR986" s="89"/>
      <c r="KS986" s="89"/>
      <c r="KT986" s="89"/>
      <c r="KU986" s="89"/>
      <c r="KV986" s="89"/>
      <c r="KW986" s="89"/>
      <c r="LB986" s="89"/>
      <c r="LC986" s="89"/>
      <c r="LD986" s="89"/>
      <c r="LE986" s="89"/>
      <c r="LF986" s="89"/>
      <c r="LG986" s="89"/>
      <c r="LH986" s="89"/>
      <c r="LI986" s="89"/>
      <c r="LJ986" s="89"/>
      <c r="LK986" s="89"/>
      <c r="LL986" s="89"/>
      <c r="LM986" s="89"/>
      <c r="LN986" s="89"/>
      <c r="LO986" s="89"/>
      <c r="LP986" s="89"/>
      <c r="LQ986" s="89"/>
      <c r="LR986" s="89"/>
      <c r="LS986" s="89"/>
      <c r="LT986" s="89"/>
      <c r="LU986" s="89"/>
      <c r="LV986" s="89"/>
      <c r="LW986" s="89"/>
      <c r="LX986" s="89"/>
      <c r="LY986" s="89"/>
      <c r="LZ986" s="89"/>
      <c r="MA986" s="89"/>
      <c r="MB986" s="89"/>
      <c r="MC986" s="89"/>
      <c r="MD986" s="89"/>
      <c r="ME986" s="89"/>
      <c r="MF986" s="89"/>
      <c r="MG986" s="89"/>
      <c r="MH986" s="89"/>
      <c r="MI986" s="89"/>
      <c r="MJ986" s="89"/>
      <c r="MK986" s="89"/>
      <c r="ML986" s="89"/>
      <c r="MM986" s="89"/>
      <c r="MN986" s="89"/>
      <c r="MO986" s="89"/>
      <c r="MP986" s="89"/>
      <c r="MQ986" s="89"/>
      <c r="MR986" s="89"/>
      <c r="MS986" s="89"/>
      <c r="MT986" s="89"/>
      <c r="MU986" s="89"/>
      <c r="MV986" s="89"/>
      <c r="MW986" s="89"/>
      <c r="MX986" s="89"/>
      <c r="MY986" s="89"/>
      <c r="MZ986" s="89"/>
      <c r="NA986" s="89"/>
      <c r="NB986" s="89"/>
      <c r="NC986" s="89"/>
      <c r="ND986" s="89"/>
      <c r="NE986" s="89"/>
      <c r="NF986" s="89"/>
      <c r="NG986" s="89"/>
      <c r="NH986" s="89"/>
      <c r="NI986" s="152"/>
      <c r="NJ986" s="204"/>
      <c r="NK986" s="89"/>
      <c r="NL986" s="89"/>
      <c r="NM986" s="89"/>
      <c r="NN986" s="89"/>
      <c r="NO986" s="89"/>
      <c r="NP986" s="89"/>
      <c r="NQ986" s="89"/>
      <c r="NR986" s="89"/>
      <c r="NS986" s="89"/>
      <c r="NT986" s="89"/>
      <c r="NU986" s="152"/>
      <c r="NV986" s="97"/>
      <c r="NW986" s="89"/>
      <c r="NX986" s="89"/>
      <c r="NY986" s="89"/>
      <c r="NZ986" s="89"/>
      <c r="OA986" s="89"/>
      <c r="OB986" s="89"/>
      <c r="OC986" s="89"/>
      <c r="OD986" s="89"/>
      <c r="OE986" s="89"/>
      <c r="OF986" s="89"/>
      <c r="OG986" s="89"/>
      <c r="OH986" s="89"/>
      <c r="OI986" s="89"/>
      <c r="OJ986" s="89"/>
      <c r="OK986" s="89"/>
      <c r="OL986" s="89"/>
      <c r="OM986" s="89"/>
      <c r="ON986" s="89"/>
      <c r="OO986" s="89"/>
      <c r="OP986" s="89"/>
    </row>
    <row r="987" spans="1:406" ht="15.75" thickBot="1">
      <c r="A987" s="209"/>
      <c r="B987" s="2"/>
      <c r="C987" s="2"/>
      <c r="D987" s="99"/>
      <c r="E987" s="2"/>
      <c r="F987" s="152"/>
      <c r="G987" s="2"/>
      <c r="H987" s="2"/>
      <c r="I987" s="152"/>
      <c r="J987" s="152"/>
      <c r="K987" s="152"/>
      <c r="L987" s="2"/>
      <c r="M987" s="99"/>
      <c r="N987" s="2"/>
      <c r="O987" s="89"/>
      <c r="P987" s="2"/>
      <c r="Q987" s="2"/>
      <c r="R987" s="89"/>
      <c r="S987" s="89"/>
      <c r="T987" s="89"/>
      <c r="X987" s="3"/>
      <c r="AA987" s="3"/>
      <c r="AB987" s="3"/>
      <c r="AC987" s="3"/>
      <c r="AG987" s="3"/>
      <c r="AJ987" s="3"/>
      <c r="AK987" s="3"/>
      <c r="AL987" s="3"/>
      <c r="AP987" s="3"/>
      <c r="AS987" s="3"/>
      <c r="AT987" s="3"/>
      <c r="AU987" s="3"/>
      <c r="AV987" s="2"/>
      <c r="AW987" s="2"/>
      <c r="AX987" s="2"/>
      <c r="AY987" s="2"/>
      <c r="AZ987" s="2"/>
      <c r="BA987" s="2"/>
      <c r="BB987" s="2"/>
      <c r="BC987" s="2"/>
      <c r="BD987" s="2"/>
      <c r="BE987" s="2"/>
      <c r="BF987" s="2"/>
      <c r="BG987" s="2"/>
      <c r="BH987" s="2"/>
      <c r="BI987" s="2"/>
      <c r="BJ987" s="99"/>
      <c r="BK987" s="210"/>
      <c r="BL987" s="2"/>
      <c r="BM987" s="2"/>
      <c r="BN987" s="2"/>
      <c r="BO987" s="2"/>
      <c r="BP987" s="2"/>
      <c r="BQ987" s="2"/>
      <c r="BR987" s="2"/>
      <c r="BS987" s="2"/>
      <c r="BT987" s="2"/>
      <c r="BU987" s="2"/>
      <c r="BV987" s="2"/>
      <c r="EE987" s="2"/>
      <c r="EF987" s="99"/>
      <c r="EG987" s="210"/>
      <c r="EH987" s="210"/>
      <c r="EI987" s="210"/>
      <c r="EJ987" s="210"/>
      <c r="EK987" s="210"/>
      <c r="EL987" s="210"/>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2"/>
      <c r="HM987" s="2"/>
      <c r="HN987" s="2"/>
      <c r="HO987" s="2"/>
      <c r="HP987" s="2"/>
      <c r="HQ987" s="2"/>
      <c r="HR987" s="2"/>
      <c r="HS987" s="2"/>
      <c r="HT987" s="99"/>
      <c r="HU987" s="2"/>
      <c r="HV987" s="2"/>
      <c r="HW987" s="2"/>
      <c r="HX987" s="2"/>
      <c r="HY987" s="2"/>
      <c r="HZ987" s="2"/>
      <c r="IA987" s="2"/>
      <c r="IB987" s="2"/>
      <c r="IC987" s="2"/>
      <c r="ID987" s="2"/>
      <c r="IE987" s="2"/>
      <c r="IF987" s="2"/>
      <c r="IG987" s="2"/>
      <c r="IH987" s="2"/>
      <c r="II987" s="2"/>
      <c r="IJ987" s="2"/>
      <c r="IK987" s="2"/>
      <c r="IL987" s="2"/>
      <c r="IM987" s="2"/>
      <c r="IN987" s="2"/>
      <c r="IO987" s="2"/>
      <c r="IP987" s="168"/>
      <c r="IQ987" s="172"/>
      <c r="IR987" s="2"/>
      <c r="IS987" s="2"/>
      <c r="IT987" s="2"/>
      <c r="IU987" s="99"/>
      <c r="IV987" s="2"/>
      <c r="IW987" s="2"/>
      <c r="IX987" s="2"/>
      <c r="IY987" s="2"/>
      <c r="IZ987" s="2"/>
      <c r="JA987" s="2"/>
      <c r="JB987" s="2"/>
      <c r="JC987" s="2"/>
      <c r="JD987" s="2"/>
      <c r="JE987" s="2"/>
      <c r="JF987" s="2"/>
      <c r="JG987" s="2"/>
      <c r="JH987" s="2"/>
      <c r="JI987" s="2"/>
      <c r="JJ987" s="2"/>
      <c r="JK987" s="2"/>
      <c r="JL987" s="205"/>
      <c r="JM987" s="172"/>
      <c r="JN987" s="2"/>
      <c r="JO987" s="2"/>
      <c r="JP987" s="2"/>
      <c r="JQ987" s="99"/>
      <c r="JR987" s="2"/>
      <c r="JS987" s="2"/>
      <c r="JT987" s="2"/>
      <c r="JU987" s="2"/>
      <c r="JV987" s="2"/>
      <c r="JW987" s="2"/>
      <c r="JX987" s="2"/>
      <c r="JY987" s="2"/>
      <c r="JZ987" s="2"/>
      <c r="KA987" s="2"/>
      <c r="KB987" s="2"/>
      <c r="KC987" s="2"/>
      <c r="KD987" s="2"/>
      <c r="KE987" s="2"/>
      <c r="KF987" s="2"/>
      <c r="KG987" s="168"/>
      <c r="KH987" s="172"/>
      <c r="KI987" s="2"/>
      <c r="KJ987" s="2"/>
      <c r="KK987" s="2"/>
      <c r="KL987" s="2"/>
      <c r="KM987" s="2"/>
      <c r="KN987" s="2"/>
      <c r="KO987" s="168"/>
      <c r="KP987" s="172"/>
      <c r="KQ987" s="2"/>
      <c r="KR987" s="2"/>
      <c r="KS987" s="2"/>
      <c r="KT987" s="2"/>
      <c r="KU987" s="2"/>
      <c r="KV987" s="2"/>
      <c r="KW987" s="2"/>
      <c r="LB987" s="2"/>
      <c r="LC987" s="2"/>
      <c r="LD987" s="2"/>
      <c r="LE987" s="2"/>
      <c r="LF987" s="2"/>
      <c r="LG987" s="2"/>
      <c r="LH987" s="2"/>
      <c r="LI987" s="2"/>
      <c r="LJ987" s="2"/>
      <c r="LK987" s="2"/>
      <c r="LL987" s="2"/>
      <c r="LM987" s="2"/>
      <c r="LN987" s="2"/>
      <c r="LO987" s="2"/>
      <c r="LP987" s="2"/>
      <c r="LQ987" s="2"/>
      <c r="LR987" s="2"/>
      <c r="LS987" s="2"/>
      <c r="LT987" s="2"/>
      <c r="LU987" s="2"/>
      <c r="LV987" s="2"/>
      <c r="LW987" s="2"/>
      <c r="LX987" s="2"/>
      <c r="LY987" s="2"/>
      <c r="LZ987" s="2"/>
      <c r="MA987" s="2"/>
      <c r="MB987" s="2"/>
      <c r="MC987" s="2"/>
      <c r="MD987" s="2"/>
      <c r="ME987" s="2"/>
      <c r="MF987" s="2"/>
      <c r="MG987" s="2"/>
      <c r="MH987" s="2"/>
      <c r="MI987" s="2"/>
      <c r="MJ987" s="2"/>
      <c r="MK987" s="2"/>
      <c r="ML987" s="2"/>
      <c r="MM987" s="2"/>
      <c r="MN987" s="2"/>
      <c r="MO987" s="2"/>
      <c r="MP987" s="2"/>
      <c r="MQ987" s="2"/>
      <c r="MR987" s="2"/>
      <c r="MS987" s="2"/>
      <c r="MT987" s="2"/>
      <c r="MU987" s="2"/>
      <c r="MV987" s="2"/>
      <c r="MW987" s="2"/>
      <c r="MX987" s="2"/>
      <c r="MY987" s="2"/>
      <c r="MZ987" s="2"/>
      <c r="NA987" s="2"/>
      <c r="NB987" s="2"/>
      <c r="NC987" s="2"/>
      <c r="ND987" s="2"/>
      <c r="NE987" s="2"/>
      <c r="NF987" s="2"/>
      <c r="NG987" s="2"/>
      <c r="NH987" s="2"/>
      <c r="NI987" s="99"/>
      <c r="NJ987" s="208"/>
      <c r="NK987" s="2"/>
      <c r="NL987" s="2"/>
      <c r="NM987" s="2"/>
      <c r="NN987" s="2"/>
      <c r="NO987" s="2"/>
      <c r="NP987" s="2"/>
      <c r="NQ987" s="2"/>
      <c r="NR987" s="2"/>
      <c r="NS987" s="2"/>
      <c r="NT987" s="2"/>
      <c r="NU987" s="99"/>
      <c r="NV987" s="173"/>
      <c r="NW987" s="2"/>
      <c r="NX987" s="2"/>
      <c r="NY987" s="2"/>
      <c r="NZ987" s="2"/>
      <c r="OA987" s="2"/>
      <c r="OB987" s="2"/>
      <c r="OC987" s="2"/>
      <c r="OD987" s="2"/>
      <c r="OE987" s="2"/>
      <c r="OF987" s="2"/>
      <c r="OG987" s="2"/>
      <c r="OH987" s="2"/>
      <c r="OI987" s="2"/>
      <c r="OJ987" s="2"/>
      <c r="OK987" s="2"/>
      <c r="OL987" s="2"/>
      <c r="OM987" s="2"/>
      <c r="ON987" s="2"/>
      <c r="OO987" s="2"/>
      <c r="OP987" s="2"/>
    </row>
    <row r="988" spans="1:406" ht="15.75" thickBot="1">
      <c r="A988" s="207"/>
      <c r="B988" s="89"/>
      <c r="C988" s="89"/>
      <c r="D988" s="152"/>
      <c r="E988" s="89"/>
      <c r="F988" s="152"/>
      <c r="G988" s="89"/>
      <c r="H988" s="89"/>
      <c r="I988" s="152"/>
      <c r="J988" s="152"/>
      <c r="K988" s="152"/>
      <c r="L988" s="89"/>
      <c r="M988" s="152"/>
      <c r="N988" s="89"/>
      <c r="O988" s="89"/>
      <c r="P988" s="89"/>
      <c r="Q988" s="89"/>
      <c r="R988" s="89"/>
      <c r="S988" s="89"/>
      <c r="T988" s="89"/>
      <c r="X988" s="3"/>
      <c r="AA988" s="3"/>
      <c r="AB988" s="3"/>
      <c r="AC988" s="3"/>
      <c r="AG988" s="3"/>
      <c r="AJ988" s="3"/>
      <c r="AK988" s="3"/>
      <c r="AL988" s="3"/>
      <c r="AP988" s="3"/>
      <c r="AS988" s="3"/>
      <c r="AT988" s="3"/>
      <c r="AU988" s="3"/>
      <c r="AV988" s="89"/>
      <c r="AW988" s="89"/>
      <c r="AX988" s="89"/>
      <c r="AY988" s="89"/>
      <c r="AZ988" s="89"/>
      <c r="BA988" s="89"/>
      <c r="BB988" s="89"/>
      <c r="BC988" s="89"/>
      <c r="BD988" s="89"/>
      <c r="BE988" s="89"/>
      <c r="BF988" s="89"/>
      <c r="BG988" s="89"/>
      <c r="BH988" s="89"/>
      <c r="BI988" s="89"/>
      <c r="BJ988" s="152"/>
      <c r="BK988" s="175"/>
      <c r="BL988" s="89"/>
      <c r="BM988" s="89"/>
      <c r="BN988" s="89"/>
      <c r="BO988" s="89"/>
      <c r="BP988" s="89"/>
      <c r="BQ988" s="89"/>
      <c r="BR988" s="89"/>
      <c r="BS988" s="89"/>
      <c r="BT988" s="89"/>
      <c r="BU988" s="89"/>
      <c r="BV988" s="89"/>
      <c r="EE988" s="89"/>
      <c r="EF988" s="89"/>
      <c r="EG988" s="89"/>
      <c r="EH988" s="89"/>
      <c r="EI988" s="89"/>
      <c r="EJ988" s="89"/>
      <c r="EK988" s="89"/>
      <c r="EL988" s="8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89"/>
      <c r="HM988" s="89"/>
      <c r="HN988" s="89"/>
      <c r="HO988" s="89"/>
      <c r="HP988" s="89"/>
      <c r="HQ988" s="89"/>
      <c r="HR988" s="89"/>
      <c r="HS988" s="89"/>
      <c r="HT988" s="152"/>
      <c r="HU988" s="89"/>
      <c r="HV988" s="89"/>
      <c r="HW988" s="89"/>
      <c r="HX988" s="89"/>
      <c r="HY988" s="89"/>
      <c r="HZ988" s="89"/>
      <c r="IA988" s="89"/>
      <c r="IB988" s="89"/>
      <c r="IC988" s="89"/>
      <c r="ID988" s="89"/>
      <c r="IE988" s="89"/>
      <c r="IF988" s="89"/>
      <c r="IG988" s="89"/>
      <c r="IH988" s="89"/>
      <c r="II988" s="89"/>
      <c r="IJ988" s="89"/>
      <c r="IK988" s="89"/>
      <c r="IL988" s="89"/>
      <c r="IM988" s="89"/>
      <c r="IN988" s="89"/>
      <c r="IO988" s="89"/>
      <c r="IP988" s="157"/>
      <c r="IQ988" s="178"/>
      <c r="IR988" s="89"/>
      <c r="IS988" s="89"/>
      <c r="IT988" s="89"/>
      <c r="IU988" s="152"/>
      <c r="IV988" s="89"/>
      <c r="IW988" s="89"/>
      <c r="IX988" s="89"/>
      <c r="IY988" s="89"/>
      <c r="IZ988" s="89"/>
      <c r="JA988" s="89"/>
      <c r="JB988" s="89"/>
      <c r="JC988" s="89"/>
      <c r="JD988" s="89"/>
      <c r="JE988" s="89"/>
      <c r="JF988" s="89"/>
      <c r="JG988" s="89"/>
      <c r="JH988" s="89"/>
      <c r="JI988" s="89"/>
      <c r="JJ988" s="89"/>
      <c r="JK988" s="89"/>
      <c r="JL988" s="205"/>
      <c r="JM988" s="178"/>
      <c r="JN988" s="2"/>
      <c r="JO988" s="89"/>
      <c r="JP988" s="89"/>
      <c r="JQ988" s="152"/>
      <c r="JR988" s="89"/>
      <c r="JS988" s="89"/>
      <c r="JT988" s="89"/>
      <c r="JU988" s="89"/>
      <c r="JV988" s="89"/>
      <c r="JW988" s="89"/>
      <c r="JX988" s="89"/>
      <c r="JY988" s="89"/>
      <c r="JZ988" s="89"/>
      <c r="KA988" s="89"/>
      <c r="KB988" s="89"/>
      <c r="KC988" s="89"/>
      <c r="KD988" s="89"/>
      <c r="KE988" s="89"/>
      <c r="KF988" s="89"/>
      <c r="KG988" s="157"/>
      <c r="KH988" s="178"/>
      <c r="KI988" s="89"/>
      <c r="KJ988" s="89"/>
      <c r="KK988" s="89"/>
      <c r="KL988" s="89"/>
      <c r="KM988" s="89"/>
      <c r="KN988" s="89"/>
      <c r="KO988" s="157"/>
      <c r="KP988" s="178"/>
      <c r="KQ988" s="89"/>
      <c r="KR988" s="89"/>
      <c r="KS988" s="89"/>
      <c r="KT988" s="89"/>
      <c r="KU988" s="89"/>
      <c r="KV988" s="89"/>
      <c r="KW988" s="89"/>
      <c r="LB988" s="89"/>
      <c r="LC988" s="89"/>
      <c r="LD988" s="89"/>
      <c r="LE988" s="89"/>
      <c r="LF988" s="89"/>
      <c r="LG988" s="89"/>
      <c r="LH988" s="89"/>
      <c r="LI988" s="89"/>
      <c r="LJ988" s="89"/>
      <c r="LK988" s="89"/>
      <c r="LL988" s="89"/>
      <c r="LM988" s="89"/>
      <c r="LN988" s="89"/>
      <c r="LO988" s="89"/>
      <c r="LP988" s="89"/>
      <c r="LQ988" s="89"/>
      <c r="LR988" s="89"/>
      <c r="LS988" s="89"/>
      <c r="LT988" s="89"/>
      <c r="LU988" s="89"/>
      <c r="LV988" s="89"/>
      <c r="LW988" s="89"/>
      <c r="LX988" s="89"/>
      <c r="LY988" s="89"/>
      <c r="LZ988" s="89"/>
      <c r="MA988" s="89"/>
      <c r="MB988" s="89"/>
      <c r="MC988" s="89"/>
      <c r="MD988" s="89"/>
      <c r="ME988" s="89"/>
      <c r="MF988" s="89"/>
      <c r="MG988" s="89"/>
      <c r="MH988" s="89"/>
      <c r="MI988" s="89"/>
      <c r="MJ988" s="89"/>
      <c r="MK988" s="89"/>
      <c r="ML988" s="89"/>
      <c r="MM988" s="89"/>
      <c r="MN988" s="89"/>
      <c r="MO988" s="89"/>
      <c r="MP988" s="89"/>
      <c r="MQ988" s="89"/>
      <c r="MR988" s="89"/>
      <c r="MS988" s="89"/>
      <c r="MT988" s="89"/>
      <c r="MU988" s="89"/>
      <c r="MV988" s="89"/>
      <c r="MW988" s="89"/>
      <c r="MX988" s="89"/>
      <c r="MY988" s="89"/>
      <c r="MZ988" s="89"/>
      <c r="NA988" s="89"/>
      <c r="NB988" s="89"/>
      <c r="NC988" s="89"/>
      <c r="ND988" s="89"/>
      <c r="NE988" s="89"/>
      <c r="NF988" s="89"/>
      <c r="NG988" s="89"/>
      <c r="NH988" s="89"/>
      <c r="NI988" s="152"/>
      <c r="NJ988" s="204"/>
      <c r="NK988" s="89"/>
      <c r="NL988" s="89"/>
      <c r="NM988" s="89"/>
      <c r="NN988" s="89"/>
      <c r="NO988" s="89"/>
      <c r="NP988" s="89"/>
      <c r="NQ988" s="89"/>
      <c r="NR988" s="89"/>
      <c r="NS988" s="89"/>
      <c r="NT988" s="89"/>
      <c r="NU988" s="152"/>
      <c r="NV988" s="97"/>
      <c r="NW988" s="89"/>
      <c r="NX988" s="89"/>
      <c r="NY988" s="89"/>
      <c r="NZ988" s="89"/>
      <c r="OA988" s="89"/>
      <c r="OB988" s="89"/>
      <c r="OC988" s="89"/>
      <c r="OD988" s="89"/>
      <c r="OE988" s="89"/>
      <c r="OF988" s="89"/>
      <c r="OG988" s="89"/>
      <c r="OH988" s="89"/>
      <c r="OI988" s="89"/>
      <c r="OJ988" s="89"/>
      <c r="OK988" s="89"/>
      <c r="OL988" s="89"/>
      <c r="OM988" s="89"/>
      <c r="ON988" s="89"/>
      <c r="OO988" s="89"/>
      <c r="OP988" s="89"/>
    </row>
    <row r="989" spans="1:406" ht="15.75" thickBot="1">
      <c r="A989" s="209"/>
      <c r="B989" s="2"/>
      <c r="C989" s="2"/>
      <c r="D989" s="99"/>
      <c r="E989" s="2"/>
      <c r="F989" s="152"/>
      <c r="G989" s="2"/>
      <c r="H989" s="2"/>
      <c r="I989" s="152"/>
      <c r="J989" s="152"/>
      <c r="K989" s="152"/>
      <c r="L989" s="2"/>
      <c r="M989" s="99"/>
      <c r="N989" s="2"/>
      <c r="O989" s="89"/>
      <c r="P989" s="2"/>
      <c r="Q989" s="2"/>
      <c r="R989" s="89"/>
      <c r="S989" s="89"/>
      <c r="T989" s="89"/>
      <c r="X989" s="3"/>
      <c r="AA989" s="3"/>
      <c r="AB989" s="3"/>
      <c r="AC989" s="3"/>
      <c r="AG989" s="3"/>
      <c r="AJ989" s="3"/>
      <c r="AK989" s="3"/>
      <c r="AL989" s="3"/>
      <c r="AP989" s="3"/>
      <c r="AS989" s="3"/>
      <c r="AT989" s="3"/>
      <c r="AU989" s="3"/>
      <c r="AV989" s="2"/>
      <c r="AW989" s="2"/>
      <c r="AX989" s="2"/>
      <c r="AY989" s="2"/>
      <c r="AZ989" s="2"/>
      <c r="BA989" s="2"/>
      <c r="BB989" s="2"/>
      <c r="BC989" s="2"/>
      <c r="BD989" s="2"/>
      <c r="BE989" s="2"/>
      <c r="BF989" s="2"/>
      <c r="BG989" s="2"/>
      <c r="BH989" s="2"/>
      <c r="BI989" s="2"/>
      <c r="BJ989" s="99"/>
      <c r="BK989" s="210"/>
      <c r="BL989" s="2"/>
      <c r="BM989" s="2"/>
      <c r="BN989" s="2"/>
      <c r="BO989" s="2"/>
      <c r="BP989" s="2"/>
      <c r="BQ989" s="2"/>
      <c r="BR989" s="2"/>
      <c r="BS989" s="2"/>
      <c r="BT989" s="2"/>
      <c r="BU989" s="2"/>
      <c r="BV989" s="2"/>
      <c r="EE989" s="2"/>
      <c r="EF989" s="2"/>
      <c r="EG989" s="2"/>
      <c r="EH989" s="2"/>
      <c r="EI989" s="2"/>
      <c r="EJ989" s="2"/>
      <c r="EK989" s="2"/>
      <c r="EL989" s="2"/>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2"/>
      <c r="HM989" s="2"/>
      <c r="HN989" s="2"/>
      <c r="HO989" s="2"/>
      <c r="HP989" s="2"/>
      <c r="HQ989" s="2"/>
      <c r="HR989" s="2"/>
      <c r="HS989" s="2"/>
      <c r="HT989" s="99"/>
      <c r="HU989" s="2"/>
      <c r="HV989" s="2"/>
      <c r="HW989" s="2"/>
      <c r="HX989" s="2"/>
      <c r="HY989" s="2"/>
      <c r="HZ989" s="2"/>
      <c r="IA989" s="2"/>
      <c r="IB989" s="2"/>
      <c r="IC989" s="2"/>
      <c r="ID989" s="2"/>
      <c r="IE989" s="2"/>
      <c r="IF989" s="2"/>
      <c r="IG989" s="2"/>
      <c r="IH989" s="2"/>
      <c r="II989" s="2"/>
      <c r="IJ989" s="2"/>
      <c r="IK989" s="2"/>
      <c r="IL989" s="2"/>
      <c r="IM989" s="2"/>
      <c r="IN989" s="2"/>
      <c r="IO989" s="2"/>
      <c r="IP989" s="168"/>
      <c r="IQ989" s="172"/>
      <c r="IR989" s="2"/>
      <c r="IS989" s="2"/>
      <c r="IT989" s="2"/>
      <c r="IU989" s="99"/>
      <c r="IV989" s="2"/>
      <c r="IW989" s="2"/>
      <c r="IX989" s="2"/>
      <c r="IY989" s="2"/>
      <c r="IZ989" s="2"/>
      <c r="JA989" s="2"/>
      <c r="JB989" s="2"/>
      <c r="JC989" s="2"/>
      <c r="JD989" s="2"/>
      <c r="JE989" s="2"/>
      <c r="JF989" s="2"/>
      <c r="JG989" s="2"/>
      <c r="JH989" s="2"/>
      <c r="JI989" s="2"/>
      <c r="JJ989" s="2"/>
      <c r="JK989" s="2"/>
      <c r="JL989" s="212"/>
      <c r="JM989" s="171"/>
      <c r="JN989" s="2"/>
      <c r="JO989" s="2"/>
      <c r="JP989" s="2"/>
      <c r="JQ989" s="99"/>
      <c r="JR989" s="2"/>
      <c r="JS989" s="2"/>
      <c r="JT989" s="2"/>
      <c r="JU989" s="2"/>
      <c r="JV989" s="2"/>
      <c r="JW989" s="2"/>
      <c r="JX989" s="2"/>
      <c r="JY989" s="2"/>
      <c r="JZ989" s="2"/>
      <c r="KA989" s="2"/>
      <c r="KB989" s="2"/>
      <c r="KC989" s="2"/>
      <c r="KD989" s="2"/>
      <c r="KE989" s="2"/>
      <c r="KF989" s="2"/>
      <c r="KG989" s="168"/>
      <c r="KH989" s="172"/>
      <c r="KI989" s="2"/>
      <c r="KJ989" s="2"/>
      <c r="KK989" s="2"/>
      <c r="KL989" s="2"/>
      <c r="KM989" s="2"/>
      <c r="KN989" s="2"/>
      <c r="KO989" s="168"/>
      <c r="KP989" s="172"/>
      <c r="KQ989" s="2"/>
      <c r="KR989" s="2"/>
      <c r="KS989" s="2"/>
      <c r="KT989" s="2"/>
      <c r="KU989" s="2"/>
      <c r="KV989" s="2"/>
      <c r="KW989" s="2"/>
      <c r="LB989" s="2"/>
      <c r="LC989" s="2"/>
      <c r="LD989" s="2"/>
      <c r="LE989" s="2"/>
      <c r="LF989" s="2"/>
      <c r="LG989" s="2"/>
      <c r="LH989" s="2"/>
      <c r="LI989" s="2"/>
      <c r="LJ989" s="2"/>
      <c r="LK989" s="2"/>
      <c r="LL989" s="2"/>
      <c r="LM989" s="2"/>
      <c r="LN989" s="2"/>
      <c r="LO989" s="2"/>
      <c r="LP989" s="2"/>
      <c r="LQ989" s="2"/>
      <c r="LR989" s="2"/>
      <c r="LS989" s="2"/>
      <c r="LT989" s="2"/>
      <c r="LU989" s="2"/>
      <c r="LV989" s="2"/>
      <c r="LW989" s="2"/>
      <c r="LX989" s="2"/>
      <c r="LY989" s="2"/>
      <c r="LZ989" s="2"/>
      <c r="MA989" s="2"/>
      <c r="MB989" s="2"/>
      <c r="MC989" s="2"/>
      <c r="MD989" s="2"/>
      <c r="ME989" s="2"/>
      <c r="MF989" s="2"/>
      <c r="MG989" s="2"/>
      <c r="MH989" s="2"/>
      <c r="MI989" s="2"/>
      <c r="MJ989" s="2"/>
      <c r="MK989" s="2"/>
      <c r="ML989" s="2"/>
      <c r="MM989" s="2"/>
      <c r="MN989" s="2"/>
      <c r="MO989" s="2"/>
      <c r="MP989" s="2"/>
      <c r="MQ989" s="2"/>
      <c r="MR989" s="2"/>
      <c r="MS989" s="2"/>
      <c r="MT989" s="2"/>
      <c r="MU989" s="2"/>
      <c r="MV989" s="2"/>
      <c r="MW989" s="2"/>
      <c r="MX989" s="2"/>
      <c r="MY989" s="2"/>
      <c r="MZ989" s="2"/>
      <c r="NA989" s="2"/>
      <c r="NB989" s="2"/>
      <c r="NC989" s="2"/>
      <c r="ND989" s="2"/>
      <c r="NE989" s="2"/>
      <c r="NF989" s="2"/>
      <c r="NG989" s="2"/>
      <c r="NH989" s="2"/>
      <c r="NI989" s="99"/>
      <c r="NJ989" s="208"/>
      <c r="NK989" s="2"/>
      <c r="NL989" s="2"/>
      <c r="NM989" s="2"/>
      <c r="NN989" s="2"/>
      <c r="NO989" s="2"/>
      <c r="NP989" s="2"/>
      <c r="NQ989" s="2"/>
      <c r="NR989" s="2"/>
      <c r="NS989" s="2"/>
      <c r="NT989" s="2"/>
      <c r="NU989" s="99"/>
      <c r="NV989" s="173"/>
      <c r="NW989" s="2"/>
      <c r="NX989" s="2"/>
      <c r="NY989" s="2"/>
      <c r="NZ989" s="2"/>
      <c r="OA989" s="2"/>
      <c r="OB989" s="2"/>
      <c r="OC989" s="2"/>
      <c r="OD989" s="2"/>
      <c r="OE989" s="2"/>
      <c r="OF989" s="2"/>
      <c r="OG989" s="2"/>
      <c r="OH989" s="2"/>
      <c r="OI989" s="2"/>
      <c r="OJ989" s="2"/>
      <c r="OK989" s="2"/>
      <c r="OL989" s="2"/>
      <c r="OM989" s="2"/>
      <c r="ON989" s="2"/>
      <c r="OO989" s="2"/>
      <c r="OP989" s="2"/>
    </row>
    <row r="990" spans="1:406" ht="15.75" thickBot="1">
      <c r="A990" s="207"/>
      <c r="B990" s="89"/>
      <c r="C990" s="89"/>
      <c r="D990" s="152"/>
      <c r="E990" s="89"/>
      <c r="F990" s="152"/>
      <c r="G990" s="89"/>
      <c r="H990" s="89"/>
      <c r="I990" s="152"/>
      <c r="J990" s="152"/>
      <c r="K990" s="152"/>
      <c r="L990" s="89"/>
      <c r="M990" s="152"/>
      <c r="N990" s="89"/>
      <c r="O990" s="89"/>
      <c r="P990" s="89"/>
      <c r="Q990" s="89"/>
      <c r="R990" s="89"/>
      <c r="S990" s="89"/>
      <c r="T990" s="89"/>
      <c r="X990" s="3"/>
      <c r="AA990" s="3"/>
      <c r="AB990" s="3"/>
      <c r="AC990" s="3"/>
      <c r="AG990" s="3"/>
      <c r="AJ990" s="3"/>
      <c r="AK990" s="3"/>
      <c r="AL990" s="3"/>
      <c r="AP990" s="3"/>
      <c r="AS990" s="3"/>
      <c r="AT990" s="3"/>
      <c r="AU990" s="3"/>
      <c r="AV990" s="89"/>
      <c r="AW990" s="89"/>
      <c r="AX990" s="89"/>
      <c r="AY990" s="89"/>
      <c r="AZ990" s="89"/>
      <c r="BA990" s="89"/>
      <c r="BB990" s="89"/>
      <c r="BC990" s="89"/>
      <c r="BD990" s="89"/>
      <c r="BE990" s="89"/>
      <c r="BF990" s="89"/>
      <c r="BG990" s="89"/>
      <c r="BH990" s="89"/>
      <c r="BI990" s="89"/>
      <c r="BJ990" s="152"/>
      <c r="BK990" s="175"/>
      <c r="BL990" s="89"/>
      <c r="BM990" s="89"/>
      <c r="BN990" s="89"/>
      <c r="BO990" s="89"/>
      <c r="BP990" s="89"/>
      <c r="BQ990" s="89"/>
      <c r="BR990" s="89"/>
      <c r="BS990" s="89"/>
      <c r="BT990" s="89"/>
      <c r="BU990" s="89"/>
      <c r="BV990" s="89"/>
      <c r="EE990" s="89"/>
      <c r="EF990" s="152"/>
      <c r="EG990" s="175"/>
      <c r="EH990" s="175"/>
      <c r="EI990" s="175"/>
      <c r="EJ990" s="175"/>
      <c r="EK990" s="175"/>
      <c r="EL990" s="175"/>
      <c r="HL990" s="89"/>
      <c r="HM990" s="89"/>
      <c r="HN990" s="89"/>
      <c r="HO990" s="89"/>
      <c r="HP990" s="89"/>
      <c r="HQ990" s="89"/>
      <c r="HR990" s="89"/>
      <c r="HS990" s="89"/>
      <c r="HT990" s="152"/>
      <c r="HU990" s="89"/>
      <c r="HV990" s="89"/>
      <c r="HW990" s="89"/>
      <c r="HX990" s="89"/>
      <c r="HY990" s="89"/>
      <c r="HZ990" s="89"/>
      <c r="IA990" s="89"/>
      <c r="IB990" s="89"/>
      <c r="IC990" s="89"/>
      <c r="ID990" s="89"/>
      <c r="IE990" s="89"/>
      <c r="IF990" s="89"/>
      <c r="IG990" s="89"/>
      <c r="IH990" s="89"/>
      <c r="II990" s="89"/>
      <c r="IJ990" s="89"/>
      <c r="IK990" s="89"/>
      <c r="IL990" s="89"/>
      <c r="IM990" s="89"/>
      <c r="IN990" s="152"/>
      <c r="IO990" s="89"/>
      <c r="IP990" s="157"/>
      <c r="IQ990" s="178"/>
      <c r="IR990" s="89"/>
      <c r="IS990" s="89"/>
      <c r="IT990" s="89"/>
      <c r="IU990" s="152"/>
      <c r="IV990" s="89"/>
      <c r="IW990" s="206"/>
      <c r="IX990" s="178"/>
      <c r="IY990" s="89"/>
      <c r="IZ990" s="89"/>
      <c r="JA990" s="89"/>
      <c r="JB990" s="89"/>
      <c r="JC990" s="89"/>
      <c r="JD990" s="89"/>
      <c r="JE990" s="89"/>
      <c r="JF990" s="89"/>
      <c r="JG990" s="89"/>
      <c r="JH990" s="89"/>
      <c r="JI990" s="89"/>
      <c r="JJ990" s="89"/>
      <c r="JK990" s="89"/>
      <c r="JL990" s="205"/>
      <c r="JM990" s="178"/>
      <c r="JN990" s="2"/>
      <c r="JO990" s="89"/>
      <c r="JP990" s="89"/>
      <c r="JQ990" s="152"/>
      <c r="JR990" s="89"/>
      <c r="JS990" s="89"/>
      <c r="JT990" s="89"/>
      <c r="JU990" s="89"/>
      <c r="JV990" s="89"/>
      <c r="JW990" s="89"/>
      <c r="JX990" s="89"/>
      <c r="JY990" s="89"/>
      <c r="JZ990" s="89"/>
      <c r="KA990" s="89"/>
      <c r="KB990" s="89"/>
      <c r="KC990" s="89"/>
      <c r="KD990" s="89"/>
      <c r="KE990" s="89"/>
      <c r="KF990" s="89"/>
      <c r="KG990" s="157"/>
      <c r="KH990" s="178"/>
      <c r="KI990" s="89"/>
      <c r="KJ990" s="89"/>
      <c r="KK990" s="89"/>
      <c r="KL990" s="89"/>
      <c r="KM990" s="89"/>
      <c r="KN990" s="89"/>
      <c r="KO990" s="182"/>
      <c r="KP990" s="159"/>
      <c r="KQ990" s="89"/>
      <c r="KR990" s="89"/>
      <c r="KS990" s="89"/>
      <c r="KT990" s="89"/>
      <c r="KU990" s="89"/>
      <c r="KV990" s="89"/>
      <c r="KW990" s="89"/>
      <c r="LB990" s="89"/>
      <c r="LC990" s="89"/>
      <c r="LD990" s="89"/>
      <c r="LE990" s="89"/>
      <c r="LF990" s="89"/>
      <c r="LG990" s="89"/>
      <c r="LH990" s="89"/>
      <c r="LI990" s="89"/>
      <c r="LJ990" s="89"/>
      <c r="LK990" s="89"/>
      <c r="LL990" s="89"/>
      <c r="LM990" s="89"/>
      <c r="LN990" s="89"/>
      <c r="LO990" s="89"/>
      <c r="LP990" s="89"/>
      <c r="LQ990" s="89"/>
      <c r="LR990" s="89"/>
      <c r="LS990" s="89"/>
      <c r="LT990" s="89"/>
      <c r="LU990" s="89"/>
      <c r="LV990" s="89"/>
      <c r="LW990" s="89"/>
      <c r="LX990" s="89"/>
      <c r="LY990" s="89"/>
      <c r="LZ990" s="89"/>
      <c r="MA990" s="89"/>
      <c r="MB990" s="89"/>
      <c r="MC990" s="89"/>
      <c r="MD990" s="89"/>
      <c r="ME990" s="89"/>
      <c r="MF990" s="89"/>
      <c r="MG990" s="89"/>
      <c r="MH990" s="89"/>
      <c r="MI990" s="89"/>
      <c r="MJ990" s="89"/>
      <c r="MK990" s="89"/>
      <c r="ML990" s="89"/>
      <c r="MM990" s="89"/>
      <c r="MN990" s="89"/>
      <c r="MO990" s="89"/>
      <c r="MP990" s="89"/>
      <c r="MQ990" s="89"/>
      <c r="MR990" s="89"/>
      <c r="MS990" s="89"/>
      <c r="MT990" s="89"/>
      <c r="MU990" s="89"/>
      <c r="MV990" s="89"/>
      <c r="MW990" s="89"/>
      <c r="MX990" s="89"/>
      <c r="MY990" s="89"/>
      <c r="MZ990" s="89"/>
      <c r="NA990" s="89"/>
      <c r="NB990" s="89"/>
      <c r="NC990" s="89"/>
      <c r="ND990" s="89"/>
      <c r="NE990" s="89"/>
      <c r="NF990" s="89"/>
      <c r="NG990" s="89"/>
      <c r="NH990" s="89"/>
      <c r="NI990" s="152"/>
      <c r="NJ990" s="204"/>
      <c r="NK990" s="89"/>
      <c r="NL990" s="89"/>
      <c r="NM990" s="89"/>
      <c r="NN990" s="89"/>
      <c r="NO990" s="89"/>
      <c r="NP990" s="89"/>
      <c r="NQ990" s="89"/>
      <c r="NR990" s="89"/>
      <c r="NS990" s="89"/>
      <c r="NT990" s="89"/>
      <c r="NU990" s="152"/>
      <c r="NV990" s="97"/>
      <c r="NW990" s="89"/>
      <c r="NX990" s="89"/>
      <c r="NY990" s="89"/>
      <c r="NZ990" s="89"/>
      <c r="OA990" s="89"/>
      <c r="OB990" s="89"/>
      <c r="OC990" s="89"/>
      <c r="OD990" s="89"/>
      <c r="OE990" s="89"/>
      <c r="OF990" s="89"/>
      <c r="OG990" s="89"/>
      <c r="OH990" s="89"/>
      <c r="OI990" s="89"/>
      <c r="OJ990" s="89"/>
      <c r="OK990" s="89"/>
      <c r="OL990" s="89"/>
      <c r="OM990" s="89"/>
      <c r="ON990" s="89"/>
      <c r="OO990" s="89"/>
      <c r="OP990" s="89"/>
    </row>
    <row r="991" spans="1:406" ht="15.75" thickBot="1">
      <c r="A991" s="209"/>
      <c r="B991" s="2"/>
      <c r="C991" s="2"/>
      <c r="D991" s="99"/>
      <c r="E991" s="2"/>
      <c r="F991" s="152"/>
      <c r="G991" s="2"/>
      <c r="H991" s="2"/>
      <c r="I991" s="152"/>
      <c r="J991" s="152"/>
      <c r="K991" s="152"/>
      <c r="L991" s="2"/>
      <c r="M991" s="99"/>
      <c r="N991" s="2"/>
      <c r="O991" s="89"/>
      <c r="P991" s="2"/>
      <c r="Q991" s="2"/>
      <c r="R991" s="89"/>
      <c r="S991" s="89"/>
      <c r="T991" s="89"/>
      <c r="X991" s="3"/>
      <c r="AA991" s="3"/>
      <c r="AB991" s="3"/>
      <c r="AC991" s="3"/>
      <c r="AG991" s="3"/>
      <c r="AJ991" s="3"/>
      <c r="AK991" s="3"/>
      <c r="AL991" s="3"/>
      <c r="AP991" s="3"/>
      <c r="AS991" s="3"/>
      <c r="AT991" s="3"/>
      <c r="AU991" s="3"/>
      <c r="AV991" s="2"/>
      <c r="AW991" s="2"/>
      <c r="AX991" s="2"/>
      <c r="AY991" s="2"/>
      <c r="AZ991" s="2"/>
      <c r="BA991" s="2"/>
      <c r="BB991" s="2"/>
      <c r="BC991" s="2"/>
      <c r="BD991" s="2"/>
      <c r="BE991" s="2"/>
      <c r="BF991" s="2"/>
      <c r="BG991" s="2"/>
      <c r="BH991" s="2"/>
      <c r="BI991" s="2"/>
      <c r="BJ991" s="99"/>
      <c r="BK991" s="210"/>
      <c r="BL991" s="2"/>
      <c r="BM991" s="2"/>
      <c r="BN991" s="2"/>
      <c r="BO991" s="2"/>
      <c r="BP991" s="2"/>
      <c r="BQ991" s="2"/>
      <c r="BR991" s="2"/>
      <c r="BS991" s="2"/>
      <c r="BT991" s="2"/>
      <c r="BU991" s="2"/>
      <c r="BV991" s="2"/>
      <c r="EE991" s="2"/>
      <c r="EF991" s="99"/>
      <c r="EG991" s="210"/>
      <c r="EH991" s="210"/>
      <c r="EI991" s="210"/>
      <c r="EJ991" s="210"/>
      <c r="EK991" s="210"/>
      <c r="EL991" s="210"/>
      <c r="HL991" s="2"/>
      <c r="HM991" s="2"/>
      <c r="HN991" s="2"/>
      <c r="HO991" s="2"/>
      <c r="HP991" s="2"/>
      <c r="HQ991" s="2"/>
      <c r="HR991" s="2"/>
      <c r="HS991" s="2"/>
      <c r="HT991" s="99"/>
      <c r="HU991" s="2"/>
      <c r="HV991" s="2"/>
      <c r="HW991" s="2"/>
      <c r="HX991" s="2"/>
      <c r="HY991" s="2"/>
      <c r="HZ991" s="2"/>
      <c r="IA991" s="2"/>
      <c r="IB991" s="2"/>
      <c r="IC991" s="2"/>
      <c r="ID991" s="2"/>
      <c r="IE991" s="2"/>
      <c r="IF991" s="2"/>
      <c r="IG991" s="2"/>
      <c r="IH991" s="2"/>
      <c r="II991" s="2"/>
      <c r="IJ991" s="2"/>
      <c r="IK991" s="2"/>
      <c r="IL991" s="2"/>
      <c r="IM991" s="2"/>
      <c r="IN991" s="99"/>
      <c r="IO991" s="2"/>
      <c r="IP991" s="168"/>
      <c r="IQ991" s="172"/>
      <c r="IR991" s="2"/>
      <c r="IS991" s="2"/>
      <c r="IT991" s="2"/>
      <c r="IU991" s="99"/>
      <c r="IV991" s="2"/>
      <c r="IW991" s="211"/>
      <c r="IX991" s="172"/>
      <c r="IY991" s="2"/>
      <c r="IZ991" s="2"/>
      <c r="JA991" s="2"/>
      <c r="JB991" s="2"/>
      <c r="JC991" s="2"/>
      <c r="JD991" s="2"/>
      <c r="JE991" s="2"/>
      <c r="JF991" s="2"/>
      <c r="JG991" s="2"/>
      <c r="JH991" s="2"/>
      <c r="JI991" s="2"/>
      <c r="JJ991" s="2"/>
      <c r="JK991" s="2"/>
      <c r="JL991" s="205"/>
      <c r="JM991" s="172"/>
      <c r="JN991" s="2"/>
      <c r="JO991" s="2"/>
      <c r="JP991" s="2"/>
      <c r="JQ991" s="99"/>
      <c r="JR991" s="2"/>
      <c r="JS991" s="2"/>
      <c r="JT991" s="2"/>
      <c r="JU991" s="2"/>
      <c r="JV991" s="2"/>
      <c r="JW991" s="2"/>
      <c r="JX991" s="2"/>
      <c r="JY991" s="2"/>
      <c r="JZ991" s="2"/>
      <c r="KA991" s="2"/>
      <c r="KB991" s="2"/>
      <c r="KC991" s="2"/>
      <c r="KD991" s="2"/>
      <c r="KE991" s="2"/>
      <c r="KF991" s="2"/>
      <c r="KG991" s="168"/>
      <c r="KH991" s="172"/>
      <c r="KI991" s="2"/>
      <c r="KJ991" s="2"/>
      <c r="KK991" s="2"/>
      <c r="KL991" s="2"/>
      <c r="KM991" s="2"/>
      <c r="KN991" s="2"/>
      <c r="KO991" s="182"/>
      <c r="KP991" s="171"/>
      <c r="KQ991" s="2"/>
      <c r="KR991" s="2"/>
      <c r="KS991" s="2"/>
      <c r="KT991" s="2"/>
      <c r="KU991" s="2"/>
      <c r="KV991" s="2"/>
      <c r="KW991" s="2"/>
      <c r="LB991" s="2"/>
      <c r="LC991" s="2"/>
      <c r="LD991" s="2"/>
      <c r="LE991" s="2"/>
      <c r="LF991" s="2"/>
      <c r="LG991" s="2"/>
      <c r="LH991" s="2"/>
      <c r="LI991" s="2"/>
      <c r="LJ991" s="2"/>
      <c r="LK991" s="2"/>
      <c r="LL991" s="2"/>
      <c r="LM991" s="2"/>
      <c r="LN991" s="2"/>
      <c r="LO991" s="2"/>
      <c r="LP991" s="2"/>
      <c r="LQ991" s="2"/>
      <c r="LR991" s="2"/>
      <c r="LS991" s="2"/>
      <c r="LT991" s="2"/>
      <c r="LU991" s="2"/>
      <c r="LV991" s="2"/>
      <c r="LW991" s="2"/>
      <c r="LX991" s="2"/>
      <c r="LY991" s="2"/>
      <c r="LZ991" s="2"/>
      <c r="MA991" s="2"/>
      <c r="MB991" s="2"/>
      <c r="MC991" s="2"/>
      <c r="MD991" s="2"/>
      <c r="ME991" s="2"/>
      <c r="MF991" s="2"/>
      <c r="MG991" s="2"/>
      <c r="MH991" s="2"/>
      <c r="MI991" s="2"/>
      <c r="MJ991" s="2"/>
      <c r="MK991" s="2"/>
      <c r="ML991" s="2"/>
      <c r="MM991" s="2"/>
      <c r="MN991" s="2"/>
      <c r="MO991" s="2"/>
      <c r="MP991" s="2"/>
      <c r="MQ991" s="2"/>
      <c r="MR991" s="2"/>
      <c r="MS991" s="2"/>
      <c r="MT991" s="2"/>
      <c r="MU991" s="2"/>
      <c r="MV991" s="2"/>
      <c r="MW991" s="2"/>
      <c r="MX991" s="2"/>
      <c r="MY991" s="2"/>
      <c r="MZ991" s="2"/>
      <c r="NA991" s="2"/>
      <c r="NB991" s="2"/>
      <c r="NC991" s="2"/>
      <c r="ND991" s="2"/>
      <c r="NE991" s="2"/>
      <c r="NF991" s="2"/>
      <c r="NG991" s="2"/>
      <c r="NH991" s="2"/>
      <c r="NI991" s="99"/>
      <c r="NJ991" s="208"/>
      <c r="NK991" s="2"/>
      <c r="NL991" s="2"/>
      <c r="NM991" s="2"/>
      <c r="NN991" s="2"/>
      <c r="NO991" s="2"/>
      <c r="NP991" s="2"/>
      <c r="NQ991" s="2"/>
      <c r="NR991" s="2"/>
      <c r="NS991" s="2"/>
      <c r="NT991" s="2"/>
      <c r="NU991" s="99"/>
      <c r="NV991" s="173"/>
      <c r="NW991" s="2"/>
      <c r="NX991" s="2"/>
      <c r="NY991" s="2"/>
      <c r="NZ991" s="2"/>
      <c r="OA991" s="2"/>
      <c r="OB991" s="2"/>
      <c r="OC991" s="2"/>
      <c r="OD991" s="2"/>
      <c r="OE991" s="2"/>
      <c r="OF991" s="2"/>
      <c r="OG991" s="2"/>
      <c r="OH991" s="2"/>
      <c r="OI991" s="2"/>
      <c r="OJ991" s="2"/>
      <c r="OK991" s="2"/>
      <c r="OL991" s="2"/>
      <c r="OM991" s="2"/>
      <c r="ON991" s="2"/>
      <c r="OO991" s="2"/>
      <c r="OP991" s="2"/>
    </row>
    <row r="992" spans="1:406">
      <c r="A992" s="207"/>
      <c r="B992" s="89"/>
      <c r="C992" s="89"/>
      <c r="D992" s="152"/>
      <c r="E992" s="89"/>
      <c r="F992" s="152"/>
      <c r="G992" s="89"/>
      <c r="H992" s="89"/>
      <c r="I992" s="152"/>
      <c r="J992" s="152"/>
      <c r="K992" s="152"/>
      <c r="L992" s="89"/>
      <c r="M992" s="152"/>
      <c r="N992" s="89"/>
      <c r="O992" s="89"/>
      <c r="P992" s="89"/>
      <c r="Q992" s="89"/>
      <c r="R992" s="89"/>
      <c r="S992" s="89"/>
      <c r="T992" s="89"/>
      <c r="X992" s="3"/>
      <c r="AA992" s="3"/>
      <c r="AB992" s="3"/>
      <c r="AC992" s="3"/>
      <c r="AG992" s="3"/>
      <c r="AJ992" s="3"/>
      <c r="AK992" s="3"/>
      <c r="AL992" s="3"/>
      <c r="AP992" s="3"/>
      <c r="AS992" s="3"/>
      <c r="AT992" s="3"/>
      <c r="AU992" s="3"/>
      <c r="AV992" s="89"/>
      <c r="AW992" s="89"/>
      <c r="AX992" s="89"/>
      <c r="AY992" s="89"/>
      <c r="AZ992" s="89"/>
      <c r="BA992" s="89"/>
      <c r="BB992" s="89"/>
      <c r="BC992" s="89"/>
      <c r="BD992" s="89"/>
      <c r="BE992" s="89"/>
      <c r="BF992" s="89"/>
      <c r="BG992" s="89"/>
      <c r="BH992" s="89"/>
      <c r="BI992" s="89"/>
      <c r="BJ992" s="152"/>
      <c r="BK992" s="175"/>
      <c r="BL992" s="89"/>
      <c r="BM992" s="89"/>
      <c r="BN992" s="89"/>
      <c r="BO992" s="89"/>
      <c r="BP992" s="89"/>
      <c r="BQ992" s="89"/>
      <c r="BR992" s="89"/>
      <c r="BS992" s="89"/>
      <c r="BT992" s="89"/>
      <c r="BU992" s="89"/>
      <c r="BV992" s="89"/>
      <c r="EE992" s="89"/>
      <c r="EF992" s="152"/>
      <c r="EG992" s="175"/>
      <c r="EH992" s="175"/>
      <c r="EI992" s="175"/>
      <c r="EJ992" s="175"/>
      <c r="EK992" s="175"/>
      <c r="EL992" s="175"/>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89"/>
      <c r="HM992" s="89"/>
      <c r="HN992" s="89"/>
      <c r="HO992" s="89"/>
      <c r="HP992" s="89"/>
      <c r="HQ992" s="89"/>
      <c r="HR992" s="89"/>
      <c r="HS992" s="89"/>
      <c r="HT992" s="152"/>
      <c r="HU992" s="89"/>
      <c r="HV992" s="89"/>
      <c r="HW992" s="89"/>
      <c r="HX992" s="89"/>
      <c r="HY992" s="89"/>
      <c r="HZ992" s="89"/>
      <c r="IA992" s="89"/>
      <c r="IB992" s="89"/>
      <c r="IC992" s="89"/>
      <c r="ID992" s="89"/>
      <c r="IE992" s="89"/>
      <c r="IF992" s="89"/>
      <c r="IG992" s="89"/>
      <c r="IH992" s="89"/>
      <c r="II992" s="89"/>
      <c r="IJ992" s="89"/>
      <c r="IK992" s="89"/>
      <c r="IL992" s="89"/>
      <c r="IM992" s="89"/>
      <c r="IN992" s="89"/>
      <c r="IO992" s="89"/>
      <c r="IP992" s="157"/>
      <c r="IQ992" s="178"/>
      <c r="IR992" s="89"/>
      <c r="IS992" s="89"/>
      <c r="IT992" s="89"/>
      <c r="IU992" s="152"/>
      <c r="IV992" s="89"/>
      <c r="IW992" s="153"/>
      <c r="IX992" s="89"/>
      <c r="IY992" s="89"/>
      <c r="IZ992" s="89"/>
      <c r="JA992" s="89"/>
      <c r="JB992" s="89"/>
      <c r="JC992" s="89"/>
      <c r="JD992" s="89"/>
      <c r="JE992" s="89"/>
      <c r="JF992" s="89"/>
      <c r="JG992" s="89"/>
      <c r="JH992" s="89"/>
      <c r="JI992" s="89"/>
      <c r="JJ992" s="89"/>
      <c r="JK992" s="89"/>
      <c r="JL992" s="205"/>
      <c r="JM992" s="178"/>
      <c r="JN992" s="2"/>
      <c r="JO992" s="89"/>
      <c r="JP992" s="89"/>
      <c r="JQ992" s="152"/>
      <c r="JR992" s="89"/>
      <c r="JS992" s="89"/>
      <c r="JT992" s="89"/>
      <c r="JU992" s="89"/>
      <c r="JV992" s="89"/>
      <c r="JW992" s="89"/>
      <c r="JX992" s="89"/>
      <c r="JY992" s="89"/>
      <c r="JZ992" s="89"/>
      <c r="KA992" s="89"/>
      <c r="KB992" s="89"/>
      <c r="KC992" s="89"/>
      <c r="KD992" s="89"/>
      <c r="KE992" s="89"/>
      <c r="KF992" s="89"/>
      <c r="KG992" s="157"/>
      <c r="KH992" s="178"/>
      <c r="KI992" s="89"/>
      <c r="KJ992" s="89"/>
      <c r="KK992" s="89"/>
      <c r="KL992" s="89"/>
      <c r="KM992" s="89"/>
      <c r="KN992" s="89"/>
      <c r="KO992" s="157"/>
      <c r="KP992" s="178"/>
      <c r="KQ992" s="89"/>
      <c r="KR992" s="89"/>
      <c r="KS992" s="89"/>
      <c r="KT992" s="89"/>
      <c r="KU992" s="89"/>
      <c r="KV992" s="89"/>
      <c r="KW992" s="89"/>
      <c r="LB992" s="89"/>
      <c r="LC992" s="89"/>
      <c r="LD992" s="89"/>
      <c r="LE992" s="89"/>
      <c r="LF992" s="89"/>
      <c r="LG992" s="89"/>
      <c r="LH992" s="89"/>
      <c r="LI992" s="89"/>
      <c r="LJ992" s="89"/>
      <c r="LK992" s="89"/>
      <c r="LL992" s="89"/>
      <c r="LM992" s="89"/>
      <c r="LN992" s="89"/>
      <c r="LO992" s="89"/>
      <c r="LP992" s="89"/>
      <c r="LQ992" s="89"/>
      <c r="LR992" s="89"/>
      <c r="LS992" s="89"/>
      <c r="LT992" s="89"/>
      <c r="LU992" s="89"/>
      <c r="LV992" s="89"/>
      <c r="LW992" s="89"/>
      <c r="LX992" s="89"/>
      <c r="LY992" s="89"/>
      <c r="LZ992" s="89"/>
      <c r="MA992" s="89"/>
      <c r="MB992" s="89"/>
      <c r="MC992" s="89"/>
      <c r="MD992" s="89"/>
      <c r="ME992" s="89"/>
      <c r="MF992" s="89"/>
      <c r="MG992" s="89"/>
      <c r="MH992" s="89"/>
      <c r="MI992" s="89"/>
      <c r="MJ992" s="89"/>
      <c r="MK992" s="89"/>
      <c r="ML992" s="89"/>
      <c r="MM992" s="89"/>
      <c r="MN992" s="89"/>
      <c r="MO992" s="89"/>
      <c r="MP992" s="89"/>
      <c r="MQ992" s="89"/>
      <c r="MR992" s="89"/>
      <c r="MS992" s="89"/>
      <c r="MT992" s="89"/>
      <c r="MU992" s="89"/>
      <c r="MV992" s="89"/>
      <c r="MW992" s="89"/>
      <c r="MX992" s="89"/>
      <c r="MY992" s="89"/>
      <c r="MZ992" s="89"/>
      <c r="NA992" s="89"/>
      <c r="NB992" s="89"/>
      <c r="NC992" s="89"/>
      <c r="ND992" s="89"/>
      <c r="NE992" s="89"/>
      <c r="NF992" s="89"/>
      <c r="NG992" s="89"/>
      <c r="NH992" s="89"/>
      <c r="NI992" s="152"/>
      <c r="NJ992" s="204"/>
      <c r="NK992" s="89"/>
      <c r="NL992" s="89"/>
      <c r="NM992" s="89"/>
      <c r="NN992" s="89"/>
      <c r="NO992" s="89"/>
      <c r="NP992" s="89"/>
      <c r="NQ992" s="89"/>
      <c r="NR992" s="89"/>
      <c r="NS992" s="89"/>
      <c r="NT992" s="89"/>
      <c r="NU992" s="152"/>
      <c r="NV992" s="97"/>
      <c r="NW992" s="89"/>
      <c r="NX992" s="89"/>
      <c r="NY992" s="89"/>
      <c r="NZ992" s="89"/>
      <c r="OA992" s="89"/>
      <c r="OB992" s="89"/>
      <c r="OC992" s="89"/>
      <c r="OD992" s="89"/>
      <c r="OE992" s="89"/>
      <c r="OF992" s="89"/>
      <c r="OG992" s="89"/>
      <c r="OH992" s="89"/>
      <c r="OI992" s="89"/>
      <c r="OJ992" s="89"/>
      <c r="OK992" s="89"/>
      <c r="OL992" s="89"/>
      <c r="OM992" s="89"/>
      <c r="ON992" s="89"/>
      <c r="OO992" s="89"/>
      <c r="OP992" s="89"/>
    </row>
    <row r="993" spans="140:233">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M993" s="9"/>
      <c r="HY993" s="58"/>
    </row>
    <row r="994" spans="140:233">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M994" s="9"/>
      <c r="HY994" s="58"/>
    </row>
    <row r="995" spans="140:233">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M995" s="9"/>
      <c r="HY995" s="58"/>
    </row>
    <row r="996" spans="140:233">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M996" s="9"/>
      <c r="HY996" s="58"/>
    </row>
    <row r="997" spans="140:233">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M997" s="9"/>
      <c r="HY997" s="58"/>
    </row>
    <row r="998" spans="140:233">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M998" s="9"/>
      <c r="HY998" s="58"/>
    </row>
    <row r="999" spans="140:233">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M999" s="9"/>
      <c r="HY999" s="58"/>
    </row>
    <row r="1000" spans="140:233">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M1000" s="9"/>
      <c r="HY1000" s="58"/>
    </row>
    <row r="1001" spans="140:233">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M1001" s="9"/>
      <c r="HY1001" s="58"/>
    </row>
    <row r="1002" spans="140:233">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M1002" s="9"/>
      <c r="HY1002" s="58"/>
    </row>
    <row r="1003" spans="140:233">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M1003" s="9"/>
      <c r="HY1003" s="58"/>
    </row>
    <row r="1004" spans="140:233">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M1004" s="9"/>
      <c r="HY1004" s="58"/>
    </row>
    <row r="1005" spans="140:233">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M1005" s="9"/>
      <c r="HY1005" s="58"/>
    </row>
    <row r="1006" spans="140:233">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M1006" s="9"/>
      <c r="HY1006" s="58"/>
    </row>
    <row r="1007" spans="140:233">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M1007" s="9"/>
      <c r="HY1007" s="58"/>
    </row>
    <row r="1008" spans="140:233">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M1008" s="9"/>
      <c r="HY1008" s="58"/>
    </row>
    <row r="1009" spans="140:233">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M1009" s="9"/>
      <c r="HY1009" s="58"/>
    </row>
    <row r="1010" spans="140:233">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M1010" s="9"/>
      <c r="HY1010" s="58"/>
    </row>
    <row r="1011" spans="140:233">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M1011" s="9"/>
      <c r="HY1011" s="58"/>
    </row>
    <row r="1012" spans="140:233">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M1012" s="9"/>
      <c r="HY1012" s="58"/>
    </row>
    <row r="1013" spans="140:233">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M1013" s="9"/>
      <c r="HY1013" s="58"/>
    </row>
    <row r="1014" spans="140:233">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M1014" s="9"/>
      <c r="HY1014" s="58"/>
    </row>
    <row r="1015" spans="140:233">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M1015" s="9"/>
      <c r="HY1015" s="58"/>
    </row>
    <row r="1016" spans="140:233">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M1016" s="9"/>
      <c r="HY1016" s="58"/>
    </row>
    <row r="1017" spans="140:233">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M1017" s="9"/>
      <c r="HY1017" s="58"/>
    </row>
    <row r="1018" spans="140:233">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M1018" s="9"/>
      <c r="HY1018" s="58"/>
    </row>
    <row r="1019" spans="140:233">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M1019" s="9"/>
      <c r="HY1019" s="58"/>
    </row>
    <row r="1020" spans="140:233">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M1020" s="9"/>
      <c r="HY1020" s="58"/>
    </row>
    <row r="1021" spans="140:233">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M1021" s="9"/>
      <c r="HY1021" s="58"/>
    </row>
    <row r="1022" spans="140:233">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M1022" s="9"/>
      <c r="HY1022" s="58"/>
    </row>
    <row r="1023" spans="140:233">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M1023" s="9"/>
      <c r="HY1023" s="58"/>
    </row>
    <row r="1024" spans="140:233">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M1024" s="9"/>
      <c r="HY1024" s="58"/>
    </row>
    <row r="1025" spans="140:233">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M1025" s="9"/>
      <c r="HY1025" s="58"/>
    </row>
    <row r="1026" spans="140:233">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M1026" s="9"/>
      <c r="HY1026" s="58"/>
    </row>
    <row r="1027" spans="140:233">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M1027" s="9"/>
      <c r="HY1027" s="58"/>
    </row>
    <row r="1028" spans="140:233">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M1028" s="9"/>
      <c r="HY1028" s="58"/>
    </row>
    <row r="1029" spans="140:233">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M1029" s="9"/>
      <c r="HY1029" s="58"/>
    </row>
    <row r="1030" spans="140:233">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M1030" s="9"/>
      <c r="HY1030" s="58"/>
    </row>
    <row r="1031" spans="140:233">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M1031" s="9"/>
      <c r="HY1031" s="58"/>
    </row>
    <row r="1032" spans="140:233">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M1032" s="9"/>
      <c r="HY1032" s="58"/>
    </row>
    <row r="1033" spans="140:233">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M1033" s="9"/>
      <c r="HY1033" s="58"/>
    </row>
    <row r="1034" spans="140:233">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M1034" s="9"/>
      <c r="HY1034" s="58"/>
    </row>
    <row r="1035" spans="140:233">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M1035" s="9"/>
      <c r="HY1035" s="58"/>
    </row>
    <row r="1036" spans="140:233">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M1036" s="9"/>
      <c r="HY1036" s="58"/>
    </row>
    <row r="1037" spans="140:233">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M1037" s="9"/>
      <c r="HY1037" s="58"/>
    </row>
    <row r="1038" spans="140:233">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M1038" s="9"/>
      <c r="HY1038" s="58"/>
    </row>
    <row r="1039" spans="140:233">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M1039" s="9"/>
      <c r="HY1039" s="58"/>
    </row>
    <row r="1040" spans="140:233">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M1040" s="9"/>
      <c r="HY1040" s="58"/>
    </row>
    <row r="1041" spans="140:233">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M1041" s="9"/>
      <c r="HY1041" s="58"/>
    </row>
    <row r="1042" spans="140:233">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M1042" s="9"/>
      <c r="HY1042" s="58"/>
    </row>
    <row r="1043" spans="140:233">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M1043" s="9"/>
      <c r="HY1043" s="58"/>
    </row>
    <row r="1044" spans="140:233">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M1044" s="9"/>
      <c r="HY1044" s="58"/>
    </row>
    <row r="1045" spans="140:233">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M1045" s="9"/>
      <c r="HY1045" s="58"/>
    </row>
    <row r="1046" spans="140:233">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M1046" s="9"/>
      <c r="HY1046" s="58"/>
    </row>
    <row r="1047" spans="140:233">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M1047" s="9"/>
      <c r="HY1047" s="58"/>
    </row>
    <row r="1048" spans="140:233">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M1048" s="9"/>
      <c r="HY1048" s="58"/>
    </row>
    <row r="1049" spans="140:233">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M1049" s="9"/>
      <c r="HY1049" s="58"/>
    </row>
    <row r="1050" spans="140:233">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M1050" s="9"/>
      <c r="HY1050" s="58"/>
    </row>
    <row r="1051" spans="140:233">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M1051" s="9"/>
      <c r="HY1051" s="58"/>
    </row>
    <row r="1052" spans="140:233">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M1052" s="9"/>
      <c r="HY1052" s="58"/>
    </row>
    <row r="1053" spans="140:233">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M1053" s="9"/>
      <c r="HY1053" s="58"/>
    </row>
    <row r="1054" spans="140:233">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M1054" s="9"/>
      <c r="HY1054" s="58"/>
    </row>
    <row r="1055" spans="140:233">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M1055" s="9"/>
      <c r="HY1055" s="58"/>
    </row>
    <row r="1056" spans="140:233">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M1056" s="9"/>
      <c r="HY1056" s="58"/>
    </row>
    <row r="1057" spans="140:233">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M1057" s="9"/>
      <c r="HY1057" s="58"/>
    </row>
    <row r="1058" spans="140:233">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M1058" s="9"/>
      <c r="HY1058" s="58"/>
    </row>
    <row r="1059" spans="140:233">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M1059" s="9"/>
      <c r="HY1059" s="58"/>
    </row>
    <row r="1060" spans="140:233">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M1060" s="9"/>
      <c r="HY1060" s="58"/>
    </row>
    <row r="1061" spans="140:233">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M1061" s="9"/>
      <c r="HY1061" s="58"/>
    </row>
    <row r="1062" spans="140:233">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M1062" s="9"/>
      <c r="HY1062" s="58"/>
    </row>
    <row r="1063" spans="140:233">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M1063" s="9"/>
      <c r="HY1063" s="58"/>
    </row>
    <row r="1064" spans="140:233">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M1064" s="9"/>
      <c r="HY1064" s="58"/>
    </row>
    <row r="1065" spans="140:233">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M1065" s="9"/>
      <c r="HY1065" s="58"/>
    </row>
    <row r="1066" spans="140:233">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M1066" s="9"/>
      <c r="HY1066" s="58"/>
    </row>
    <row r="1067" spans="140:233">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M1067" s="9"/>
      <c r="HY1067" s="58"/>
    </row>
    <row r="1068" spans="140:233">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M1068" s="9"/>
      <c r="HY1068" s="58"/>
    </row>
    <row r="1069" spans="140:233">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M1069" s="9"/>
      <c r="HY1069" s="58"/>
    </row>
    <row r="1070" spans="140:233">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M1070" s="9"/>
      <c r="HY1070" s="58"/>
    </row>
    <row r="1071" spans="140:233">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M1071" s="9"/>
      <c r="HY1071" s="58"/>
    </row>
    <row r="1072" spans="140:233">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M1072" s="9"/>
      <c r="HY1072" s="58"/>
    </row>
    <row r="1073" spans="140:233">
      <c r="EJ1073" s="9"/>
      <c r="EK1073" s="9"/>
      <c r="EL1073" s="9"/>
      <c r="EM1073" s="9"/>
      <c r="EN1073" s="9"/>
      <c r="EO1073" s="9"/>
      <c r="EP1073" s="9"/>
      <c r="EQ1073" s="9"/>
      <c r="ER1073" s="9"/>
      <c r="ES1073" s="9"/>
      <c r="ET1073" s="9"/>
      <c r="EU1073" s="9"/>
      <c r="EV1073" s="9"/>
      <c r="EW1073" s="9"/>
      <c r="EX1073" s="9"/>
      <c r="EY1073" s="9"/>
      <c r="EZ1073" s="9"/>
      <c r="FA1073" s="9"/>
      <c r="FB1073" s="9"/>
      <c r="FC1073" s="9"/>
      <c r="FD1073" s="9"/>
      <c r="FE1073" s="9"/>
      <c r="FF1073" s="9"/>
      <c r="FG1073" s="9"/>
      <c r="FH1073" s="9"/>
      <c r="FI1073" s="9"/>
      <c r="FJ1073" s="9"/>
      <c r="FK1073" s="9"/>
      <c r="FL1073" s="9"/>
      <c r="FM1073" s="9"/>
      <c r="FN1073" s="9"/>
      <c r="FO1073" s="9"/>
      <c r="FP1073" s="9"/>
      <c r="FQ1073" s="9"/>
      <c r="FR1073" s="9"/>
      <c r="FS1073" s="9"/>
      <c r="FT1073" s="9"/>
      <c r="FU1073" s="9"/>
      <c r="FV1073" s="9"/>
      <c r="FW1073" s="9"/>
      <c r="FX1073" s="9"/>
      <c r="FY1073" s="9"/>
      <c r="FZ1073" s="9"/>
      <c r="GA1073" s="9"/>
      <c r="GB1073" s="9"/>
      <c r="GC1073" s="9"/>
      <c r="GD1073" s="9"/>
      <c r="GE1073" s="9"/>
      <c r="GF1073" s="9"/>
      <c r="GG1073" s="9"/>
      <c r="GH1073" s="9"/>
      <c r="GI1073" s="9"/>
      <c r="GJ1073" s="9"/>
      <c r="GK1073" s="9"/>
      <c r="GL1073" s="9"/>
      <c r="GM1073" s="9"/>
      <c r="GN1073" s="9"/>
      <c r="GO1073" s="9"/>
      <c r="GP1073" s="9"/>
      <c r="GQ1073" s="9"/>
      <c r="GR1073" s="9"/>
      <c r="GS1073" s="9"/>
      <c r="GT1073" s="9"/>
      <c r="GU1073" s="9"/>
      <c r="GV1073" s="9"/>
      <c r="GW1073" s="9"/>
      <c r="GX1073" s="9"/>
      <c r="GY1073" s="9"/>
      <c r="GZ1073" s="9"/>
      <c r="HA1073" s="9"/>
      <c r="HB1073" s="9"/>
      <c r="HC1073" s="9"/>
      <c r="HD1073" s="9"/>
      <c r="HE1073" s="9"/>
      <c r="HF1073" s="9"/>
      <c r="HG1073" s="9"/>
      <c r="HH1073" s="9"/>
      <c r="HI1073" s="9"/>
      <c r="HJ1073" s="9"/>
      <c r="HK1073" s="9"/>
      <c r="HL1073" s="9"/>
      <c r="HM1073" s="9"/>
      <c r="HY1073" s="58"/>
    </row>
    <row r="1074" spans="140:233">
      <c r="EJ1074" s="9"/>
      <c r="EK1074" s="9"/>
      <c r="EL1074" s="9"/>
      <c r="EM1074" s="9"/>
      <c r="EN1074" s="9"/>
      <c r="EO1074" s="9"/>
      <c r="EP1074" s="9"/>
      <c r="EQ1074" s="9"/>
      <c r="ER1074" s="9"/>
      <c r="ES1074" s="9"/>
      <c r="ET1074" s="9"/>
      <c r="EU1074" s="9"/>
      <c r="EV1074" s="9"/>
      <c r="EW1074" s="9"/>
      <c r="EX1074" s="9"/>
      <c r="EY1074" s="9"/>
      <c r="EZ1074" s="9"/>
      <c r="FA1074" s="9"/>
      <c r="FB1074" s="9"/>
      <c r="FC1074" s="9"/>
      <c r="FD1074" s="9"/>
      <c r="FE1074" s="9"/>
      <c r="FF1074" s="9"/>
      <c r="FG1074" s="9"/>
      <c r="FH1074" s="9"/>
      <c r="FI1074" s="9"/>
      <c r="FJ1074" s="9"/>
      <c r="FK1074" s="9"/>
      <c r="FL1074" s="9"/>
      <c r="FM1074" s="9"/>
      <c r="FN1074" s="9"/>
      <c r="FO1074" s="9"/>
      <c r="FP1074" s="9"/>
      <c r="FQ1074" s="9"/>
      <c r="FR1074" s="9"/>
      <c r="FS1074" s="9"/>
      <c r="FT1074" s="9"/>
      <c r="FU1074" s="9"/>
      <c r="FV1074" s="9"/>
      <c r="FW1074" s="9"/>
      <c r="FX1074" s="9"/>
      <c r="FY1074" s="9"/>
      <c r="FZ1074" s="9"/>
      <c r="GA1074" s="9"/>
      <c r="GB1074" s="9"/>
      <c r="GC1074" s="9"/>
      <c r="GD1074" s="9"/>
      <c r="GE1074" s="9"/>
      <c r="GF1074" s="9"/>
      <c r="GG1074" s="9"/>
      <c r="GH1074" s="9"/>
      <c r="GI1074" s="9"/>
      <c r="GJ1074" s="9"/>
      <c r="GK1074" s="9"/>
      <c r="GL1074" s="9"/>
      <c r="GM1074" s="9"/>
      <c r="GN1074" s="9"/>
      <c r="GO1074" s="9"/>
      <c r="GP1074" s="9"/>
      <c r="GQ1074" s="9"/>
      <c r="GR1074" s="9"/>
      <c r="GS1074" s="9"/>
      <c r="GT1074" s="9"/>
      <c r="GU1074" s="9"/>
      <c r="GV1074" s="9"/>
      <c r="GW1074" s="9"/>
      <c r="GX1074" s="9"/>
      <c r="GY1074" s="9"/>
      <c r="GZ1074" s="9"/>
      <c r="HA1074" s="9"/>
      <c r="HB1074" s="9"/>
      <c r="HC1074" s="9"/>
      <c r="HD1074" s="9"/>
      <c r="HE1074" s="9"/>
      <c r="HF1074" s="9"/>
      <c r="HG1074" s="9"/>
      <c r="HH1074" s="9"/>
      <c r="HI1074" s="9"/>
      <c r="HJ1074" s="9"/>
      <c r="HK1074" s="9"/>
      <c r="HL1074" s="9"/>
      <c r="HM1074" s="9"/>
      <c r="HY1074" s="58"/>
    </row>
    <row r="1075" spans="140:233">
      <c r="EJ1075" s="9"/>
      <c r="EK1075" s="9"/>
      <c r="EL1075" s="9"/>
      <c r="EM1075" s="9"/>
      <c r="EN1075" s="9"/>
      <c r="EO1075" s="9"/>
      <c r="EP1075" s="9"/>
      <c r="EQ1075" s="9"/>
      <c r="ER1075" s="9"/>
      <c r="ES1075" s="9"/>
      <c r="ET1075" s="9"/>
      <c r="EU1075" s="9"/>
      <c r="EV1075" s="9"/>
      <c r="EW1075" s="9"/>
      <c r="EX1075" s="9"/>
      <c r="EY1075" s="9"/>
      <c r="EZ1075" s="9"/>
      <c r="FA1075" s="9"/>
      <c r="FB1075" s="9"/>
      <c r="FC1075" s="9"/>
      <c r="FD1075" s="9"/>
      <c r="FE1075" s="9"/>
      <c r="FF1075" s="9"/>
      <c r="FG1075" s="9"/>
      <c r="FH1075" s="9"/>
      <c r="FI1075" s="9"/>
      <c r="FJ1075" s="9"/>
      <c r="FK1075" s="9"/>
      <c r="FL1075" s="9"/>
      <c r="FM1075" s="9"/>
      <c r="FN1075" s="9"/>
      <c r="FO1075" s="9"/>
      <c r="FP1075" s="9"/>
      <c r="FQ1075" s="9"/>
      <c r="FR1075" s="9"/>
      <c r="FS1075" s="9"/>
      <c r="FT1075" s="9"/>
      <c r="FU1075" s="9"/>
      <c r="FV1075" s="9"/>
      <c r="FW1075" s="9"/>
      <c r="FX1075" s="9"/>
      <c r="FY1075" s="9"/>
      <c r="FZ1075" s="9"/>
      <c r="GA1075" s="9"/>
      <c r="GB1075" s="9"/>
      <c r="GC1075" s="9"/>
      <c r="GD1075" s="9"/>
      <c r="GE1075" s="9"/>
      <c r="GF1075" s="9"/>
      <c r="GG1075" s="9"/>
      <c r="GH1075" s="9"/>
      <c r="GI1075" s="9"/>
      <c r="GJ1075" s="9"/>
      <c r="GK1075" s="9"/>
      <c r="GL1075" s="9"/>
      <c r="GM1075" s="9"/>
      <c r="GN1075" s="9"/>
      <c r="GO1075" s="9"/>
      <c r="GP1075" s="9"/>
      <c r="GQ1075" s="9"/>
      <c r="GR1075" s="9"/>
      <c r="GS1075" s="9"/>
      <c r="GT1075" s="9"/>
      <c r="GU1075" s="9"/>
      <c r="GV1075" s="9"/>
      <c r="GW1075" s="9"/>
      <c r="GX1075" s="9"/>
      <c r="GY1075" s="9"/>
      <c r="GZ1075" s="9"/>
      <c r="HA1075" s="9"/>
      <c r="HB1075" s="9"/>
      <c r="HC1075" s="9"/>
      <c r="HD1075" s="9"/>
      <c r="HE1075" s="9"/>
      <c r="HF1075" s="9"/>
      <c r="HG1075" s="9"/>
      <c r="HH1075" s="9"/>
      <c r="HI1075" s="9"/>
      <c r="HJ1075" s="9"/>
      <c r="HK1075" s="9"/>
      <c r="HL1075" s="9"/>
      <c r="HM1075" s="9"/>
      <c r="HY1075" s="58"/>
    </row>
    <row r="1076" spans="140:233">
      <c r="EJ1076" s="9"/>
      <c r="EK1076" s="9"/>
      <c r="EL1076" s="9"/>
      <c r="EM1076" s="9"/>
      <c r="EN1076" s="9"/>
      <c r="EO1076" s="9"/>
      <c r="EP1076" s="9"/>
      <c r="EQ1076" s="9"/>
      <c r="ER1076" s="9"/>
      <c r="ES1076" s="9"/>
      <c r="ET1076" s="9"/>
      <c r="EU1076" s="9"/>
      <c r="EV1076" s="9"/>
      <c r="EW1076" s="9"/>
      <c r="EX1076" s="9"/>
      <c r="EY1076" s="9"/>
      <c r="EZ1076" s="9"/>
      <c r="FA1076" s="9"/>
      <c r="FB1076" s="9"/>
      <c r="FC1076" s="9"/>
      <c r="FD1076" s="9"/>
      <c r="FE1076" s="9"/>
      <c r="FF1076" s="9"/>
      <c r="FG1076" s="9"/>
      <c r="FH1076" s="9"/>
      <c r="FI1076" s="9"/>
      <c r="FJ1076" s="9"/>
      <c r="FK1076" s="9"/>
      <c r="FL1076" s="9"/>
      <c r="FM1076" s="9"/>
      <c r="FN1076" s="9"/>
      <c r="FO1076" s="9"/>
      <c r="FP1076" s="9"/>
      <c r="FQ1076" s="9"/>
      <c r="FR1076" s="9"/>
      <c r="FS1076" s="9"/>
      <c r="FT1076" s="9"/>
      <c r="FU1076" s="9"/>
      <c r="FV1076" s="9"/>
      <c r="FW1076" s="9"/>
      <c r="FX1076" s="9"/>
      <c r="FY1076" s="9"/>
      <c r="FZ1076" s="9"/>
      <c r="GA1076" s="9"/>
      <c r="GB1076" s="9"/>
      <c r="GC1076" s="9"/>
      <c r="GD1076" s="9"/>
      <c r="GE1076" s="9"/>
      <c r="GF1076" s="9"/>
      <c r="GG1076" s="9"/>
      <c r="GH1076" s="9"/>
      <c r="GI1076" s="9"/>
      <c r="GJ1076" s="9"/>
      <c r="GK1076" s="9"/>
      <c r="GL1076" s="9"/>
      <c r="GM1076" s="9"/>
      <c r="GN1076" s="9"/>
      <c r="GO1076" s="9"/>
      <c r="GP1076" s="9"/>
      <c r="GQ1076" s="9"/>
      <c r="GR1076" s="9"/>
      <c r="GS1076" s="9"/>
      <c r="GT1076" s="9"/>
      <c r="GU1076" s="9"/>
      <c r="GV1076" s="9"/>
      <c r="GW1076" s="9"/>
      <c r="GX1076" s="9"/>
      <c r="GY1076" s="9"/>
      <c r="GZ1076" s="9"/>
      <c r="HA1076" s="9"/>
      <c r="HB1076" s="9"/>
      <c r="HC1076" s="9"/>
      <c r="HD1076" s="9"/>
      <c r="HE1076" s="9"/>
      <c r="HF1076" s="9"/>
      <c r="HG1076" s="9"/>
      <c r="HH1076" s="9"/>
      <c r="HI1076" s="9"/>
      <c r="HJ1076" s="9"/>
      <c r="HK1076" s="9"/>
      <c r="HL1076" s="9"/>
      <c r="HM1076" s="9"/>
      <c r="HY1076" s="58"/>
    </row>
    <row r="1077" spans="140:233">
      <c r="EJ1077" s="9"/>
      <c r="EK1077" s="9"/>
      <c r="EL1077" s="9"/>
      <c r="EM1077" s="9"/>
      <c r="EN1077" s="9"/>
      <c r="EO1077" s="9"/>
      <c r="EP1077" s="9"/>
      <c r="EQ1077" s="9"/>
      <c r="ER1077" s="9"/>
      <c r="ES1077" s="9"/>
      <c r="ET1077" s="9"/>
      <c r="EU1077" s="9"/>
      <c r="EV1077" s="9"/>
      <c r="EW1077" s="9"/>
      <c r="EX1077" s="9"/>
      <c r="EY1077" s="9"/>
      <c r="EZ1077" s="9"/>
      <c r="FA1077" s="9"/>
      <c r="FB1077" s="9"/>
      <c r="FC1077" s="9"/>
      <c r="FD1077" s="9"/>
      <c r="FE1077" s="9"/>
      <c r="FF1077" s="9"/>
      <c r="FG1077" s="9"/>
      <c r="FH1077" s="9"/>
      <c r="FI1077" s="9"/>
      <c r="FJ1077" s="9"/>
      <c r="FK1077" s="9"/>
      <c r="FL1077" s="9"/>
      <c r="FM1077" s="9"/>
      <c r="FN1077" s="9"/>
      <c r="FO1077" s="9"/>
      <c r="FP1077" s="9"/>
      <c r="FQ1077" s="9"/>
      <c r="FR1077" s="9"/>
      <c r="FS1077" s="9"/>
      <c r="FT1077" s="9"/>
      <c r="FU1077" s="9"/>
      <c r="FV1077" s="9"/>
      <c r="FW1077" s="9"/>
      <c r="FX1077" s="9"/>
      <c r="FY1077" s="9"/>
      <c r="FZ1077" s="9"/>
      <c r="GA1077" s="9"/>
      <c r="GB1077" s="9"/>
      <c r="GC1077" s="9"/>
      <c r="GD1077" s="9"/>
      <c r="GE1077" s="9"/>
      <c r="GF1077" s="9"/>
      <c r="GG1077" s="9"/>
      <c r="GH1077" s="9"/>
      <c r="GI1077" s="9"/>
      <c r="GJ1077" s="9"/>
      <c r="GK1077" s="9"/>
      <c r="GL1077" s="9"/>
      <c r="GM1077" s="9"/>
      <c r="GN1077" s="9"/>
      <c r="GO1077" s="9"/>
      <c r="GP1077" s="9"/>
      <c r="GQ1077" s="9"/>
      <c r="GR1077" s="9"/>
      <c r="GS1077" s="9"/>
      <c r="GT1077" s="9"/>
      <c r="GU1077" s="9"/>
      <c r="GV1077" s="9"/>
      <c r="GW1077" s="9"/>
      <c r="GX1077" s="9"/>
      <c r="GY1077" s="9"/>
      <c r="GZ1077" s="9"/>
      <c r="HA1077" s="9"/>
      <c r="HB1077" s="9"/>
      <c r="HC1077" s="9"/>
      <c r="HD1077" s="9"/>
      <c r="HE1077" s="9"/>
      <c r="HF1077" s="9"/>
      <c r="HG1077" s="9"/>
      <c r="HH1077" s="9"/>
      <c r="HI1077" s="9"/>
      <c r="HJ1077" s="9"/>
      <c r="HK1077" s="9"/>
      <c r="HL1077" s="9"/>
      <c r="HM1077" s="9"/>
      <c r="HY1077" s="58"/>
    </row>
    <row r="1078" spans="140:233">
      <c r="EJ1078" s="9"/>
      <c r="EK1078" s="9"/>
      <c r="EL1078" s="9"/>
      <c r="EM1078" s="9"/>
      <c r="EN1078" s="9"/>
      <c r="EO1078" s="9"/>
      <c r="EP1078" s="9"/>
      <c r="EQ1078" s="9"/>
      <c r="ER1078" s="9"/>
      <c r="ES1078" s="9"/>
      <c r="ET1078" s="9"/>
      <c r="EU1078" s="9"/>
      <c r="EV1078" s="9"/>
      <c r="EW1078" s="9"/>
      <c r="EX1078" s="9"/>
      <c r="EY1078" s="9"/>
      <c r="EZ1078" s="9"/>
      <c r="FA1078" s="9"/>
      <c r="FB1078" s="9"/>
      <c r="FC1078" s="9"/>
      <c r="FD1078" s="9"/>
      <c r="FE1078" s="9"/>
      <c r="FF1078" s="9"/>
      <c r="FG1078" s="9"/>
      <c r="FH1078" s="9"/>
      <c r="FI1078" s="9"/>
      <c r="FJ1078" s="9"/>
      <c r="FK1078" s="9"/>
      <c r="FL1078" s="9"/>
      <c r="FM1078" s="9"/>
      <c r="FN1078" s="9"/>
      <c r="FO1078" s="9"/>
      <c r="FP1078" s="9"/>
      <c r="FQ1078" s="9"/>
      <c r="FR1078" s="9"/>
      <c r="FS1078" s="9"/>
      <c r="FT1078" s="9"/>
      <c r="FU1078" s="9"/>
      <c r="FV1078" s="9"/>
      <c r="FW1078" s="9"/>
      <c r="FX1078" s="9"/>
      <c r="FY1078" s="9"/>
      <c r="FZ1078" s="9"/>
      <c r="GA1078" s="9"/>
      <c r="GB1078" s="9"/>
      <c r="GC1078" s="9"/>
      <c r="GD1078" s="9"/>
      <c r="GE1078" s="9"/>
      <c r="GF1078" s="9"/>
      <c r="GG1078" s="9"/>
      <c r="GH1078" s="9"/>
      <c r="GI1078" s="9"/>
      <c r="GJ1078" s="9"/>
      <c r="GK1078" s="9"/>
      <c r="GL1078" s="9"/>
      <c r="GM1078" s="9"/>
      <c r="GN1078" s="9"/>
      <c r="GO1078" s="9"/>
      <c r="GP1078" s="9"/>
      <c r="GQ1078" s="9"/>
      <c r="GR1078" s="9"/>
      <c r="GS1078" s="9"/>
      <c r="GT1078" s="9"/>
      <c r="GU1078" s="9"/>
      <c r="GV1078" s="9"/>
      <c r="GW1078" s="9"/>
      <c r="GX1078" s="9"/>
      <c r="GY1078" s="9"/>
      <c r="GZ1078" s="9"/>
      <c r="HA1078" s="9"/>
      <c r="HB1078" s="9"/>
      <c r="HC1078" s="9"/>
      <c r="HD1078" s="9"/>
      <c r="HE1078" s="9"/>
      <c r="HF1078" s="9"/>
      <c r="HG1078" s="9"/>
      <c r="HH1078" s="9"/>
      <c r="HI1078" s="9"/>
      <c r="HJ1078" s="9"/>
      <c r="HK1078" s="9"/>
      <c r="HL1078" s="9"/>
      <c r="HM1078" s="9"/>
      <c r="HY1078" s="58"/>
    </row>
    <row r="1079" spans="140:233">
      <c r="EJ1079" s="9"/>
      <c r="EK1079" s="9"/>
      <c r="EL1079" s="9"/>
      <c r="EM1079" s="9"/>
      <c r="EN1079" s="9"/>
      <c r="EO1079" s="9"/>
      <c r="EP1079" s="9"/>
      <c r="EQ1079" s="9"/>
      <c r="ER1079" s="9"/>
      <c r="ES1079" s="9"/>
      <c r="ET1079" s="9"/>
      <c r="EU1079" s="9"/>
      <c r="EV1079" s="9"/>
      <c r="EW1079" s="9"/>
      <c r="EX1079" s="9"/>
      <c r="EY1079" s="9"/>
      <c r="EZ1079" s="9"/>
      <c r="FA1079" s="9"/>
      <c r="FB1079" s="9"/>
      <c r="FC1079" s="9"/>
      <c r="FD1079" s="9"/>
      <c r="FE1079" s="9"/>
      <c r="FF1079" s="9"/>
      <c r="FG1079" s="9"/>
      <c r="FH1079" s="9"/>
      <c r="FI1079" s="9"/>
      <c r="FJ1079" s="9"/>
      <c r="FK1079" s="9"/>
      <c r="FL1079" s="9"/>
      <c r="FM1079" s="9"/>
      <c r="FN1079" s="9"/>
      <c r="FO1079" s="9"/>
      <c r="FP1079" s="9"/>
      <c r="FQ1079" s="9"/>
      <c r="FR1079" s="9"/>
      <c r="FS1079" s="9"/>
      <c r="FT1079" s="9"/>
      <c r="FU1079" s="9"/>
      <c r="FV1079" s="9"/>
      <c r="FW1079" s="9"/>
      <c r="FX1079" s="9"/>
      <c r="FY1079" s="9"/>
      <c r="FZ1079" s="9"/>
      <c r="GA1079" s="9"/>
      <c r="GB1079" s="9"/>
      <c r="GC1079" s="9"/>
      <c r="GD1079" s="9"/>
      <c r="GE1079" s="9"/>
      <c r="GF1079" s="9"/>
      <c r="GG1079" s="9"/>
      <c r="GH1079" s="9"/>
      <c r="GI1079" s="9"/>
      <c r="GJ1079" s="9"/>
      <c r="GK1079" s="9"/>
      <c r="GL1079" s="9"/>
      <c r="GM1079" s="9"/>
      <c r="GN1079" s="9"/>
      <c r="GO1079" s="9"/>
      <c r="GP1079" s="9"/>
      <c r="GQ1079" s="9"/>
      <c r="GR1079" s="9"/>
      <c r="GS1079" s="9"/>
      <c r="GT1079" s="9"/>
      <c r="GU1079" s="9"/>
      <c r="GV1079" s="9"/>
      <c r="GW1079" s="9"/>
      <c r="GX1079" s="9"/>
      <c r="GY1079" s="9"/>
      <c r="GZ1079" s="9"/>
      <c r="HA1079" s="9"/>
      <c r="HB1079" s="9"/>
      <c r="HC1079" s="9"/>
      <c r="HD1079" s="9"/>
      <c r="HE1079" s="9"/>
      <c r="HF1079" s="9"/>
      <c r="HG1079" s="9"/>
      <c r="HH1079" s="9"/>
      <c r="HI1079" s="9"/>
      <c r="HJ1079" s="9"/>
      <c r="HK1079" s="9"/>
      <c r="HL1079" s="9"/>
      <c r="HM1079" s="9"/>
      <c r="HY1079" s="58"/>
    </row>
    <row r="1080" spans="140:233">
      <c r="EJ1080" s="9"/>
      <c r="EK1080" s="9"/>
      <c r="EL1080" s="9"/>
      <c r="EM1080" s="9"/>
      <c r="EN1080" s="9"/>
      <c r="EO1080" s="9"/>
      <c r="EP1080" s="9"/>
      <c r="EQ1080" s="9"/>
      <c r="ER1080" s="9"/>
      <c r="ES1080" s="9"/>
      <c r="ET1080" s="9"/>
      <c r="EU1080" s="9"/>
      <c r="EV1080" s="9"/>
      <c r="EW1080" s="9"/>
      <c r="EX1080" s="9"/>
      <c r="EY1080" s="9"/>
      <c r="EZ1080" s="9"/>
      <c r="FA1080" s="9"/>
      <c r="FB1080" s="9"/>
      <c r="FC1080" s="9"/>
      <c r="FD1080" s="9"/>
      <c r="FE1080" s="9"/>
      <c r="FF1080" s="9"/>
      <c r="FG1080" s="9"/>
      <c r="FH1080" s="9"/>
      <c r="FI1080" s="9"/>
      <c r="FJ1080" s="9"/>
      <c r="FK1080" s="9"/>
      <c r="FL1080" s="9"/>
      <c r="FM1080" s="9"/>
      <c r="FN1080" s="9"/>
      <c r="FO1080" s="9"/>
      <c r="FP1080" s="9"/>
      <c r="FQ1080" s="9"/>
      <c r="FR1080" s="9"/>
      <c r="FS1080" s="9"/>
      <c r="FT1080" s="9"/>
      <c r="FU1080" s="9"/>
      <c r="FV1080" s="9"/>
      <c r="FW1080" s="9"/>
      <c r="FX1080" s="9"/>
      <c r="FY1080" s="9"/>
      <c r="FZ1080" s="9"/>
      <c r="GA1080" s="9"/>
      <c r="GB1080" s="9"/>
      <c r="GC1080" s="9"/>
      <c r="GD1080" s="9"/>
      <c r="GE1080" s="9"/>
      <c r="GF1080" s="9"/>
      <c r="GG1080" s="9"/>
      <c r="GH1080" s="9"/>
      <c r="GI1080" s="9"/>
      <c r="GJ1080" s="9"/>
      <c r="GK1080" s="9"/>
      <c r="GL1080" s="9"/>
      <c r="GM1080" s="9"/>
      <c r="GN1080" s="9"/>
      <c r="GO1080" s="9"/>
      <c r="GP1080" s="9"/>
      <c r="GQ1080" s="9"/>
      <c r="GR1080" s="9"/>
      <c r="GS1080" s="9"/>
      <c r="GT1080" s="9"/>
      <c r="GU1080" s="9"/>
      <c r="GV1080" s="9"/>
      <c r="GW1080" s="9"/>
      <c r="GX1080" s="9"/>
      <c r="GY1080" s="9"/>
      <c r="GZ1080" s="9"/>
      <c r="HA1080" s="9"/>
      <c r="HB1080" s="9"/>
      <c r="HC1080" s="9"/>
      <c r="HD1080" s="9"/>
      <c r="HE1080" s="9"/>
      <c r="HF1080" s="9"/>
      <c r="HG1080" s="9"/>
      <c r="HH1080" s="9"/>
      <c r="HI1080" s="9"/>
      <c r="HJ1080" s="9"/>
      <c r="HK1080" s="9"/>
      <c r="HL1080" s="9"/>
      <c r="HM1080" s="9"/>
      <c r="HY1080" s="58"/>
    </row>
    <row r="1081" spans="140:233">
      <c r="EJ1081" s="9"/>
      <c r="EK1081" s="9"/>
      <c r="EL1081" s="9"/>
      <c r="EM1081" s="9"/>
      <c r="EN1081" s="9"/>
      <c r="EO1081" s="9"/>
      <c r="EP1081" s="9"/>
      <c r="EQ1081" s="9"/>
      <c r="ER1081" s="9"/>
      <c r="ES1081" s="9"/>
      <c r="ET1081" s="9"/>
      <c r="EU1081" s="9"/>
      <c r="EV1081" s="9"/>
      <c r="EW1081" s="9"/>
      <c r="EX1081" s="9"/>
      <c r="EY1081" s="9"/>
      <c r="EZ1081" s="9"/>
      <c r="FA1081" s="9"/>
      <c r="FB1081" s="9"/>
      <c r="FC1081" s="9"/>
      <c r="FD1081" s="9"/>
      <c r="FE1081" s="9"/>
      <c r="FF1081" s="9"/>
      <c r="FG1081" s="9"/>
      <c r="FH1081" s="9"/>
      <c r="FI1081" s="9"/>
      <c r="FJ1081" s="9"/>
      <c r="FK1081" s="9"/>
      <c r="FL1081" s="9"/>
      <c r="FM1081" s="9"/>
      <c r="FN1081" s="9"/>
      <c r="FO1081" s="9"/>
      <c r="FP1081" s="9"/>
      <c r="FQ1081" s="9"/>
      <c r="FR1081" s="9"/>
      <c r="FS1081" s="9"/>
      <c r="FT1081" s="9"/>
      <c r="FU1081" s="9"/>
      <c r="FV1081" s="9"/>
      <c r="FW1081" s="9"/>
      <c r="FX1081" s="9"/>
      <c r="FY1081" s="9"/>
      <c r="FZ1081" s="9"/>
      <c r="GA1081" s="9"/>
      <c r="GB1081" s="9"/>
      <c r="GC1081" s="9"/>
      <c r="GD1081" s="9"/>
      <c r="GE1081" s="9"/>
      <c r="GF1081" s="9"/>
      <c r="GG1081" s="9"/>
      <c r="GH1081" s="9"/>
      <c r="GI1081" s="9"/>
      <c r="GJ1081" s="9"/>
      <c r="GK1081" s="9"/>
      <c r="GL1081" s="9"/>
      <c r="GM1081" s="9"/>
      <c r="GN1081" s="9"/>
      <c r="GO1081" s="9"/>
      <c r="GP1081" s="9"/>
      <c r="GQ1081" s="9"/>
      <c r="GR1081" s="9"/>
      <c r="GS1081" s="9"/>
      <c r="GT1081" s="9"/>
      <c r="GU1081" s="9"/>
      <c r="GV1081" s="9"/>
      <c r="GW1081" s="9"/>
      <c r="GX1081" s="9"/>
      <c r="GY1081" s="9"/>
      <c r="GZ1081" s="9"/>
      <c r="HA1081" s="9"/>
      <c r="HB1081" s="9"/>
      <c r="HC1081" s="9"/>
      <c r="HD1081" s="9"/>
      <c r="HE1081" s="9"/>
      <c r="HF1081" s="9"/>
      <c r="HG1081" s="9"/>
      <c r="HH1081" s="9"/>
      <c r="HI1081" s="9"/>
      <c r="HJ1081" s="9"/>
      <c r="HK1081" s="9"/>
      <c r="HL1081" s="9"/>
      <c r="HM1081" s="9"/>
      <c r="HY1081" s="58"/>
    </row>
    <row r="1082" spans="140:233">
      <c r="EJ1082" s="9"/>
      <c r="EK1082" s="9"/>
      <c r="EL1082" s="9"/>
      <c r="EM1082" s="9"/>
      <c r="EN1082" s="9"/>
      <c r="EO1082" s="9"/>
      <c r="EP1082" s="9"/>
      <c r="EQ1082" s="9"/>
      <c r="ER1082" s="9"/>
      <c r="ES1082" s="9"/>
      <c r="ET1082" s="9"/>
      <c r="EU1082" s="9"/>
      <c r="EV1082" s="9"/>
      <c r="EW1082" s="9"/>
      <c r="EX1082" s="9"/>
      <c r="EY1082" s="9"/>
      <c r="EZ1082" s="9"/>
      <c r="FA1082" s="9"/>
      <c r="FB1082" s="9"/>
      <c r="FC1082" s="9"/>
      <c r="FD1082" s="9"/>
      <c r="FE1082" s="9"/>
      <c r="FF1082" s="9"/>
      <c r="FG1082" s="9"/>
      <c r="FH1082" s="9"/>
      <c r="FI1082" s="9"/>
      <c r="FJ1082" s="9"/>
      <c r="FK1082" s="9"/>
      <c r="FL1082" s="9"/>
      <c r="FM1082" s="9"/>
      <c r="FN1082" s="9"/>
      <c r="FO1082" s="9"/>
      <c r="FP1082" s="9"/>
      <c r="FQ1082" s="9"/>
      <c r="FR1082" s="9"/>
      <c r="FS1082" s="9"/>
      <c r="FT1082" s="9"/>
      <c r="FU1082" s="9"/>
      <c r="FV1082" s="9"/>
      <c r="FW1082" s="9"/>
      <c r="FX1082" s="9"/>
      <c r="FY1082" s="9"/>
      <c r="FZ1082" s="9"/>
      <c r="GA1082" s="9"/>
      <c r="GB1082" s="9"/>
      <c r="GC1082" s="9"/>
      <c r="GD1082" s="9"/>
      <c r="GE1082" s="9"/>
      <c r="GF1082" s="9"/>
      <c r="GG1082" s="9"/>
      <c r="GH1082" s="9"/>
      <c r="GI1082" s="9"/>
      <c r="GJ1082" s="9"/>
      <c r="GK1082" s="9"/>
      <c r="GL1082" s="9"/>
      <c r="GM1082" s="9"/>
      <c r="GN1082" s="9"/>
      <c r="GO1082" s="9"/>
      <c r="GP1082" s="9"/>
      <c r="GQ1082" s="9"/>
      <c r="GR1082" s="9"/>
      <c r="GS1082" s="9"/>
      <c r="GT1082" s="9"/>
      <c r="GU1082" s="9"/>
      <c r="GV1082" s="9"/>
      <c r="GW1082" s="9"/>
      <c r="GX1082" s="9"/>
      <c r="GY1082" s="9"/>
      <c r="GZ1082" s="9"/>
      <c r="HA1082" s="9"/>
      <c r="HB1082" s="9"/>
      <c r="HC1082" s="9"/>
      <c r="HD1082" s="9"/>
      <c r="HE1082" s="9"/>
      <c r="HF1082" s="9"/>
      <c r="HG1082" s="9"/>
      <c r="HH1082" s="9"/>
      <c r="HI1082" s="9"/>
      <c r="HJ1082" s="9"/>
      <c r="HK1082" s="9"/>
      <c r="HL1082" s="9"/>
      <c r="HM1082" s="9"/>
      <c r="HY1082" s="58"/>
    </row>
    <row r="1083" spans="140:233">
      <c r="EJ1083" s="9"/>
      <c r="EK1083" s="9"/>
      <c r="EL1083" s="9"/>
      <c r="EM1083" s="9"/>
      <c r="EN1083" s="9"/>
      <c r="EO1083" s="9"/>
      <c r="EP1083" s="9"/>
      <c r="EQ1083" s="9"/>
      <c r="ER1083" s="9"/>
      <c r="ES1083" s="9"/>
      <c r="ET1083" s="9"/>
      <c r="EU1083" s="9"/>
      <c r="EV1083" s="9"/>
      <c r="EW1083" s="9"/>
      <c r="EX1083" s="9"/>
      <c r="EY1083" s="9"/>
      <c r="EZ1083" s="9"/>
      <c r="FA1083" s="9"/>
      <c r="FB1083" s="9"/>
      <c r="FC1083" s="9"/>
      <c r="FD1083" s="9"/>
      <c r="FE1083" s="9"/>
      <c r="FF1083" s="9"/>
      <c r="FG1083" s="9"/>
      <c r="FH1083" s="9"/>
      <c r="FI1083" s="9"/>
      <c r="FJ1083" s="9"/>
      <c r="FK1083" s="9"/>
      <c r="FL1083" s="9"/>
      <c r="FM1083" s="9"/>
      <c r="FN1083" s="9"/>
      <c r="FO1083" s="9"/>
      <c r="FP1083" s="9"/>
      <c r="FQ1083" s="9"/>
      <c r="FR1083" s="9"/>
      <c r="FS1083" s="9"/>
      <c r="FT1083" s="9"/>
      <c r="FU1083" s="9"/>
      <c r="FV1083" s="9"/>
      <c r="FW1083" s="9"/>
      <c r="FX1083" s="9"/>
      <c r="FY1083" s="9"/>
      <c r="FZ1083" s="9"/>
      <c r="GA1083" s="9"/>
      <c r="GB1083" s="9"/>
      <c r="GC1083" s="9"/>
      <c r="GD1083" s="9"/>
      <c r="GE1083" s="9"/>
      <c r="GF1083" s="9"/>
      <c r="GG1083" s="9"/>
      <c r="GH1083" s="9"/>
      <c r="GI1083" s="9"/>
      <c r="GJ1083" s="9"/>
      <c r="GK1083" s="9"/>
      <c r="GL1083" s="9"/>
      <c r="GM1083" s="9"/>
      <c r="GN1083" s="9"/>
      <c r="GO1083" s="9"/>
      <c r="GP1083" s="9"/>
      <c r="GQ1083" s="9"/>
      <c r="GR1083" s="9"/>
      <c r="GS1083" s="9"/>
      <c r="GT1083" s="9"/>
      <c r="GU1083" s="9"/>
      <c r="GV1083" s="9"/>
      <c r="GW1083" s="9"/>
      <c r="GX1083" s="9"/>
      <c r="GY1083" s="9"/>
      <c r="GZ1083" s="9"/>
      <c r="HA1083" s="9"/>
      <c r="HB1083" s="9"/>
      <c r="HC1083" s="9"/>
      <c r="HD1083" s="9"/>
      <c r="HE1083" s="9"/>
      <c r="HF1083" s="9"/>
      <c r="HG1083" s="9"/>
      <c r="HH1083" s="9"/>
      <c r="HI1083" s="9"/>
      <c r="HJ1083" s="9"/>
      <c r="HK1083" s="9"/>
      <c r="HL1083" s="9"/>
      <c r="HM1083" s="9"/>
      <c r="HY1083" s="58"/>
    </row>
    <row r="1084" spans="140:233">
      <c r="EJ1084" s="9"/>
      <c r="EK1084" s="9"/>
      <c r="EL1084" s="9"/>
      <c r="EM1084" s="9"/>
      <c r="EN1084" s="9"/>
      <c r="EO1084" s="9"/>
      <c r="EP1084" s="9"/>
      <c r="EQ1084" s="9"/>
      <c r="ER1084" s="9"/>
      <c r="ES1084" s="9"/>
      <c r="ET1084" s="9"/>
      <c r="EU1084" s="9"/>
      <c r="EV1084" s="9"/>
      <c r="EW1084" s="9"/>
      <c r="EX1084" s="9"/>
      <c r="EY1084" s="9"/>
      <c r="EZ1084" s="9"/>
      <c r="FA1084" s="9"/>
      <c r="FB1084" s="9"/>
      <c r="FC1084" s="9"/>
      <c r="FD1084" s="9"/>
      <c r="FE1084" s="9"/>
      <c r="FF1084" s="9"/>
      <c r="FG1084" s="9"/>
      <c r="FH1084" s="9"/>
      <c r="FI1084" s="9"/>
      <c r="FJ1084" s="9"/>
      <c r="FK1084" s="9"/>
      <c r="FL1084" s="9"/>
      <c r="FM1084" s="9"/>
      <c r="FN1084" s="9"/>
      <c r="FO1084" s="9"/>
      <c r="FP1084" s="9"/>
      <c r="FQ1084" s="9"/>
      <c r="FR1084" s="9"/>
      <c r="FS1084" s="9"/>
      <c r="FT1084" s="9"/>
      <c r="FU1084" s="9"/>
      <c r="FV1084" s="9"/>
      <c r="FW1084" s="9"/>
      <c r="FX1084" s="9"/>
      <c r="FY1084" s="9"/>
      <c r="FZ1084" s="9"/>
      <c r="GA1084" s="9"/>
      <c r="GB1084" s="9"/>
      <c r="GC1084" s="9"/>
      <c r="GD1084" s="9"/>
      <c r="GE1084" s="9"/>
      <c r="GF1084" s="9"/>
      <c r="GG1084" s="9"/>
      <c r="GH1084" s="9"/>
      <c r="GI1084" s="9"/>
      <c r="GJ1084" s="9"/>
      <c r="GK1084" s="9"/>
      <c r="GL1084" s="9"/>
      <c r="GM1084" s="9"/>
      <c r="GN1084" s="9"/>
      <c r="GO1084" s="9"/>
      <c r="GP1084" s="9"/>
      <c r="GQ1084" s="9"/>
      <c r="GR1084" s="9"/>
      <c r="GS1084" s="9"/>
      <c r="GT1084" s="9"/>
      <c r="GU1084" s="9"/>
      <c r="GV1084" s="9"/>
      <c r="GW1084" s="9"/>
      <c r="GX1084" s="9"/>
      <c r="GY1084" s="9"/>
      <c r="GZ1084" s="9"/>
      <c r="HA1084" s="9"/>
      <c r="HB1084" s="9"/>
      <c r="HC1084" s="9"/>
      <c r="HD1084" s="9"/>
      <c r="HE1084" s="9"/>
      <c r="HF1084" s="9"/>
      <c r="HG1084" s="9"/>
      <c r="HH1084" s="9"/>
      <c r="HI1084" s="9"/>
      <c r="HJ1084" s="9"/>
      <c r="HK1084" s="9"/>
      <c r="HL1084" s="9"/>
      <c r="HM1084" s="9"/>
      <c r="HY1084" s="58"/>
    </row>
    <row r="1085" spans="140:233">
      <c r="EJ1085" s="9"/>
      <c r="EK1085" s="9"/>
      <c r="EL1085" s="9"/>
      <c r="EM1085" s="9"/>
      <c r="EN1085" s="9"/>
      <c r="EO1085" s="9"/>
      <c r="EP1085" s="9"/>
      <c r="EQ1085" s="9"/>
      <c r="ER1085" s="9"/>
      <c r="ES1085" s="9"/>
      <c r="ET1085" s="9"/>
      <c r="EU1085" s="9"/>
      <c r="EV1085" s="9"/>
      <c r="EW1085" s="9"/>
      <c r="EX1085" s="9"/>
      <c r="EY1085" s="9"/>
      <c r="EZ1085" s="9"/>
      <c r="FA1085" s="9"/>
      <c r="FB1085" s="9"/>
      <c r="FC1085" s="9"/>
      <c r="FD1085" s="9"/>
      <c r="FE1085" s="9"/>
      <c r="FF1085" s="9"/>
      <c r="FG1085" s="9"/>
      <c r="FH1085" s="9"/>
      <c r="FI1085" s="9"/>
      <c r="FJ1085" s="9"/>
      <c r="FK1085" s="9"/>
      <c r="FL1085" s="9"/>
      <c r="FM1085" s="9"/>
      <c r="FN1085" s="9"/>
      <c r="FO1085" s="9"/>
      <c r="FP1085" s="9"/>
      <c r="FQ1085" s="9"/>
      <c r="FR1085" s="9"/>
      <c r="FS1085" s="9"/>
      <c r="FT1085" s="9"/>
      <c r="FU1085" s="9"/>
      <c r="FV1085" s="9"/>
      <c r="FW1085" s="9"/>
      <c r="FX1085" s="9"/>
      <c r="FY1085" s="9"/>
      <c r="FZ1085" s="9"/>
      <c r="GA1085" s="9"/>
      <c r="GB1085" s="9"/>
      <c r="GC1085" s="9"/>
      <c r="GD1085" s="9"/>
      <c r="GE1085" s="9"/>
      <c r="GF1085" s="9"/>
      <c r="GG1085" s="9"/>
      <c r="GH1085" s="9"/>
      <c r="GI1085" s="9"/>
      <c r="GJ1085" s="9"/>
      <c r="GK1085" s="9"/>
      <c r="GL1085" s="9"/>
      <c r="GM1085" s="9"/>
      <c r="GN1085" s="9"/>
      <c r="GO1085" s="9"/>
      <c r="GP1085" s="9"/>
      <c r="GQ1085" s="9"/>
      <c r="GR1085" s="9"/>
      <c r="GS1085" s="9"/>
      <c r="GT1085" s="9"/>
      <c r="GU1085" s="9"/>
      <c r="GV1085" s="9"/>
      <c r="GW1085" s="9"/>
      <c r="GX1085" s="9"/>
      <c r="GY1085" s="9"/>
      <c r="GZ1085" s="9"/>
      <c r="HA1085" s="9"/>
      <c r="HB1085" s="9"/>
      <c r="HC1085" s="9"/>
      <c r="HD1085" s="9"/>
      <c r="HE1085" s="9"/>
      <c r="HF1085" s="9"/>
      <c r="HG1085" s="9"/>
      <c r="HH1085" s="9"/>
      <c r="HI1085" s="9"/>
      <c r="HJ1085" s="9"/>
      <c r="HK1085" s="9"/>
      <c r="HL1085" s="9"/>
      <c r="HM1085" s="9"/>
      <c r="HY1085" s="58"/>
    </row>
    <row r="1086" spans="140:233">
      <c r="EJ1086" s="9"/>
      <c r="EK1086" s="9"/>
      <c r="EL1086" s="9"/>
      <c r="EM1086" s="9"/>
      <c r="EN1086" s="9"/>
      <c r="EO1086" s="9"/>
      <c r="EP1086" s="9"/>
      <c r="EQ1086" s="9"/>
      <c r="ER1086" s="9"/>
      <c r="ES1086" s="9"/>
      <c r="ET1086" s="9"/>
      <c r="EU1086" s="9"/>
      <c r="EV1086" s="9"/>
      <c r="EW1086" s="9"/>
      <c r="EX1086" s="9"/>
      <c r="EY1086" s="9"/>
      <c r="EZ1086" s="9"/>
      <c r="FA1086" s="9"/>
      <c r="FB1086" s="9"/>
      <c r="FC1086" s="9"/>
      <c r="FD1086" s="9"/>
      <c r="FE1086" s="9"/>
      <c r="FF1086" s="9"/>
      <c r="FG1086" s="9"/>
      <c r="FH1086" s="9"/>
      <c r="FI1086" s="9"/>
      <c r="FJ1086" s="9"/>
      <c r="FK1086" s="9"/>
      <c r="FL1086" s="9"/>
      <c r="FM1086" s="9"/>
      <c r="FN1086" s="9"/>
      <c r="FO1086" s="9"/>
      <c r="FP1086" s="9"/>
      <c r="FQ1086" s="9"/>
      <c r="FR1086" s="9"/>
      <c r="FS1086" s="9"/>
      <c r="FT1086" s="9"/>
      <c r="FU1086" s="9"/>
      <c r="FV1086" s="9"/>
      <c r="FW1086" s="9"/>
      <c r="FX1086" s="9"/>
      <c r="FY1086" s="9"/>
      <c r="FZ1086" s="9"/>
      <c r="GA1086" s="9"/>
      <c r="GB1086" s="9"/>
      <c r="GC1086" s="9"/>
      <c r="GD1086" s="9"/>
      <c r="GE1086" s="9"/>
      <c r="GF1086" s="9"/>
      <c r="GG1086" s="9"/>
      <c r="GH1086" s="9"/>
      <c r="GI1086" s="9"/>
      <c r="GJ1086" s="9"/>
      <c r="GK1086" s="9"/>
      <c r="GL1086" s="9"/>
      <c r="GM1086" s="9"/>
      <c r="GN1086" s="9"/>
      <c r="GO1086" s="9"/>
      <c r="GP1086" s="9"/>
      <c r="GQ1086" s="9"/>
      <c r="GR1086" s="9"/>
      <c r="GS1086" s="9"/>
      <c r="GT1086" s="9"/>
      <c r="GU1086" s="9"/>
      <c r="GV1086" s="9"/>
      <c r="GW1086" s="9"/>
      <c r="GX1086" s="9"/>
      <c r="GY1086" s="9"/>
      <c r="GZ1086" s="9"/>
      <c r="HA1086" s="9"/>
      <c r="HB1086" s="9"/>
      <c r="HC1086" s="9"/>
      <c r="HD1086" s="9"/>
      <c r="HE1086" s="9"/>
      <c r="HF1086" s="9"/>
      <c r="HG1086" s="9"/>
      <c r="HH1086" s="9"/>
      <c r="HI1086" s="9"/>
      <c r="HJ1086" s="9"/>
      <c r="HK1086" s="9"/>
      <c r="HL1086" s="9"/>
      <c r="HM1086" s="9"/>
      <c r="HY1086" s="58"/>
    </row>
    <row r="1087" spans="140:233">
      <c r="EJ1087" s="9"/>
      <c r="EK1087" s="9"/>
      <c r="EL1087" s="9"/>
      <c r="EM1087" s="9"/>
      <c r="EN1087" s="9"/>
      <c r="EO1087" s="9"/>
      <c r="EP1087" s="9"/>
      <c r="EQ1087" s="9"/>
      <c r="ER1087" s="9"/>
      <c r="ES1087" s="9"/>
      <c r="ET1087" s="9"/>
      <c r="EU1087" s="9"/>
      <c r="EV1087" s="9"/>
      <c r="EW1087" s="9"/>
      <c r="EX1087" s="9"/>
      <c r="EY1087" s="9"/>
      <c r="EZ1087" s="9"/>
      <c r="FA1087" s="9"/>
      <c r="FB1087" s="9"/>
      <c r="FC1087" s="9"/>
      <c r="FD1087" s="9"/>
      <c r="FE1087" s="9"/>
      <c r="FF1087" s="9"/>
      <c r="FG1087" s="9"/>
      <c r="FH1087" s="9"/>
      <c r="FI1087" s="9"/>
      <c r="FJ1087" s="9"/>
      <c r="FK1087" s="9"/>
      <c r="FL1087" s="9"/>
      <c r="FM1087" s="9"/>
      <c r="FN1087" s="9"/>
      <c r="FO1087" s="9"/>
      <c r="FP1087" s="9"/>
      <c r="FQ1087" s="9"/>
      <c r="FR1087" s="9"/>
      <c r="FS1087" s="9"/>
      <c r="FT1087" s="9"/>
      <c r="FU1087" s="9"/>
      <c r="FV1087" s="9"/>
      <c r="FW1087" s="9"/>
      <c r="FX1087" s="9"/>
      <c r="FY1087" s="9"/>
      <c r="FZ1087" s="9"/>
      <c r="GA1087" s="9"/>
      <c r="GB1087" s="9"/>
      <c r="GC1087" s="9"/>
      <c r="GD1087" s="9"/>
      <c r="GE1087" s="9"/>
      <c r="GF1087" s="9"/>
      <c r="GG1087" s="9"/>
      <c r="GH1087" s="9"/>
      <c r="GI1087" s="9"/>
      <c r="GJ1087" s="9"/>
      <c r="GK1087" s="9"/>
      <c r="GL1087" s="9"/>
      <c r="GM1087" s="9"/>
      <c r="GN1087" s="9"/>
      <c r="GO1087" s="9"/>
      <c r="GP1087" s="9"/>
      <c r="GQ1087" s="9"/>
      <c r="GR1087" s="9"/>
      <c r="GS1087" s="9"/>
      <c r="GT1087" s="9"/>
      <c r="GU1087" s="9"/>
      <c r="GV1087" s="9"/>
      <c r="GW1087" s="9"/>
      <c r="GX1087" s="9"/>
      <c r="GY1087" s="9"/>
      <c r="GZ1087" s="9"/>
      <c r="HA1087" s="9"/>
      <c r="HB1087" s="9"/>
      <c r="HC1087" s="9"/>
      <c r="HD1087" s="9"/>
      <c r="HE1087" s="9"/>
      <c r="HF1087" s="9"/>
      <c r="HG1087" s="9"/>
      <c r="HH1087" s="9"/>
      <c r="HI1087" s="9"/>
      <c r="HJ1087" s="9"/>
      <c r="HK1087" s="9"/>
      <c r="HL1087" s="9"/>
      <c r="HM1087" s="9"/>
      <c r="HY1087" s="58"/>
    </row>
    <row r="1088" spans="140:233">
      <c r="EJ1088" s="9"/>
      <c r="EK1088" s="9"/>
      <c r="EL1088" s="9"/>
      <c r="EM1088" s="9"/>
      <c r="EN1088" s="9"/>
      <c r="EO1088" s="9"/>
      <c r="EP1088" s="9"/>
      <c r="EQ1088" s="9"/>
      <c r="ER1088" s="9"/>
      <c r="ES1088" s="9"/>
      <c r="ET1088" s="9"/>
      <c r="EU1088" s="9"/>
      <c r="EV1088" s="9"/>
      <c r="EW1088" s="9"/>
      <c r="EX1088" s="9"/>
      <c r="EY1088" s="9"/>
      <c r="EZ1088" s="9"/>
      <c r="FA1088" s="9"/>
      <c r="FB1088" s="9"/>
      <c r="FC1088" s="9"/>
      <c r="FD1088" s="9"/>
      <c r="FE1088" s="9"/>
      <c r="FF1088" s="9"/>
      <c r="FG1088" s="9"/>
      <c r="FH1088" s="9"/>
      <c r="FI1088" s="9"/>
      <c r="FJ1088" s="9"/>
      <c r="FK1088" s="9"/>
      <c r="FL1088" s="9"/>
      <c r="FM1088" s="9"/>
      <c r="FN1088" s="9"/>
      <c r="FO1088" s="9"/>
      <c r="FP1088" s="9"/>
      <c r="FQ1088" s="9"/>
      <c r="FR1088" s="9"/>
      <c r="FS1088" s="9"/>
      <c r="FT1088" s="9"/>
      <c r="FU1088" s="9"/>
      <c r="FV1088" s="9"/>
      <c r="FW1088" s="9"/>
      <c r="FX1088" s="9"/>
      <c r="FY1088" s="9"/>
      <c r="FZ1088" s="9"/>
      <c r="GA1088" s="9"/>
      <c r="GB1088" s="9"/>
      <c r="GC1088" s="9"/>
      <c r="GD1088" s="9"/>
      <c r="GE1088" s="9"/>
      <c r="GF1088" s="9"/>
      <c r="GG1088" s="9"/>
      <c r="GH1088" s="9"/>
      <c r="GI1088" s="9"/>
      <c r="GJ1088" s="9"/>
      <c r="GK1088" s="9"/>
      <c r="GL1088" s="9"/>
      <c r="GM1088" s="9"/>
      <c r="GN1088" s="9"/>
      <c r="GO1088" s="9"/>
      <c r="GP1088" s="9"/>
      <c r="GQ1088" s="9"/>
      <c r="GR1088" s="9"/>
      <c r="GS1088" s="9"/>
      <c r="GT1088" s="9"/>
      <c r="GU1088" s="9"/>
      <c r="GV1088" s="9"/>
      <c r="GW1088" s="9"/>
      <c r="GX1088" s="9"/>
      <c r="GY1088" s="9"/>
      <c r="GZ1088" s="9"/>
      <c r="HA1088" s="9"/>
      <c r="HB1088" s="9"/>
      <c r="HC1088" s="9"/>
      <c r="HD1088" s="9"/>
      <c r="HE1088" s="9"/>
      <c r="HF1088" s="9"/>
      <c r="HG1088" s="9"/>
      <c r="HH1088" s="9"/>
      <c r="HI1088" s="9"/>
      <c r="HJ1088" s="9"/>
      <c r="HK1088" s="9"/>
      <c r="HL1088" s="9"/>
      <c r="HM1088" s="9"/>
      <c r="HY1088" s="58"/>
    </row>
    <row r="1089" spans="140:233">
      <c r="EJ1089" s="9"/>
      <c r="EK1089" s="9"/>
      <c r="EL1089" s="9"/>
      <c r="EM1089" s="9"/>
      <c r="EN1089" s="9"/>
      <c r="EO1089" s="9"/>
      <c r="EP1089" s="9"/>
      <c r="EQ1089" s="9"/>
      <c r="ER1089" s="9"/>
      <c r="ES1089" s="9"/>
      <c r="ET1089" s="9"/>
      <c r="EU1089" s="9"/>
      <c r="EV1089" s="9"/>
      <c r="EW1089" s="9"/>
      <c r="EX1089" s="9"/>
      <c r="EY1089" s="9"/>
      <c r="EZ1089" s="9"/>
      <c r="FA1089" s="9"/>
      <c r="FB1089" s="9"/>
      <c r="FC1089" s="9"/>
      <c r="FD1089" s="9"/>
      <c r="FE1089" s="9"/>
      <c r="FF1089" s="9"/>
      <c r="FG1089" s="9"/>
      <c r="FH1089" s="9"/>
      <c r="FI1089" s="9"/>
      <c r="FJ1089" s="9"/>
      <c r="FK1089" s="9"/>
      <c r="FL1089" s="9"/>
      <c r="FM1089" s="9"/>
      <c r="FN1089" s="9"/>
      <c r="FO1089" s="9"/>
      <c r="FP1089" s="9"/>
      <c r="FQ1089" s="9"/>
      <c r="FR1089" s="9"/>
      <c r="FS1089" s="9"/>
      <c r="FT1089" s="9"/>
      <c r="FU1089" s="9"/>
      <c r="FV1089" s="9"/>
      <c r="FW1089" s="9"/>
      <c r="FX1089" s="9"/>
      <c r="FY1089" s="9"/>
      <c r="FZ1089" s="9"/>
      <c r="GA1089" s="9"/>
      <c r="GB1089" s="9"/>
      <c r="GC1089" s="9"/>
      <c r="GD1089" s="9"/>
      <c r="GE1089" s="9"/>
      <c r="GF1089" s="9"/>
      <c r="GG1089" s="9"/>
      <c r="GH1089" s="9"/>
      <c r="GI1089" s="9"/>
      <c r="GJ1089" s="9"/>
      <c r="GK1089" s="9"/>
      <c r="GL1089" s="9"/>
      <c r="GM1089" s="9"/>
      <c r="GN1089" s="9"/>
      <c r="GO1089" s="9"/>
      <c r="GP1089" s="9"/>
      <c r="GQ1089" s="9"/>
      <c r="GR1089" s="9"/>
      <c r="GS1089" s="9"/>
      <c r="GT1089" s="9"/>
      <c r="GU1089" s="9"/>
      <c r="GV1089" s="9"/>
      <c r="GW1089" s="9"/>
      <c r="GX1089" s="9"/>
      <c r="GY1089" s="9"/>
      <c r="GZ1089" s="9"/>
      <c r="HA1089" s="9"/>
      <c r="HB1089" s="9"/>
      <c r="HC1089" s="9"/>
      <c r="HD1089" s="9"/>
      <c r="HE1089" s="9"/>
      <c r="HF1089" s="9"/>
      <c r="HG1089" s="9"/>
      <c r="HH1089" s="9"/>
      <c r="HI1089" s="9"/>
      <c r="HJ1089" s="9"/>
      <c r="HK1089" s="9"/>
      <c r="HL1089" s="9"/>
      <c r="HM1089" s="9"/>
      <c r="HY1089" s="58"/>
    </row>
    <row r="1090" spans="140:233">
      <c r="EJ1090" s="9"/>
      <c r="EK1090" s="9"/>
      <c r="EL1090" s="9"/>
      <c r="EM1090" s="9"/>
      <c r="EN1090" s="9"/>
      <c r="EO1090" s="9"/>
      <c r="EP1090" s="9"/>
      <c r="EQ1090" s="9"/>
      <c r="ER1090" s="9"/>
      <c r="ES1090" s="9"/>
      <c r="ET1090" s="9"/>
      <c r="EU1090" s="9"/>
      <c r="EV1090" s="9"/>
      <c r="EW1090" s="9"/>
      <c r="EX1090" s="9"/>
      <c r="EY1090" s="9"/>
      <c r="EZ1090" s="9"/>
      <c r="FA1090" s="9"/>
      <c r="FB1090" s="9"/>
      <c r="FC1090" s="9"/>
      <c r="FD1090" s="9"/>
      <c r="FE1090" s="9"/>
      <c r="FF1090" s="9"/>
      <c r="FG1090" s="9"/>
      <c r="FH1090" s="9"/>
      <c r="FI1090" s="9"/>
      <c r="FJ1090" s="9"/>
      <c r="FK1090" s="9"/>
      <c r="FL1090" s="9"/>
      <c r="FM1090" s="9"/>
      <c r="FN1090" s="9"/>
      <c r="FO1090" s="9"/>
      <c r="FP1090" s="9"/>
      <c r="FQ1090" s="9"/>
      <c r="FR1090" s="9"/>
      <c r="FS1090" s="9"/>
      <c r="FT1090" s="9"/>
      <c r="FU1090" s="9"/>
      <c r="FV1090" s="9"/>
      <c r="FW1090" s="9"/>
      <c r="FX1090" s="9"/>
      <c r="FY1090" s="9"/>
      <c r="FZ1090" s="9"/>
      <c r="GA1090" s="9"/>
      <c r="GB1090" s="9"/>
      <c r="GC1090" s="9"/>
      <c r="GD1090" s="9"/>
      <c r="GE1090" s="9"/>
      <c r="GF1090" s="9"/>
      <c r="GG1090" s="9"/>
      <c r="GH1090" s="9"/>
      <c r="GI1090" s="9"/>
      <c r="GJ1090" s="9"/>
      <c r="GK1090" s="9"/>
      <c r="GL1090" s="9"/>
      <c r="GM1090" s="9"/>
      <c r="GN1090" s="9"/>
      <c r="GO1090" s="9"/>
      <c r="GP1090" s="9"/>
      <c r="GQ1090" s="9"/>
      <c r="GR1090" s="9"/>
      <c r="GS1090" s="9"/>
      <c r="GT1090" s="9"/>
      <c r="GU1090" s="9"/>
      <c r="GV1090" s="9"/>
      <c r="GW1090" s="9"/>
      <c r="GX1090" s="9"/>
      <c r="GY1090" s="9"/>
      <c r="GZ1090" s="9"/>
      <c r="HA1090" s="9"/>
      <c r="HB1090" s="9"/>
      <c r="HC1090" s="9"/>
      <c r="HD1090" s="9"/>
      <c r="HE1090" s="9"/>
      <c r="HF1090" s="9"/>
      <c r="HG1090" s="9"/>
      <c r="HH1090" s="9"/>
      <c r="HI1090" s="9"/>
      <c r="HJ1090" s="9"/>
      <c r="HK1090" s="9"/>
      <c r="HL1090" s="9"/>
      <c r="HM1090" s="9"/>
      <c r="HY1090" s="58"/>
    </row>
    <row r="1091" spans="140:233">
      <c r="EJ1091" s="9"/>
      <c r="EK1091" s="9"/>
      <c r="EL1091" s="9"/>
      <c r="EM1091" s="9"/>
      <c r="EN1091" s="9"/>
      <c r="EO1091" s="9"/>
      <c r="EP1091" s="9"/>
      <c r="EQ1091" s="9"/>
      <c r="ER1091" s="9"/>
      <c r="ES1091" s="9"/>
      <c r="ET1091" s="9"/>
      <c r="EU1091" s="9"/>
      <c r="EV1091" s="9"/>
      <c r="EW1091" s="9"/>
      <c r="EX1091" s="9"/>
      <c r="EY1091" s="9"/>
      <c r="EZ1091" s="9"/>
      <c r="FA1091" s="9"/>
      <c r="FB1091" s="9"/>
      <c r="FC1091" s="9"/>
      <c r="FD1091" s="9"/>
      <c r="FE1091" s="9"/>
      <c r="FF1091" s="9"/>
      <c r="FG1091" s="9"/>
      <c r="FH1091" s="9"/>
      <c r="FI1091" s="9"/>
      <c r="FJ1091" s="9"/>
      <c r="FK1091" s="9"/>
      <c r="FL1091" s="9"/>
      <c r="FM1091" s="9"/>
      <c r="FN1091" s="9"/>
      <c r="FO1091" s="9"/>
      <c r="FP1091" s="9"/>
      <c r="FQ1091" s="9"/>
      <c r="FR1091" s="9"/>
      <c r="FS1091" s="9"/>
      <c r="FT1091" s="9"/>
      <c r="FU1091" s="9"/>
      <c r="FV1091" s="9"/>
      <c r="FW1091" s="9"/>
      <c r="FX1091" s="9"/>
      <c r="FY1091" s="9"/>
      <c r="FZ1091" s="9"/>
      <c r="GA1091" s="9"/>
      <c r="GB1091" s="9"/>
      <c r="GC1091" s="9"/>
      <c r="GD1091" s="9"/>
      <c r="GE1091" s="9"/>
      <c r="GF1091" s="9"/>
      <c r="GG1091" s="9"/>
      <c r="GH1091" s="9"/>
      <c r="GI1091" s="9"/>
      <c r="GJ1091" s="9"/>
      <c r="GK1091" s="9"/>
      <c r="GL1091" s="9"/>
      <c r="GM1091" s="9"/>
      <c r="GN1091" s="9"/>
      <c r="GO1091" s="9"/>
      <c r="GP1091" s="9"/>
      <c r="GQ1091" s="9"/>
      <c r="GR1091" s="9"/>
      <c r="GS1091" s="9"/>
      <c r="GT1091" s="9"/>
      <c r="GU1091" s="9"/>
      <c r="GV1091" s="9"/>
      <c r="GW1091" s="9"/>
      <c r="GX1091" s="9"/>
      <c r="GY1091" s="9"/>
      <c r="GZ1091" s="9"/>
      <c r="HA1091" s="9"/>
      <c r="HB1091" s="9"/>
      <c r="HC1091" s="9"/>
      <c r="HD1091" s="9"/>
      <c r="HE1091" s="9"/>
      <c r="HF1091" s="9"/>
      <c r="HG1091" s="9"/>
      <c r="HH1091" s="9"/>
      <c r="HI1091" s="9"/>
      <c r="HJ1091" s="9"/>
      <c r="HK1091" s="9"/>
      <c r="HL1091" s="9"/>
      <c r="HM1091" s="9"/>
      <c r="HY1091" s="58"/>
    </row>
    <row r="1092" spans="140:233">
      <c r="EJ1092" s="9"/>
      <c r="EK1092" s="9"/>
      <c r="EL1092" s="9"/>
      <c r="EM1092" s="9"/>
      <c r="EN1092" s="9"/>
      <c r="EO1092" s="9"/>
      <c r="EP1092" s="9"/>
      <c r="EQ1092" s="9"/>
      <c r="ER1092" s="9"/>
      <c r="ES1092" s="9"/>
      <c r="ET1092" s="9"/>
      <c r="EU1092" s="9"/>
      <c r="EV1092" s="9"/>
      <c r="EW1092" s="9"/>
      <c r="EX1092" s="9"/>
      <c r="EY1092" s="9"/>
      <c r="EZ1092" s="9"/>
      <c r="FA1092" s="9"/>
      <c r="FB1092" s="9"/>
      <c r="FC1092" s="9"/>
      <c r="FD1092" s="9"/>
      <c r="FE1092" s="9"/>
      <c r="FF1092" s="9"/>
      <c r="FG1092" s="9"/>
      <c r="FH1092" s="9"/>
      <c r="FI1092" s="9"/>
      <c r="FJ1092" s="9"/>
      <c r="FK1092" s="9"/>
      <c r="FL1092" s="9"/>
      <c r="FM1092" s="9"/>
      <c r="FN1092" s="9"/>
      <c r="FO1092" s="9"/>
      <c r="FP1092" s="9"/>
      <c r="FQ1092" s="9"/>
      <c r="FR1092" s="9"/>
      <c r="FS1092" s="9"/>
      <c r="FT1092" s="9"/>
      <c r="FU1092" s="9"/>
      <c r="FV1092" s="9"/>
      <c r="FW1092" s="9"/>
      <c r="FX1092" s="9"/>
      <c r="FY1092" s="9"/>
      <c r="FZ1092" s="9"/>
      <c r="GA1092" s="9"/>
      <c r="GB1092" s="9"/>
      <c r="GC1092" s="9"/>
      <c r="GD1092" s="9"/>
      <c r="GE1092" s="9"/>
      <c r="GF1092" s="9"/>
      <c r="GG1092" s="9"/>
      <c r="GH1092" s="9"/>
      <c r="GI1092" s="9"/>
      <c r="GJ1092" s="9"/>
      <c r="GK1092" s="9"/>
      <c r="GL1092" s="9"/>
      <c r="GM1092" s="9"/>
      <c r="GN1092" s="9"/>
      <c r="GO1092" s="9"/>
      <c r="GP1092" s="9"/>
      <c r="GQ1092" s="9"/>
      <c r="GR1092" s="9"/>
      <c r="GS1092" s="9"/>
      <c r="GT1092" s="9"/>
      <c r="GU1092" s="9"/>
      <c r="GV1092" s="9"/>
      <c r="GW1092" s="9"/>
      <c r="GX1092" s="9"/>
      <c r="GY1092" s="9"/>
      <c r="GZ1092" s="9"/>
      <c r="HA1092" s="9"/>
      <c r="HB1092" s="9"/>
      <c r="HC1092" s="9"/>
      <c r="HD1092" s="9"/>
      <c r="HE1092" s="9"/>
      <c r="HF1092" s="9"/>
      <c r="HG1092" s="9"/>
      <c r="HH1092" s="9"/>
      <c r="HI1092" s="9"/>
      <c r="HJ1092" s="9"/>
      <c r="HK1092" s="9"/>
      <c r="HL1092" s="9"/>
      <c r="HM1092" s="9"/>
      <c r="HY1092" s="58"/>
    </row>
    <row r="1093" spans="140:233">
      <c r="EJ1093" s="9"/>
      <c r="EK1093" s="9"/>
      <c r="EL1093" s="9"/>
      <c r="EM1093" s="9"/>
      <c r="EN1093" s="9"/>
      <c r="EO1093" s="9"/>
      <c r="EP1093" s="9"/>
      <c r="EQ1093" s="9"/>
      <c r="ER1093" s="9"/>
      <c r="ES1093" s="9"/>
      <c r="ET1093" s="9"/>
      <c r="EU1093" s="9"/>
      <c r="EV1093" s="9"/>
      <c r="EW1093" s="9"/>
      <c r="EX1093" s="9"/>
      <c r="EY1093" s="9"/>
      <c r="EZ1093" s="9"/>
      <c r="FA1093" s="9"/>
      <c r="FB1093" s="9"/>
      <c r="FC1093" s="9"/>
      <c r="FD1093" s="9"/>
      <c r="FE1093" s="9"/>
      <c r="FF1093" s="9"/>
      <c r="FG1093" s="9"/>
      <c r="FH1093" s="9"/>
      <c r="FI1093" s="9"/>
      <c r="FJ1093" s="9"/>
      <c r="FK1093" s="9"/>
      <c r="FL1093" s="9"/>
      <c r="FM1093" s="9"/>
      <c r="FN1093" s="9"/>
      <c r="FO1093" s="9"/>
      <c r="FP1093" s="9"/>
      <c r="FQ1093" s="9"/>
      <c r="FR1093" s="9"/>
      <c r="FS1093" s="9"/>
      <c r="FT1093" s="9"/>
      <c r="FU1093" s="9"/>
      <c r="FV1093" s="9"/>
      <c r="FW1093" s="9"/>
      <c r="FX1093" s="9"/>
      <c r="FY1093" s="9"/>
      <c r="FZ1093" s="9"/>
      <c r="GA1093" s="9"/>
      <c r="GB1093" s="9"/>
      <c r="GC1093" s="9"/>
      <c r="GD1093" s="9"/>
      <c r="GE1093" s="9"/>
      <c r="GF1093" s="9"/>
      <c r="GG1093" s="9"/>
      <c r="GH1093" s="9"/>
      <c r="GI1093" s="9"/>
      <c r="GJ1093" s="9"/>
      <c r="GK1093" s="9"/>
      <c r="GL1093" s="9"/>
      <c r="GM1093" s="9"/>
      <c r="GN1093" s="9"/>
      <c r="GO1093" s="9"/>
      <c r="GP1093" s="9"/>
      <c r="GQ1093" s="9"/>
      <c r="GR1093" s="9"/>
      <c r="GS1093" s="9"/>
      <c r="GT1093" s="9"/>
      <c r="GU1093" s="9"/>
      <c r="GV1093" s="9"/>
      <c r="GW1093" s="9"/>
      <c r="GX1093" s="9"/>
      <c r="GY1093" s="9"/>
      <c r="GZ1093" s="9"/>
      <c r="HA1093" s="9"/>
      <c r="HB1093" s="9"/>
      <c r="HC1093" s="9"/>
      <c r="HD1093" s="9"/>
      <c r="HE1093" s="9"/>
      <c r="HF1093" s="9"/>
      <c r="HG1093" s="9"/>
      <c r="HH1093" s="9"/>
      <c r="HI1093" s="9"/>
      <c r="HJ1093" s="9"/>
      <c r="HK1093" s="9"/>
      <c r="HL1093" s="9"/>
      <c r="HM1093" s="9"/>
      <c r="HY1093" s="58"/>
    </row>
    <row r="1094" spans="140:233">
      <c r="EJ1094" s="9"/>
      <c r="EK1094" s="9"/>
      <c r="EL1094" s="9"/>
      <c r="EM1094" s="9"/>
      <c r="EN1094" s="9"/>
      <c r="EO1094" s="9"/>
      <c r="EP1094" s="9"/>
      <c r="EQ1094" s="9"/>
      <c r="ER1094" s="9"/>
      <c r="ES1094" s="9"/>
      <c r="ET1094" s="9"/>
      <c r="EU1094" s="9"/>
      <c r="EV1094" s="9"/>
      <c r="EW1094" s="9"/>
      <c r="EX1094" s="9"/>
      <c r="EY1094" s="9"/>
      <c r="EZ1094" s="9"/>
      <c r="FA1094" s="9"/>
      <c r="FB1094" s="9"/>
      <c r="FC1094" s="9"/>
      <c r="FD1094" s="9"/>
      <c r="FE1094" s="9"/>
      <c r="FF1094" s="9"/>
      <c r="FG1094" s="9"/>
      <c r="FH1094" s="9"/>
      <c r="FI1094" s="9"/>
      <c r="FJ1094" s="9"/>
      <c r="FK1094" s="9"/>
      <c r="FL1094" s="9"/>
      <c r="FM1094" s="9"/>
      <c r="FN1094" s="9"/>
      <c r="FO1094" s="9"/>
      <c r="FP1094" s="9"/>
      <c r="FQ1094" s="9"/>
      <c r="FR1094" s="9"/>
      <c r="FS1094" s="9"/>
      <c r="FT1094" s="9"/>
      <c r="FU1094" s="9"/>
      <c r="FV1094" s="9"/>
      <c r="FW1094" s="9"/>
      <c r="FX1094" s="9"/>
      <c r="FY1094" s="9"/>
      <c r="FZ1094" s="9"/>
      <c r="GA1094" s="9"/>
      <c r="GB1094" s="9"/>
      <c r="GC1094" s="9"/>
      <c r="GD1094" s="9"/>
      <c r="GE1094" s="9"/>
      <c r="GF1094" s="9"/>
      <c r="GG1094" s="9"/>
      <c r="GH1094" s="9"/>
      <c r="GI1094" s="9"/>
      <c r="GJ1094" s="9"/>
      <c r="GK1094" s="9"/>
      <c r="GL1094" s="9"/>
      <c r="GM1094" s="9"/>
      <c r="GN1094" s="9"/>
      <c r="GO1094" s="9"/>
      <c r="GP1094" s="9"/>
      <c r="GQ1094" s="9"/>
      <c r="GR1094" s="9"/>
      <c r="GS1094" s="9"/>
      <c r="GT1094" s="9"/>
      <c r="GU1094" s="9"/>
      <c r="GV1094" s="9"/>
      <c r="GW1094" s="9"/>
      <c r="GX1094" s="9"/>
      <c r="GY1094" s="9"/>
      <c r="GZ1094" s="9"/>
      <c r="HA1094" s="9"/>
      <c r="HB1094" s="9"/>
      <c r="HC1094" s="9"/>
      <c r="HD1094" s="9"/>
      <c r="HE1094" s="9"/>
      <c r="HF1094" s="9"/>
      <c r="HG1094" s="9"/>
      <c r="HH1094" s="9"/>
      <c r="HI1094" s="9"/>
      <c r="HJ1094" s="9"/>
      <c r="HK1094" s="9"/>
      <c r="HL1094" s="9"/>
      <c r="HM1094" s="9"/>
      <c r="HY1094" s="58"/>
    </row>
    <row r="1095" spans="140:233">
      <c r="EJ1095" s="9"/>
      <c r="EK1095" s="9"/>
      <c r="EL1095" s="9"/>
      <c r="EM1095" s="9"/>
      <c r="EN1095" s="9"/>
      <c r="EO1095" s="9"/>
      <c r="EP1095" s="9"/>
      <c r="EQ1095" s="9"/>
      <c r="ER1095" s="9"/>
      <c r="ES1095" s="9"/>
      <c r="ET1095" s="9"/>
      <c r="EU1095" s="9"/>
      <c r="EV1095" s="9"/>
      <c r="EW1095" s="9"/>
      <c r="EX1095" s="9"/>
      <c r="EY1095" s="9"/>
      <c r="EZ1095" s="9"/>
      <c r="FA1095" s="9"/>
      <c r="FB1095" s="9"/>
      <c r="FC1095" s="9"/>
      <c r="FD1095" s="9"/>
      <c r="FE1095" s="9"/>
      <c r="FF1095" s="9"/>
      <c r="FG1095" s="9"/>
      <c r="FH1095" s="9"/>
      <c r="FI1095" s="9"/>
      <c r="FJ1095" s="9"/>
      <c r="FK1095" s="9"/>
      <c r="FL1095" s="9"/>
      <c r="FM1095" s="9"/>
      <c r="FN1095" s="9"/>
      <c r="FO1095" s="9"/>
      <c r="FP1095" s="9"/>
      <c r="FQ1095" s="9"/>
      <c r="FR1095" s="9"/>
      <c r="FS1095" s="9"/>
      <c r="FT1095" s="9"/>
      <c r="FU1095" s="9"/>
      <c r="FV1095" s="9"/>
      <c r="FW1095" s="9"/>
      <c r="FX1095" s="9"/>
      <c r="FY1095" s="9"/>
      <c r="FZ1095" s="9"/>
      <c r="GA1095" s="9"/>
      <c r="GB1095" s="9"/>
      <c r="GC1095" s="9"/>
      <c r="GD1095" s="9"/>
      <c r="GE1095" s="9"/>
      <c r="GF1095" s="9"/>
      <c r="GG1095" s="9"/>
      <c r="GH1095" s="9"/>
      <c r="GI1095" s="9"/>
      <c r="GJ1095" s="9"/>
      <c r="GK1095" s="9"/>
      <c r="GL1095" s="9"/>
      <c r="GM1095" s="9"/>
      <c r="GN1095" s="9"/>
      <c r="GO1095" s="9"/>
      <c r="GP1095" s="9"/>
      <c r="GQ1095" s="9"/>
      <c r="GR1095" s="9"/>
      <c r="GS1095" s="9"/>
      <c r="GT1095" s="9"/>
      <c r="GU1095" s="9"/>
      <c r="GV1095" s="9"/>
      <c r="GW1095" s="9"/>
      <c r="GX1095" s="9"/>
      <c r="GY1095" s="9"/>
      <c r="GZ1095" s="9"/>
      <c r="HA1095" s="9"/>
      <c r="HB1095" s="9"/>
      <c r="HC1095" s="9"/>
      <c r="HD1095" s="9"/>
      <c r="HE1095" s="9"/>
      <c r="HF1095" s="9"/>
      <c r="HG1095" s="9"/>
      <c r="HH1095" s="9"/>
      <c r="HI1095" s="9"/>
      <c r="HJ1095" s="9"/>
      <c r="HK1095" s="9"/>
      <c r="HL1095" s="9"/>
      <c r="HM1095" s="9"/>
      <c r="HY1095" s="58"/>
    </row>
    <row r="1096" spans="140:233">
      <c r="EJ1096" s="9"/>
      <c r="EK1096" s="9"/>
      <c r="EL1096" s="9"/>
      <c r="EM1096" s="9"/>
      <c r="EN1096" s="9"/>
      <c r="EO1096" s="9"/>
      <c r="EP1096" s="9"/>
      <c r="EQ1096" s="9"/>
      <c r="ER1096" s="9"/>
      <c r="ES1096" s="9"/>
      <c r="ET1096" s="9"/>
      <c r="EU1096" s="9"/>
      <c r="EV1096" s="9"/>
      <c r="EW1096" s="9"/>
      <c r="EX1096" s="9"/>
      <c r="EY1096" s="9"/>
      <c r="EZ1096" s="9"/>
      <c r="FA1096" s="9"/>
      <c r="FB1096" s="9"/>
      <c r="FC1096" s="9"/>
      <c r="FD1096" s="9"/>
      <c r="FE1096" s="9"/>
      <c r="FF1096" s="9"/>
      <c r="FG1096" s="9"/>
      <c r="FH1096" s="9"/>
      <c r="FI1096" s="9"/>
      <c r="FJ1096" s="9"/>
      <c r="FK1096" s="9"/>
      <c r="FL1096" s="9"/>
      <c r="FM1096" s="9"/>
      <c r="FN1096" s="9"/>
      <c r="FO1096" s="9"/>
      <c r="FP1096" s="9"/>
      <c r="FQ1096" s="9"/>
      <c r="FR1096" s="9"/>
      <c r="FS1096" s="9"/>
      <c r="FT1096" s="9"/>
      <c r="FU1096" s="9"/>
      <c r="FV1096" s="9"/>
      <c r="FW1096" s="9"/>
      <c r="FX1096" s="9"/>
      <c r="FY1096" s="9"/>
      <c r="FZ1096" s="9"/>
      <c r="GA1096" s="9"/>
      <c r="GB1096" s="9"/>
      <c r="GC1096" s="9"/>
      <c r="GD1096" s="9"/>
      <c r="GE1096" s="9"/>
      <c r="GF1096" s="9"/>
      <c r="GG1096" s="9"/>
      <c r="GH1096" s="9"/>
      <c r="GI1096" s="9"/>
      <c r="GJ1096" s="9"/>
      <c r="GK1096" s="9"/>
      <c r="GL1096" s="9"/>
      <c r="GM1096" s="9"/>
      <c r="GN1096" s="9"/>
      <c r="GO1096" s="9"/>
      <c r="GP1096" s="9"/>
      <c r="GQ1096" s="9"/>
      <c r="GR1096" s="9"/>
      <c r="GS1096" s="9"/>
      <c r="GT1096" s="9"/>
      <c r="GU1096" s="9"/>
      <c r="GV1096" s="9"/>
      <c r="GW1096" s="9"/>
      <c r="GX1096" s="9"/>
      <c r="GY1096" s="9"/>
      <c r="GZ1096" s="9"/>
      <c r="HA1096" s="9"/>
      <c r="HB1096" s="9"/>
      <c r="HC1096" s="9"/>
      <c r="HD1096" s="9"/>
      <c r="HE1096" s="9"/>
      <c r="HF1096" s="9"/>
      <c r="HG1096" s="9"/>
      <c r="HH1096" s="9"/>
      <c r="HI1096" s="9"/>
      <c r="HJ1096" s="9"/>
      <c r="HK1096" s="9"/>
      <c r="HL1096" s="9"/>
      <c r="HM1096" s="9"/>
      <c r="HY1096" s="58"/>
    </row>
    <row r="1097" spans="140:233">
      <c r="EJ1097" s="9"/>
      <c r="EK1097" s="9"/>
      <c r="EL1097" s="9"/>
      <c r="EM1097" s="9"/>
      <c r="EN1097" s="9"/>
      <c r="EO1097" s="9"/>
      <c r="EP1097" s="9"/>
      <c r="EQ1097" s="9"/>
      <c r="ER1097" s="9"/>
      <c r="ES1097" s="9"/>
      <c r="ET1097" s="9"/>
      <c r="EU1097" s="9"/>
      <c r="EV1097" s="9"/>
      <c r="EW1097" s="9"/>
      <c r="EX1097" s="9"/>
      <c r="EY1097" s="9"/>
      <c r="EZ1097" s="9"/>
      <c r="FA1097" s="9"/>
      <c r="FB1097" s="9"/>
      <c r="FC1097" s="9"/>
      <c r="FD1097" s="9"/>
      <c r="FE1097" s="9"/>
      <c r="FF1097" s="9"/>
      <c r="FG1097" s="9"/>
      <c r="FH1097" s="9"/>
      <c r="FI1097" s="9"/>
      <c r="FJ1097" s="9"/>
      <c r="FK1097" s="9"/>
      <c r="FL1097" s="9"/>
      <c r="FM1097" s="9"/>
      <c r="FN1097" s="9"/>
      <c r="FO1097" s="9"/>
      <c r="FP1097" s="9"/>
      <c r="FQ1097" s="9"/>
      <c r="FR1097" s="9"/>
      <c r="FS1097" s="9"/>
      <c r="FT1097" s="9"/>
      <c r="FU1097" s="9"/>
      <c r="FV1097" s="9"/>
      <c r="FW1097" s="9"/>
      <c r="FX1097" s="9"/>
      <c r="FY1097" s="9"/>
      <c r="FZ1097" s="9"/>
      <c r="GA1097" s="9"/>
      <c r="GB1097" s="9"/>
      <c r="GC1097" s="9"/>
      <c r="GD1097" s="9"/>
      <c r="GE1097" s="9"/>
      <c r="GF1097" s="9"/>
      <c r="GG1097" s="9"/>
      <c r="GH1097" s="9"/>
      <c r="GI1097" s="9"/>
      <c r="GJ1097" s="9"/>
      <c r="GK1097" s="9"/>
      <c r="GL1097" s="9"/>
      <c r="GM1097" s="9"/>
      <c r="GN1097" s="9"/>
      <c r="GO1097" s="9"/>
      <c r="GP1097" s="9"/>
      <c r="GQ1097" s="9"/>
      <c r="GR1097" s="9"/>
      <c r="GS1097" s="9"/>
      <c r="GT1097" s="9"/>
      <c r="GU1097" s="9"/>
      <c r="GV1097" s="9"/>
      <c r="GW1097" s="9"/>
      <c r="GX1097" s="9"/>
      <c r="GY1097" s="9"/>
      <c r="GZ1097" s="9"/>
      <c r="HA1097" s="9"/>
      <c r="HB1097" s="9"/>
      <c r="HC1097" s="9"/>
      <c r="HD1097" s="9"/>
      <c r="HE1097" s="9"/>
      <c r="HF1097" s="9"/>
      <c r="HG1097" s="9"/>
      <c r="HH1097" s="9"/>
      <c r="HI1097" s="9"/>
      <c r="HJ1097" s="9"/>
      <c r="HK1097" s="9"/>
      <c r="HL1097" s="9"/>
      <c r="HM1097" s="9"/>
      <c r="HY1097" s="58"/>
    </row>
    <row r="1098" spans="140:233">
      <c r="EJ1098" s="9"/>
      <c r="EK1098" s="9"/>
      <c r="EL1098" s="9"/>
      <c r="EM1098" s="9"/>
      <c r="EN1098" s="9"/>
      <c r="EO1098" s="9"/>
      <c r="EP1098" s="9"/>
      <c r="EQ1098" s="9"/>
      <c r="ER1098" s="9"/>
      <c r="ES1098" s="9"/>
      <c r="ET1098" s="9"/>
      <c r="EU1098" s="9"/>
      <c r="EV1098" s="9"/>
      <c r="EW1098" s="9"/>
      <c r="EX1098" s="9"/>
      <c r="EY1098" s="9"/>
      <c r="EZ1098" s="9"/>
      <c r="FA1098" s="9"/>
      <c r="FB1098" s="9"/>
      <c r="FC1098" s="9"/>
      <c r="FD1098" s="9"/>
      <c r="FE1098" s="9"/>
      <c r="FF1098" s="9"/>
      <c r="FG1098" s="9"/>
      <c r="FH1098" s="9"/>
      <c r="FI1098" s="9"/>
      <c r="FJ1098" s="9"/>
      <c r="FK1098" s="9"/>
      <c r="FL1098" s="9"/>
      <c r="FM1098" s="9"/>
      <c r="FN1098" s="9"/>
      <c r="FO1098" s="9"/>
      <c r="FP1098" s="9"/>
      <c r="FQ1098" s="9"/>
      <c r="FR1098" s="9"/>
      <c r="FS1098" s="9"/>
      <c r="FT1098" s="9"/>
      <c r="FU1098" s="9"/>
      <c r="FV1098" s="9"/>
      <c r="FW1098" s="9"/>
      <c r="FX1098" s="9"/>
      <c r="FY1098" s="9"/>
      <c r="FZ1098" s="9"/>
      <c r="GA1098" s="9"/>
      <c r="GB1098" s="9"/>
      <c r="GC1098" s="9"/>
      <c r="GD1098" s="9"/>
      <c r="GE1098" s="9"/>
      <c r="GF1098" s="9"/>
      <c r="GG1098" s="9"/>
      <c r="GH1098" s="9"/>
      <c r="GI1098" s="9"/>
      <c r="GJ1098" s="9"/>
      <c r="GK1098" s="9"/>
      <c r="GL1098" s="9"/>
      <c r="GM1098" s="9"/>
      <c r="GN1098" s="9"/>
      <c r="GO1098" s="9"/>
      <c r="GP1098" s="9"/>
      <c r="GQ1098" s="9"/>
      <c r="GR1098" s="9"/>
      <c r="GS1098" s="9"/>
      <c r="GT1098" s="9"/>
      <c r="GU1098" s="9"/>
      <c r="GV1098" s="9"/>
      <c r="GW1098" s="9"/>
      <c r="GX1098" s="9"/>
      <c r="GY1098" s="9"/>
      <c r="GZ1098" s="9"/>
      <c r="HA1098" s="9"/>
      <c r="HB1098" s="9"/>
      <c r="HC1098" s="9"/>
      <c r="HD1098" s="9"/>
      <c r="HE1098" s="9"/>
      <c r="HF1098" s="9"/>
      <c r="HG1098" s="9"/>
      <c r="HH1098" s="9"/>
      <c r="HI1098" s="9"/>
      <c r="HJ1098" s="9"/>
      <c r="HK1098" s="9"/>
      <c r="HL1098" s="9"/>
      <c r="HM1098" s="9"/>
      <c r="HY1098" s="58"/>
    </row>
    <row r="1099" spans="140:233">
      <c r="EJ1099" s="9"/>
      <c r="EK1099" s="9"/>
      <c r="EL1099" s="9"/>
      <c r="EM1099" s="9"/>
      <c r="EN1099" s="9"/>
      <c r="EO1099" s="9"/>
      <c r="EP1099" s="9"/>
      <c r="EQ1099" s="9"/>
      <c r="ER1099" s="9"/>
      <c r="ES1099" s="9"/>
      <c r="ET1099" s="9"/>
      <c r="EU1099" s="9"/>
      <c r="EV1099" s="9"/>
      <c r="EW1099" s="9"/>
      <c r="EX1099" s="9"/>
      <c r="EY1099" s="9"/>
      <c r="EZ1099" s="9"/>
      <c r="FA1099" s="9"/>
      <c r="FB1099" s="9"/>
      <c r="FC1099" s="9"/>
      <c r="FD1099" s="9"/>
      <c r="FE1099" s="9"/>
      <c r="FF1099" s="9"/>
      <c r="FG1099" s="9"/>
      <c r="FH1099" s="9"/>
      <c r="FI1099" s="9"/>
      <c r="FJ1099" s="9"/>
      <c r="FK1099" s="9"/>
      <c r="FL1099" s="9"/>
      <c r="FM1099" s="9"/>
      <c r="FN1099" s="9"/>
      <c r="FO1099" s="9"/>
      <c r="FP1099" s="9"/>
      <c r="FQ1099" s="9"/>
      <c r="FR1099" s="9"/>
      <c r="FS1099" s="9"/>
      <c r="FT1099" s="9"/>
      <c r="FU1099" s="9"/>
      <c r="FV1099" s="9"/>
      <c r="FW1099" s="9"/>
      <c r="FX1099" s="9"/>
      <c r="FY1099" s="9"/>
      <c r="FZ1099" s="9"/>
      <c r="GA1099" s="9"/>
      <c r="GB1099" s="9"/>
      <c r="GC1099" s="9"/>
      <c r="GD1099" s="9"/>
      <c r="GE1099" s="9"/>
      <c r="GF1099" s="9"/>
      <c r="GG1099" s="9"/>
      <c r="GH1099" s="9"/>
      <c r="GI1099" s="9"/>
      <c r="GJ1099" s="9"/>
      <c r="GK1099" s="9"/>
      <c r="GL1099" s="9"/>
      <c r="GM1099" s="9"/>
      <c r="GN1099" s="9"/>
      <c r="GO1099" s="9"/>
      <c r="GP1099" s="9"/>
      <c r="GQ1099" s="9"/>
      <c r="GR1099" s="9"/>
      <c r="GS1099" s="9"/>
      <c r="GT1099" s="9"/>
      <c r="GU1099" s="9"/>
      <c r="GV1099" s="9"/>
      <c r="GW1099" s="9"/>
      <c r="GX1099" s="9"/>
      <c r="GY1099" s="9"/>
      <c r="GZ1099" s="9"/>
      <c r="HA1099" s="9"/>
      <c r="HB1099" s="9"/>
      <c r="HC1099" s="9"/>
      <c r="HD1099" s="9"/>
      <c r="HE1099" s="9"/>
      <c r="HF1099" s="9"/>
      <c r="HG1099" s="9"/>
      <c r="HH1099" s="9"/>
      <c r="HI1099" s="9"/>
      <c r="HJ1099" s="9"/>
      <c r="HK1099" s="9"/>
      <c r="HL1099" s="9"/>
      <c r="HM1099" s="9"/>
      <c r="HY1099" s="58"/>
    </row>
    <row r="1100" spans="140:233">
      <c r="EJ1100" s="9"/>
      <c r="EK1100" s="9"/>
      <c r="EL1100" s="9"/>
      <c r="EM1100" s="9"/>
      <c r="EN1100" s="9"/>
      <c r="EO1100" s="9"/>
      <c r="EP1100" s="9"/>
      <c r="EQ1100" s="9"/>
      <c r="ER1100" s="9"/>
      <c r="ES1100" s="9"/>
      <c r="ET1100" s="9"/>
      <c r="EU1100" s="9"/>
      <c r="EV1100" s="9"/>
      <c r="EW1100" s="9"/>
      <c r="EX1100" s="9"/>
      <c r="EY1100" s="9"/>
      <c r="EZ1100" s="9"/>
      <c r="FA1100" s="9"/>
      <c r="FB1100" s="9"/>
      <c r="FC1100" s="9"/>
      <c r="FD1100" s="9"/>
      <c r="FE1100" s="9"/>
      <c r="FF1100" s="9"/>
      <c r="FG1100" s="9"/>
      <c r="FH1100" s="9"/>
      <c r="FI1100" s="9"/>
      <c r="FJ1100" s="9"/>
      <c r="FK1100" s="9"/>
      <c r="FL1100" s="9"/>
      <c r="FM1100" s="9"/>
      <c r="FN1100" s="9"/>
      <c r="FO1100" s="9"/>
      <c r="FP1100" s="9"/>
      <c r="FQ1100" s="9"/>
      <c r="FR1100" s="9"/>
      <c r="FS1100" s="9"/>
      <c r="FT1100" s="9"/>
      <c r="FU1100" s="9"/>
      <c r="FV1100" s="9"/>
      <c r="FW1100" s="9"/>
      <c r="FX1100" s="9"/>
      <c r="FY1100" s="9"/>
      <c r="FZ1100" s="9"/>
      <c r="GA1100" s="9"/>
      <c r="GB1100" s="9"/>
      <c r="GC1100" s="9"/>
      <c r="GD1100" s="9"/>
      <c r="GE1100" s="9"/>
      <c r="GF1100" s="9"/>
      <c r="GG1100" s="9"/>
      <c r="GH1100" s="9"/>
      <c r="GI1100" s="9"/>
      <c r="GJ1100" s="9"/>
      <c r="GK1100" s="9"/>
      <c r="GL1100" s="9"/>
      <c r="GM1100" s="9"/>
      <c r="GN1100" s="9"/>
      <c r="GO1100" s="9"/>
      <c r="GP1100" s="9"/>
      <c r="GQ1100" s="9"/>
      <c r="GR1100" s="9"/>
      <c r="GS1100" s="9"/>
      <c r="GT1100" s="9"/>
      <c r="GU1100" s="9"/>
      <c r="GV1100" s="9"/>
      <c r="GW1100" s="9"/>
      <c r="GX1100" s="9"/>
      <c r="GY1100" s="9"/>
      <c r="GZ1100" s="9"/>
      <c r="HA1100" s="9"/>
      <c r="HB1100" s="9"/>
      <c r="HC1100" s="9"/>
      <c r="HD1100" s="9"/>
      <c r="HE1100" s="9"/>
      <c r="HF1100" s="9"/>
      <c r="HG1100" s="9"/>
      <c r="HH1100" s="9"/>
      <c r="HI1100" s="9"/>
      <c r="HJ1100" s="9"/>
      <c r="HK1100" s="9"/>
      <c r="HL1100" s="9"/>
      <c r="HM1100" s="9"/>
      <c r="HY1100" s="58"/>
    </row>
    <row r="1101" spans="140:233">
      <c r="EJ1101" s="9"/>
      <c r="EK1101" s="9"/>
      <c r="EL1101" s="9"/>
      <c r="EM1101" s="9"/>
      <c r="EN1101" s="9"/>
      <c r="EO1101" s="9"/>
      <c r="EP1101" s="9"/>
      <c r="EQ1101" s="9"/>
      <c r="ER1101" s="9"/>
      <c r="ES1101" s="9"/>
      <c r="ET1101" s="9"/>
      <c r="EU1101" s="9"/>
      <c r="EV1101" s="9"/>
      <c r="EW1101" s="9"/>
      <c r="EX1101" s="9"/>
      <c r="EY1101" s="9"/>
      <c r="EZ1101" s="9"/>
      <c r="FA1101" s="9"/>
      <c r="FB1101" s="9"/>
      <c r="FC1101" s="9"/>
      <c r="FD1101" s="9"/>
      <c r="FE1101" s="9"/>
      <c r="FF1101" s="9"/>
      <c r="FG1101" s="9"/>
      <c r="FH1101" s="9"/>
      <c r="FI1101" s="9"/>
      <c r="FJ1101" s="9"/>
      <c r="FK1101" s="9"/>
      <c r="FL1101" s="9"/>
      <c r="FM1101" s="9"/>
      <c r="FN1101" s="9"/>
      <c r="FO1101" s="9"/>
      <c r="FP1101" s="9"/>
      <c r="FQ1101" s="9"/>
      <c r="FR1101" s="9"/>
      <c r="FS1101" s="9"/>
      <c r="FT1101" s="9"/>
      <c r="FU1101" s="9"/>
      <c r="FV1101" s="9"/>
      <c r="FW1101" s="9"/>
      <c r="FX1101" s="9"/>
      <c r="FY1101" s="9"/>
      <c r="FZ1101" s="9"/>
      <c r="GA1101" s="9"/>
      <c r="GB1101" s="9"/>
      <c r="GC1101" s="9"/>
      <c r="GD1101" s="9"/>
      <c r="GE1101" s="9"/>
      <c r="GF1101" s="9"/>
      <c r="GG1101" s="9"/>
      <c r="GH1101" s="9"/>
      <c r="GI1101" s="9"/>
      <c r="GJ1101" s="9"/>
      <c r="GK1101" s="9"/>
      <c r="GL1101" s="9"/>
      <c r="GM1101" s="9"/>
      <c r="GN1101" s="9"/>
      <c r="GO1101" s="9"/>
      <c r="GP1101" s="9"/>
      <c r="GQ1101" s="9"/>
      <c r="GR1101" s="9"/>
      <c r="GS1101" s="9"/>
      <c r="GT1101" s="9"/>
      <c r="GU1101" s="9"/>
      <c r="GV1101" s="9"/>
      <c r="GW1101" s="9"/>
      <c r="GX1101" s="9"/>
      <c r="GY1101" s="9"/>
      <c r="GZ1101" s="9"/>
      <c r="HA1101" s="9"/>
      <c r="HB1101" s="9"/>
      <c r="HC1101" s="9"/>
      <c r="HD1101" s="9"/>
      <c r="HE1101" s="9"/>
      <c r="HF1101" s="9"/>
      <c r="HG1101" s="9"/>
      <c r="HH1101" s="9"/>
      <c r="HI1101" s="9"/>
      <c r="HJ1101" s="9"/>
      <c r="HK1101" s="9"/>
      <c r="HL1101" s="9"/>
      <c r="HM1101" s="9"/>
      <c r="HY1101" s="58"/>
    </row>
    <row r="1102" spans="140:233">
      <c r="EJ1102" s="9"/>
      <c r="EK1102" s="9"/>
      <c r="EL1102" s="9"/>
      <c r="EM1102" s="9"/>
      <c r="EN1102" s="9"/>
      <c r="EO1102" s="9"/>
      <c r="EP1102" s="9"/>
      <c r="EQ1102" s="9"/>
      <c r="ER1102" s="9"/>
      <c r="ES1102" s="9"/>
      <c r="ET1102" s="9"/>
      <c r="EU1102" s="9"/>
      <c r="EV1102" s="9"/>
      <c r="EW1102" s="9"/>
      <c r="EX1102" s="9"/>
      <c r="EY1102" s="9"/>
      <c r="EZ1102" s="9"/>
      <c r="FA1102" s="9"/>
      <c r="FB1102" s="9"/>
      <c r="FC1102" s="9"/>
      <c r="FD1102" s="9"/>
      <c r="FE1102" s="9"/>
      <c r="FF1102" s="9"/>
      <c r="FG1102" s="9"/>
      <c r="FH1102" s="9"/>
      <c r="FI1102" s="9"/>
      <c r="FJ1102" s="9"/>
      <c r="FK1102" s="9"/>
      <c r="FL1102" s="9"/>
      <c r="FM1102" s="9"/>
      <c r="FN1102" s="9"/>
      <c r="FO1102" s="9"/>
      <c r="FP1102" s="9"/>
      <c r="FQ1102" s="9"/>
      <c r="FR1102" s="9"/>
      <c r="FS1102" s="9"/>
      <c r="FT1102" s="9"/>
      <c r="FU1102" s="9"/>
      <c r="FV1102" s="9"/>
      <c r="FW1102" s="9"/>
      <c r="FX1102" s="9"/>
      <c r="FY1102" s="9"/>
      <c r="FZ1102" s="9"/>
      <c r="GA1102" s="9"/>
      <c r="GB1102" s="9"/>
      <c r="GC1102" s="9"/>
      <c r="GD1102" s="9"/>
      <c r="GE1102" s="9"/>
      <c r="GF1102" s="9"/>
      <c r="GG1102" s="9"/>
      <c r="GH1102" s="9"/>
      <c r="GI1102" s="9"/>
      <c r="GJ1102" s="9"/>
      <c r="GK1102" s="9"/>
      <c r="GL1102" s="9"/>
      <c r="GM1102" s="9"/>
      <c r="GN1102" s="9"/>
      <c r="GO1102" s="9"/>
      <c r="GP1102" s="9"/>
      <c r="GQ1102" s="9"/>
      <c r="GR1102" s="9"/>
      <c r="GS1102" s="9"/>
      <c r="GT1102" s="9"/>
      <c r="GU1102" s="9"/>
      <c r="GV1102" s="9"/>
      <c r="GW1102" s="9"/>
      <c r="GX1102" s="9"/>
      <c r="GY1102" s="9"/>
      <c r="GZ1102" s="9"/>
      <c r="HA1102" s="9"/>
      <c r="HB1102" s="9"/>
      <c r="HC1102" s="9"/>
      <c r="HD1102" s="9"/>
      <c r="HE1102" s="9"/>
      <c r="HF1102" s="9"/>
      <c r="HG1102" s="9"/>
      <c r="HH1102" s="9"/>
      <c r="HI1102" s="9"/>
      <c r="HJ1102" s="9"/>
      <c r="HK1102" s="9"/>
      <c r="HL1102" s="9"/>
      <c r="HM1102" s="9"/>
      <c r="HY1102" s="58"/>
    </row>
    <row r="1103" spans="140:233">
      <c r="EJ1103" s="9"/>
      <c r="EK1103" s="9"/>
      <c r="EL1103" s="9"/>
      <c r="EM1103" s="9"/>
      <c r="EN1103" s="9"/>
      <c r="EO1103" s="9"/>
      <c r="EP1103" s="9"/>
      <c r="EQ1103" s="9"/>
      <c r="ER1103" s="9"/>
      <c r="ES1103" s="9"/>
      <c r="ET1103" s="9"/>
      <c r="EU1103" s="9"/>
      <c r="EV1103" s="9"/>
      <c r="EW1103" s="9"/>
      <c r="EX1103" s="9"/>
      <c r="EY1103" s="9"/>
      <c r="EZ1103" s="9"/>
      <c r="FA1103" s="9"/>
      <c r="FB1103" s="9"/>
      <c r="FC1103" s="9"/>
      <c r="FD1103" s="9"/>
      <c r="FE1103" s="9"/>
      <c r="FF1103" s="9"/>
      <c r="FG1103" s="9"/>
      <c r="FH1103" s="9"/>
      <c r="FI1103" s="9"/>
      <c r="FJ1103" s="9"/>
      <c r="FK1103" s="9"/>
      <c r="FL1103" s="9"/>
      <c r="FM1103" s="9"/>
      <c r="FN1103" s="9"/>
      <c r="FO1103" s="9"/>
      <c r="FP1103" s="9"/>
      <c r="FQ1103" s="9"/>
      <c r="FR1103" s="9"/>
      <c r="FS1103" s="9"/>
      <c r="FT1103" s="9"/>
      <c r="FU1103" s="9"/>
      <c r="FV1103" s="9"/>
      <c r="FW1103" s="9"/>
      <c r="FX1103" s="9"/>
      <c r="FY1103" s="9"/>
      <c r="FZ1103" s="9"/>
      <c r="GA1103" s="9"/>
      <c r="GB1103" s="9"/>
      <c r="GC1103" s="9"/>
      <c r="GD1103" s="9"/>
      <c r="GE1103" s="9"/>
      <c r="GF1103" s="9"/>
      <c r="GG1103" s="9"/>
      <c r="GH1103" s="9"/>
      <c r="GI1103" s="9"/>
      <c r="GJ1103" s="9"/>
      <c r="GK1103" s="9"/>
      <c r="GL1103" s="9"/>
      <c r="GM1103" s="9"/>
      <c r="GN1103" s="9"/>
      <c r="GO1103" s="9"/>
      <c r="GP1103" s="9"/>
      <c r="GQ1103" s="9"/>
      <c r="GR1103" s="9"/>
      <c r="GS1103" s="9"/>
      <c r="GT1103" s="9"/>
      <c r="GU1103" s="9"/>
      <c r="GV1103" s="9"/>
      <c r="GW1103" s="9"/>
      <c r="GX1103" s="9"/>
      <c r="GY1103" s="9"/>
      <c r="GZ1103" s="9"/>
      <c r="HA1103" s="9"/>
      <c r="HB1103" s="9"/>
      <c r="HC1103" s="9"/>
      <c r="HD1103" s="9"/>
      <c r="HE1103" s="9"/>
      <c r="HF1103" s="9"/>
      <c r="HG1103" s="9"/>
      <c r="HH1103" s="9"/>
      <c r="HI1103" s="9"/>
      <c r="HJ1103" s="9"/>
      <c r="HK1103" s="9"/>
      <c r="HL1103" s="9"/>
      <c r="HM1103" s="9"/>
      <c r="HY1103" s="58"/>
    </row>
    <row r="1104" spans="140:233">
      <c r="EJ1104" s="9"/>
      <c r="EK1104" s="9"/>
      <c r="EL1104" s="9"/>
      <c r="EM1104" s="9"/>
      <c r="EN1104" s="9"/>
      <c r="EO1104" s="9"/>
      <c r="EP1104" s="9"/>
      <c r="EQ1104" s="9"/>
      <c r="ER1104" s="9"/>
      <c r="ES1104" s="9"/>
      <c r="ET1104" s="9"/>
      <c r="EU1104" s="9"/>
      <c r="EV1104" s="9"/>
      <c r="EW1104" s="9"/>
      <c r="EX1104" s="9"/>
      <c r="EY1104" s="9"/>
      <c r="EZ1104" s="9"/>
      <c r="FA1104" s="9"/>
      <c r="FB1104" s="9"/>
      <c r="FC1104" s="9"/>
      <c r="FD1104" s="9"/>
      <c r="FE1104" s="9"/>
      <c r="FF1104" s="9"/>
      <c r="FG1104" s="9"/>
      <c r="FH1104" s="9"/>
      <c r="FI1104" s="9"/>
      <c r="FJ1104" s="9"/>
      <c r="FK1104" s="9"/>
      <c r="FL1104" s="9"/>
      <c r="FM1104" s="9"/>
      <c r="FN1104" s="9"/>
      <c r="FO1104" s="9"/>
      <c r="FP1104" s="9"/>
      <c r="FQ1104" s="9"/>
      <c r="FR1104" s="9"/>
      <c r="FS1104" s="9"/>
      <c r="FT1104" s="9"/>
      <c r="FU1104" s="9"/>
      <c r="FV1104" s="9"/>
      <c r="FW1104" s="9"/>
      <c r="FX1104" s="9"/>
      <c r="FY1104" s="9"/>
      <c r="FZ1104" s="9"/>
      <c r="GA1104" s="9"/>
      <c r="GB1104" s="9"/>
      <c r="GC1104" s="9"/>
      <c r="GD1104" s="9"/>
      <c r="GE1104" s="9"/>
      <c r="GF1104" s="9"/>
      <c r="GG1104" s="9"/>
      <c r="GH1104" s="9"/>
      <c r="GI1104" s="9"/>
      <c r="GJ1104" s="9"/>
      <c r="GK1104" s="9"/>
      <c r="GL1104" s="9"/>
      <c r="GM1104" s="9"/>
      <c r="GN1104" s="9"/>
      <c r="GO1104" s="9"/>
      <c r="GP1104" s="9"/>
      <c r="GQ1104" s="9"/>
      <c r="GR1104" s="9"/>
      <c r="GS1104" s="9"/>
      <c r="GT1104" s="9"/>
      <c r="GU1104" s="9"/>
      <c r="GV1104" s="9"/>
      <c r="GW1104" s="9"/>
      <c r="GX1104" s="9"/>
      <c r="GY1104" s="9"/>
      <c r="GZ1104" s="9"/>
      <c r="HA1104" s="9"/>
      <c r="HB1104" s="9"/>
      <c r="HC1104" s="9"/>
      <c r="HD1104" s="9"/>
      <c r="HE1104" s="9"/>
      <c r="HF1104" s="9"/>
      <c r="HG1104" s="9"/>
      <c r="HH1104" s="9"/>
      <c r="HI1104" s="9"/>
      <c r="HJ1104" s="9"/>
      <c r="HK1104" s="9"/>
      <c r="HL1104" s="9"/>
      <c r="HM1104" s="9"/>
      <c r="HY1104" s="58"/>
    </row>
    <row r="1105" spans="140:233">
      <c r="EJ1105" s="9"/>
      <c r="EK1105" s="9"/>
      <c r="EL1105" s="9"/>
      <c r="EM1105" s="9"/>
      <c r="EN1105" s="9"/>
      <c r="EO1105" s="9"/>
      <c r="EP1105" s="9"/>
      <c r="EQ1105" s="9"/>
      <c r="ER1105" s="9"/>
      <c r="ES1105" s="9"/>
      <c r="ET1105" s="9"/>
      <c r="EU1105" s="9"/>
      <c r="EV1105" s="9"/>
      <c r="EW1105" s="9"/>
      <c r="EX1105" s="9"/>
      <c r="EY1105" s="9"/>
      <c r="EZ1105" s="9"/>
      <c r="FA1105" s="9"/>
      <c r="FB1105" s="9"/>
      <c r="FC1105" s="9"/>
      <c r="FD1105" s="9"/>
      <c r="FE1105" s="9"/>
      <c r="FF1105" s="9"/>
      <c r="FG1105" s="9"/>
      <c r="FH1105" s="9"/>
      <c r="FI1105" s="9"/>
      <c r="FJ1105" s="9"/>
      <c r="FK1105" s="9"/>
      <c r="FL1105" s="9"/>
      <c r="FM1105" s="9"/>
      <c r="FN1105" s="9"/>
      <c r="FO1105" s="9"/>
      <c r="FP1105" s="9"/>
      <c r="FQ1105" s="9"/>
      <c r="FR1105" s="9"/>
      <c r="FS1105" s="9"/>
      <c r="FT1105" s="9"/>
      <c r="FU1105" s="9"/>
      <c r="FV1105" s="9"/>
      <c r="FW1105" s="9"/>
      <c r="FX1105" s="9"/>
      <c r="FY1105" s="9"/>
      <c r="FZ1105" s="9"/>
      <c r="GA1105" s="9"/>
      <c r="GB1105" s="9"/>
      <c r="GC1105" s="9"/>
      <c r="GD1105" s="9"/>
      <c r="GE1105" s="9"/>
      <c r="GF1105" s="9"/>
      <c r="GG1105" s="9"/>
      <c r="GH1105" s="9"/>
      <c r="GI1105" s="9"/>
      <c r="GJ1105" s="9"/>
      <c r="GK1105" s="9"/>
      <c r="GL1105" s="9"/>
      <c r="GM1105" s="9"/>
      <c r="GN1105" s="9"/>
      <c r="GO1105" s="9"/>
      <c r="GP1105" s="9"/>
      <c r="GQ1105" s="9"/>
      <c r="GR1105" s="9"/>
      <c r="GS1105" s="9"/>
      <c r="GT1105" s="9"/>
      <c r="GU1105" s="9"/>
      <c r="GV1105" s="9"/>
      <c r="GW1105" s="9"/>
      <c r="GX1105" s="9"/>
      <c r="GY1105" s="9"/>
      <c r="GZ1105" s="9"/>
      <c r="HA1105" s="9"/>
      <c r="HB1105" s="9"/>
      <c r="HC1105" s="9"/>
      <c r="HD1105" s="9"/>
      <c r="HE1105" s="9"/>
      <c r="HF1105" s="9"/>
      <c r="HG1105" s="9"/>
      <c r="HH1105" s="9"/>
      <c r="HI1105" s="9"/>
      <c r="HJ1105" s="9"/>
      <c r="HK1105" s="9"/>
      <c r="HL1105" s="9"/>
      <c r="HM1105" s="9"/>
      <c r="HY1105" s="58"/>
    </row>
    <row r="1106" spans="140:233">
      <c r="EJ1106" s="9"/>
      <c r="EK1106" s="9"/>
      <c r="EL1106" s="9"/>
      <c r="EM1106" s="9"/>
      <c r="EN1106" s="9"/>
      <c r="EO1106" s="9"/>
      <c r="EP1106" s="9"/>
      <c r="EQ1106" s="9"/>
      <c r="ER1106" s="9"/>
      <c r="ES1106" s="9"/>
      <c r="ET1106" s="9"/>
      <c r="EU1106" s="9"/>
      <c r="EV1106" s="9"/>
      <c r="EW1106" s="9"/>
      <c r="EX1106" s="9"/>
      <c r="EY1106" s="9"/>
      <c r="EZ1106" s="9"/>
      <c r="FA1106" s="9"/>
      <c r="FB1106" s="9"/>
      <c r="FC1106" s="9"/>
      <c r="FD1106" s="9"/>
      <c r="FE1106" s="9"/>
      <c r="FF1106" s="9"/>
      <c r="FG1106" s="9"/>
      <c r="FH1106" s="9"/>
      <c r="FI1106" s="9"/>
      <c r="FJ1106" s="9"/>
      <c r="FK1106" s="9"/>
      <c r="FL1106" s="9"/>
      <c r="FM1106" s="9"/>
      <c r="FN1106" s="9"/>
      <c r="FO1106" s="9"/>
      <c r="FP1106" s="9"/>
      <c r="FQ1106" s="9"/>
      <c r="FR1106" s="9"/>
      <c r="FS1106" s="9"/>
      <c r="FT1106" s="9"/>
      <c r="FU1106" s="9"/>
      <c r="FV1106" s="9"/>
      <c r="FW1106" s="9"/>
      <c r="FX1106" s="9"/>
      <c r="FY1106" s="9"/>
      <c r="FZ1106" s="9"/>
      <c r="GA1106" s="9"/>
      <c r="GB1106" s="9"/>
      <c r="GC1106" s="9"/>
      <c r="GD1106" s="9"/>
      <c r="GE1106" s="9"/>
      <c r="GF1106" s="9"/>
      <c r="GG1106" s="9"/>
      <c r="GH1106" s="9"/>
      <c r="GI1106" s="9"/>
      <c r="GJ1106" s="9"/>
      <c r="GK1106" s="9"/>
      <c r="GL1106" s="9"/>
      <c r="GM1106" s="9"/>
      <c r="GN1106" s="9"/>
      <c r="GO1106" s="9"/>
      <c r="GP1106" s="9"/>
      <c r="GQ1106" s="9"/>
      <c r="GR1106" s="9"/>
      <c r="GS1106" s="9"/>
      <c r="GT1106" s="9"/>
      <c r="GU1106" s="9"/>
      <c r="GV1106" s="9"/>
      <c r="GW1106" s="9"/>
      <c r="GX1106" s="9"/>
      <c r="GY1106" s="9"/>
      <c r="GZ1106" s="9"/>
      <c r="HA1106" s="9"/>
      <c r="HB1106" s="9"/>
      <c r="HC1106" s="9"/>
      <c r="HD1106" s="9"/>
      <c r="HE1106" s="9"/>
      <c r="HF1106" s="9"/>
      <c r="HG1106" s="9"/>
      <c r="HH1106" s="9"/>
      <c r="HI1106" s="9"/>
      <c r="HJ1106" s="9"/>
      <c r="HK1106" s="9"/>
      <c r="HL1106" s="9"/>
      <c r="HM1106" s="9"/>
      <c r="HY1106" s="58"/>
    </row>
    <row r="1107" spans="140:233">
      <c r="EJ1107" s="9"/>
      <c r="EK1107" s="9"/>
      <c r="EL1107" s="9"/>
      <c r="EM1107" s="9"/>
      <c r="EN1107" s="9"/>
      <c r="EO1107" s="9"/>
      <c r="EP1107" s="9"/>
      <c r="EQ1107" s="9"/>
      <c r="ER1107" s="9"/>
      <c r="ES1107" s="9"/>
      <c r="ET1107" s="9"/>
      <c r="EU1107" s="9"/>
      <c r="EV1107" s="9"/>
      <c r="EW1107" s="9"/>
      <c r="EX1107" s="9"/>
      <c r="EY1107" s="9"/>
      <c r="EZ1107" s="9"/>
      <c r="FA1107" s="9"/>
      <c r="FB1107" s="9"/>
      <c r="FC1107" s="9"/>
      <c r="FD1107" s="9"/>
      <c r="FE1107" s="9"/>
      <c r="FF1107" s="9"/>
      <c r="FG1107" s="9"/>
      <c r="FH1107" s="9"/>
      <c r="FI1107" s="9"/>
      <c r="FJ1107" s="9"/>
      <c r="FK1107" s="9"/>
      <c r="FL1107" s="9"/>
      <c r="FM1107" s="9"/>
      <c r="FN1107" s="9"/>
      <c r="FO1107" s="9"/>
      <c r="FP1107" s="9"/>
      <c r="FQ1107" s="9"/>
      <c r="FR1107" s="9"/>
      <c r="FS1107" s="9"/>
      <c r="FT1107" s="9"/>
      <c r="FU1107" s="9"/>
      <c r="FV1107" s="9"/>
      <c r="FW1107" s="9"/>
      <c r="FX1107" s="9"/>
      <c r="FY1107" s="9"/>
      <c r="FZ1107" s="9"/>
      <c r="GA1107" s="9"/>
      <c r="GB1107" s="9"/>
      <c r="GC1107" s="9"/>
      <c r="GD1107" s="9"/>
      <c r="GE1107" s="9"/>
      <c r="GF1107" s="9"/>
      <c r="GG1107" s="9"/>
      <c r="GH1107" s="9"/>
      <c r="GI1107" s="9"/>
      <c r="GJ1107" s="9"/>
      <c r="GK1107" s="9"/>
      <c r="GL1107" s="9"/>
      <c r="GM1107" s="9"/>
      <c r="GN1107" s="9"/>
      <c r="GO1107" s="9"/>
      <c r="GP1107" s="9"/>
      <c r="GQ1107" s="9"/>
      <c r="GR1107" s="9"/>
      <c r="GS1107" s="9"/>
      <c r="GT1107" s="9"/>
      <c r="GU1107" s="9"/>
      <c r="GV1107" s="9"/>
      <c r="GW1107" s="9"/>
      <c r="GX1107" s="9"/>
      <c r="GY1107" s="9"/>
      <c r="GZ1107" s="9"/>
      <c r="HA1107" s="9"/>
      <c r="HB1107" s="9"/>
      <c r="HC1107" s="9"/>
      <c r="HD1107" s="9"/>
      <c r="HE1107" s="9"/>
      <c r="HF1107" s="9"/>
      <c r="HG1107" s="9"/>
      <c r="HH1107" s="9"/>
      <c r="HI1107" s="9"/>
      <c r="HJ1107" s="9"/>
      <c r="HK1107" s="9"/>
      <c r="HL1107" s="9"/>
      <c r="HM1107" s="9"/>
      <c r="HY1107" s="58"/>
    </row>
    <row r="1108" spans="140:233">
      <c r="EJ1108" s="9"/>
      <c r="EK1108" s="9"/>
      <c r="EL1108" s="9"/>
      <c r="EM1108" s="9"/>
      <c r="EN1108" s="9"/>
      <c r="EO1108" s="9"/>
      <c r="EP1108" s="9"/>
      <c r="EQ1108" s="9"/>
      <c r="ER1108" s="9"/>
      <c r="ES1108" s="9"/>
      <c r="ET1108" s="9"/>
      <c r="EU1108" s="9"/>
      <c r="EV1108" s="9"/>
      <c r="EW1108" s="9"/>
      <c r="EX1108" s="9"/>
      <c r="EY1108" s="9"/>
      <c r="EZ1108" s="9"/>
      <c r="FA1108" s="9"/>
      <c r="FB1108" s="9"/>
      <c r="FC1108" s="9"/>
      <c r="FD1108" s="9"/>
      <c r="FE1108" s="9"/>
      <c r="FF1108" s="9"/>
      <c r="FG1108" s="9"/>
      <c r="FH1108" s="9"/>
      <c r="FI1108" s="9"/>
      <c r="FJ1108" s="9"/>
      <c r="FK1108" s="9"/>
      <c r="FL1108" s="9"/>
      <c r="FM1108" s="9"/>
      <c r="FN1108" s="9"/>
      <c r="FO1108" s="9"/>
      <c r="FP1108" s="9"/>
      <c r="FQ1108" s="9"/>
      <c r="FR1108" s="9"/>
      <c r="FS1108" s="9"/>
      <c r="FT1108" s="9"/>
      <c r="FU1108" s="9"/>
      <c r="FV1108" s="9"/>
      <c r="FW1108" s="9"/>
      <c r="FX1108" s="9"/>
      <c r="FY1108" s="9"/>
      <c r="FZ1108" s="9"/>
      <c r="GA1108" s="9"/>
      <c r="GB1108" s="9"/>
      <c r="GC1108" s="9"/>
      <c r="GD1108" s="9"/>
      <c r="GE1108" s="9"/>
      <c r="GF1108" s="9"/>
      <c r="GG1108" s="9"/>
      <c r="GH1108" s="9"/>
      <c r="GI1108" s="9"/>
      <c r="GJ1108" s="9"/>
      <c r="GK1108" s="9"/>
      <c r="GL1108" s="9"/>
      <c r="GM1108" s="9"/>
      <c r="GN1108" s="9"/>
      <c r="GO1108" s="9"/>
      <c r="GP1108" s="9"/>
      <c r="GQ1108" s="9"/>
      <c r="GR1108" s="9"/>
      <c r="GS1108" s="9"/>
      <c r="GT1108" s="9"/>
      <c r="GU1108" s="9"/>
      <c r="GV1108" s="9"/>
      <c r="GW1108" s="9"/>
      <c r="GX1108" s="9"/>
      <c r="GY1108" s="9"/>
      <c r="GZ1108" s="9"/>
      <c r="HA1108" s="9"/>
      <c r="HB1108" s="9"/>
      <c r="HC1108" s="9"/>
      <c r="HD1108" s="9"/>
      <c r="HE1108" s="9"/>
      <c r="HF1108" s="9"/>
      <c r="HG1108" s="9"/>
      <c r="HH1108" s="9"/>
      <c r="HI1108" s="9"/>
      <c r="HJ1108" s="9"/>
      <c r="HK1108" s="9"/>
      <c r="HL1108" s="9"/>
      <c r="HM1108" s="9"/>
      <c r="HY1108" s="58"/>
    </row>
    <row r="1109" spans="140:233">
      <c r="EJ1109" s="9"/>
      <c r="EK1109" s="9"/>
      <c r="EL1109" s="9"/>
      <c r="EM1109" s="9"/>
      <c r="EN1109" s="9"/>
      <c r="EO1109" s="9"/>
      <c r="EP1109" s="9"/>
      <c r="EQ1109" s="9"/>
      <c r="ER1109" s="9"/>
      <c r="ES1109" s="9"/>
      <c r="ET1109" s="9"/>
      <c r="EU1109" s="9"/>
      <c r="EV1109" s="9"/>
      <c r="EW1109" s="9"/>
      <c r="EX1109" s="9"/>
      <c r="EY1109" s="9"/>
      <c r="EZ1109" s="9"/>
      <c r="FA1109" s="9"/>
      <c r="FB1109" s="9"/>
      <c r="FC1109" s="9"/>
      <c r="FD1109" s="9"/>
      <c r="FE1109" s="9"/>
      <c r="FF1109" s="9"/>
      <c r="FG1109" s="9"/>
      <c r="FH1109" s="9"/>
      <c r="FI1109" s="9"/>
      <c r="FJ1109" s="9"/>
      <c r="FK1109" s="9"/>
      <c r="FL1109" s="9"/>
      <c r="FM1109" s="9"/>
      <c r="FN1109" s="9"/>
      <c r="FO1109" s="9"/>
      <c r="FP1109" s="9"/>
      <c r="FQ1109" s="9"/>
      <c r="FR1109" s="9"/>
      <c r="FS1109" s="9"/>
      <c r="FT1109" s="9"/>
      <c r="FU1109" s="9"/>
      <c r="FV1109" s="9"/>
      <c r="FW1109" s="9"/>
      <c r="FX1109" s="9"/>
      <c r="FY1109" s="9"/>
      <c r="FZ1109" s="9"/>
      <c r="GA1109" s="9"/>
      <c r="GB1109" s="9"/>
      <c r="GC1109" s="9"/>
      <c r="GD1109" s="9"/>
      <c r="GE1109" s="9"/>
      <c r="GF1109" s="9"/>
      <c r="GG1109" s="9"/>
      <c r="GH1109" s="9"/>
      <c r="GI1109" s="9"/>
      <c r="GJ1109" s="9"/>
      <c r="GK1109" s="9"/>
      <c r="GL1109" s="9"/>
      <c r="GM1109" s="9"/>
      <c r="GN1109" s="9"/>
      <c r="GO1109" s="9"/>
      <c r="GP1109" s="9"/>
      <c r="GQ1109" s="9"/>
      <c r="GR1109" s="9"/>
      <c r="GS1109" s="9"/>
      <c r="GT1109" s="9"/>
      <c r="GU1109" s="9"/>
      <c r="GV1109" s="9"/>
      <c r="GW1109" s="9"/>
      <c r="GX1109" s="9"/>
      <c r="GY1109" s="9"/>
      <c r="GZ1109" s="9"/>
      <c r="HA1109" s="9"/>
      <c r="HB1109" s="9"/>
      <c r="HC1109" s="9"/>
      <c r="HD1109" s="9"/>
      <c r="HE1109" s="9"/>
      <c r="HF1109" s="9"/>
      <c r="HG1109" s="9"/>
      <c r="HH1109" s="9"/>
      <c r="HI1109" s="9"/>
      <c r="HJ1109" s="9"/>
      <c r="HK1109" s="9"/>
      <c r="HL1109" s="9"/>
      <c r="HM1109" s="9"/>
      <c r="HY1109" s="58"/>
    </row>
    <row r="1110" spans="140:233">
      <c r="EJ1110" s="9"/>
      <c r="EK1110" s="9"/>
      <c r="EL1110" s="9"/>
      <c r="EM1110" s="9"/>
      <c r="EN1110" s="9"/>
      <c r="EO1110" s="9"/>
      <c r="EP1110" s="9"/>
      <c r="EQ1110" s="9"/>
      <c r="ER1110" s="9"/>
      <c r="ES1110" s="9"/>
      <c r="ET1110" s="9"/>
      <c r="EU1110" s="9"/>
      <c r="EV1110" s="9"/>
      <c r="EW1110" s="9"/>
      <c r="EX1110" s="9"/>
      <c r="EY1110" s="9"/>
      <c r="EZ1110" s="9"/>
      <c r="FA1110" s="9"/>
      <c r="FB1110" s="9"/>
      <c r="FC1110" s="9"/>
      <c r="FD1110" s="9"/>
      <c r="FE1110" s="9"/>
      <c r="FF1110" s="9"/>
      <c r="FG1110" s="9"/>
      <c r="FH1110" s="9"/>
      <c r="FI1110" s="9"/>
      <c r="FJ1110" s="9"/>
      <c r="FK1110" s="9"/>
      <c r="FL1110" s="9"/>
      <c r="FM1110" s="9"/>
      <c r="FN1110" s="9"/>
      <c r="FO1110" s="9"/>
      <c r="FP1110" s="9"/>
      <c r="FQ1110" s="9"/>
      <c r="FR1110" s="9"/>
      <c r="FS1110" s="9"/>
      <c r="FT1110" s="9"/>
      <c r="FU1110" s="9"/>
      <c r="FV1110" s="9"/>
      <c r="FW1110" s="9"/>
      <c r="FX1110" s="9"/>
      <c r="FY1110" s="9"/>
      <c r="FZ1110" s="9"/>
      <c r="GA1110" s="9"/>
      <c r="GB1110" s="9"/>
      <c r="GC1110" s="9"/>
      <c r="GD1110" s="9"/>
      <c r="GE1110" s="9"/>
      <c r="GF1110" s="9"/>
      <c r="GG1110" s="9"/>
      <c r="GH1110" s="9"/>
      <c r="GI1110" s="9"/>
      <c r="GJ1110" s="9"/>
      <c r="GK1110" s="9"/>
      <c r="GL1110" s="9"/>
      <c r="GM1110" s="9"/>
      <c r="GN1110" s="9"/>
      <c r="GO1110" s="9"/>
      <c r="GP1110" s="9"/>
      <c r="GQ1110" s="9"/>
      <c r="GR1110" s="9"/>
      <c r="GS1110" s="9"/>
      <c r="GT1110" s="9"/>
      <c r="GU1110" s="9"/>
      <c r="GV1110" s="9"/>
      <c r="GW1110" s="9"/>
      <c r="GX1110" s="9"/>
      <c r="GY1110" s="9"/>
      <c r="GZ1110" s="9"/>
      <c r="HA1110" s="9"/>
      <c r="HB1110" s="9"/>
      <c r="HC1110" s="9"/>
      <c r="HD1110" s="9"/>
      <c r="HE1110" s="9"/>
      <c r="HF1110" s="9"/>
      <c r="HG1110" s="9"/>
      <c r="HH1110" s="9"/>
      <c r="HI1110" s="9"/>
      <c r="HJ1110" s="9"/>
      <c r="HK1110" s="9"/>
      <c r="HL1110" s="9"/>
      <c r="HM1110" s="9"/>
      <c r="HY1110" s="58"/>
    </row>
    <row r="1111" spans="140:233">
      <c r="EJ1111" s="9"/>
      <c r="EK1111" s="9"/>
      <c r="EL1111" s="9"/>
      <c r="EM1111" s="9"/>
      <c r="EN1111" s="9"/>
      <c r="EO1111" s="9"/>
      <c r="EP1111" s="9"/>
      <c r="EQ1111" s="9"/>
      <c r="ER1111" s="9"/>
      <c r="ES1111" s="9"/>
      <c r="ET1111" s="9"/>
      <c r="EU1111" s="9"/>
      <c r="EV1111" s="9"/>
      <c r="EW1111" s="9"/>
      <c r="EX1111" s="9"/>
      <c r="EY1111" s="9"/>
      <c r="EZ1111" s="9"/>
      <c r="FA1111" s="9"/>
      <c r="FB1111" s="9"/>
      <c r="FC1111" s="9"/>
      <c r="FD1111" s="9"/>
      <c r="FE1111" s="9"/>
      <c r="FF1111" s="9"/>
      <c r="FG1111" s="9"/>
      <c r="FH1111" s="9"/>
      <c r="FI1111" s="9"/>
      <c r="FJ1111" s="9"/>
      <c r="FK1111" s="9"/>
      <c r="FL1111" s="9"/>
      <c r="FM1111" s="9"/>
      <c r="FN1111" s="9"/>
      <c r="FO1111" s="9"/>
      <c r="FP1111" s="9"/>
      <c r="FQ1111" s="9"/>
      <c r="FR1111" s="9"/>
      <c r="FS1111" s="9"/>
      <c r="FT1111" s="9"/>
      <c r="FU1111" s="9"/>
      <c r="FV1111" s="9"/>
      <c r="FW1111" s="9"/>
      <c r="FX1111" s="9"/>
      <c r="FY1111" s="9"/>
      <c r="FZ1111" s="9"/>
      <c r="GA1111" s="9"/>
      <c r="GB1111" s="9"/>
      <c r="GC1111" s="9"/>
      <c r="GD1111" s="9"/>
      <c r="GE1111" s="9"/>
      <c r="GF1111" s="9"/>
      <c r="GG1111" s="9"/>
      <c r="GH1111" s="9"/>
      <c r="GI1111" s="9"/>
      <c r="GJ1111" s="9"/>
      <c r="GK1111" s="9"/>
      <c r="GL1111" s="9"/>
      <c r="GM1111" s="9"/>
      <c r="GN1111" s="9"/>
      <c r="GO1111" s="9"/>
      <c r="GP1111" s="9"/>
      <c r="GQ1111" s="9"/>
      <c r="GR1111" s="9"/>
      <c r="GS1111" s="9"/>
      <c r="GT1111" s="9"/>
      <c r="GU1111" s="9"/>
      <c r="GV1111" s="9"/>
      <c r="GW1111" s="9"/>
      <c r="GX1111" s="9"/>
      <c r="GY1111" s="9"/>
      <c r="GZ1111" s="9"/>
      <c r="HA1111" s="9"/>
      <c r="HB1111" s="9"/>
      <c r="HC1111" s="9"/>
      <c r="HD1111" s="9"/>
      <c r="HE1111" s="9"/>
      <c r="HF1111" s="9"/>
      <c r="HG1111" s="9"/>
      <c r="HH1111" s="9"/>
      <c r="HI1111" s="9"/>
      <c r="HJ1111" s="9"/>
      <c r="HK1111" s="9"/>
      <c r="HL1111" s="9"/>
      <c r="HM1111" s="9"/>
      <c r="HY1111" s="58"/>
    </row>
    <row r="1112" spans="140:233">
      <c r="EJ1112" s="9"/>
      <c r="EK1112" s="9"/>
      <c r="EL1112" s="9"/>
      <c r="EM1112" s="9"/>
      <c r="EN1112" s="9"/>
      <c r="EO1112" s="9"/>
      <c r="EP1112" s="9"/>
      <c r="EQ1112" s="9"/>
      <c r="ER1112" s="9"/>
      <c r="ES1112" s="9"/>
      <c r="ET1112" s="9"/>
      <c r="EU1112" s="9"/>
      <c r="EV1112" s="9"/>
      <c r="EW1112" s="9"/>
      <c r="EX1112" s="9"/>
      <c r="EY1112" s="9"/>
      <c r="EZ1112" s="9"/>
      <c r="FA1112" s="9"/>
      <c r="FB1112" s="9"/>
      <c r="FC1112" s="9"/>
      <c r="FD1112" s="9"/>
      <c r="FE1112" s="9"/>
      <c r="FF1112" s="9"/>
      <c r="FG1112" s="9"/>
      <c r="FH1112" s="9"/>
      <c r="FI1112" s="9"/>
      <c r="FJ1112" s="9"/>
      <c r="FK1112" s="9"/>
      <c r="FL1112" s="9"/>
      <c r="FM1112" s="9"/>
      <c r="FN1112" s="9"/>
      <c r="FO1112" s="9"/>
      <c r="FP1112" s="9"/>
      <c r="FQ1112" s="9"/>
      <c r="FR1112" s="9"/>
      <c r="FS1112" s="9"/>
      <c r="FT1112" s="9"/>
      <c r="FU1112" s="9"/>
      <c r="FV1112" s="9"/>
      <c r="FW1112" s="9"/>
      <c r="FX1112" s="9"/>
      <c r="FY1112" s="9"/>
      <c r="FZ1112" s="9"/>
      <c r="GA1112" s="9"/>
      <c r="GB1112" s="9"/>
      <c r="GC1112" s="9"/>
      <c r="GD1112" s="9"/>
      <c r="GE1112" s="9"/>
      <c r="GF1112" s="9"/>
      <c r="GG1112" s="9"/>
      <c r="GH1112" s="9"/>
      <c r="GI1112" s="9"/>
      <c r="GJ1112" s="9"/>
      <c r="GK1112" s="9"/>
      <c r="GL1112" s="9"/>
      <c r="GM1112" s="9"/>
      <c r="GN1112" s="9"/>
      <c r="GO1112" s="9"/>
      <c r="GP1112" s="9"/>
      <c r="GQ1112" s="9"/>
      <c r="GR1112" s="9"/>
      <c r="GS1112" s="9"/>
      <c r="GT1112" s="9"/>
      <c r="GU1112" s="9"/>
      <c r="GV1112" s="9"/>
      <c r="GW1112" s="9"/>
      <c r="GX1112" s="9"/>
      <c r="GY1112" s="9"/>
      <c r="GZ1112" s="9"/>
      <c r="HA1112" s="9"/>
      <c r="HB1112" s="9"/>
      <c r="HC1112" s="9"/>
      <c r="HD1112" s="9"/>
      <c r="HE1112" s="9"/>
      <c r="HF1112" s="9"/>
      <c r="HG1112" s="9"/>
      <c r="HH1112" s="9"/>
      <c r="HI1112" s="9"/>
      <c r="HJ1112" s="9"/>
      <c r="HK1112" s="9"/>
      <c r="HL1112" s="9"/>
      <c r="HM1112" s="9"/>
      <c r="HY1112" s="58"/>
    </row>
    <row r="1113" spans="140:233">
      <c r="EJ1113" s="9"/>
      <c r="EK1113" s="9"/>
      <c r="EL1113" s="9"/>
      <c r="EM1113" s="9"/>
      <c r="EN1113" s="9"/>
      <c r="EO1113" s="9"/>
      <c r="EP1113" s="9"/>
      <c r="EQ1113" s="9"/>
      <c r="ER1113" s="9"/>
      <c r="ES1113" s="9"/>
      <c r="ET1113" s="9"/>
      <c r="EU1113" s="9"/>
      <c r="EV1113" s="9"/>
      <c r="EW1113" s="9"/>
      <c r="EX1113" s="9"/>
      <c r="EY1113" s="9"/>
      <c r="EZ1113" s="9"/>
      <c r="FA1113" s="9"/>
      <c r="FB1113" s="9"/>
      <c r="FC1113" s="9"/>
      <c r="FD1113" s="9"/>
      <c r="FE1113" s="9"/>
      <c r="FF1113" s="9"/>
      <c r="FG1113" s="9"/>
      <c r="FH1113" s="9"/>
      <c r="FI1113" s="9"/>
      <c r="FJ1113" s="9"/>
      <c r="FK1113" s="9"/>
      <c r="FL1113" s="9"/>
      <c r="FM1113" s="9"/>
      <c r="FN1113" s="9"/>
      <c r="FO1113" s="9"/>
      <c r="FP1113" s="9"/>
      <c r="FQ1113" s="9"/>
      <c r="FR1113" s="9"/>
      <c r="FS1113" s="9"/>
      <c r="FT1113" s="9"/>
      <c r="FU1113" s="9"/>
      <c r="FV1113" s="9"/>
      <c r="FW1113" s="9"/>
      <c r="FX1113" s="9"/>
      <c r="FY1113" s="9"/>
      <c r="FZ1113" s="9"/>
      <c r="GA1113" s="9"/>
      <c r="GB1113" s="9"/>
      <c r="GC1113" s="9"/>
      <c r="GD1113" s="9"/>
      <c r="GE1113" s="9"/>
      <c r="GF1113" s="9"/>
      <c r="GG1113" s="9"/>
      <c r="GH1113" s="9"/>
      <c r="GI1113" s="9"/>
      <c r="GJ1113" s="9"/>
      <c r="GK1113" s="9"/>
      <c r="GL1113" s="9"/>
      <c r="GM1113" s="9"/>
      <c r="GN1113" s="9"/>
      <c r="GO1113" s="9"/>
      <c r="GP1113" s="9"/>
      <c r="GQ1113" s="9"/>
      <c r="GR1113" s="9"/>
      <c r="GS1113" s="9"/>
      <c r="GT1113" s="9"/>
      <c r="GU1113" s="9"/>
      <c r="GV1113" s="9"/>
      <c r="GW1113" s="9"/>
      <c r="GX1113" s="9"/>
      <c r="GY1113" s="9"/>
      <c r="GZ1113" s="9"/>
      <c r="HA1113" s="9"/>
      <c r="HB1113" s="9"/>
      <c r="HC1113" s="9"/>
      <c r="HD1113" s="9"/>
      <c r="HE1113" s="9"/>
      <c r="HF1113" s="9"/>
      <c r="HG1113" s="9"/>
      <c r="HH1113" s="9"/>
      <c r="HI1113" s="9"/>
      <c r="HJ1113" s="9"/>
      <c r="HK1113" s="9"/>
      <c r="HL1113" s="9"/>
      <c r="HM1113" s="9"/>
      <c r="HY1113" s="58"/>
    </row>
    <row r="1114" spans="140:233">
      <c r="EJ1114" s="9"/>
      <c r="EK1114" s="9"/>
      <c r="EL1114" s="9"/>
      <c r="EM1114" s="9"/>
      <c r="EN1114" s="9"/>
      <c r="EO1114" s="9"/>
      <c r="EP1114" s="9"/>
      <c r="EQ1114" s="9"/>
      <c r="ER1114" s="9"/>
      <c r="ES1114" s="9"/>
      <c r="ET1114" s="9"/>
      <c r="EU1114" s="9"/>
      <c r="EV1114" s="9"/>
      <c r="EW1114" s="9"/>
      <c r="EX1114" s="9"/>
      <c r="EY1114" s="9"/>
      <c r="EZ1114" s="9"/>
      <c r="FA1114" s="9"/>
      <c r="FB1114" s="9"/>
      <c r="FC1114" s="9"/>
      <c r="FD1114" s="9"/>
      <c r="FE1114" s="9"/>
      <c r="FF1114" s="9"/>
      <c r="FG1114" s="9"/>
      <c r="FH1114" s="9"/>
      <c r="FI1114" s="9"/>
      <c r="FJ1114" s="9"/>
      <c r="FK1114" s="9"/>
      <c r="FL1114" s="9"/>
      <c r="FM1114" s="9"/>
      <c r="FN1114" s="9"/>
      <c r="FO1114" s="9"/>
      <c r="FP1114" s="9"/>
      <c r="FQ1114" s="9"/>
      <c r="FR1114" s="9"/>
      <c r="FS1114" s="9"/>
      <c r="FT1114" s="9"/>
      <c r="FU1114" s="9"/>
      <c r="FV1114" s="9"/>
      <c r="FW1114" s="9"/>
      <c r="FX1114" s="9"/>
      <c r="FY1114" s="9"/>
      <c r="FZ1114" s="9"/>
      <c r="GA1114" s="9"/>
      <c r="GB1114" s="9"/>
      <c r="GC1114" s="9"/>
      <c r="GD1114" s="9"/>
      <c r="GE1114" s="9"/>
      <c r="GF1114" s="9"/>
      <c r="GG1114" s="9"/>
      <c r="GH1114" s="9"/>
      <c r="GI1114" s="9"/>
      <c r="GJ1114" s="9"/>
      <c r="GK1114" s="9"/>
      <c r="GL1114" s="9"/>
      <c r="GM1114" s="9"/>
      <c r="GN1114" s="9"/>
      <c r="GO1114" s="9"/>
      <c r="GP1114" s="9"/>
      <c r="GQ1114" s="9"/>
      <c r="GR1114" s="9"/>
      <c r="GS1114" s="9"/>
      <c r="GT1114" s="9"/>
      <c r="GU1114" s="9"/>
      <c r="GV1114" s="9"/>
      <c r="GW1114" s="9"/>
      <c r="GX1114" s="9"/>
      <c r="GY1114" s="9"/>
      <c r="GZ1114" s="9"/>
      <c r="HA1114" s="9"/>
      <c r="HB1114" s="9"/>
      <c r="HC1114" s="9"/>
      <c r="HD1114" s="9"/>
      <c r="HE1114" s="9"/>
      <c r="HF1114" s="9"/>
      <c r="HG1114" s="9"/>
      <c r="HH1114" s="9"/>
      <c r="HI1114" s="9"/>
      <c r="HJ1114" s="9"/>
      <c r="HK1114" s="9"/>
      <c r="HL1114" s="9"/>
      <c r="HM1114" s="9"/>
      <c r="HY1114" s="58"/>
    </row>
    <row r="1115" spans="140:233">
      <c r="EJ1115" s="9"/>
      <c r="EK1115" s="9"/>
      <c r="EL1115" s="9"/>
      <c r="EM1115" s="9"/>
      <c r="EN1115" s="9"/>
      <c r="EO1115" s="9"/>
      <c r="EP1115" s="9"/>
      <c r="EQ1115" s="9"/>
      <c r="ER1115" s="9"/>
      <c r="ES1115" s="9"/>
      <c r="ET1115" s="9"/>
      <c r="EU1115" s="9"/>
      <c r="EV1115" s="9"/>
      <c r="EW1115" s="9"/>
      <c r="EX1115" s="9"/>
      <c r="EY1115" s="9"/>
      <c r="EZ1115" s="9"/>
      <c r="FA1115" s="9"/>
      <c r="FB1115" s="9"/>
      <c r="FC1115" s="9"/>
      <c r="FD1115" s="9"/>
      <c r="FE1115" s="9"/>
      <c r="FF1115" s="9"/>
      <c r="FG1115" s="9"/>
      <c r="FH1115" s="9"/>
      <c r="FI1115" s="9"/>
      <c r="FJ1115" s="9"/>
      <c r="FK1115" s="9"/>
      <c r="FL1115" s="9"/>
      <c r="FM1115" s="9"/>
      <c r="FN1115" s="9"/>
      <c r="FO1115" s="9"/>
      <c r="FP1115" s="9"/>
      <c r="FQ1115" s="9"/>
      <c r="FR1115" s="9"/>
      <c r="FS1115" s="9"/>
      <c r="FT1115" s="9"/>
      <c r="FU1115" s="9"/>
      <c r="FV1115" s="9"/>
      <c r="FW1115" s="9"/>
      <c r="FX1115" s="9"/>
      <c r="FY1115" s="9"/>
      <c r="FZ1115" s="9"/>
      <c r="GA1115" s="9"/>
      <c r="GB1115" s="9"/>
      <c r="GC1115" s="9"/>
      <c r="GD1115" s="9"/>
      <c r="GE1115" s="9"/>
      <c r="GF1115" s="9"/>
      <c r="GG1115" s="9"/>
      <c r="GH1115" s="9"/>
      <c r="GI1115" s="9"/>
      <c r="GJ1115" s="9"/>
      <c r="GK1115" s="9"/>
      <c r="GL1115" s="9"/>
      <c r="GM1115" s="9"/>
      <c r="GN1115" s="9"/>
      <c r="GO1115" s="9"/>
      <c r="GP1115" s="9"/>
      <c r="GQ1115" s="9"/>
      <c r="GR1115" s="9"/>
      <c r="GS1115" s="9"/>
      <c r="GT1115" s="9"/>
      <c r="GU1115" s="9"/>
      <c r="GV1115" s="9"/>
      <c r="GW1115" s="9"/>
      <c r="GX1115" s="9"/>
      <c r="GY1115" s="9"/>
      <c r="GZ1115" s="9"/>
      <c r="HA1115" s="9"/>
      <c r="HB1115" s="9"/>
      <c r="HC1115" s="9"/>
      <c r="HD1115" s="9"/>
      <c r="HE1115" s="9"/>
      <c r="HF1115" s="9"/>
      <c r="HG1115" s="9"/>
      <c r="HH1115" s="9"/>
      <c r="HI1115" s="9"/>
      <c r="HJ1115" s="9"/>
      <c r="HK1115" s="9"/>
      <c r="HL1115" s="9"/>
      <c r="HM1115" s="9"/>
      <c r="HY1115" s="58"/>
    </row>
    <row r="1116" spans="140:233">
      <c r="EJ1116" s="9"/>
      <c r="EK1116" s="9"/>
      <c r="EL1116" s="9"/>
      <c r="EM1116" s="9"/>
      <c r="EN1116" s="9"/>
      <c r="EO1116" s="9"/>
      <c r="EP1116" s="9"/>
      <c r="EQ1116" s="9"/>
      <c r="ER1116" s="9"/>
      <c r="ES1116" s="9"/>
      <c r="ET1116" s="9"/>
      <c r="EU1116" s="9"/>
      <c r="EV1116" s="9"/>
      <c r="EW1116" s="9"/>
      <c r="EX1116" s="9"/>
      <c r="EY1116" s="9"/>
      <c r="EZ1116" s="9"/>
      <c r="FA1116" s="9"/>
      <c r="FB1116" s="9"/>
      <c r="FC1116" s="9"/>
      <c r="FD1116" s="9"/>
      <c r="FE1116" s="9"/>
      <c r="FF1116" s="9"/>
      <c r="FG1116" s="9"/>
      <c r="FH1116" s="9"/>
      <c r="FI1116" s="9"/>
      <c r="FJ1116" s="9"/>
      <c r="FK1116" s="9"/>
      <c r="FL1116" s="9"/>
      <c r="FM1116" s="9"/>
      <c r="FN1116" s="9"/>
      <c r="FO1116" s="9"/>
      <c r="FP1116" s="9"/>
      <c r="FQ1116" s="9"/>
      <c r="FR1116" s="9"/>
      <c r="FS1116" s="9"/>
      <c r="FT1116" s="9"/>
      <c r="FU1116" s="9"/>
      <c r="FV1116" s="9"/>
      <c r="FW1116" s="9"/>
      <c r="FX1116" s="9"/>
      <c r="FY1116" s="9"/>
      <c r="FZ1116" s="9"/>
      <c r="GA1116" s="9"/>
      <c r="GB1116" s="9"/>
      <c r="GC1116" s="9"/>
      <c r="GD1116" s="9"/>
      <c r="GE1116" s="9"/>
      <c r="GF1116" s="9"/>
      <c r="GG1116" s="9"/>
      <c r="GH1116" s="9"/>
      <c r="GI1116" s="9"/>
      <c r="GJ1116" s="9"/>
      <c r="GK1116" s="9"/>
      <c r="GL1116" s="9"/>
      <c r="GM1116" s="9"/>
      <c r="GN1116" s="9"/>
      <c r="GO1116" s="9"/>
      <c r="GP1116" s="9"/>
      <c r="GQ1116" s="9"/>
      <c r="GR1116" s="9"/>
      <c r="GS1116" s="9"/>
      <c r="GT1116" s="9"/>
      <c r="GU1116" s="9"/>
      <c r="GV1116" s="9"/>
      <c r="GW1116" s="9"/>
      <c r="GX1116" s="9"/>
      <c r="GY1116" s="9"/>
      <c r="GZ1116" s="9"/>
      <c r="HA1116" s="9"/>
      <c r="HB1116" s="9"/>
      <c r="HC1116" s="9"/>
      <c r="HD1116" s="9"/>
      <c r="HE1116" s="9"/>
      <c r="HF1116" s="9"/>
      <c r="HG1116" s="9"/>
      <c r="HH1116" s="9"/>
      <c r="HI1116" s="9"/>
      <c r="HJ1116" s="9"/>
      <c r="HK1116" s="9"/>
      <c r="HL1116" s="9"/>
      <c r="HM1116" s="9"/>
      <c r="HY1116" s="58"/>
    </row>
    <row r="1117" spans="140:233">
      <c r="EJ1117" s="9"/>
      <c r="EK1117" s="9"/>
      <c r="EL1117" s="9"/>
      <c r="EM1117" s="9"/>
      <c r="EN1117" s="9"/>
      <c r="EO1117" s="9"/>
      <c r="EP1117" s="9"/>
      <c r="EQ1117" s="9"/>
      <c r="ER1117" s="9"/>
      <c r="ES1117" s="9"/>
      <c r="ET1117" s="9"/>
      <c r="EU1117" s="9"/>
      <c r="EV1117" s="9"/>
      <c r="EW1117" s="9"/>
      <c r="EX1117" s="9"/>
      <c r="EY1117" s="9"/>
      <c r="EZ1117" s="9"/>
      <c r="FA1117" s="9"/>
      <c r="FB1117" s="9"/>
      <c r="FC1117" s="9"/>
      <c r="FD1117" s="9"/>
      <c r="FE1117" s="9"/>
      <c r="FF1117" s="9"/>
      <c r="FG1117" s="9"/>
      <c r="FH1117" s="9"/>
      <c r="FI1117" s="9"/>
      <c r="FJ1117" s="9"/>
      <c r="FK1117" s="9"/>
      <c r="FL1117" s="9"/>
      <c r="FM1117" s="9"/>
      <c r="FN1117" s="9"/>
      <c r="FO1117" s="9"/>
      <c r="FP1117" s="9"/>
      <c r="FQ1117" s="9"/>
      <c r="FR1117" s="9"/>
      <c r="FS1117" s="9"/>
      <c r="FT1117" s="9"/>
      <c r="FU1117" s="9"/>
      <c r="FV1117" s="9"/>
      <c r="FW1117" s="9"/>
      <c r="FX1117" s="9"/>
      <c r="FY1117" s="9"/>
      <c r="FZ1117" s="9"/>
      <c r="GA1117" s="9"/>
      <c r="GB1117" s="9"/>
      <c r="GC1117" s="9"/>
      <c r="GD1117" s="9"/>
      <c r="GE1117" s="9"/>
      <c r="GF1117" s="9"/>
      <c r="GG1117" s="9"/>
      <c r="GH1117" s="9"/>
      <c r="GI1117" s="9"/>
      <c r="GJ1117" s="9"/>
      <c r="GK1117" s="9"/>
      <c r="GL1117" s="9"/>
      <c r="GM1117" s="9"/>
      <c r="GN1117" s="9"/>
      <c r="GO1117" s="9"/>
      <c r="GP1117" s="9"/>
      <c r="GQ1117" s="9"/>
      <c r="GR1117" s="9"/>
      <c r="GS1117" s="9"/>
      <c r="GT1117" s="9"/>
      <c r="GU1117" s="9"/>
      <c r="GV1117" s="9"/>
      <c r="GW1117" s="9"/>
      <c r="GX1117" s="9"/>
      <c r="GY1117" s="9"/>
      <c r="GZ1117" s="9"/>
      <c r="HA1117" s="9"/>
      <c r="HB1117" s="9"/>
      <c r="HC1117" s="9"/>
      <c r="HD1117" s="9"/>
      <c r="HE1117" s="9"/>
      <c r="HF1117" s="9"/>
      <c r="HG1117" s="9"/>
      <c r="HH1117" s="9"/>
      <c r="HI1117" s="9"/>
      <c r="HJ1117" s="9"/>
      <c r="HK1117" s="9"/>
      <c r="HL1117" s="9"/>
      <c r="HM1117" s="9"/>
      <c r="HY1117" s="58"/>
    </row>
    <row r="1118" spans="140:233">
      <c r="EJ1118" s="9"/>
      <c r="EK1118" s="9"/>
      <c r="EL1118" s="9"/>
      <c r="EM1118" s="9"/>
      <c r="EN1118" s="9"/>
      <c r="EO1118" s="9"/>
      <c r="EP1118" s="9"/>
      <c r="EQ1118" s="9"/>
      <c r="ER1118" s="9"/>
      <c r="ES1118" s="9"/>
      <c r="ET1118" s="9"/>
      <c r="EU1118" s="9"/>
      <c r="EV1118" s="9"/>
      <c r="EW1118" s="9"/>
      <c r="EX1118" s="9"/>
      <c r="EY1118" s="9"/>
      <c r="EZ1118" s="9"/>
      <c r="FA1118" s="9"/>
      <c r="FB1118" s="9"/>
      <c r="FC1118" s="9"/>
      <c r="FD1118" s="9"/>
      <c r="FE1118" s="9"/>
      <c r="FF1118" s="9"/>
      <c r="FG1118" s="9"/>
      <c r="FH1118" s="9"/>
      <c r="FI1118" s="9"/>
      <c r="FJ1118" s="9"/>
      <c r="FK1118" s="9"/>
      <c r="FL1118" s="9"/>
      <c r="FM1118" s="9"/>
      <c r="FN1118" s="9"/>
      <c r="FO1118" s="9"/>
      <c r="FP1118" s="9"/>
      <c r="FQ1118" s="9"/>
      <c r="FR1118" s="9"/>
      <c r="FS1118" s="9"/>
      <c r="FT1118" s="9"/>
      <c r="FU1118" s="9"/>
      <c r="FV1118" s="9"/>
      <c r="FW1118" s="9"/>
      <c r="FX1118" s="9"/>
      <c r="FY1118" s="9"/>
      <c r="FZ1118" s="9"/>
      <c r="GA1118" s="9"/>
      <c r="GB1118" s="9"/>
      <c r="GC1118" s="9"/>
      <c r="GD1118" s="9"/>
      <c r="GE1118" s="9"/>
      <c r="GF1118" s="9"/>
      <c r="GG1118" s="9"/>
      <c r="GH1118" s="9"/>
      <c r="GI1118" s="9"/>
      <c r="GJ1118" s="9"/>
      <c r="GK1118" s="9"/>
      <c r="GL1118" s="9"/>
      <c r="GM1118" s="9"/>
      <c r="GN1118" s="9"/>
      <c r="GO1118" s="9"/>
      <c r="GP1118" s="9"/>
      <c r="GQ1118" s="9"/>
      <c r="GR1118" s="9"/>
      <c r="GS1118" s="9"/>
      <c r="GT1118" s="9"/>
      <c r="GU1118" s="9"/>
      <c r="GV1118" s="9"/>
      <c r="GW1118" s="9"/>
      <c r="GX1118" s="9"/>
      <c r="GY1118" s="9"/>
      <c r="GZ1118" s="9"/>
      <c r="HA1118" s="9"/>
      <c r="HB1118" s="9"/>
      <c r="HC1118" s="9"/>
      <c r="HD1118" s="9"/>
      <c r="HE1118" s="9"/>
      <c r="HF1118" s="9"/>
      <c r="HG1118" s="9"/>
      <c r="HH1118" s="9"/>
      <c r="HI1118" s="9"/>
      <c r="HJ1118" s="9"/>
      <c r="HK1118" s="9"/>
      <c r="HL1118" s="9"/>
      <c r="HM1118" s="9"/>
      <c r="HY1118" s="58"/>
    </row>
    <row r="1119" spans="140:233">
      <c r="EJ1119" s="9"/>
      <c r="EK1119" s="9"/>
      <c r="EL1119" s="9"/>
      <c r="EM1119" s="9"/>
      <c r="EN1119" s="9"/>
      <c r="EO1119" s="9"/>
      <c r="EP1119" s="9"/>
      <c r="EQ1119" s="9"/>
      <c r="ER1119" s="9"/>
      <c r="ES1119" s="9"/>
      <c r="ET1119" s="9"/>
      <c r="EU1119" s="9"/>
      <c r="EV1119" s="9"/>
      <c r="EW1119" s="9"/>
      <c r="EX1119" s="9"/>
      <c r="EY1119" s="9"/>
      <c r="EZ1119" s="9"/>
      <c r="FA1119" s="9"/>
      <c r="FB1119" s="9"/>
      <c r="FC1119" s="9"/>
      <c r="FD1119" s="9"/>
      <c r="FE1119" s="9"/>
      <c r="FF1119" s="9"/>
      <c r="FG1119" s="9"/>
      <c r="FH1119" s="9"/>
      <c r="FI1119" s="9"/>
      <c r="FJ1119" s="9"/>
      <c r="FK1119" s="9"/>
      <c r="FL1119" s="9"/>
      <c r="FM1119" s="9"/>
      <c r="FN1119" s="9"/>
      <c r="FO1119" s="9"/>
      <c r="FP1119" s="9"/>
      <c r="FQ1119" s="9"/>
      <c r="FR1119" s="9"/>
      <c r="FS1119" s="9"/>
      <c r="FT1119" s="9"/>
      <c r="FU1119" s="9"/>
      <c r="FV1119" s="9"/>
      <c r="FW1119" s="9"/>
      <c r="FX1119" s="9"/>
      <c r="FY1119" s="9"/>
      <c r="FZ1119" s="9"/>
      <c r="GA1119" s="9"/>
      <c r="GB1119" s="9"/>
      <c r="GC1119" s="9"/>
      <c r="GD1119" s="9"/>
      <c r="GE1119" s="9"/>
      <c r="GF1119" s="9"/>
      <c r="GG1119" s="9"/>
      <c r="GH1119" s="9"/>
      <c r="GI1119" s="9"/>
      <c r="GJ1119" s="9"/>
      <c r="GK1119" s="9"/>
      <c r="GL1119" s="9"/>
      <c r="GM1119" s="9"/>
      <c r="GN1119" s="9"/>
      <c r="GO1119" s="9"/>
      <c r="GP1119" s="9"/>
      <c r="GQ1119" s="9"/>
      <c r="GR1119" s="9"/>
      <c r="GS1119" s="9"/>
      <c r="GT1119" s="9"/>
      <c r="GU1119" s="9"/>
      <c r="GV1119" s="9"/>
      <c r="GW1119" s="9"/>
      <c r="GX1119" s="9"/>
      <c r="GY1119" s="9"/>
      <c r="GZ1119" s="9"/>
      <c r="HA1119" s="9"/>
      <c r="HB1119" s="9"/>
      <c r="HC1119" s="9"/>
      <c r="HD1119" s="9"/>
      <c r="HE1119" s="9"/>
      <c r="HF1119" s="9"/>
      <c r="HG1119" s="9"/>
      <c r="HH1119" s="9"/>
      <c r="HI1119" s="9"/>
      <c r="HJ1119" s="9"/>
      <c r="HK1119" s="9"/>
      <c r="HL1119" s="9"/>
      <c r="HM1119" s="9"/>
      <c r="HY1119" s="58"/>
    </row>
    <row r="1120" spans="140:233">
      <c r="EJ1120" s="9"/>
      <c r="EK1120" s="9"/>
      <c r="EL1120" s="9"/>
      <c r="EM1120" s="9"/>
      <c r="EN1120" s="9"/>
      <c r="EO1120" s="9"/>
      <c r="EP1120" s="9"/>
      <c r="EQ1120" s="9"/>
      <c r="ER1120" s="9"/>
      <c r="ES1120" s="9"/>
      <c r="ET1120" s="9"/>
      <c r="EU1120" s="9"/>
      <c r="EV1120" s="9"/>
      <c r="EW1120" s="9"/>
      <c r="EX1120" s="9"/>
      <c r="EY1120" s="9"/>
      <c r="EZ1120" s="9"/>
      <c r="FA1120" s="9"/>
      <c r="FB1120" s="9"/>
      <c r="FC1120" s="9"/>
      <c r="FD1120" s="9"/>
      <c r="FE1120" s="9"/>
      <c r="FF1120" s="9"/>
      <c r="FG1120" s="9"/>
      <c r="FH1120" s="9"/>
      <c r="FI1120" s="9"/>
      <c r="FJ1120" s="9"/>
      <c r="FK1120" s="9"/>
      <c r="FL1120" s="9"/>
      <c r="FM1120" s="9"/>
      <c r="FN1120" s="9"/>
      <c r="FO1120" s="9"/>
      <c r="FP1120" s="9"/>
      <c r="FQ1120" s="9"/>
      <c r="FR1120" s="9"/>
      <c r="FS1120" s="9"/>
      <c r="FT1120" s="9"/>
      <c r="FU1120" s="9"/>
      <c r="FV1120" s="9"/>
      <c r="FW1120" s="9"/>
      <c r="FX1120" s="9"/>
      <c r="FY1120" s="9"/>
      <c r="FZ1120" s="9"/>
      <c r="GA1120" s="9"/>
      <c r="GB1120" s="9"/>
      <c r="GC1120" s="9"/>
      <c r="GD1120" s="9"/>
      <c r="GE1120" s="9"/>
      <c r="GF1120" s="9"/>
      <c r="GG1120" s="9"/>
      <c r="GH1120" s="9"/>
      <c r="GI1120" s="9"/>
      <c r="GJ1120" s="9"/>
      <c r="GK1120" s="9"/>
      <c r="GL1120" s="9"/>
      <c r="GM1120" s="9"/>
      <c r="GN1120" s="9"/>
      <c r="GO1120" s="9"/>
      <c r="GP1120" s="9"/>
      <c r="GQ1120" s="9"/>
      <c r="GR1120" s="9"/>
      <c r="GS1120" s="9"/>
      <c r="GT1120" s="9"/>
      <c r="GU1120" s="9"/>
      <c r="GV1120" s="9"/>
      <c r="GW1120" s="9"/>
      <c r="GX1120" s="9"/>
      <c r="GY1120" s="9"/>
      <c r="GZ1120" s="9"/>
      <c r="HA1120" s="9"/>
      <c r="HB1120" s="9"/>
      <c r="HC1120" s="9"/>
      <c r="HD1120" s="9"/>
      <c r="HE1120" s="9"/>
      <c r="HF1120" s="9"/>
      <c r="HG1120" s="9"/>
      <c r="HH1120" s="9"/>
      <c r="HI1120" s="9"/>
      <c r="HJ1120" s="9"/>
      <c r="HK1120" s="9"/>
      <c r="HL1120" s="9"/>
      <c r="HM1120" s="9"/>
      <c r="HY1120" s="58"/>
    </row>
    <row r="1121" spans="140:233">
      <c r="EJ1121" s="9"/>
      <c r="EK1121" s="9"/>
      <c r="EL1121" s="9"/>
      <c r="EM1121" s="9"/>
      <c r="EN1121" s="9"/>
      <c r="EO1121" s="9"/>
      <c r="EP1121" s="9"/>
      <c r="EQ1121" s="9"/>
      <c r="ER1121" s="9"/>
      <c r="ES1121" s="9"/>
      <c r="ET1121" s="9"/>
      <c r="EU1121" s="9"/>
      <c r="EV1121" s="9"/>
      <c r="EW1121" s="9"/>
      <c r="EX1121" s="9"/>
      <c r="EY1121" s="9"/>
      <c r="EZ1121" s="9"/>
      <c r="FA1121" s="9"/>
      <c r="FB1121" s="9"/>
      <c r="FC1121" s="9"/>
      <c r="FD1121" s="9"/>
      <c r="FE1121" s="9"/>
      <c r="FF1121" s="9"/>
      <c r="FG1121" s="9"/>
      <c r="FH1121" s="9"/>
      <c r="FI1121" s="9"/>
      <c r="FJ1121" s="9"/>
      <c r="FK1121" s="9"/>
      <c r="FL1121" s="9"/>
      <c r="FM1121" s="9"/>
      <c r="FN1121" s="9"/>
      <c r="FO1121" s="9"/>
      <c r="FP1121" s="9"/>
      <c r="FQ1121" s="9"/>
      <c r="FR1121" s="9"/>
      <c r="FS1121" s="9"/>
      <c r="FT1121" s="9"/>
      <c r="FU1121" s="9"/>
      <c r="FV1121" s="9"/>
      <c r="FW1121" s="9"/>
      <c r="FX1121" s="9"/>
      <c r="FY1121" s="9"/>
      <c r="FZ1121" s="9"/>
      <c r="GA1121" s="9"/>
      <c r="GB1121" s="9"/>
      <c r="GC1121" s="9"/>
      <c r="GD1121" s="9"/>
      <c r="GE1121" s="9"/>
      <c r="GF1121" s="9"/>
      <c r="GG1121" s="9"/>
      <c r="GH1121" s="9"/>
      <c r="GI1121" s="9"/>
      <c r="GJ1121" s="9"/>
      <c r="GK1121" s="9"/>
      <c r="GL1121" s="9"/>
      <c r="GM1121" s="9"/>
      <c r="GN1121" s="9"/>
      <c r="GO1121" s="9"/>
      <c r="GP1121" s="9"/>
      <c r="GQ1121" s="9"/>
      <c r="GR1121" s="9"/>
      <c r="GS1121" s="9"/>
      <c r="GT1121" s="9"/>
      <c r="GU1121" s="9"/>
      <c r="GV1121" s="9"/>
      <c r="GW1121" s="9"/>
      <c r="GX1121" s="9"/>
      <c r="GY1121" s="9"/>
      <c r="GZ1121" s="9"/>
      <c r="HA1121" s="9"/>
      <c r="HB1121" s="9"/>
      <c r="HC1121" s="9"/>
      <c r="HD1121" s="9"/>
      <c r="HE1121" s="9"/>
      <c r="HF1121" s="9"/>
      <c r="HG1121" s="9"/>
      <c r="HH1121" s="9"/>
      <c r="HI1121" s="9"/>
      <c r="HJ1121" s="9"/>
      <c r="HK1121" s="9"/>
      <c r="HL1121" s="9"/>
      <c r="HM1121" s="9"/>
      <c r="HY1121" s="58"/>
    </row>
    <row r="1122" spans="140:233">
      <c r="EJ1122" s="9"/>
      <c r="EK1122" s="9"/>
      <c r="EL1122" s="9"/>
      <c r="EM1122" s="9"/>
      <c r="EN1122" s="9"/>
      <c r="EO1122" s="9"/>
      <c r="EP1122" s="9"/>
      <c r="EQ1122" s="9"/>
      <c r="ER1122" s="9"/>
      <c r="ES1122" s="9"/>
      <c r="ET1122" s="9"/>
      <c r="EU1122" s="9"/>
      <c r="EV1122" s="9"/>
      <c r="EW1122" s="9"/>
      <c r="EX1122" s="9"/>
      <c r="EY1122" s="9"/>
      <c r="EZ1122" s="9"/>
      <c r="FA1122" s="9"/>
      <c r="FB1122" s="9"/>
      <c r="FC1122" s="9"/>
      <c r="FD1122" s="9"/>
      <c r="FE1122" s="9"/>
      <c r="FF1122" s="9"/>
      <c r="FG1122" s="9"/>
      <c r="FH1122" s="9"/>
      <c r="FI1122" s="9"/>
      <c r="FJ1122" s="9"/>
      <c r="FK1122" s="9"/>
      <c r="FL1122" s="9"/>
      <c r="FM1122" s="9"/>
      <c r="FN1122" s="9"/>
      <c r="FO1122" s="9"/>
      <c r="FP1122" s="9"/>
      <c r="FQ1122" s="9"/>
      <c r="FR1122" s="9"/>
      <c r="FS1122" s="9"/>
      <c r="FT1122" s="9"/>
      <c r="FU1122" s="9"/>
      <c r="FV1122" s="9"/>
      <c r="FW1122" s="9"/>
      <c r="FX1122" s="9"/>
      <c r="FY1122" s="9"/>
      <c r="FZ1122" s="9"/>
      <c r="GA1122" s="9"/>
      <c r="GB1122" s="9"/>
      <c r="GC1122" s="9"/>
      <c r="GD1122" s="9"/>
      <c r="GE1122" s="9"/>
      <c r="GF1122" s="9"/>
      <c r="GG1122" s="9"/>
      <c r="GH1122" s="9"/>
      <c r="GI1122" s="9"/>
      <c r="GJ1122" s="9"/>
      <c r="GK1122" s="9"/>
      <c r="GL1122" s="9"/>
      <c r="GM1122" s="9"/>
      <c r="GN1122" s="9"/>
      <c r="GO1122" s="9"/>
      <c r="GP1122" s="9"/>
      <c r="GQ1122" s="9"/>
      <c r="GR1122" s="9"/>
      <c r="GS1122" s="9"/>
      <c r="GT1122" s="9"/>
      <c r="GU1122" s="9"/>
      <c r="GV1122" s="9"/>
      <c r="GW1122" s="9"/>
      <c r="GX1122" s="9"/>
      <c r="GY1122" s="9"/>
      <c r="GZ1122" s="9"/>
      <c r="HA1122" s="9"/>
      <c r="HB1122" s="9"/>
      <c r="HC1122" s="9"/>
      <c r="HD1122" s="9"/>
      <c r="HE1122" s="9"/>
      <c r="HF1122" s="9"/>
      <c r="HG1122" s="9"/>
      <c r="HH1122" s="9"/>
      <c r="HI1122" s="9"/>
      <c r="HJ1122" s="9"/>
      <c r="HK1122" s="9"/>
      <c r="HL1122" s="9"/>
      <c r="HM1122" s="9"/>
      <c r="HY1122" s="58"/>
    </row>
    <row r="1123" spans="140:233">
      <c r="EJ1123" s="9"/>
      <c r="EK1123" s="9"/>
      <c r="EL1123" s="9"/>
      <c r="EM1123" s="9"/>
      <c r="EN1123" s="9"/>
      <c r="EO1123" s="9"/>
      <c r="EP1123" s="9"/>
      <c r="EQ1123" s="9"/>
      <c r="ER1123" s="9"/>
      <c r="ES1123" s="9"/>
      <c r="ET1123" s="9"/>
      <c r="EU1123" s="9"/>
      <c r="EV1123" s="9"/>
      <c r="EW1123" s="9"/>
      <c r="EX1123" s="9"/>
      <c r="EY1123" s="9"/>
      <c r="EZ1123" s="9"/>
      <c r="FA1123" s="9"/>
      <c r="FB1123" s="9"/>
      <c r="FC1123" s="9"/>
      <c r="FD1123" s="9"/>
      <c r="FE1123" s="9"/>
      <c r="FF1123" s="9"/>
      <c r="FG1123" s="9"/>
      <c r="FH1123" s="9"/>
      <c r="FI1123" s="9"/>
      <c r="FJ1123" s="9"/>
      <c r="FK1123" s="9"/>
      <c r="FL1123" s="9"/>
      <c r="FM1123" s="9"/>
      <c r="FN1123" s="9"/>
      <c r="FO1123" s="9"/>
      <c r="FP1123" s="9"/>
      <c r="FQ1123" s="9"/>
      <c r="FR1123" s="9"/>
      <c r="FS1123" s="9"/>
      <c r="FT1123" s="9"/>
      <c r="FU1123" s="9"/>
      <c r="FV1123" s="9"/>
      <c r="FW1123" s="9"/>
      <c r="FX1123" s="9"/>
      <c r="FY1123" s="9"/>
      <c r="FZ1123" s="9"/>
      <c r="GA1123" s="9"/>
      <c r="GB1123" s="9"/>
      <c r="GC1123" s="9"/>
      <c r="GD1123" s="9"/>
      <c r="GE1123" s="9"/>
      <c r="GF1123" s="9"/>
      <c r="GG1123" s="9"/>
      <c r="GH1123" s="9"/>
      <c r="GI1123" s="9"/>
      <c r="GJ1123" s="9"/>
      <c r="GK1123" s="9"/>
      <c r="GL1123" s="9"/>
      <c r="GM1123" s="9"/>
      <c r="GN1123" s="9"/>
      <c r="GO1123" s="9"/>
      <c r="GP1123" s="9"/>
      <c r="GQ1123" s="9"/>
      <c r="GR1123" s="9"/>
      <c r="GS1123" s="9"/>
      <c r="GT1123" s="9"/>
      <c r="GU1123" s="9"/>
      <c r="GV1123" s="9"/>
      <c r="GW1123" s="9"/>
      <c r="GX1123" s="9"/>
      <c r="GY1123" s="9"/>
      <c r="GZ1123" s="9"/>
      <c r="HA1123" s="9"/>
      <c r="HB1123" s="9"/>
      <c r="HC1123" s="9"/>
      <c r="HD1123" s="9"/>
      <c r="HE1123" s="9"/>
      <c r="HF1123" s="9"/>
      <c r="HG1123" s="9"/>
      <c r="HH1123" s="9"/>
      <c r="HI1123" s="9"/>
      <c r="HJ1123" s="9"/>
      <c r="HK1123" s="9"/>
      <c r="HL1123" s="9"/>
      <c r="HM1123" s="9"/>
      <c r="HY1123" s="58"/>
    </row>
    <row r="1124" spans="140:233">
      <c r="EJ1124" s="9"/>
      <c r="EK1124" s="9"/>
      <c r="EL1124" s="9"/>
      <c r="EM1124" s="9"/>
      <c r="EN1124" s="9"/>
      <c r="EO1124" s="9"/>
      <c r="EP1124" s="9"/>
      <c r="EQ1124" s="9"/>
      <c r="ER1124" s="9"/>
      <c r="ES1124" s="9"/>
      <c r="ET1124" s="9"/>
      <c r="EU1124" s="9"/>
      <c r="EV1124" s="9"/>
      <c r="EW1124" s="9"/>
      <c r="EX1124" s="9"/>
      <c r="EY1124" s="9"/>
      <c r="EZ1124" s="9"/>
      <c r="FA1124" s="9"/>
      <c r="FB1124" s="9"/>
      <c r="FC1124" s="9"/>
      <c r="FD1124" s="9"/>
      <c r="FE1124" s="9"/>
      <c r="FF1124" s="9"/>
      <c r="FG1124" s="9"/>
      <c r="FH1124" s="9"/>
      <c r="FI1124" s="9"/>
      <c r="FJ1124" s="9"/>
      <c r="FK1124" s="9"/>
      <c r="FL1124" s="9"/>
      <c r="FM1124" s="9"/>
      <c r="FN1124" s="9"/>
      <c r="FO1124" s="9"/>
      <c r="FP1124" s="9"/>
      <c r="FQ1124" s="9"/>
      <c r="FR1124" s="9"/>
      <c r="FS1124" s="9"/>
      <c r="FT1124" s="9"/>
      <c r="FU1124" s="9"/>
      <c r="FV1124" s="9"/>
      <c r="FW1124" s="9"/>
      <c r="FX1124" s="9"/>
      <c r="FY1124" s="9"/>
      <c r="FZ1124" s="9"/>
      <c r="GA1124" s="9"/>
      <c r="GB1124" s="9"/>
      <c r="GC1124" s="9"/>
      <c r="GD1124" s="9"/>
      <c r="GE1124" s="9"/>
      <c r="GF1124" s="9"/>
      <c r="GG1124" s="9"/>
      <c r="GH1124" s="9"/>
      <c r="GI1124" s="9"/>
      <c r="GJ1124" s="9"/>
      <c r="GK1124" s="9"/>
      <c r="GL1124" s="9"/>
      <c r="GM1124" s="9"/>
      <c r="GN1124" s="9"/>
      <c r="GO1124" s="9"/>
      <c r="GP1124" s="9"/>
      <c r="GQ1124" s="9"/>
      <c r="GR1124" s="9"/>
      <c r="GS1124" s="9"/>
      <c r="GT1124" s="9"/>
      <c r="GU1124" s="9"/>
      <c r="GV1124" s="9"/>
      <c r="GW1124" s="9"/>
      <c r="GX1124" s="9"/>
      <c r="GY1124" s="9"/>
      <c r="GZ1124" s="9"/>
      <c r="HA1124" s="9"/>
      <c r="HB1124" s="9"/>
      <c r="HC1124" s="9"/>
      <c r="HD1124" s="9"/>
      <c r="HE1124" s="9"/>
      <c r="HF1124" s="9"/>
      <c r="HG1124" s="9"/>
      <c r="HH1124" s="9"/>
      <c r="HI1124" s="9"/>
      <c r="HJ1124" s="9"/>
      <c r="HK1124" s="9"/>
      <c r="HL1124" s="9"/>
      <c r="HM1124" s="9"/>
      <c r="HY1124" s="58"/>
    </row>
    <row r="1125" spans="140:233">
      <c r="EJ1125" s="9"/>
      <c r="EK1125" s="9"/>
      <c r="EL1125" s="9"/>
      <c r="EM1125" s="9"/>
      <c r="EN1125" s="9"/>
      <c r="EO1125" s="9"/>
      <c r="EP1125" s="9"/>
      <c r="EQ1125" s="9"/>
      <c r="ER1125" s="9"/>
      <c r="ES1125" s="9"/>
      <c r="ET1125" s="9"/>
      <c r="EU1125" s="9"/>
      <c r="EV1125" s="9"/>
      <c r="EW1125" s="9"/>
      <c r="EX1125" s="9"/>
      <c r="EY1125" s="9"/>
      <c r="EZ1125" s="9"/>
      <c r="FA1125" s="9"/>
      <c r="FB1125" s="9"/>
      <c r="FC1125" s="9"/>
      <c r="FD1125" s="9"/>
      <c r="FE1125" s="9"/>
      <c r="FF1125" s="9"/>
      <c r="FG1125" s="9"/>
      <c r="FH1125" s="9"/>
      <c r="FI1125" s="9"/>
      <c r="FJ1125" s="9"/>
      <c r="FK1125" s="9"/>
      <c r="FL1125" s="9"/>
      <c r="FM1125" s="9"/>
      <c r="FN1125" s="9"/>
      <c r="FO1125" s="9"/>
      <c r="FP1125" s="9"/>
      <c r="FQ1125" s="9"/>
      <c r="FR1125" s="9"/>
      <c r="FS1125" s="9"/>
      <c r="FT1125" s="9"/>
      <c r="FU1125" s="9"/>
      <c r="FV1125" s="9"/>
      <c r="FW1125" s="9"/>
      <c r="FX1125" s="9"/>
      <c r="FY1125" s="9"/>
      <c r="FZ1125" s="9"/>
      <c r="GA1125" s="9"/>
      <c r="GB1125" s="9"/>
      <c r="GC1125" s="9"/>
      <c r="GD1125" s="9"/>
      <c r="GE1125" s="9"/>
      <c r="GF1125" s="9"/>
      <c r="GG1125" s="9"/>
      <c r="GH1125" s="9"/>
      <c r="GI1125" s="9"/>
      <c r="GJ1125" s="9"/>
      <c r="GK1125" s="9"/>
      <c r="GL1125" s="9"/>
      <c r="GM1125" s="9"/>
      <c r="GN1125" s="9"/>
      <c r="GO1125" s="9"/>
      <c r="GP1125" s="9"/>
      <c r="GQ1125" s="9"/>
      <c r="GR1125" s="9"/>
      <c r="GS1125" s="9"/>
      <c r="GT1125" s="9"/>
      <c r="GU1125" s="9"/>
      <c r="GV1125" s="9"/>
      <c r="GW1125" s="9"/>
      <c r="GX1125" s="9"/>
      <c r="GY1125" s="9"/>
      <c r="GZ1125" s="9"/>
      <c r="HA1125" s="9"/>
      <c r="HB1125" s="9"/>
      <c r="HC1125" s="9"/>
      <c r="HD1125" s="9"/>
      <c r="HE1125" s="9"/>
      <c r="HF1125" s="9"/>
      <c r="HG1125" s="9"/>
      <c r="HH1125" s="9"/>
      <c r="HI1125" s="9"/>
      <c r="HJ1125" s="9"/>
      <c r="HK1125" s="9"/>
      <c r="HL1125" s="9"/>
      <c r="HM1125" s="9"/>
      <c r="HY1125" s="58"/>
    </row>
  </sheetData>
  <phoneticPr fontId="16" type="noConversion"/>
  <conditionalFormatting sqref="C822:G905 I822:K905">
    <cfRule type="expression" dxfId="595" priority="319">
      <formula>AND(LEN(TRIM($C822))&gt;0,LEN(TRIM(C822))=0)</formula>
    </cfRule>
  </conditionalFormatting>
  <conditionalFormatting sqref="C908:G950 I908:K950 C951:K992">
    <cfRule type="expression" dxfId="594" priority="198">
      <formula>AND(LEN(TRIM($C908))&gt;0,LEN(TRIM(C908))=0)</formula>
    </cfRule>
  </conditionalFormatting>
  <conditionalFormatting sqref="C740:K781">
    <cfRule type="expression" dxfId="593" priority="752">
      <formula>AND(LEN(TRIM($C740))&gt;0,LEN(TRIM(C740))=0)</formula>
    </cfRule>
  </conditionalFormatting>
  <conditionalFormatting sqref="C782:K821">
    <cfRule type="expression" dxfId="592" priority="526">
      <formula>AND(LEN(TRIM($C782))&gt;0,LEN(TRIM(C782))=0)</formula>
    </cfRule>
  </conditionalFormatting>
  <conditionalFormatting sqref="C906:K907">
    <cfRule type="expression" dxfId="591" priority="418">
      <formula>AND(LEN(TRIM($C906))&gt;0,LEN(TRIM(C906))=0)</formula>
    </cfRule>
  </conditionalFormatting>
  <conditionalFormatting sqref="F822:F824 F826:F828 F830:F832">
    <cfRule type="expression" dxfId="590" priority="411">
      <formula>AND(LEN(TRIM($C823))&gt;0,LEN(TRIM(F822))=0)</formula>
    </cfRule>
  </conditionalFormatting>
  <conditionalFormatting sqref="F825">
    <cfRule type="expression" dxfId="589" priority="412">
      <formula>AND(LEN(TRIM(#REF!))&gt;0,LEN(TRIM(F825))=0)</formula>
    </cfRule>
  </conditionalFormatting>
  <conditionalFormatting sqref="F834:F836 F838:F840 F842:F844">
    <cfRule type="expression" dxfId="588" priority="397">
      <formula>AND(LEN(TRIM($C835))&gt;0,LEN(TRIM(F834))=0)</formula>
    </cfRule>
  </conditionalFormatting>
  <conditionalFormatting sqref="F837">
    <cfRule type="expression" dxfId="587" priority="398">
      <formula>AND(LEN(TRIM(#REF!))&gt;0,LEN(TRIM(F837))=0)</formula>
    </cfRule>
  </conditionalFormatting>
  <conditionalFormatting sqref="F846:F848 F850:F852 F854:F856 F858:F860 F862:F864 F866:F868">
    <cfRule type="expression" dxfId="586" priority="499">
      <formula>AND(LEN(TRIM($C847))&gt;0,LEN(TRIM(F846))=0)</formula>
    </cfRule>
  </conditionalFormatting>
  <conditionalFormatting sqref="F857">
    <cfRule type="expression" dxfId="585" priority="414">
      <formula>AND(LEN(TRIM($C862))&gt;0,LEN(TRIM(F857))=0)</formula>
    </cfRule>
  </conditionalFormatting>
  <conditionalFormatting sqref="F861">
    <cfRule type="expression" dxfId="584" priority="314">
      <formula>AND(LEN(TRIM(#REF!))&gt;0,LEN(TRIM(F861))=0)</formula>
    </cfRule>
  </conditionalFormatting>
  <conditionalFormatting sqref="F869">
    <cfRule type="expression" dxfId="583" priority="311">
      <formula>AND(LEN(TRIM($C874))&gt;0,LEN(TRIM(F869))=0)</formula>
    </cfRule>
  </conditionalFormatting>
  <conditionalFormatting sqref="F870:F872 F874:F876 F878:F880">
    <cfRule type="expression" dxfId="582" priority="309">
      <formula>AND(LEN(TRIM($C871))&gt;0,LEN(TRIM(F870))=0)</formula>
    </cfRule>
  </conditionalFormatting>
  <conditionalFormatting sqref="F873">
    <cfRule type="expression" dxfId="581" priority="307">
      <formula>AND(LEN(TRIM(#REF!))&gt;0,LEN(TRIM(F873))=0)</formula>
    </cfRule>
  </conditionalFormatting>
  <conditionalFormatting sqref="F881">
    <cfRule type="expression" dxfId="580" priority="304">
      <formula>AND(LEN(TRIM($C886))&gt;0,LEN(TRIM(F881))=0)</formula>
    </cfRule>
  </conditionalFormatting>
  <conditionalFormatting sqref="F882:F884 F886:F888 F890:F892">
    <cfRule type="expression" dxfId="579" priority="302">
      <formula>AND(LEN(TRIM($C883))&gt;0,LEN(TRIM(F882))=0)</formula>
    </cfRule>
  </conditionalFormatting>
  <conditionalFormatting sqref="F885">
    <cfRule type="expression" dxfId="578" priority="300">
      <formula>AND(LEN(TRIM(#REF!))&gt;0,LEN(TRIM(F885))=0)</formula>
    </cfRule>
  </conditionalFormatting>
  <conditionalFormatting sqref="F893">
    <cfRule type="expression" dxfId="577" priority="297">
      <formula>AND(LEN(TRIM($C898))&gt;0,LEN(TRIM(F893))=0)</formula>
    </cfRule>
  </conditionalFormatting>
  <conditionalFormatting sqref="F894:F896 F898:F900 F902:F904">
    <cfRule type="expression" dxfId="576" priority="295">
      <formula>AND(LEN(TRIM($C895))&gt;0,LEN(TRIM(F894))=0)</formula>
    </cfRule>
  </conditionalFormatting>
  <conditionalFormatting sqref="F897">
    <cfRule type="expression" dxfId="575" priority="293">
      <formula>AND(LEN(TRIM(#REF!))&gt;0,LEN(TRIM(F897))=0)</formula>
    </cfRule>
  </conditionalFormatting>
  <conditionalFormatting sqref="F901">
    <cfRule type="expression" dxfId="574" priority="291">
      <formula>AND(LEN(TRIM($C906))&gt;0,LEN(TRIM(F901))=0)</formula>
    </cfRule>
  </conditionalFormatting>
  <conditionalFormatting sqref="F905">
    <cfRule type="expression" dxfId="573" priority="289">
      <formula>AND(LEN(TRIM($C911))&gt;0,LEN(TRIM(F905))=0)</formula>
    </cfRule>
  </conditionalFormatting>
  <conditionalFormatting sqref="H782:H786 H788:H792 H794:H798 H800:H804 H806:H812 H814:H820">
    <cfRule type="expression" dxfId="572" priority="607">
      <formula>AND(LEN(TRIM($C783))&gt;0,LEN(TRIM(H782))=0)</formula>
    </cfRule>
  </conditionalFormatting>
  <conditionalFormatting sqref="H787 H793 H799 H805 H813">
    <cfRule type="expression" dxfId="571" priority="608">
      <formula>AND(LEN(TRIM(#REF!))&gt;0,LEN(TRIM(H787))=0)</formula>
    </cfRule>
  </conditionalFormatting>
  <conditionalFormatting sqref="H821 F829 F833 NG834:NH834 NE834:NE845 F841 F845 F849 F853 F865 F877 F889">
    <cfRule type="expression" dxfId="570" priority="500">
      <formula>AND(LEN(TRIM(#REF!))&gt;0,LEN(TRIM(F821))=0)</formula>
    </cfRule>
  </conditionalFormatting>
  <conditionalFormatting sqref="L740:T781">
    <cfRule type="expression" dxfId="569" priority="753">
      <formula>AND(LEN(TRIM($L740))&gt;0,LEN(TRIM(L740))=0)</formula>
    </cfRule>
  </conditionalFormatting>
  <conditionalFormatting sqref="L782:T992">
    <cfRule type="expression" dxfId="568" priority="199">
      <formula>AND(LEN(TRIM($L782))&gt;0,LEN(TRIM(L782))=0)</formula>
    </cfRule>
  </conditionalFormatting>
  <conditionalFormatting sqref="U740:AC781">
    <cfRule type="expression" dxfId="567" priority="754">
      <formula>AND(LEN(TRIM($U740))&gt;0,LEN(TRIM(U740))=0)</formula>
    </cfRule>
  </conditionalFormatting>
  <conditionalFormatting sqref="U782:AC992">
    <cfRule type="expression" dxfId="566" priority="200">
      <formula>AND(LEN(TRIM($U782))&gt;0,LEN(TRIM(U782))=0)</formula>
    </cfRule>
  </conditionalFormatting>
  <conditionalFormatting sqref="AD740:AL781">
    <cfRule type="expression" dxfId="565" priority="755">
      <formula>AND(LEN(TRIM($AD740))&gt;0,LEN(TRIM(AD740))=0)</formula>
    </cfRule>
  </conditionalFormatting>
  <conditionalFormatting sqref="AD782:AL992">
    <cfRule type="expression" dxfId="564" priority="201">
      <formula>AND(LEN(TRIM($AD782))&gt;0,LEN(TRIM(AD782))=0)</formula>
    </cfRule>
  </conditionalFormatting>
  <conditionalFormatting sqref="AM740:AU781">
    <cfRule type="expression" dxfId="563" priority="756">
      <formula>AND(LEN(TRIM($AM740))&gt;0,LEN(TRIM(AM740))=0)</formula>
    </cfRule>
  </conditionalFormatting>
  <conditionalFormatting sqref="AM782:AU992">
    <cfRule type="expression" dxfId="562" priority="202">
      <formula>AND(LEN(TRIM($AM782))&gt;0,LEN(TRIM(AM782))=0)</formula>
    </cfRule>
  </conditionalFormatting>
  <conditionalFormatting sqref="AW740:BC781">
    <cfRule type="expression" dxfId="561" priority="757">
      <formula>AND(LEN(TRIM($AV740))&gt;0,LEN(TRIM(AW740))=0)</formula>
    </cfRule>
  </conditionalFormatting>
  <conditionalFormatting sqref="AW782:BC928 AX929:BC950 AW951:BC992">
    <cfRule type="expression" dxfId="560" priority="203">
      <formula>AND(LEN(TRIM($AV782))&gt;0,LEN(TRIM(AW782))=0)</formula>
    </cfRule>
  </conditionalFormatting>
  <conditionalFormatting sqref="BE740:BG781">
    <cfRule type="expression" dxfId="559" priority="758">
      <formula>AND(LEN(TRIM($BD740))&gt;0,LEN(TRIM(BE740))=0)</formula>
    </cfRule>
  </conditionalFormatting>
  <conditionalFormatting sqref="BE782:BG992 HR908:HR928 BJ929:BJ938 BJ940:BJ949">
    <cfRule type="expression" dxfId="558" priority="204">
      <formula>AND(LEN(TRIM($BD782))&gt;0,LEN(TRIM(BE782))=0)</formula>
    </cfRule>
  </conditionalFormatting>
  <conditionalFormatting sqref="BI740:BL781 BT745:BU745 BT751:BU751 BT769:BU769 BT775:BU775 BT781:BU781">
    <cfRule type="expression" dxfId="557" priority="759">
      <formula>AND(LEN(TRIM($BH740))&gt;0,LEN(TRIM(BI740))=0)</formula>
    </cfRule>
  </conditionalFormatting>
  <conditionalFormatting sqref="BI782:BL822 BT822 BI823:BK824 BN825 BY825 CD825 BI825:BL826 BT825:BT826 BI827:BK828 BN829 BY829 CD829 BI829:BL830 BT829:BT830 BI831:BK832">
    <cfRule type="expression" dxfId="556" priority="403">
      <formula>AND(LEN(TRIM($BH782))&gt;0,LEN(TRIM(BI782))=0)</formula>
    </cfRule>
  </conditionalFormatting>
  <conditionalFormatting sqref="BJ908:BJ913">
    <cfRule type="expression" dxfId="555" priority="186">
      <formula>AND(LEN(TRIM($BD908))&gt;0,LEN(TRIM(BJ908))=0)</formula>
    </cfRule>
  </conditionalFormatting>
  <conditionalFormatting sqref="BJ915:BJ920">
    <cfRule type="expression" dxfId="554" priority="148">
      <formula>AND(LEN(TRIM($BD915))&gt;0,LEN(TRIM(BJ915))=0)</formula>
    </cfRule>
  </conditionalFormatting>
  <conditionalFormatting sqref="BJ922:BJ927">
    <cfRule type="expression" dxfId="553" priority="109">
      <formula>AND(LEN(TRIM($BD922))&gt;0,LEN(TRIM(BJ922))=0)</formula>
    </cfRule>
  </conditionalFormatting>
  <conditionalFormatting sqref="BK908:BL911 BI908:BI938 BL912:BL913 BJ914:BL914 BK915:BL918 BL919:BL920 BJ921:BL921 BK922:BL925 BL926:BL927 BJ928:BL928 BK929:BL934 BL935:BL938 BI939:BL939 BK940:BL945 BI940:BI949 BL946:BL949 BI950:BL992">
    <cfRule type="expression" dxfId="552" priority="205">
      <formula>AND(LEN(TRIM($BH908))&gt;0,LEN(TRIM(BI908))=0)</formula>
    </cfRule>
  </conditionalFormatting>
  <conditionalFormatting sqref="BN757">
    <cfRule type="expression" dxfId="551" priority="748">
      <formula>AND(LEN(TRIM($BR757))&gt;0,LEN(TRIM(BN757))=0)</formula>
    </cfRule>
  </conditionalFormatting>
  <conditionalFormatting sqref="BN763">
    <cfRule type="expression" dxfId="550" priority="743">
      <formula>AND(LEN(TRIM($BR763))&gt;0,LEN(TRIM(BN763))=0)</formula>
    </cfRule>
  </conditionalFormatting>
  <conditionalFormatting sqref="BN782 BO782:BQ821 BN784 BN786 BN788 BN790 BN792 BN794 BN796 BN798 BN800 BN802 BN804 BN806 BN808 BN810 BN812 BN814 BN816 BN818 BN820">
    <cfRule type="expression" dxfId="549" priority="534">
      <formula>AND(LEN(TRIM($BM782))&gt;0,LEN(TRIM(BN782))=0)</formula>
    </cfRule>
  </conditionalFormatting>
  <conditionalFormatting sqref="BN783">
    <cfRule type="expression" dxfId="548" priority="525">
      <formula>AND(LEN(TRIM($BH783))&gt;0,LEN(TRIM(BN783))=0)</formula>
    </cfRule>
  </conditionalFormatting>
  <conditionalFormatting sqref="BN785">
    <cfRule type="expression" dxfId="547" priority="524">
      <formula>AND(LEN(TRIM($BH785))&gt;0,LEN(TRIM(BN785))=0)</formula>
    </cfRule>
  </conditionalFormatting>
  <conditionalFormatting sqref="BN787">
    <cfRule type="expression" dxfId="546" priority="523">
      <formula>AND(LEN(TRIM($BH787))&gt;0,LEN(TRIM(BN787))=0)</formula>
    </cfRule>
  </conditionalFormatting>
  <conditionalFormatting sqref="BN789">
    <cfRule type="expression" dxfId="545" priority="522">
      <formula>AND(LEN(TRIM($BH789))&gt;0,LEN(TRIM(BN789))=0)</formula>
    </cfRule>
  </conditionalFormatting>
  <conditionalFormatting sqref="BN791">
    <cfRule type="expression" dxfId="544" priority="521">
      <formula>AND(LEN(TRIM($BH791))&gt;0,LEN(TRIM(BN791))=0)</formula>
    </cfRule>
  </conditionalFormatting>
  <conditionalFormatting sqref="BN793">
    <cfRule type="expression" dxfId="543" priority="520">
      <formula>AND(LEN(TRIM($BH793))&gt;0,LEN(TRIM(BN793))=0)</formula>
    </cfRule>
  </conditionalFormatting>
  <conditionalFormatting sqref="BN795">
    <cfRule type="expression" dxfId="542" priority="519">
      <formula>AND(LEN(TRIM($BH795))&gt;0,LEN(TRIM(BN795))=0)</formula>
    </cfRule>
  </conditionalFormatting>
  <conditionalFormatting sqref="BN797">
    <cfRule type="expression" dxfId="541" priority="518">
      <formula>AND(LEN(TRIM($BH797))&gt;0,LEN(TRIM(BN797))=0)</formula>
    </cfRule>
  </conditionalFormatting>
  <conditionalFormatting sqref="BN799">
    <cfRule type="expression" dxfId="540" priority="517">
      <formula>AND(LEN(TRIM($BH799))&gt;0,LEN(TRIM(BN799))=0)</formula>
    </cfRule>
  </conditionalFormatting>
  <conditionalFormatting sqref="BN801">
    <cfRule type="expression" dxfId="539" priority="515">
      <formula>AND(LEN(TRIM($BH801))&gt;0,LEN(TRIM(BN801))=0)</formula>
    </cfRule>
  </conditionalFormatting>
  <conditionalFormatting sqref="BN803">
    <cfRule type="expression" dxfId="538" priority="514">
      <formula>AND(LEN(TRIM($BH803))&gt;0,LEN(TRIM(BN803))=0)</formula>
    </cfRule>
  </conditionalFormatting>
  <conditionalFormatting sqref="BN805">
    <cfRule type="expression" dxfId="537" priority="513">
      <formula>AND(LEN(TRIM($BH805))&gt;0,LEN(TRIM(BN805))=0)</formula>
    </cfRule>
  </conditionalFormatting>
  <conditionalFormatting sqref="BN807">
    <cfRule type="expression" dxfId="536" priority="511">
      <formula>AND(LEN(TRIM($BH807))&gt;0,LEN(TRIM(BN807))=0)</formula>
    </cfRule>
  </conditionalFormatting>
  <conditionalFormatting sqref="BN809">
    <cfRule type="expression" dxfId="535" priority="510">
      <formula>AND(LEN(TRIM($BH809))&gt;0,LEN(TRIM(BN809))=0)</formula>
    </cfRule>
  </conditionalFormatting>
  <conditionalFormatting sqref="BN811">
    <cfRule type="expression" dxfId="534" priority="509">
      <formula>AND(LEN(TRIM($BH811))&gt;0,LEN(TRIM(BN811))=0)</formula>
    </cfRule>
  </conditionalFormatting>
  <conditionalFormatting sqref="BN813">
    <cfRule type="expression" dxfId="533" priority="507">
      <formula>AND(LEN(TRIM($BH813))&gt;0,LEN(TRIM(BN813))=0)</formula>
    </cfRule>
  </conditionalFormatting>
  <conditionalFormatting sqref="BN815">
    <cfRule type="expression" dxfId="532" priority="505">
      <formula>AND(LEN(TRIM($BH815))&gt;0,LEN(TRIM(BN815))=0)</formula>
    </cfRule>
  </conditionalFormatting>
  <conditionalFormatting sqref="BN817">
    <cfRule type="expression" dxfId="531" priority="504">
      <formula>AND(LEN(TRIM($BH817))&gt;0,LEN(TRIM(BN817))=0)</formula>
    </cfRule>
  </conditionalFormatting>
  <conditionalFormatting sqref="BN819">
    <cfRule type="expression" dxfId="530" priority="503">
      <formula>AND(LEN(TRIM($BH819))&gt;0,LEN(TRIM(BN819))=0)</formula>
    </cfRule>
  </conditionalFormatting>
  <conditionalFormatting sqref="BN821">
    <cfRule type="expression" dxfId="529" priority="502">
      <formula>AND(LEN(TRIM($BH821))&gt;0,LEN(TRIM(BN821))=0)</formula>
    </cfRule>
  </conditionalFormatting>
  <conditionalFormatting sqref="BN822 BU822 BL823:BL824 BN826 BU826 BL827:BL828 BN830 BU830 BL831:BL832">
    <cfRule type="expression" dxfId="528" priority="404">
      <formula>AND(LEN(TRIM($BM822))&gt;0,LEN(TRIM(BL822))=0)</formula>
    </cfRule>
  </conditionalFormatting>
  <conditionalFormatting sqref="BN833 BY833 CD833 BI847:BK848 BN849 BY849 CD849 BI849:BL850 BT849:BT850 BI851:BK852 BN853 BY853 CD853 BI853:BL854 BT853:BT854 BI855:BK856 BN857 BY857 CD857 BI857:BL858 BT857:BT858 BI859:BK860 BN861 BY861 CD861 BI861:BL862 BT861:BT862 BI863:BK864 BN865 BY865 CD865 BI865:BL866 BT865:BT866 BI867:BK868 BN869 BY869 CD869 BI869:BL870 BT869:BT870 BI871:BK872 BN873 BY873 CD873 BI873:BL874 BT873:BT874 BI875:BK876 BN877 BY877 CD877 BI877:BL878 BT877:BT878 BI879:BK880 BN881 BY881 CD881 BI881:BL882 BT881:BT882 BI883:BK884 BN885 BY885 CD885 BI885:BL886 BT885:BT886 BI887:BK888 BN889 BY889 CD889 BI889:BL890 BT889:BT890 BI891:BK892 BN893 BY893 CD893 BI893:BL894 BT893:BT894 BI895:BK896 BN897 BY897 CD897 BI897:BL898 BT897:BT898 BI899:BK900 BN901 BY901 CD901 BI901:BL902 BT901:BT902 BI903:BK904 BN905 BT905 BY905 CD905 BI905:BL907">
    <cfRule type="expression" dxfId="527" priority="425">
      <formula>AND(LEN(TRIM($BH833))&gt;0,LEN(TRIM(BI833))=0)</formula>
    </cfRule>
  </conditionalFormatting>
  <conditionalFormatting sqref="BN846 BU846 BL847:BL848 BN850 BU850 BL851:BL852 BN854 BU854 BL855:BL856 BN858 BU858 BL859:BL860 BN862 BU862 BL863:BL864 BN866 BU866 BL867:BL868 BN870 BU870 BL871:BL872 BN874 BU874 BL875:BL876 BN878 BU878 BL879:BL880 BN882 BU882 BL883:BL884 BN886 BU886 BL887:BL888 BN890 BU890 BL891:BL892 BN894 BU894 BL895:BL896 BN898 BU898 BL899:BL900 BN902 BU902 BL903:BL904 BN906:BQ907">
    <cfRule type="expression" dxfId="526" priority="426">
      <formula>AND(LEN(TRIM($BM846))&gt;0,LEN(TRIM(BL846))=0)</formula>
    </cfRule>
  </conditionalFormatting>
  <conditionalFormatting sqref="BN740:BQ744 BO745:BQ745 BN746:BQ750 BO751:BQ751 BN752:BQ756 BO757:BQ757 BN758:BQ762 BO763:BQ763 BN764:BQ768 BO769:BQ769 BN770:BQ774 BO775:BQ775 BN776:BQ780 BO781:BQ781">
    <cfRule type="expression" dxfId="525" priority="760">
      <formula>AND(LEN(TRIM($BM740))&gt;0,LEN(TRIM(BN740))=0)</formula>
    </cfRule>
  </conditionalFormatting>
  <conditionalFormatting sqref="BO822:BO905 BI833:BL834 BT833:BT834 BI835:BK836 BN837 BY837 CD837 BI837:BL838 BT837:BT838 BI839:BK840 BN841 BY841 CD841 BI841:BL842 BT841:BT842 BI843:BK844 BN845 BY845 CD845 BI845:BL846 BT845:BT846">
    <cfRule type="expression" dxfId="524" priority="326">
      <formula>AND(LEN(TRIM($BH822))&gt;0,LEN(TRIM(BI822))=0)</formula>
    </cfRule>
  </conditionalFormatting>
  <conditionalFormatting sqref="BO908:BO950">
    <cfRule type="expression" dxfId="523" priority="27">
      <formula>AND(LEN(TRIM($BD908))&gt;0,LEN(TRIM(BO908))=0)</formula>
    </cfRule>
  </conditionalFormatting>
  <conditionalFormatting sqref="BP822:BQ905 BN834 BU834 BL835:BL836 BN838 BU838 BL839:BL840 BN842 BU842 BL843:BL844">
    <cfRule type="expression" dxfId="522" priority="327">
      <formula>AND(LEN(TRIM($BM822))&gt;0,LEN(TRIM(BL822))=0)</formula>
    </cfRule>
  </conditionalFormatting>
  <conditionalFormatting sqref="BQ908:BQ911 BN908:BN950 BP912:BQ914 BQ915:BQ918 BP919:BQ921 BQ922:BQ925 BP926:BQ928 BQ929:BQ934 BP935:BQ939 BQ940:BQ945 BP946:BQ950 BN951:BQ992">
    <cfRule type="expression" dxfId="521" priority="206">
      <formula>AND(LEN(TRIM($BM908))&gt;0,LEN(TRIM(BN908))=0)</formula>
    </cfRule>
  </conditionalFormatting>
  <conditionalFormatting sqref="BS822 BV822 BN823:BN824 BS823:BV824 BU825:BV825 BS825:BS826 BV826 BN827:BN828 BS827:BV828 BU829:BV829 BS829:BS830 BV830 BN831:BN832 BS831:BV832">
    <cfRule type="expression" dxfId="520" priority="405">
      <formula>AND(LEN(TRIM($BR822))&gt;0,LEN(TRIM(BN822))=0)</formula>
    </cfRule>
  </conditionalFormatting>
  <conditionalFormatting sqref="BS833:BS834 BV834 BN835:BN836 BS835:BV836 BU837:BV837 BS837:BS838 BV838 BN839:BN840 BS839:BV840 BU841:BV841 BS841:BS842 BV842 BN843:BN844 BS843:BV844 BU845:BV845 BS845:BS846">
    <cfRule type="expression" dxfId="519" priority="328">
      <formula>AND(LEN(TRIM($BR833))&gt;0,LEN(TRIM(BN833))=0)</formula>
    </cfRule>
  </conditionalFormatting>
  <conditionalFormatting sqref="BS908 BV908 BV910 BU911:BV911 BS911:BS915 BV912:BV915 BV917 BU918:BV918 BS918:BS922 BV919:BV922 BV924 BU925:BV925 BS925:BS930 BV926:BV932 BU933:BV934 BS933:BS941 BV935:BV943 BU944:BV945 BS944:BS950 BV946:BV950 BS951:BV992">
    <cfRule type="expression" dxfId="518" priority="207">
      <formula>AND(LEN(TRIM($BR908))&gt;0,LEN(TRIM(BS908))=0)</formula>
    </cfRule>
  </conditionalFormatting>
  <conditionalFormatting sqref="BS909 BV909">
    <cfRule type="expression" dxfId="517" priority="197">
      <formula>AND(LEN(TRIM($BH909))&gt;0,LEN(TRIM(BS909))=0)</formula>
    </cfRule>
  </conditionalFormatting>
  <conditionalFormatting sqref="BS910">
    <cfRule type="expression" dxfId="516" priority="190">
      <formula>AND(LEN(TRIM($BM910))&gt;0,LEN(TRIM(BS910))=0)</formula>
    </cfRule>
  </conditionalFormatting>
  <conditionalFormatting sqref="BS916 BV916">
    <cfRule type="expression" dxfId="515" priority="159">
      <formula>AND(LEN(TRIM($BH916))&gt;0,LEN(TRIM(BS916))=0)</formula>
    </cfRule>
  </conditionalFormatting>
  <conditionalFormatting sqref="BS917">
    <cfRule type="expression" dxfId="514" priority="152">
      <formula>AND(LEN(TRIM($BM917))&gt;0,LEN(TRIM(BS917))=0)</formula>
    </cfRule>
  </conditionalFormatting>
  <conditionalFormatting sqref="BS923 BV923">
    <cfRule type="expression" dxfId="513" priority="120">
      <formula>AND(LEN(TRIM($BH923))&gt;0,LEN(TRIM(BS923))=0)</formula>
    </cfRule>
  </conditionalFormatting>
  <conditionalFormatting sqref="BS924">
    <cfRule type="expression" dxfId="512" priority="113">
      <formula>AND(LEN(TRIM($BM924))&gt;0,LEN(TRIM(BS924))=0)</formula>
    </cfRule>
  </conditionalFormatting>
  <conditionalFormatting sqref="BS931:BS932">
    <cfRule type="expression" dxfId="511" priority="82">
      <formula>AND(LEN(TRIM($BM931))&gt;0,LEN(TRIM(BS931))=0)</formula>
    </cfRule>
  </conditionalFormatting>
  <conditionalFormatting sqref="BS942:BS943">
    <cfRule type="expression" dxfId="510" priority="39">
      <formula>AND(LEN(TRIM($BM942))&gt;0,LEN(TRIM(BS942))=0)</formula>
    </cfRule>
  </conditionalFormatting>
  <conditionalFormatting sqref="BS740:BV740 BU741:BV741 BS741:BS742 BV742 BS743:BV743 BU744:BV744 BS744:BS745 BN745 BV745 BS746:BV746 BU747:BV747 BS747:BS748 BV748 BS749:BV749 BU750:BV750 BS750:BS751 BN751 BV751 BS752:BV752 BU753:BV753 BS753:BS754 BV754 BS755:BV755 BU756:BV756 BS756:BS757 BV757 BS758:BV758 BU759:BV759 BS759:BS760 BV760 BS761:BV761 BU762:BV762 BS762:BS763 BV763 BS764:BV764 BU765:BV765 BS765:BS766 BV766 BS767:BV767 BU768:BV768 BS768:BS769 BN769 BV769 BS770:BV770 BU771:BV771 BS771:BS772 BV772 BS773:BV773 BU774:BV774 BS774:BS775 BN775 BV775 BS776:BV776 BU777:BV777 BS777:BS778 BV778 BS779:BV779 BU780:BV780 BS780:BS781 BN781 BV781">
    <cfRule type="expression" dxfId="509" priority="761">
      <formula>AND(LEN(TRIM($BR740))&gt;0,LEN(TRIM(BN740))=0)</formula>
    </cfRule>
  </conditionalFormatting>
  <conditionalFormatting sqref="BS782:BV821">
    <cfRule type="expression" dxfId="508" priority="535">
      <formula>AND(LEN(TRIM($BR782))&gt;0,LEN(TRIM(BS782))=0)</formula>
    </cfRule>
  </conditionalFormatting>
  <conditionalFormatting sqref="BT741 BT742:BU742">
    <cfRule type="expression" dxfId="507" priority="709">
      <formula>AND(LEN(TRIM($BH741))&gt;0,LEN(TRIM(BT741))=0)</formula>
    </cfRule>
  </conditionalFormatting>
  <conditionalFormatting sqref="BT744">
    <cfRule type="expression" dxfId="506" priority="708">
      <formula>AND(LEN(TRIM($BH744))&gt;0,LEN(TRIM(BT744))=0)</formula>
    </cfRule>
  </conditionalFormatting>
  <conditionalFormatting sqref="BT747 BT748:BU748">
    <cfRule type="expression" dxfId="505" priority="694">
      <formula>AND(LEN(TRIM($BH747))&gt;0,LEN(TRIM(BT747))=0)</formula>
    </cfRule>
  </conditionalFormatting>
  <conditionalFormatting sqref="BT750">
    <cfRule type="expression" dxfId="504" priority="693">
      <formula>AND(LEN(TRIM($BH750))&gt;0,LEN(TRIM(BT750))=0)</formula>
    </cfRule>
  </conditionalFormatting>
  <conditionalFormatting sqref="BT753 BT754:BU754">
    <cfRule type="expression" dxfId="503" priority="751">
      <formula>AND(LEN(TRIM($BH753))&gt;0,LEN(TRIM(BT753))=0)</formula>
    </cfRule>
  </conditionalFormatting>
  <conditionalFormatting sqref="BT756">
    <cfRule type="expression" dxfId="502" priority="750">
      <formula>AND(LEN(TRIM($BH756))&gt;0,LEN(TRIM(BT756))=0)</formula>
    </cfRule>
  </conditionalFormatting>
  <conditionalFormatting sqref="BT759 BT760:BU760">
    <cfRule type="expression" dxfId="501" priority="746">
      <formula>AND(LEN(TRIM($BH759))&gt;0,LEN(TRIM(BT759))=0)</formula>
    </cfRule>
  </conditionalFormatting>
  <conditionalFormatting sqref="BT762">
    <cfRule type="expression" dxfId="500" priority="745">
      <formula>AND(LEN(TRIM($BH762))&gt;0,LEN(TRIM(BT762))=0)</formula>
    </cfRule>
  </conditionalFormatting>
  <conditionalFormatting sqref="BT765 BT766:BU766">
    <cfRule type="expression" dxfId="499" priority="670">
      <formula>AND(LEN(TRIM($BH765))&gt;0,LEN(TRIM(BT765))=0)</formula>
    </cfRule>
  </conditionalFormatting>
  <conditionalFormatting sqref="BT768">
    <cfRule type="expression" dxfId="498" priority="669">
      <formula>AND(LEN(TRIM($BH768))&gt;0,LEN(TRIM(BT768))=0)</formula>
    </cfRule>
  </conditionalFormatting>
  <conditionalFormatting sqref="BT771 BT772:BU772">
    <cfRule type="expression" dxfId="497" priority="647">
      <formula>AND(LEN(TRIM($BH771))&gt;0,LEN(TRIM(BT771))=0)</formula>
    </cfRule>
  </conditionalFormatting>
  <conditionalFormatting sqref="BT774">
    <cfRule type="expression" dxfId="496" priority="646">
      <formula>AND(LEN(TRIM($BH774))&gt;0,LEN(TRIM(BT774))=0)</formula>
    </cfRule>
  </conditionalFormatting>
  <conditionalFormatting sqref="BT777 BT778:BU778">
    <cfRule type="expression" dxfId="495" priority="621">
      <formula>AND(LEN(TRIM($BH777))&gt;0,LEN(TRIM(BT777))=0)</formula>
    </cfRule>
  </conditionalFormatting>
  <conditionalFormatting sqref="BT780">
    <cfRule type="expression" dxfId="494" priority="620">
      <formula>AND(LEN(TRIM($BH780))&gt;0,LEN(TRIM(BT780))=0)</formula>
    </cfRule>
  </conditionalFormatting>
  <conditionalFormatting sqref="BT908:BT913">
    <cfRule type="expression" dxfId="493" priority="173">
      <formula>AND(LEN(TRIM($BD908))&gt;0,LEN(TRIM(BT908))=0)</formula>
    </cfRule>
  </conditionalFormatting>
  <conditionalFormatting sqref="BT915:BT920">
    <cfRule type="expression" dxfId="492" priority="135">
      <formula>AND(LEN(TRIM($BD915))&gt;0,LEN(TRIM(BT915))=0)</formula>
    </cfRule>
  </conditionalFormatting>
  <conditionalFormatting sqref="BT922:BT927">
    <cfRule type="expression" dxfId="491" priority="96">
      <formula>AND(LEN(TRIM($BD922))&gt;0,LEN(TRIM(BT922))=0)</formula>
    </cfRule>
  </conditionalFormatting>
  <conditionalFormatting sqref="BT929:BT937">
    <cfRule type="expression" dxfId="490" priority="69">
      <formula>AND(LEN(TRIM($BD929))&gt;0,LEN(TRIM(BT929))=0)</formula>
    </cfRule>
  </conditionalFormatting>
  <conditionalFormatting sqref="BT940:BT948">
    <cfRule type="expression" dxfId="489" priority="26">
      <formula>AND(LEN(TRIM($BD940))&gt;0,LEN(TRIM(BT940))=0)</formula>
    </cfRule>
  </conditionalFormatting>
  <conditionalFormatting sqref="BT757:BU757">
    <cfRule type="expression" dxfId="488" priority="747">
      <formula>AND(LEN(TRIM($BH757))&gt;0,LEN(TRIM(BT757))=0)</formula>
    </cfRule>
  </conditionalFormatting>
  <conditionalFormatting sqref="BT763:BU763">
    <cfRule type="expression" dxfId="487" priority="742">
      <formula>AND(LEN(TRIM($BH763))&gt;0,LEN(TRIM(BT763))=0)</formula>
    </cfRule>
  </conditionalFormatting>
  <conditionalFormatting sqref="BT914:BU914">
    <cfRule type="expression" dxfId="486" priority="172">
      <formula>AND(LEN(TRIM($BH914))&gt;0,LEN(TRIM(BT914))=0)</formula>
    </cfRule>
  </conditionalFormatting>
  <conditionalFormatting sqref="BT921:BU921">
    <cfRule type="expression" dxfId="485" priority="134">
      <formula>AND(LEN(TRIM($BH921))&gt;0,LEN(TRIM(BT921))=0)</formula>
    </cfRule>
  </conditionalFormatting>
  <conditionalFormatting sqref="BT928:BU928">
    <cfRule type="expression" dxfId="484" priority="95">
      <formula>AND(LEN(TRIM($BH928))&gt;0,LEN(TRIM(BT928))=0)</formula>
    </cfRule>
  </conditionalFormatting>
  <conditionalFormatting sqref="BT938:BU939">
    <cfRule type="expression" dxfId="483" priority="55">
      <formula>AND(LEN(TRIM($BH938))&gt;0,LEN(TRIM(BT938))=0)</formula>
    </cfRule>
  </conditionalFormatting>
  <conditionalFormatting sqref="BT949:BU950">
    <cfRule type="expression" dxfId="482" priority="12">
      <formula>AND(LEN(TRIM($BH949))&gt;0,LEN(TRIM(BT949))=0)</formula>
    </cfRule>
  </conditionalFormatting>
  <conditionalFormatting sqref="BU909">
    <cfRule type="expression" dxfId="481" priority="183">
      <formula>AND(LEN(TRIM($BH909))&gt;0,LEN(TRIM(BU909))=0)</formula>
    </cfRule>
  </conditionalFormatting>
  <conditionalFormatting sqref="BU912">
    <cfRule type="expression" dxfId="480" priority="185">
      <formula>AND(LEN(TRIM($BH912))&gt;0,LEN(TRIM(BU912))=0)</formula>
    </cfRule>
  </conditionalFormatting>
  <conditionalFormatting sqref="BU916">
    <cfRule type="expression" dxfId="479" priority="145">
      <formula>AND(LEN(TRIM($BH916))&gt;0,LEN(TRIM(BU916))=0)</formula>
    </cfRule>
  </conditionalFormatting>
  <conditionalFormatting sqref="BU919">
    <cfRule type="expression" dxfId="478" priority="147">
      <formula>AND(LEN(TRIM($BH919))&gt;0,LEN(TRIM(BU919))=0)</formula>
    </cfRule>
  </conditionalFormatting>
  <conditionalFormatting sqref="BU923">
    <cfRule type="expression" dxfId="477" priority="106">
      <formula>AND(LEN(TRIM($BH923))&gt;0,LEN(TRIM(BU923))=0)</formula>
    </cfRule>
  </conditionalFormatting>
  <conditionalFormatting sqref="BU926">
    <cfRule type="expression" dxfId="476" priority="108">
      <formula>AND(LEN(TRIM($BH926))&gt;0,LEN(TRIM(BU926))=0)</formula>
    </cfRule>
  </conditionalFormatting>
  <conditionalFormatting sqref="BU935">
    <cfRule type="expression" dxfId="475" priority="78">
      <formula>AND(LEN(TRIM($BH935))&gt;0,LEN(TRIM(BU935))=0)</formula>
    </cfRule>
  </conditionalFormatting>
  <conditionalFormatting sqref="BU946">
    <cfRule type="expression" dxfId="474" priority="35">
      <formula>AND(LEN(TRIM($BH946))&gt;0,LEN(TRIM(BU946))=0)</formula>
    </cfRule>
  </conditionalFormatting>
  <conditionalFormatting sqref="BU833:BV833 BV846 BN847:BN848 BS847:BV848 BU849:BV849 BS849:BS850 BV850 BN851:BN852 BS851:BV852 BU853:BV853 BS853:BS854 BV854 BN855:BN856 BS855:BV856 BU857:BV857 BS857:BS858 BV858 BN859:BN860 BS859:BV860 BU861:BV861 BS861:BS862 BV862 BN863:BN864 BS863:BV864 BU865:BV865 BS865:BS866 BV866 BN867:BN868 BS867:BV868 BU869:BV869 BS869:BS870 BV870 BN871:BN872 BS871:BV872 BU873:BV873 BS873:BS874 BV874 BN875:BN876 BS875:BV876 BU877:BV877 BS877:BS878 BV878 BN879:BN880 BS879:BV880 BU881:BV881 BS881:BS882 BV882 BN883:BN884 BS883:BV884 BU885:BV885 BS885:BS886 BV886 BN887:BN888 BS887:BV888 BU889:BV889 BS889:BS890 BV890 BN891:BN892 BS891:BV892 BU893:BV893 BS893:BS894 BV894 BN895:BN896 BS895:BV896 BU897:BV897 BS897:BS898 BV898 BN899:BN900 BS899:BV900 BU901:BV901 BS901:BS902 BV902 BN903:BN904 BS903:BV904 BS905 BU905:BV905 BS906:BV907">
    <cfRule type="expression" dxfId="473" priority="427">
      <formula>AND(LEN(TRIM($BR833))&gt;0,LEN(TRIM(BN833))=0)</formula>
    </cfRule>
  </conditionalFormatting>
  <conditionalFormatting sqref="BX833 CE833:CF833 BX846:CA848 BX849 CE849:CF849 BX850:CA852 BX853 CE853:CF853 BX854:CA856 BX857 CE857:CF857 BX858:CA860 BX861 CE861:CF861 BX862:CA864 BX865 CE865:CF865 BX866:CA868 BX869 CE869:CF869 BX870:CA872 BX873 CE873:CF873 BX874:CA876 BX877 CE877:CF877 BX878:CA880 BX881 CE881:CF881 BX882:CA884 BX885 CE885:CF885 BX886:CA888 BX889 CE889:CF889 BX890:CA892 BX893 CE893:CF893 BX894:CA896 BX897 CE897:CF897 BX898:CA900 BX901 CE901:CF901 BX902:CA904 BX905 CE905:CF905 BX906:CA907">
    <cfRule type="expression" dxfId="472" priority="428">
      <formula>AND(LEN(TRIM($BW833))&gt;0,LEN(TRIM(BX833))=0)</formula>
    </cfRule>
  </conditionalFormatting>
  <conditionalFormatting sqref="BX908:BX909">
    <cfRule type="expression" dxfId="471" priority="191">
      <formula>AND(LEN(TRIM($BM908))&gt;0,LEN(TRIM(BX908))=0)</formula>
    </cfRule>
  </conditionalFormatting>
  <conditionalFormatting sqref="BX914:BX916">
    <cfRule type="expression" dxfId="470" priority="153">
      <formula>AND(LEN(TRIM($BM914))&gt;0,LEN(TRIM(BX914))=0)</formula>
    </cfRule>
  </conditionalFormatting>
  <conditionalFormatting sqref="BX921:BX923">
    <cfRule type="expression" dxfId="469" priority="114">
      <formula>AND(LEN(TRIM($BM921))&gt;0,LEN(TRIM(BX921))=0)</formula>
    </cfRule>
  </conditionalFormatting>
  <conditionalFormatting sqref="BX936 BZ936:CA936">
    <cfRule type="expression" dxfId="468" priority="59">
      <formula>AND(LEN(TRIM($BM936))&gt;0,LEN(TRIM(BX936))=0)</formula>
    </cfRule>
  </conditionalFormatting>
  <conditionalFormatting sqref="BX947 BZ947:CA947">
    <cfRule type="expression" dxfId="467" priority="16">
      <formula>AND(LEN(TRIM($BM947))&gt;0,LEN(TRIM(BX947))=0)</formula>
    </cfRule>
  </conditionalFormatting>
  <conditionalFormatting sqref="BX949:BX950 BZ949:BZ950">
    <cfRule type="expression" dxfId="466" priority="14">
      <formula>AND(LEN(TRIM($BM949))&gt;0,LEN(TRIM(BX949))=0)</formula>
    </cfRule>
  </conditionalFormatting>
  <conditionalFormatting sqref="BX740:CA743 BX744:BY744 CA744 BX745:CA749 BX750:BY750 CA750 BX751:CA755 BX756:BY756 CA756 BX757:CA761 BX762:BY762 CA762 BX763:CA767 BX768:BY768 CA768 BX769:CA773 BX774:BY774 CA774 BX775:CA779 BX780:BY780 CA780 BX781:CA781">
    <cfRule type="expression" dxfId="465" priority="762">
      <formula>AND(LEN(TRIM($BW740))&gt;0,LEN(TRIM(BX740))=0)</formula>
    </cfRule>
  </conditionalFormatting>
  <conditionalFormatting sqref="BX782:CA824 BX825 CE825:CF825 BX826:CA828 BX829 CE829:CF829 BX830:CA832">
    <cfRule type="expression" dxfId="464" priority="406">
      <formula>AND(LEN(TRIM($BW782))&gt;0,LEN(TRIM(BX782))=0)</formula>
    </cfRule>
  </conditionalFormatting>
  <conditionalFormatting sqref="BX834:CA836 BX837 CE837:CF837 BX838:CA840 BX841 CE841:CF841 BX842:CA844 BX845 CE845:CF845">
    <cfRule type="expression" dxfId="463" priority="329">
      <formula>AND(LEN(TRIM($BW834))&gt;0,LEN(TRIM(BX834))=0)</formula>
    </cfRule>
  </conditionalFormatting>
  <conditionalFormatting sqref="BY908:BY911">
    <cfRule type="expression" dxfId="462" priority="180">
      <formula>AND(LEN(TRIM($BD908))&gt;0,LEN(TRIM(BY908))=0)</formula>
    </cfRule>
  </conditionalFormatting>
  <conditionalFormatting sqref="BY912">
    <cfRule type="expression" dxfId="461" priority="165">
      <formula>AND(LEN(TRIM($BM912))&gt;0,LEN(TRIM(BY912))=0)</formula>
    </cfRule>
  </conditionalFormatting>
  <conditionalFormatting sqref="BY913:BY918">
    <cfRule type="expression" dxfId="460" priority="142">
      <formula>AND(LEN(TRIM($BD913))&gt;0,LEN(TRIM(BY913))=0)</formula>
    </cfRule>
  </conditionalFormatting>
  <conditionalFormatting sqref="BY919">
    <cfRule type="expression" dxfId="459" priority="127">
      <formula>AND(LEN(TRIM($BM919))&gt;0,LEN(TRIM(BY919))=0)</formula>
    </cfRule>
  </conditionalFormatting>
  <conditionalFormatting sqref="BY920:BY925">
    <cfRule type="expression" dxfId="458" priority="103">
      <formula>AND(LEN(TRIM($BD920))&gt;0,LEN(TRIM(BY920))=0)</formula>
    </cfRule>
  </conditionalFormatting>
  <conditionalFormatting sqref="BY926">
    <cfRule type="expression" dxfId="457" priority="88">
      <formula>AND(LEN(TRIM($BM926))&gt;0,LEN(TRIM(BY926))=0)</formula>
    </cfRule>
  </conditionalFormatting>
  <conditionalFormatting sqref="BY927:BY934">
    <cfRule type="expression" dxfId="456" priority="75">
      <formula>AND(LEN(TRIM($BD927))&gt;0,LEN(TRIM(BY927))=0)</formula>
    </cfRule>
  </conditionalFormatting>
  <conditionalFormatting sqref="BY935">
    <cfRule type="expression" dxfId="455" priority="61">
      <formula>AND(LEN(TRIM($BM935))&gt;0,LEN(TRIM(BY935))=0)</formula>
    </cfRule>
  </conditionalFormatting>
  <conditionalFormatting sqref="BY936:BY945">
    <cfRule type="expression" dxfId="454" priority="32">
      <formula>AND(LEN(TRIM($BD936))&gt;0,LEN(TRIM(BY936))=0)</formula>
    </cfRule>
  </conditionalFormatting>
  <conditionalFormatting sqref="BY946">
    <cfRule type="expression" dxfId="453" priority="18">
      <formula>AND(LEN(TRIM($BM946))&gt;0,LEN(TRIM(BY946))=0)</formula>
    </cfRule>
  </conditionalFormatting>
  <conditionalFormatting sqref="BY947:BY950">
    <cfRule type="expression" dxfId="452" priority="13">
      <formula>AND(LEN(TRIM($BD947))&gt;0,LEN(TRIM(BY947))=0)</formula>
    </cfRule>
  </conditionalFormatting>
  <conditionalFormatting sqref="BZ744">
    <cfRule type="expression" dxfId="451" priority="707">
      <formula>AND(LEN(TRIM($CB744))&gt;0,LEN(TRIM(BZ744))=0)</formula>
    </cfRule>
  </conditionalFormatting>
  <conditionalFormatting sqref="BZ750">
    <cfRule type="expression" dxfId="450" priority="692">
      <formula>AND(LEN(TRIM($CB750))&gt;0,LEN(TRIM(BZ750))=0)</formula>
    </cfRule>
  </conditionalFormatting>
  <conditionalFormatting sqref="BZ756">
    <cfRule type="expression" dxfId="449" priority="749">
      <formula>AND(LEN(TRIM($CB756))&gt;0,LEN(TRIM(BZ756))=0)</formula>
    </cfRule>
  </conditionalFormatting>
  <conditionalFormatting sqref="BZ762">
    <cfRule type="expression" dxfId="448" priority="744">
      <formula>AND(LEN(TRIM($CB762))&gt;0,LEN(TRIM(BZ762))=0)</formula>
    </cfRule>
  </conditionalFormatting>
  <conditionalFormatting sqref="BZ768">
    <cfRule type="expression" dxfId="447" priority="668">
      <formula>AND(LEN(TRIM($CB768))&gt;0,LEN(TRIM(BZ768))=0)</formula>
    </cfRule>
  </conditionalFormatting>
  <conditionalFormatting sqref="BZ774">
    <cfRule type="expression" dxfId="446" priority="645">
      <formula>AND(LEN(TRIM($CB774))&gt;0,LEN(TRIM(BZ774))=0)</formula>
    </cfRule>
  </conditionalFormatting>
  <conditionalFormatting sqref="BZ780">
    <cfRule type="expression" dxfId="445" priority="619">
      <formula>AND(LEN(TRIM($CB780))&gt;0,LEN(TRIM(BZ780))=0)</formula>
    </cfRule>
  </conditionalFormatting>
  <conditionalFormatting sqref="BZ910">
    <cfRule type="expression" dxfId="444" priority="181">
      <formula>AND(LEN(TRIM($BH910))&gt;0,LEN(TRIM(BZ910))=0)</formula>
    </cfRule>
  </conditionalFormatting>
  <conditionalFormatting sqref="BZ912">
    <cfRule type="expression" dxfId="443" priority="164">
      <formula>AND(LEN(TRIM($BM912))&gt;0,LEN(TRIM(BZ912))=0)</formula>
    </cfRule>
  </conditionalFormatting>
  <conditionalFormatting sqref="BZ914">
    <cfRule type="expression" dxfId="442" priority="169">
      <formula>AND(LEN(TRIM($BM914))&gt;0,LEN(TRIM(BZ914))=0)</formula>
    </cfRule>
  </conditionalFormatting>
  <conditionalFormatting sqref="BZ917">
    <cfRule type="expression" dxfId="441" priority="143">
      <formula>AND(LEN(TRIM($BH917))&gt;0,LEN(TRIM(BZ917))=0)</formula>
    </cfRule>
  </conditionalFormatting>
  <conditionalFormatting sqref="BZ919">
    <cfRule type="expression" dxfId="440" priority="126">
      <formula>AND(LEN(TRIM($BM919))&gt;0,LEN(TRIM(BZ919))=0)</formula>
    </cfRule>
  </conditionalFormatting>
  <conditionalFormatting sqref="BZ921">
    <cfRule type="expression" dxfId="439" priority="131">
      <formula>AND(LEN(TRIM($BM921))&gt;0,LEN(TRIM(BZ921))=0)</formula>
    </cfRule>
  </conditionalFormatting>
  <conditionalFormatting sqref="BZ924">
    <cfRule type="expression" dxfId="438" priority="104">
      <formula>AND(LEN(TRIM($BH924))&gt;0,LEN(TRIM(BZ924))=0)</formula>
    </cfRule>
  </conditionalFormatting>
  <conditionalFormatting sqref="BZ926">
    <cfRule type="expression" dxfId="437" priority="87">
      <formula>AND(LEN(TRIM($BM926))&gt;0,LEN(TRIM(BZ926))=0)</formula>
    </cfRule>
  </conditionalFormatting>
  <conditionalFormatting sqref="BZ928 BX928:BX930">
    <cfRule type="expression" dxfId="436" priority="92">
      <formula>AND(LEN(TRIM($BM928))&gt;0,LEN(TRIM(BX928))=0)</formula>
    </cfRule>
  </conditionalFormatting>
  <conditionalFormatting sqref="BZ931:BZ932">
    <cfRule type="expression" dxfId="435" priority="76">
      <formula>AND(LEN(TRIM($BH931))&gt;0,LEN(TRIM(BZ931))=0)</formula>
    </cfRule>
  </conditionalFormatting>
  <conditionalFormatting sqref="BZ935">
    <cfRule type="expression" dxfId="434" priority="60">
      <formula>AND(LEN(TRIM($BM935))&gt;0,LEN(TRIM(BZ935))=0)</formula>
    </cfRule>
  </conditionalFormatting>
  <conditionalFormatting sqref="BZ938:BZ939 BX938:BX941">
    <cfRule type="expression" dxfId="433" priority="57">
      <formula>AND(LEN(TRIM($BM938))&gt;0,LEN(TRIM(BX938))=0)</formula>
    </cfRule>
  </conditionalFormatting>
  <conditionalFormatting sqref="BZ942:BZ943">
    <cfRule type="expression" dxfId="432" priority="33">
      <formula>AND(LEN(TRIM($BH942))&gt;0,LEN(TRIM(BZ942))=0)</formula>
    </cfRule>
  </conditionalFormatting>
  <conditionalFormatting sqref="BZ946">
    <cfRule type="expression" dxfId="431" priority="17">
      <formula>AND(LEN(TRIM($BM946))&gt;0,LEN(TRIM(BZ946))=0)</formula>
    </cfRule>
  </conditionalFormatting>
  <conditionalFormatting sqref="BZ825:CA825">
    <cfRule type="expression" dxfId="430" priority="413">
      <formula>AND(LEN(TRIM(#REF!))&gt;0,LEN(TRIM(BZ825))=0)</formula>
    </cfRule>
  </conditionalFormatting>
  <conditionalFormatting sqref="BZ829:CA829">
    <cfRule type="expression" dxfId="429" priority="402">
      <formula>AND(LEN(TRIM(#REF!))&gt;0,LEN(TRIM(BZ829))=0)</formula>
    </cfRule>
  </conditionalFormatting>
  <conditionalFormatting sqref="BZ833:CA833">
    <cfRule type="expression" dxfId="428" priority="401">
      <formula>AND(LEN(TRIM(#REF!))&gt;0,LEN(TRIM(BZ833))=0)</formula>
    </cfRule>
  </conditionalFormatting>
  <conditionalFormatting sqref="BZ837:CA837">
    <cfRule type="expression" dxfId="427" priority="399">
      <formula>AND(LEN(TRIM(#REF!))&gt;0,LEN(TRIM(BZ837))=0)</formula>
    </cfRule>
  </conditionalFormatting>
  <conditionalFormatting sqref="BZ841:CA841">
    <cfRule type="expression" dxfId="426" priority="318">
      <formula>AND(LEN(TRIM(#REF!))&gt;0,LEN(TRIM(BZ841))=0)</formula>
    </cfRule>
  </conditionalFormatting>
  <conditionalFormatting sqref="BZ845:CA845">
    <cfRule type="expression" dxfId="425" priority="317">
      <formula>AND(LEN(TRIM(#REF!))&gt;0,LEN(TRIM(BZ845))=0)</formula>
    </cfRule>
  </conditionalFormatting>
  <conditionalFormatting sqref="BZ849:CA849">
    <cfRule type="expression" dxfId="424" priority="501">
      <formula>AND(LEN(TRIM(#REF!))&gt;0,LEN(TRIM(BZ849))=0)</formula>
    </cfRule>
  </conditionalFormatting>
  <conditionalFormatting sqref="BZ853:CA853">
    <cfRule type="expression" dxfId="423" priority="416">
      <formula>AND(LEN(TRIM(#REF!))&gt;0,LEN(TRIM(BZ853))=0)</formula>
    </cfRule>
  </conditionalFormatting>
  <conditionalFormatting sqref="BZ857:CA857">
    <cfRule type="expression" dxfId="422" priority="415">
      <formula>AND(LEN(TRIM(#REF!))&gt;0,LEN(TRIM(BZ857))=0)</formula>
    </cfRule>
  </conditionalFormatting>
  <conditionalFormatting sqref="BZ861:CA861">
    <cfRule type="expression" dxfId="421" priority="315">
      <formula>AND(LEN(TRIM(#REF!))&gt;0,LEN(TRIM(BZ861))=0)</formula>
    </cfRule>
  </conditionalFormatting>
  <conditionalFormatting sqref="BZ865:CA865">
    <cfRule type="expression" dxfId="420" priority="313">
      <formula>AND(LEN(TRIM(#REF!))&gt;0,LEN(TRIM(BZ865))=0)</formula>
    </cfRule>
  </conditionalFormatting>
  <conditionalFormatting sqref="BZ869:CA869">
    <cfRule type="expression" dxfId="419" priority="312">
      <formula>AND(LEN(TRIM(#REF!))&gt;0,LEN(TRIM(BZ869))=0)</formula>
    </cfRule>
  </conditionalFormatting>
  <conditionalFormatting sqref="BZ873:CA873">
    <cfRule type="expression" dxfId="418" priority="308">
      <formula>AND(LEN(TRIM(#REF!))&gt;0,LEN(TRIM(BZ873))=0)</formula>
    </cfRule>
  </conditionalFormatting>
  <conditionalFormatting sqref="BZ877:CA877">
    <cfRule type="expression" dxfId="417" priority="306">
      <formula>AND(LEN(TRIM(#REF!))&gt;0,LEN(TRIM(BZ877))=0)</formula>
    </cfRule>
  </conditionalFormatting>
  <conditionalFormatting sqref="BZ881:CA881">
    <cfRule type="expression" dxfId="416" priority="305">
      <formula>AND(LEN(TRIM(#REF!))&gt;0,LEN(TRIM(BZ881))=0)</formula>
    </cfRule>
  </conditionalFormatting>
  <conditionalFormatting sqref="BZ885:CA885">
    <cfRule type="expression" dxfId="415" priority="301">
      <formula>AND(LEN(TRIM(#REF!))&gt;0,LEN(TRIM(BZ885))=0)</formula>
    </cfRule>
  </conditionalFormatting>
  <conditionalFormatting sqref="BZ889:CA889">
    <cfRule type="expression" dxfId="414" priority="299">
      <formula>AND(LEN(TRIM(#REF!))&gt;0,LEN(TRIM(BZ889))=0)</formula>
    </cfRule>
  </conditionalFormatting>
  <conditionalFormatting sqref="BZ893:CA893">
    <cfRule type="expression" dxfId="413" priority="298">
      <formula>AND(LEN(TRIM(#REF!))&gt;0,LEN(TRIM(BZ893))=0)</formula>
    </cfRule>
  </conditionalFormatting>
  <conditionalFormatting sqref="BZ897:CA897">
    <cfRule type="expression" dxfId="412" priority="294">
      <formula>AND(LEN(TRIM(#REF!))&gt;0,LEN(TRIM(BZ897))=0)</formula>
    </cfRule>
  </conditionalFormatting>
  <conditionalFormatting sqref="BZ901:CA901">
    <cfRule type="expression" dxfId="411" priority="292">
      <formula>AND(LEN(TRIM(#REF!))&gt;0,LEN(TRIM(BZ901))=0)</formula>
    </cfRule>
  </conditionalFormatting>
  <conditionalFormatting sqref="BZ905:CA905">
    <cfRule type="expression" dxfId="410" priority="290">
      <formula>AND(LEN(TRIM(#REF!))&gt;0,LEN(TRIM(BZ905))=0)</formula>
    </cfRule>
  </conditionalFormatting>
  <conditionalFormatting sqref="CA908:CA910 BX910:BX913 BZ911:CA911 CA912 BZ913:CA913 CA914:CA917 BX917:BX920 BZ918:CA918 CA919 BZ920:CA920 CA921:CA924 BX924:BX927 BZ925:CA925 CA926 BZ927:CA927 CA928:CA932 BX931:BX935 BZ933:CA934 CA935 BX937 BZ937:CA937 CA938:CA943 BX942:BX946 BZ944:CA945 CA946 BX948 BZ948:CA948 CA949:CA950 BX951:CA992">
    <cfRule type="expression" dxfId="409" priority="208">
      <formula>AND(LEN(TRIM($BW908))&gt;0,LEN(TRIM(BX908))=0)</formula>
    </cfRule>
  </conditionalFormatting>
  <conditionalFormatting sqref="CC833 CC846:CF848 CC849 CC850:CF852 CC853 CC854:CF856 CC857 CC858:CF860 CC861 CC862:CF864 CC865 CC866:CF868 CC869 CC870:CF872 CC873 CC874:CF876 CC877 CC878:CF880 CC881 CC882:CF884 CC885 CC886:CF888 CC889 CC890:CF892 CC893 CC894:CF896 CC897 CC898:CF900 CC901 CC902:CF904 CC905">
    <cfRule type="expression" dxfId="408" priority="429">
      <formula>AND(LEN(TRIM($CB833))&gt;0,LEN(TRIM(CC833))=0)</formula>
    </cfRule>
  </conditionalFormatting>
  <conditionalFormatting sqref="CC910">
    <cfRule type="expression" dxfId="407" priority="171">
      <formula>AND(LEN(TRIM($BM910))&gt;0,LEN(TRIM(CC910))=0)</formula>
    </cfRule>
  </conditionalFormatting>
  <conditionalFormatting sqref="CC917">
    <cfRule type="expression" dxfId="406" priority="133">
      <formula>AND(LEN(TRIM($BM917))&gt;0,LEN(TRIM(CC917))=0)</formula>
    </cfRule>
  </conditionalFormatting>
  <conditionalFormatting sqref="CC924">
    <cfRule type="expression" dxfId="405" priority="94">
      <formula>AND(LEN(TRIM($BM924))&gt;0,LEN(TRIM(CC924))=0)</formula>
    </cfRule>
  </conditionalFormatting>
  <conditionalFormatting sqref="CC931:CC932">
    <cfRule type="expression" dxfId="404" priority="67">
      <formula>AND(LEN(TRIM($BM931))&gt;0,LEN(TRIM(CC931))=0)</formula>
    </cfRule>
  </conditionalFormatting>
  <conditionalFormatting sqref="CC942:CC943">
    <cfRule type="expression" dxfId="403" priority="24">
      <formula>AND(LEN(TRIM($BM942))&gt;0,LEN(TRIM(CC942))=0)</formula>
    </cfRule>
  </conditionalFormatting>
  <conditionalFormatting sqref="CC740:CF781">
    <cfRule type="expression" dxfId="402" priority="763">
      <formula>AND(LEN(TRIM($CB740))&gt;0,LEN(TRIM(CC740))=0)</formula>
    </cfRule>
  </conditionalFormatting>
  <conditionalFormatting sqref="CC782:CF824 CC825 CC826:CF828 CC829 CC830:CF832">
    <cfRule type="expression" dxfId="401" priority="407">
      <formula>AND(LEN(TRIM($CB782))&gt;0,LEN(TRIM(CC782))=0)</formula>
    </cfRule>
  </conditionalFormatting>
  <conditionalFormatting sqref="CC834:CF836 CC837 CC838:CF840 CC841 CC842:CF844 CC845">
    <cfRule type="expression" dxfId="400" priority="330">
      <formula>AND(LEN(TRIM($CB834))&gt;0,LEN(TRIM(CC834))=0)</formula>
    </cfRule>
  </conditionalFormatting>
  <conditionalFormatting sqref="CC906:CF909 CF910 CC911:CF912 CC913:CC914 CF913:CF914 CC915:CF916 CF917 CC918:CF919 CC920:CC921 CF920:CF921 CC922:CF923 CF924 CC925:CF926 CC927:CC928 CF927:CF928 CC929:CF930 CF931:CF932 CC933:CF935 CC936:CC939 CF936:CF939 CC940:CF941 CF942:CF943 CC944:CF946 CC947:CC950 CF947:CF950 CC951:CF992">
    <cfRule type="expression" dxfId="399" priority="209">
      <formula>AND(LEN(TRIM($CB906))&gt;0,LEN(TRIM(CC906))=0)</formula>
    </cfRule>
  </conditionalFormatting>
  <conditionalFormatting sqref="CD910">
    <cfRule type="expression" dxfId="398" priority="170">
      <formula>AND(LEN(TRIM($BD910))&gt;0,LEN(TRIM(CD910))=0)</formula>
    </cfRule>
  </conditionalFormatting>
  <conditionalFormatting sqref="CD913:CD914">
    <cfRule type="expression" dxfId="397" priority="176">
      <formula>AND(LEN(TRIM($BD913))&gt;0,LEN(TRIM(CD913))=0)</formula>
    </cfRule>
  </conditionalFormatting>
  <conditionalFormatting sqref="CD917">
    <cfRule type="expression" dxfId="396" priority="132">
      <formula>AND(LEN(TRIM($BD917))&gt;0,LEN(TRIM(CD917))=0)</formula>
    </cfRule>
  </conditionalFormatting>
  <conditionalFormatting sqref="CD920:CD921">
    <cfRule type="expression" dxfId="395" priority="138">
      <formula>AND(LEN(TRIM($BD920))&gt;0,LEN(TRIM(CD920))=0)</formula>
    </cfRule>
  </conditionalFormatting>
  <conditionalFormatting sqref="CD924">
    <cfRule type="expression" dxfId="394" priority="93">
      <formula>AND(LEN(TRIM($BD924))&gt;0,LEN(TRIM(CD924))=0)</formula>
    </cfRule>
  </conditionalFormatting>
  <conditionalFormatting sqref="CD927:CD928">
    <cfRule type="expression" dxfId="393" priority="99">
      <formula>AND(LEN(TRIM($BD927))&gt;0,LEN(TRIM(CD927))=0)</formula>
    </cfRule>
  </conditionalFormatting>
  <conditionalFormatting sqref="CD931:CD932">
    <cfRule type="expression" dxfId="392" priority="66">
      <formula>AND(LEN(TRIM($BD931))&gt;0,LEN(TRIM(CD931))=0)</formula>
    </cfRule>
  </conditionalFormatting>
  <conditionalFormatting sqref="CD936:CD939">
    <cfRule type="expression" dxfId="391" priority="71">
      <formula>AND(LEN(TRIM($BD936))&gt;0,LEN(TRIM(CD936))=0)</formula>
    </cfRule>
  </conditionalFormatting>
  <conditionalFormatting sqref="CD942:CD943">
    <cfRule type="expression" dxfId="390" priority="23">
      <formula>AND(LEN(TRIM($BD942))&gt;0,LEN(TRIM(CD942))=0)</formula>
    </cfRule>
  </conditionalFormatting>
  <conditionalFormatting sqref="CD947:CD950">
    <cfRule type="expression" dxfId="389" priority="28">
      <formula>AND(LEN(TRIM($BD947))&gt;0,LEN(TRIM(CD947))=0)</formula>
    </cfRule>
  </conditionalFormatting>
  <conditionalFormatting sqref="CE913:CE914">
    <cfRule type="expression" dxfId="388" priority="177">
      <formula>AND(LEN(TRIM($BH913))&gt;0,LEN(TRIM(CE913))=0)</formula>
    </cfRule>
  </conditionalFormatting>
  <conditionalFormatting sqref="CE920:CE921">
    <cfRule type="expression" dxfId="387" priority="139">
      <formula>AND(LEN(TRIM($BH920))&gt;0,LEN(TRIM(CE920))=0)</formula>
    </cfRule>
  </conditionalFormatting>
  <conditionalFormatting sqref="CE927:CE928">
    <cfRule type="expression" dxfId="386" priority="100">
      <formula>AND(LEN(TRIM($BH927))&gt;0,LEN(TRIM(CE927))=0)</formula>
    </cfRule>
  </conditionalFormatting>
  <conditionalFormatting sqref="CE936:CE939">
    <cfRule type="expression" dxfId="385" priority="72">
      <formula>AND(LEN(TRIM($BH936))&gt;0,LEN(TRIM(CE936))=0)</formula>
    </cfRule>
  </conditionalFormatting>
  <conditionalFormatting sqref="CE947:CE950">
    <cfRule type="expression" dxfId="384" priority="29">
      <formula>AND(LEN(TRIM($BH947))&gt;0,LEN(TRIM(CE947))=0)</formula>
    </cfRule>
  </conditionalFormatting>
  <conditionalFormatting sqref="CH914 CJ914">
    <cfRule type="expression" dxfId="383" priority="167">
      <formula>AND(LEN(TRIM($BM914))&gt;0,LEN(TRIM(CH914))=0)</formula>
    </cfRule>
  </conditionalFormatting>
  <conditionalFormatting sqref="CH921 CJ921">
    <cfRule type="expression" dxfId="382" priority="129">
      <formula>AND(LEN(TRIM($BM921))&gt;0,LEN(TRIM(CH921))=0)</formula>
    </cfRule>
  </conditionalFormatting>
  <conditionalFormatting sqref="CH928 CJ928">
    <cfRule type="expression" dxfId="381" priority="90">
      <formula>AND(LEN(TRIM($BM928))&gt;0,LEN(TRIM(CH928))=0)</formula>
    </cfRule>
  </conditionalFormatting>
  <conditionalFormatting sqref="CH939 CJ939">
    <cfRule type="expression" dxfId="380" priority="63">
      <formula>AND(LEN(TRIM($BM939))&gt;0,LEN(TRIM(CH939))=0)</formula>
    </cfRule>
  </conditionalFormatting>
  <conditionalFormatting sqref="CH950 CJ950">
    <cfRule type="expression" dxfId="379" priority="20">
      <formula>AND(LEN(TRIM($BM950))&gt;0,LEN(TRIM(CH950))=0)</formula>
    </cfRule>
  </conditionalFormatting>
  <conditionalFormatting sqref="CH740:CK781">
    <cfRule type="expression" dxfId="378" priority="764">
      <formula>AND(LEN(TRIM($CG740))&gt;0,LEN(TRIM(CH740))=0)</formula>
    </cfRule>
  </conditionalFormatting>
  <conditionalFormatting sqref="CH782:CK913 CK914 CH915:CK920 CK921 CH922:CK927 CK928 CH929:CK938 CK939 CH940:CK949 CK950 CH951:CK992">
    <cfRule type="expression" dxfId="377" priority="210">
      <formula>AND(LEN(TRIM($CG782))&gt;0,LEN(TRIM(CH782))=0)</formula>
    </cfRule>
  </conditionalFormatting>
  <conditionalFormatting sqref="CI914">
    <cfRule type="expression" dxfId="376" priority="166">
      <formula>AND(LEN(TRIM($BD914))&gt;0,LEN(TRIM(CI914))=0)</formula>
    </cfRule>
  </conditionalFormatting>
  <conditionalFormatting sqref="CI921">
    <cfRule type="expression" dxfId="375" priority="128">
      <formula>AND(LEN(TRIM($BD921))&gt;0,LEN(TRIM(CI921))=0)</formula>
    </cfRule>
  </conditionalFormatting>
  <conditionalFormatting sqref="CI928">
    <cfRule type="expression" dxfId="374" priority="89">
      <formula>AND(LEN(TRIM($BD928))&gt;0,LEN(TRIM(CI928))=0)</formula>
    </cfRule>
  </conditionalFormatting>
  <conditionalFormatting sqref="CI939">
    <cfRule type="expression" dxfId="373" priority="62">
      <formula>AND(LEN(TRIM($BD939))&gt;0,LEN(TRIM(CI939))=0)</formula>
    </cfRule>
  </conditionalFormatting>
  <conditionalFormatting sqref="CI950">
    <cfRule type="expression" dxfId="372" priority="19">
      <formula>AND(LEN(TRIM($BD950))&gt;0,LEN(TRIM(CI950))=0)</formula>
    </cfRule>
  </conditionalFormatting>
  <conditionalFormatting sqref="CM740:CP781">
    <cfRule type="expression" dxfId="371" priority="765">
      <formula>AND(LEN(TRIM($CL740))&gt;0,LEN(TRIM(CM740))=0)</formula>
    </cfRule>
  </conditionalFormatting>
  <conditionalFormatting sqref="CM782:CP992">
    <cfRule type="expression" dxfId="370" priority="211">
      <formula>AND(LEN(TRIM($CL782))&gt;0,LEN(TRIM(CM782))=0)</formula>
    </cfRule>
  </conditionalFormatting>
  <conditionalFormatting sqref="CR740:CU781">
    <cfRule type="expression" dxfId="369" priority="766">
      <formula>AND(LEN(TRIM($CQ740))&gt;0,LEN(TRIM(CR740))=0)</formula>
    </cfRule>
  </conditionalFormatting>
  <conditionalFormatting sqref="CR782:CU992">
    <cfRule type="expression" dxfId="368" priority="212">
      <formula>AND(LEN(TRIM($CQ782))&gt;0,LEN(TRIM(CR782))=0)</formula>
    </cfRule>
  </conditionalFormatting>
  <conditionalFormatting sqref="CW740:CZ781">
    <cfRule type="expression" dxfId="367" priority="767">
      <formula>AND(LEN(TRIM($CV740))&gt;0,LEN(TRIM(CW740))=0)</formula>
    </cfRule>
  </conditionalFormatting>
  <conditionalFormatting sqref="CW782:CZ992">
    <cfRule type="expression" dxfId="366" priority="213">
      <formula>AND(LEN(TRIM($CV782))&gt;0,LEN(TRIM(CW782))=0)</formula>
    </cfRule>
  </conditionalFormatting>
  <conditionalFormatting sqref="DB740:DE781">
    <cfRule type="expression" dxfId="365" priority="768">
      <formula>AND(LEN(TRIM($DA740))&gt;0,LEN(TRIM(DB740))=0)</formula>
    </cfRule>
  </conditionalFormatting>
  <conditionalFormatting sqref="DB782:DE992">
    <cfRule type="expression" dxfId="364" priority="214">
      <formula>AND(LEN(TRIM($DA782))&gt;0,LEN(TRIM(DB782))=0)</formula>
    </cfRule>
  </conditionalFormatting>
  <conditionalFormatting sqref="DG740:DJ781">
    <cfRule type="expression" dxfId="363" priority="769">
      <formula>AND(LEN(TRIM($DF740))&gt;0,LEN(TRIM(DG740))=0)</formula>
    </cfRule>
  </conditionalFormatting>
  <conditionalFormatting sqref="DG782:DJ992">
    <cfRule type="expression" dxfId="362" priority="215">
      <formula>AND(LEN(TRIM($DF782))&gt;0,LEN(TRIM(DG782))=0)</formula>
    </cfRule>
  </conditionalFormatting>
  <conditionalFormatting sqref="DL740:DO781">
    <cfRule type="expression" dxfId="361" priority="770">
      <formula>AND(LEN(TRIM($DK740))&gt;0,LEN(TRIM(DL740))=0)</formula>
    </cfRule>
  </conditionalFormatting>
  <conditionalFormatting sqref="DL782:DO992">
    <cfRule type="expression" dxfId="360" priority="216">
      <formula>AND(LEN(TRIM($DK782))&gt;0,LEN(TRIM(DL782))=0)</formula>
    </cfRule>
  </conditionalFormatting>
  <conditionalFormatting sqref="DQ740:DT781">
    <cfRule type="expression" dxfId="359" priority="771">
      <formula>AND(LEN(TRIM($DP740))&gt;0,LEN(TRIM(DQ740))=0)</formula>
    </cfRule>
  </conditionalFormatting>
  <conditionalFormatting sqref="DQ782:DT992">
    <cfRule type="expression" dxfId="358" priority="217">
      <formula>AND(LEN(TRIM($DP782))&gt;0,LEN(TRIM(DQ782))=0)</formula>
    </cfRule>
  </conditionalFormatting>
  <conditionalFormatting sqref="DV740:DY781">
    <cfRule type="expression" dxfId="357" priority="772">
      <formula>AND(LEN(TRIM($DU740))&gt;0,LEN(TRIM(DV740))=0)</formula>
    </cfRule>
  </conditionalFormatting>
  <conditionalFormatting sqref="DV782:DY992">
    <cfRule type="expression" dxfId="356" priority="218">
      <formula>AND(LEN(TRIM($DU782))&gt;0,LEN(TRIM(DV782))=0)</formula>
    </cfRule>
  </conditionalFormatting>
  <conditionalFormatting sqref="EA740:ED781">
    <cfRule type="expression" dxfId="355" priority="773">
      <formula>AND(LEN(TRIM($DZ740))&gt;0,LEN(TRIM(EA740))=0)</formula>
    </cfRule>
  </conditionalFormatting>
  <conditionalFormatting sqref="EA782:ED992">
    <cfRule type="expression" dxfId="354" priority="219">
      <formula>AND(LEN(TRIM($DZ782))&gt;0,LEN(TRIM(EA782))=0)</formula>
    </cfRule>
  </conditionalFormatting>
  <conditionalFormatting sqref="EE577">
    <cfRule type="duplicateValues" dxfId="353" priority="896"/>
  </conditionalFormatting>
  <conditionalFormatting sqref="EE578">
    <cfRule type="duplicateValues" dxfId="352" priority="894"/>
  </conditionalFormatting>
  <conditionalFormatting sqref="EE579:EE580">
    <cfRule type="duplicateValues" dxfId="351" priority="895"/>
  </conditionalFormatting>
  <conditionalFormatting sqref="EE581">
    <cfRule type="duplicateValues" dxfId="350" priority="893"/>
  </conditionalFormatting>
  <conditionalFormatting sqref="EE584">
    <cfRule type="duplicateValues" dxfId="349" priority="891"/>
  </conditionalFormatting>
  <conditionalFormatting sqref="EE585">
    <cfRule type="duplicateValues" dxfId="348" priority="889"/>
  </conditionalFormatting>
  <conditionalFormatting sqref="EE586:EE587">
    <cfRule type="duplicateValues" dxfId="347" priority="890"/>
  </conditionalFormatting>
  <conditionalFormatting sqref="EE588">
    <cfRule type="duplicateValues" dxfId="346" priority="888"/>
  </conditionalFormatting>
  <conditionalFormatting sqref="EE591">
    <cfRule type="duplicateValues" dxfId="345" priority="886"/>
  </conditionalFormatting>
  <conditionalFormatting sqref="EE592">
    <cfRule type="duplicateValues" dxfId="344" priority="884"/>
  </conditionalFormatting>
  <conditionalFormatting sqref="EE593:EE594">
    <cfRule type="duplicateValues" dxfId="343" priority="885"/>
  </conditionalFormatting>
  <conditionalFormatting sqref="EE595">
    <cfRule type="duplicateValues" dxfId="342" priority="883"/>
  </conditionalFormatting>
  <conditionalFormatting sqref="EE598">
    <cfRule type="duplicateValues" dxfId="341" priority="881"/>
  </conditionalFormatting>
  <conditionalFormatting sqref="EE599">
    <cfRule type="duplicateValues" dxfId="340" priority="879"/>
  </conditionalFormatting>
  <conditionalFormatting sqref="EE600:EE601">
    <cfRule type="duplicateValues" dxfId="339" priority="880"/>
  </conditionalFormatting>
  <conditionalFormatting sqref="EE602">
    <cfRule type="duplicateValues" dxfId="338" priority="878"/>
  </conditionalFormatting>
  <conditionalFormatting sqref="EE605">
    <cfRule type="duplicateValues" dxfId="337" priority="876"/>
  </conditionalFormatting>
  <conditionalFormatting sqref="EE606">
    <cfRule type="duplicateValues" dxfId="336" priority="874"/>
  </conditionalFormatting>
  <conditionalFormatting sqref="EE607:EE608">
    <cfRule type="duplicateValues" dxfId="335" priority="875"/>
  </conditionalFormatting>
  <conditionalFormatting sqref="EE609">
    <cfRule type="duplicateValues" dxfId="334" priority="873"/>
  </conditionalFormatting>
  <conditionalFormatting sqref="EF740:EH781">
    <cfRule type="expression" dxfId="333" priority="774">
      <formula>AND(LEN(TRIM($EE740))&gt;0,LEN(TRIM(EF740))=0)</formula>
    </cfRule>
  </conditionalFormatting>
  <conditionalFormatting sqref="EF782:EH992">
    <cfRule type="expression" dxfId="332" priority="220">
      <formula>AND(LEN(TRIM($EE782))&gt;0,LEN(TRIM(EF782))=0)</formula>
    </cfRule>
  </conditionalFormatting>
  <conditionalFormatting sqref="EI579">
    <cfRule type="duplicateValues" dxfId="331" priority="892"/>
  </conditionalFormatting>
  <conditionalFormatting sqref="EI586">
    <cfRule type="duplicateValues" dxfId="330" priority="887"/>
  </conditionalFormatting>
  <conditionalFormatting sqref="EI593">
    <cfRule type="duplicateValues" dxfId="329" priority="882"/>
  </conditionalFormatting>
  <conditionalFormatting sqref="EI600">
    <cfRule type="duplicateValues" dxfId="328" priority="877"/>
  </conditionalFormatting>
  <conditionalFormatting sqref="EI607">
    <cfRule type="duplicateValues" dxfId="327" priority="872"/>
  </conditionalFormatting>
  <conditionalFormatting sqref="EJ740:EL781">
    <cfRule type="expression" dxfId="326" priority="775">
      <formula>AND(LEN(TRIM($EI740))&gt;0,LEN(TRIM(EJ740))=0)</formula>
    </cfRule>
  </conditionalFormatting>
  <conditionalFormatting sqref="EJ782:EL992">
    <cfRule type="expression" dxfId="325" priority="221">
      <formula>AND(LEN(TRIM($EI782))&gt;0,LEN(TRIM(EJ782))=0)</formula>
    </cfRule>
  </conditionalFormatting>
  <conditionalFormatting sqref="EN740:EP781">
    <cfRule type="expression" dxfId="324" priority="776">
      <formula>AND(LEN(TRIM($EM740))&gt;0,LEN(TRIM(EN740))=0)</formula>
    </cfRule>
  </conditionalFormatting>
  <conditionalFormatting sqref="EN782:EP992">
    <cfRule type="expression" dxfId="323" priority="222">
      <formula>AND(LEN(TRIM($EM782))&gt;0,LEN(TRIM(EN782))=0)</formula>
    </cfRule>
  </conditionalFormatting>
  <conditionalFormatting sqref="ER740:ET781">
    <cfRule type="expression" dxfId="322" priority="777">
      <formula>AND(LEN(TRIM($EQ740))&gt;0,LEN(TRIM(ER740))=0)</formula>
    </cfRule>
  </conditionalFormatting>
  <conditionalFormatting sqref="ER782:ET992">
    <cfRule type="expression" dxfId="321" priority="223">
      <formula>AND(LEN(TRIM($EQ782))&gt;0,LEN(TRIM(ER782))=0)</formula>
    </cfRule>
  </conditionalFormatting>
  <conditionalFormatting sqref="EV740:EX781">
    <cfRule type="expression" dxfId="320" priority="778">
      <formula>AND(LEN(TRIM($EU740))&gt;0,LEN(TRIM(EV740))=0)</formula>
    </cfRule>
  </conditionalFormatting>
  <conditionalFormatting sqref="EV782:EX992">
    <cfRule type="expression" dxfId="319" priority="224">
      <formula>AND(LEN(TRIM($EU782))&gt;0,LEN(TRIM(EV782))=0)</formula>
    </cfRule>
  </conditionalFormatting>
  <conditionalFormatting sqref="EZ740:FB781">
    <cfRule type="expression" dxfId="318" priority="779">
      <formula>AND(LEN(TRIM($EY740))&gt;0,LEN(TRIM(EZ740))=0)</formula>
    </cfRule>
  </conditionalFormatting>
  <conditionalFormatting sqref="EZ782:FB992">
    <cfRule type="expression" dxfId="317" priority="225">
      <formula>AND(LEN(TRIM($EY782))&gt;0,LEN(TRIM(EZ782))=0)</formula>
    </cfRule>
  </conditionalFormatting>
  <conditionalFormatting sqref="FD740:FF781">
    <cfRule type="expression" dxfId="316" priority="780">
      <formula>AND(LEN(TRIM($FC740))&gt;0,LEN(TRIM(FD740))=0)</formula>
    </cfRule>
  </conditionalFormatting>
  <conditionalFormatting sqref="FD782:FF992">
    <cfRule type="expression" dxfId="315" priority="226">
      <formula>AND(LEN(TRIM($FC782))&gt;0,LEN(TRIM(FD782))=0)</formula>
    </cfRule>
  </conditionalFormatting>
  <conditionalFormatting sqref="FH740:FJ781">
    <cfRule type="expression" dxfId="314" priority="781">
      <formula>AND(LEN(TRIM($FG740))&gt;0,LEN(TRIM(FH740))=0)</formula>
    </cfRule>
  </conditionalFormatting>
  <conditionalFormatting sqref="FH782:FJ992">
    <cfRule type="expression" dxfId="313" priority="227">
      <formula>AND(LEN(TRIM($FG782))&gt;0,LEN(TRIM(FH782))=0)</formula>
    </cfRule>
  </conditionalFormatting>
  <conditionalFormatting sqref="FL740:FN781">
    <cfRule type="expression" dxfId="312" priority="782">
      <formula>AND(LEN(TRIM($FK740))&gt;0,LEN(TRIM(FL740))=0)</formula>
    </cfRule>
  </conditionalFormatting>
  <conditionalFormatting sqref="FL782:FN992">
    <cfRule type="expression" dxfId="311" priority="228">
      <formula>AND(LEN(TRIM($FK782))&gt;0,LEN(TRIM(FL782))=0)</formula>
    </cfRule>
  </conditionalFormatting>
  <conditionalFormatting sqref="FP740:FR781">
    <cfRule type="expression" dxfId="310" priority="783">
      <formula>AND(LEN(TRIM($FO740))&gt;0,LEN(TRIM(FP740))=0)</formula>
    </cfRule>
  </conditionalFormatting>
  <conditionalFormatting sqref="FP782:FR992">
    <cfRule type="expression" dxfId="309" priority="229">
      <formula>AND(LEN(TRIM($FO782))&gt;0,LEN(TRIM(FP782))=0)</formula>
    </cfRule>
  </conditionalFormatting>
  <conditionalFormatting sqref="FT740:FV781">
    <cfRule type="expression" dxfId="308" priority="784">
      <formula>AND(LEN(TRIM($FS740))&gt;0,LEN(TRIM(FT740))=0)</formula>
    </cfRule>
  </conditionalFormatting>
  <conditionalFormatting sqref="FT782:FV992">
    <cfRule type="expression" dxfId="307" priority="230">
      <formula>AND(LEN(TRIM($FS782))&gt;0,LEN(TRIM(FT782))=0)</formula>
    </cfRule>
  </conditionalFormatting>
  <conditionalFormatting sqref="FX740:FZ781">
    <cfRule type="expression" dxfId="306" priority="785">
      <formula>AND(LEN(TRIM($FW740))&gt;0,LEN(TRIM(FX740))=0)</formula>
    </cfRule>
  </conditionalFormatting>
  <conditionalFormatting sqref="FX782:FZ992">
    <cfRule type="expression" dxfId="305" priority="231">
      <formula>AND(LEN(TRIM($FW782))&gt;0,LEN(TRIM(FX782))=0)</formula>
    </cfRule>
  </conditionalFormatting>
  <conditionalFormatting sqref="GB740:GD781">
    <cfRule type="expression" dxfId="304" priority="786">
      <formula>AND(LEN(TRIM($GA740))&gt;0,LEN(TRIM(GB740))=0)</formula>
    </cfRule>
  </conditionalFormatting>
  <conditionalFormatting sqref="GB782:GD992">
    <cfRule type="expression" dxfId="303" priority="232">
      <formula>AND(LEN(TRIM($GA782))&gt;0,LEN(TRIM(GB782))=0)</formula>
    </cfRule>
  </conditionalFormatting>
  <conditionalFormatting sqref="GF740:GH781">
    <cfRule type="expression" dxfId="302" priority="787">
      <formula>AND(LEN(TRIM($GE740))&gt;0,LEN(TRIM(GF740))=0)</formula>
    </cfRule>
  </conditionalFormatting>
  <conditionalFormatting sqref="GF782:GH992">
    <cfRule type="expression" dxfId="301" priority="233">
      <formula>AND(LEN(TRIM($GE782))&gt;0,LEN(TRIM(GF782))=0)</formula>
    </cfRule>
  </conditionalFormatting>
  <conditionalFormatting sqref="GJ740:GL781">
    <cfRule type="expression" dxfId="300" priority="788">
      <formula>AND(LEN(TRIM($GI740))&gt;0,LEN(TRIM(GJ740))=0)</formula>
    </cfRule>
  </conditionalFormatting>
  <conditionalFormatting sqref="GJ782:GL992">
    <cfRule type="expression" dxfId="299" priority="234">
      <formula>AND(LEN(TRIM($GI782))&gt;0,LEN(TRIM(GJ782))=0)</formula>
    </cfRule>
  </conditionalFormatting>
  <conditionalFormatting sqref="GN740:GQ781">
    <cfRule type="expression" dxfId="298" priority="789">
      <formula>AND(LEN(TRIM($GM740))&gt;0,LEN(TRIM(GN740))=0)</formula>
    </cfRule>
  </conditionalFormatting>
  <conditionalFormatting sqref="GN782:GQ992">
    <cfRule type="expression" dxfId="297" priority="235">
      <formula>AND(LEN(TRIM($GM782))&gt;0,LEN(TRIM(GN782))=0)</formula>
    </cfRule>
  </conditionalFormatting>
  <conditionalFormatting sqref="GS740:GV781">
    <cfRule type="expression" dxfId="296" priority="790">
      <formula>AND(LEN(TRIM($GR740))&gt;0,LEN(TRIM(GS740))=0)</formula>
    </cfRule>
  </conditionalFormatting>
  <conditionalFormatting sqref="GS782:GV992">
    <cfRule type="expression" dxfId="295" priority="236">
      <formula>AND(LEN(TRIM($GR782))&gt;0,LEN(TRIM(GS782))=0)</formula>
    </cfRule>
  </conditionalFormatting>
  <conditionalFormatting sqref="GX740:HA781">
    <cfRule type="expression" dxfId="294" priority="791">
      <formula>AND(LEN(TRIM($GW740))&gt;0,LEN(TRIM(GX740))=0)</formula>
    </cfRule>
  </conditionalFormatting>
  <conditionalFormatting sqref="GX782:HA992">
    <cfRule type="expression" dxfId="293" priority="237">
      <formula>AND(LEN(TRIM($GW782))&gt;0,LEN(TRIM(GX782))=0)</formula>
    </cfRule>
  </conditionalFormatting>
  <conditionalFormatting sqref="HC740:HF781">
    <cfRule type="expression" dxfId="292" priority="792">
      <formula>AND(LEN(TRIM($HB740))&gt;0,LEN(TRIM(HC740))=0)</formula>
    </cfRule>
  </conditionalFormatting>
  <conditionalFormatting sqref="HC782:HF992">
    <cfRule type="expression" dxfId="291" priority="238">
      <formula>AND(LEN(TRIM($HB782))&gt;0,LEN(TRIM(HC782))=0)</formula>
    </cfRule>
  </conditionalFormatting>
  <conditionalFormatting sqref="HH740:HK781">
    <cfRule type="expression" dxfId="290" priority="793">
      <formula>AND(LEN(TRIM($HG740))&gt;0,LEN(TRIM(HH740))=0)</formula>
    </cfRule>
  </conditionalFormatting>
  <conditionalFormatting sqref="HH782:HK928 HH929:HJ950 HH951:HK992">
    <cfRule type="expression" dxfId="289" priority="239">
      <formula>AND(LEN(TRIM($HG782))&gt;0,LEN(TRIM(HH782))=0)</formula>
    </cfRule>
  </conditionalFormatting>
  <conditionalFormatting sqref="HL908:HL950">
    <cfRule type="expression" dxfId="288" priority="116">
      <formula>AND(LEN(TRIM($BD908))&gt;0,LEN(TRIM(HL908))=0)</formula>
    </cfRule>
  </conditionalFormatting>
  <conditionalFormatting sqref="HM740:HQ781">
    <cfRule type="expression" dxfId="287" priority="794">
      <formula>AND(LEN(TRIM($HL740))&gt;0,LEN(TRIM(HM740))=0)</formula>
    </cfRule>
  </conditionalFormatting>
  <conditionalFormatting sqref="HM782:HQ992">
    <cfRule type="expression" dxfId="286" priority="240">
      <formula>AND(LEN(TRIM($HL782))&gt;0,LEN(TRIM(HM782))=0)</formula>
    </cfRule>
  </conditionalFormatting>
  <conditionalFormatting sqref="HN742">
    <cfRule type="expression" dxfId="285" priority="706">
      <formula>AND(LEN(TRIM($C740))&gt;0,LEN(TRIM(HN742))=0)</formula>
    </cfRule>
  </conditionalFormatting>
  <conditionalFormatting sqref="HN745">
    <cfRule type="expression" dxfId="284" priority="702">
      <formula>AND(LEN(TRIM($C743))&gt;0,LEN(TRIM(HN745))=0)</formula>
    </cfRule>
  </conditionalFormatting>
  <conditionalFormatting sqref="HN748">
    <cfRule type="expression" dxfId="283" priority="691">
      <formula>AND(LEN(TRIM($C746))&gt;0,LEN(TRIM(HN748))=0)</formula>
    </cfRule>
  </conditionalFormatting>
  <conditionalFormatting sqref="HN757">
    <cfRule type="expression" dxfId="282" priority="737">
      <formula>AND(LEN(TRIM($C755))&gt;0,LEN(TRIM(HN757))=0)</formula>
    </cfRule>
  </conditionalFormatting>
  <conditionalFormatting sqref="HN760">
    <cfRule type="expression" dxfId="281" priority="733">
      <formula>AND(LEN(TRIM($C758))&gt;0,LEN(TRIM(HN760))=0)</formula>
    </cfRule>
  </conditionalFormatting>
  <conditionalFormatting sqref="HN763">
    <cfRule type="expression" dxfId="280" priority="729">
      <formula>AND(LEN(TRIM($C761))&gt;0,LEN(TRIM(HN763))=0)</formula>
    </cfRule>
  </conditionalFormatting>
  <conditionalFormatting sqref="HN766">
    <cfRule type="expression" dxfId="279" priority="667">
      <formula>AND(LEN(TRIM($C764))&gt;0,LEN(TRIM(HN766))=0)</formula>
    </cfRule>
  </conditionalFormatting>
  <conditionalFormatting sqref="HN772">
    <cfRule type="expression" dxfId="278" priority="644">
      <formula>AND(LEN(TRIM($C770))&gt;0,LEN(TRIM(HN772))=0)</formula>
    </cfRule>
  </conditionalFormatting>
  <conditionalFormatting sqref="HN778">
    <cfRule type="expression" dxfId="277" priority="618">
      <formula>AND(LEN(TRIM($C776))&gt;0,LEN(TRIM(HN778))=0)</formula>
    </cfRule>
  </conditionalFormatting>
  <conditionalFormatting sqref="HN751:HQ751 HN754">
    <cfRule type="expression" dxfId="276" priority="741">
      <formula>AND(LEN(TRIM($C749))&gt;0,LEN(TRIM(HN751))=0)</formula>
    </cfRule>
  </conditionalFormatting>
  <conditionalFormatting sqref="HN769:HQ769">
    <cfRule type="expression" dxfId="275" priority="675">
      <formula>AND(LEN(TRIM($C767))&gt;0,LEN(TRIM(HN769))=0)</formula>
    </cfRule>
  </conditionalFormatting>
  <conditionalFormatting sqref="HN775:HQ775">
    <cfRule type="expression" dxfId="274" priority="652">
      <formula>AND(LEN(TRIM($C773))&gt;0,LEN(TRIM(HN775))=0)</formula>
    </cfRule>
  </conditionalFormatting>
  <conditionalFormatting sqref="HN781:HQ781">
    <cfRule type="expression" dxfId="273" priority="626">
      <formula>AND(LEN(TRIM($C779))&gt;0,LEN(TRIM(HN781))=0)</formula>
    </cfRule>
  </conditionalFormatting>
  <conditionalFormatting sqref="HO742">
    <cfRule type="expression" dxfId="272" priority="705">
      <formula>AND(LEN(TRIM($C740))&gt;0,LEN(TRIM(HO742))=0)</formula>
    </cfRule>
  </conditionalFormatting>
  <conditionalFormatting sqref="HO745">
    <cfRule type="expression" dxfId="271" priority="701">
      <formula>AND(LEN(TRIM($C743))&gt;0,LEN(TRIM(HO745))=0)</formula>
    </cfRule>
  </conditionalFormatting>
  <conditionalFormatting sqref="HO748">
    <cfRule type="expression" dxfId="270" priority="690">
      <formula>AND(LEN(TRIM($C746))&gt;0,LEN(TRIM(HO748))=0)</formula>
    </cfRule>
  </conditionalFormatting>
  <conditionalFormatting sqref="HO754">
    <cfRule type="expression" dxfId="269" priority="740">
      <formula>AND(LEN(TRIM($C752))&gt;0,LEN(TRIM(HO754))=0)</formula>
    </cfRule>
  </conditionalFormatting>
  <conditionalFormatting sqref="HO757">
    <cfRule type="expression" dxfId="268" priority="736">
      <formula>AND(LEN(TRIM($C755))&gt;0,LEN(TRIM(HO757))=0)</formula>
    </cfRule>
  </conditionalFormatting>
  <conditionalFormatting sqref="HO760">
    <cfRule type="expression" dxfId="267" priority="732">
      <formula>AND(LEN(TRIM($C758))&gt;0,LEN(TRIM(HO760))=0)</formula>
    </cfRule>
  </conditionalFormatting>
  <conditionalFormatting sqref="HO763">
    <cfRule type="expression" dxfId="266" priority="728">
      <formula>AND(LEN(TRIM($C761))&gt;0,LEN(TRIM(HO763))=0)</formula>
    </cfRule>
  </conditionalFormatting>
  <conditionalFormatting sqref="HO766">
    <cfRule type="expression" dxfId="265" priority="666">
      <formula>AND(LEN(TRIM($C764))&gt;0,LEN(TRIM(HO766))=0)</formula>
    </cfRule>
  </conditionalFormatting>
  <conditionalFormatting sqref="HO772">
    <cfRule type="expression" dxfId="264" priority="643">
      <formula>AND(LEN(TRIM($C770))&gt;0,LEN(TRIM(HO772))=0)</formula>
    </cfRule>
  </conditionalFormatting>
  <conditionalFormatting sqref="HO778">
    <cfRule type="expression" dxfId="263" priority="617">
      <formula>AND(LEN(TRIM($C776))&gt;0,LEN(TRIM(HO778))=0)</formula>
    </cfRule>
  </conditionalFormatting>
  <conditionalFormatting sqref="HP740:HP741 HP743:HP747 HP749:HP753 HP755:HP765 HP767:HP771 HP773:HP777 HP779:HP781">
    <cfRule type="expression" dxfId="262" priority="795">
      <formula>AND($HP740&gt;50, $HP740&lt;&gt;"Unspecified")</formula>
    </cfRule>
  </conditionalFormatting>
  <conditionalFormatting sqref="HP742">
    <cfRule type="expression" dxfId="261" priority="704">
      <formula>AND(LEN(TRIM($C740))&gt;0,LEN(TRIM(HP742))=0)</formula>
    </cfRule>
  </conditionalFormatting>
  <conditionalFormatting sqref="HP745">
    <cfRule type="expression" dxfId="260" priority="700">
      <formula>AND(LEN(TRIM($C743))&gt;0,LEN(TRIM(HP745))=0)</formula>
    </cfRule>
  </conditionalFormatting>
  <conditionalFormatting sqref="HP748">
    <cfRule type="expression" dxfId="259" priority="689">
      <formula>AND(LEN(TRIM($C746))&gt;0,LEN(TRIM(HP748))=0)</formula>
    </cfRule>
  </conditionalFormatting>
  <conditionalFormatting sqref="HP754">
    <cfRule type="expression" dxfId="258" priority="739">
      <formula>AND(LEN(TRIM($C752))&gt;0,LEN(TRIM(HP754))=0)</formula>
    </cfRule>
  </conditionalFormatting>
  <conditionalFormatting sqref="HP757">
    <cfRule type="expression" dxfId="257" priority="735">
      <formula>AND(LEN(TRIM($C755))&gt;0,LEN(TRIM(HP757))=0)</formula>
    </cfRule>
  </conditionalFormatting>
  <conditionalFormatting sqref="HP760">
    <cfRule type="expression" dxfId="256" priority="731">
      <formula>AND(LEN(TRIM($C758))&gt;0,LEN(TRIM(HP760))=0)</formula>
    </cfRule>
  </conditionalFormatting>
  <conditionalFormatting sqref="HP763">
    <cfRule type="expression" dxfId="255" priority="727">
      <formula>AND(LEN(TRIM($C761))&gt;0,LEN(TRIM(HP763))=0)</formula>
    </cfRule>
  </conditionalFormatting>
  <conditionalFormatting sqref="HP766">
    <cfRule type="expression" dxfId="254" priority="665">
      <formula>AND(LEN(TRIM($C764))&gt;0,LEN(TRIM(HP766))=0)</formula>
    </cfRule>
  </conditionalFormatting>
  <conditionalFormatting sqref="HP772">
    <cfRule type="expression" dxfId="253" priority="642">
      <formula>AND(LEN(TRIM($C770))&gt;0,LEN(TRIM(HP772))=0)</formula>
    </cfRule>
  </conditionalFormatting>
  <conditionalFormatting sqref="HP778">
    <cfRule type="expression" dxfId="252" priority="616">
      <formula>AND(LEN(TRIM($C776))&gt;0,LEN(TRIM(HP778))=0)</formula>
    </cfRule>
  </conditionalFormatting>
  <conditionalFormatting sqref="HP782:HP992">
    <cfRule type="expression" dxfId="251" priority="241">
      <formula>AND($HP782&gt;50, $HP782&lt;&gt;"Unspecified")</formula>
    </cfRule>
  </conditionalFormatting>
  <conditionalFormatting sqref="HQ742">
    <cfRule type="expression" dxfId="250" priority="703">
      <formula>AND(LEN(TRIM($C740))&gt;0,LEN(TRIM(HQ742))=0)</formula>
    </cfRule>
  </conditionalFormatting>
  <conditionalFormatting sqref="HQ745">
    <cfRule type="expression" dxfId="249" priority="699">
      <formula>AND(LEN(TRIM($C743))&gt;0,LEN(TRIM(HQ745))=0)</formula>
    </cfRule>
  </conditionalFormatting>
  <conditionalFormatting sqref="HQ748">
    <cfRule type="expression" dxfId="248" priority="688">
      <formula>AND(LEN(TRIM($C746))&gt;0,LEN(TRIM(HQ748))=0)</formula>
    </cfRule>
  </conditionalFormatting>
  <conditionalFormatting sqref="HQ754">
    <cfRule type="expression" dxfId="247" priority="738">
      <formula>AND(LEN(TRIM($C752))&gt;0,LEN(TRIM(HQ754))=0)</formula>
    </cfRule>
  </conditionalFormatting>
  <conditionalFormatting sqref="HQ757">
    <cfRule type="expression" dxfId="246" priority="734">
      <formula>AND(LEN(TRIM($C755))&gt;0,LEN(TRIM(HQ757))=0)</formula>
    </cfRule>
  </conditionalFormatting>
  <conditionalFormatting sqref="HQ760">
    <cfRule type="expression" dxfId="245" priority="730">
      <formula>AND(LEN(TRIM($C758))&gt;0,LEN(TRIM(HQ760))=0)</formula>
    </cfRule>
  </conditionalFormatting>
  <conditionalFormatting sqref="HQ763">
    <cfRule type="expression" dxfId="244" priority="726">
      <formula>AND(LEN(TRIM($C761))&gt;0,LEN(TRIM(HQ763))=0)</formula>
    </cfRule>
  </conditionalFormatting>
  <conditionalFormatting sqref="HQ766">
    <cfRule type="expression" dxfId="243" priority="664">
      <formula>AND(LEN(TRIM($C764))&gt;0,LEN(TRIM(HQ766))=0)</formula>
    </cfRule>
  </conditionalFormatting>
  <conditionalFormatting sqref="HQ772">
    <cfRule type="expression" dxfId="242" priority="641">
      <formula>AND(LEN(TRIM($C770))&gt;0,LEN(TRIM(HQ772))=0)</formula>
    </cfRule>
  </conditionalFormatting>
  <conditionalFormatting sqref="HQ778">
    <cfRule type="expression" dxfId="241" priority="615">
      <formula>AND(LEN(TRIM($C776))&gt;0,LEN(TRIM(HQ778))=0)</formula>
    </cfRule>
  </conditionalFormatting>
  <conditionalFormatting sqref="HS740:HV781">
    <cfRule type="expression" dxfId="240" priority="796">
      <formula>AND(LEN(TRIM($HR740))&gt;0,LEN(TRIM(HS740))=0)</formula>
    </cfRule>
  </conditionalFormatting>
  <conditionalFormatting sqref="HS782:HV992">
    <cfRule type="expression" dxfId="239" priority="242">
      <formula>AND(LEN(TRIM($HR782))&gt;0,LEN(TRIM(HS782))=0)</formula>
    </cfRule>
  </conditionalFormatting>
  <conditionalFormatting sqref="HW740:HW781">
    <cfRule type="expression" dxfId="238" priority="797">
      <formula>IF(AND(COUNTIF($BH740:$DZ740,$HW740)=0,$HW740&lt;&gt;""),1,0)=1</formula>
    </cfRule>
  </conditionalFormatting>
  <conditionalFormatting sqref="HW782:HW992">
    <cfRule type="expression" dxfId="237" priority="243">
      <formula>IF(AND(COUNTIF($BH782:$DZ782,$HW782)=0,$HW782&lt;&gt;""),1,0)=1</formula>
    </cfRule>
  </conditionalFormatting>
  <conditionalFormatting sqref="HX740:IA781">
    <cfRule type="expression" dxfId="236" priority="798">
      <formula>AND(LEN(TRIM($HW740))&gt;0,LEN(TRIM(HX740))=0)</formula>
    </cfRule>
  </conditionalFormatting>
  <conditionalFormatting sqref="HX782:IA992">
    <cfRule type="expression" dxfId="235" priority="244">
      <formula>AND(LEN(TRIM($HW782))&gt;0,LEN(TRIM(HX782))=0)</formula>
    </cfRule>
  </conditionalFormatting>
  <conditionalFormatting sqref="IB740:IB781">
    <cfRule type="expression" dxfId="234" priority="799">
      <formula>IF(AND(COUNTIF(#REF!,$IB740)=0,$IB740&lt;&gt;""),1,0)=1</formula>
    </cfRule>
  </conditionalFormatting>
  <conditionalFormatting sqref="IB782:IB992">
    <cfRule type="expression" dxfId="233" priority="245">
      <formula>IF(AND(COUNTIF(#REF!,$IB782)=0,$IB782&lt;&gt;""),1,0)=1</formula>
    </cfRule>
  </conditionalFormatting>
  <conditionalFormatting sqref="IC782:IF821">
    <cfRule type="expression" dxfId="232" priority="574">
      <formula>AND(LEN(TRIM($IB782))&gt;0,LEN(TRIM(IC782))=0)</formula>
    </cfRule>
  </conditionalFormatting>
  <conditionalFormatting sqref="IC908:IF949 IG930:IG931 IG934 IG936 IG938 IG941:IG942 IG945 IG947 IG949 IC950:IG992">
    <cfRule type="expression" dxfId="231" priority="246">
      <formula>AND(LEN(TRIM($IB908))&gt;0,LEN(TRIM(IC908))=0)</formula>
    </cfRule>
  </conditionalFormatting>
  <conditionalFormatting sqref="IC822:IG907">
    <cfRule type="expression" dxfId="230" priority="367">
      <formula>AND(LEN(TRIM($IB822))&gt;0,LEN(TRIM(IC822))=0)</formula>
    </cfRule>
  </conditionalFormatting>
  <conditionalFormatting sqref="IC740:IH781">
    <cfRule type="expression" dxfId="229" priority="800">
      <formula>AND(LEN(TRIM($IB740))&gt;0,LEN(TRIM(IC740))=0)</formula>
    </cfRule>
  </conditionalFormatting>
  <conditionalFormatting sqref="IG908:IG950">
    <cfRule type="expression" dxfId="228" priority="86">
      <formula>AND(LEN(TRIM($BD908))&gt;0,LEN(TRIM(IG908))=0)</formula>
    </cfRule>
  </conditionalFormatting>
  <conditionalFormatting sqref="IH782:IH821 IH908:IH929 IH932:IH940 IH943:IH950">
    <cfRule type="expression" dxfId="227" priority="1127">
      <formula>AND(LEN(TRIM($IG782))&gt;0,LEN(TRIM(IH782))=0)</formula>
    </cfRule>
  </conditionalFormatting>
  <conditionalFormatting sqref="IH930:IH931">
    <cfRule type="expression" dxfId="226" priority="281">
      <formula>AND(LEN(TRIM(#REF!))&gt;0,LEN(TRIM(IH930))=0)</formula>
    </cfRule>
  </conditionalFormatting>
  <conditionalFormatting sqref="IH941:IH942">
    <cfRule type="expression" dxfId="225" priority="43">
      <formula>AND(LEN(TRIM(#REF!))&gt;0,LEN(TRIM(IH941))=0)</formula>
    </cfRule>
  </conditionalFormatting>
  <conditionalFormatting sqref="II822:II907 II951:II992">
    <cfRule type="expression" dxfId="224" priority="368">
      <formula>AND(LEN(TRIM($IH822))&gt;0,LEN(TRIM(II822))=0)</formula>
    </cfRule>
  </conditionalFormatting>
  <conditionalFormatting sqref="II930:IJ931 IM934 IT934 LE934 II941:IJ942 IM945 IT945 LE945">
    <cfRule type="expression" dxfId="223" priority="1455">
      <formula>AND(LEN(TRIM(#REF!))&gt;0,LEN(TRIM(II930))=0,$IH930&lt;&gt;"Monoculture")</formula>
    </cfRule>
  </conditionalFormatting>
  <conditionalFormatting sqref="II782:IM821 II908:IM928 IT908:IT933 II929:IK929 IM929:IM933 LE929:LE933 IK930:IK939 II932:IJ939 IM935:IM944 IT935:IT944 LE935:LE944 II940:IK940 IK941:IK950 II943:IJ950 IM946:IM950 IT946:IT950 LE946:LE950">
    <cfRule type="expression" dxfId="222" priority="1128">
      <formula>AND(LEN(TRIM($IG782))&gt;0,LEN(TRIM(II782))=0,$IH782&lt;&gt;"Monoculture")</formula>
    </cfRule>
  </conditionalFormatting>
  <conditionalFormatting sqref="IJ740:IJ781">
    <cfRule type="expression" dxfId="221" priority="801">
      <formula>AND(LEN(TRIM($II740))&gt;0,LEN(TRIM(IJ740))=0)</formula>
    </cfRule>
  </conditionalFormatting>
  <conditionalFormatting sqref="IJ822:IM845">
    <cfRule type="expression" dxfId="220" priority="369">
      <formula>AND(LEN(TRIM($IH822))&gt;0,LEN(TRIM(IJ822))=0,$II822&lt;&gt;"Monoculture")</formula>
    </cfRule>
  </conditionalFormatting>
  <conditionalFormatting sqref="IJ846:IN907">
    <cfRule type="expression" dxfId="219" priority="468">
      <formula>AND(LEN(TRIM($IH846))&gt;0,LEN(TRIM(IJ846))=0,$II846&lt;&gt;"Monoculture")</formula>
    </cfRule>
  </conditionalFormatting>
  <conditionalFormatting sqref="IJ951:IN992">
    <cfRule type="expression" dxfId="218" priority="248">
      <formula>AND(LEN(TRIM($IH951))&gt;0,LEN(TRIM(IJ951))=0,$II951&lt;&gt;"Monoculture")</formula>
    </cfRule>
  </conditionalFormatting>
  <conditionalFormatting sqref="IK740:IM781">
    <cfRule type="expression" dxfId="217" priority="802">
      <formula>AND(LEN(TRIM($II740))&gt;0,LEN(TRIM(IK740))=0,$IJ740&lt;&gt;"Monoculture")</formula>
    </cfRule>
  </conditionalFormatting>
  <conditionalFormatting sqref="IL929:IL950">
    <cfRule type="expression" dxfId="216" priority="7">
      <formula>AND(LEN(TRIM($BD929))&gt;0,LEN(TRIM(IL929))=0)</formula>
    </cfRule>
  </conditionalFormatting>
  <conditionalFormatting sqref="IN740:IN781">
    <cfRule type="expression" dxfId="215" priority="725">
      <formula>AND(LEN(TRIM($BD740))&gt;0,LEN(TRIM(IN740))=0)</formula>
    </cfRule>
  </conditionalFormatting>
  <conditionalFormatting sqref="IN822:IN905">
    <cfRule type="expression" dxfId="214" priority="325">
      <formula>AND(LEN(TRIM($BD822))&gt;0,LEN(TRIM(IN822))=0)</formula>
    </cfRule>
  </conditionalFormatting>
  <conditionalFormatting sqref="IN908:IN950">
    <cfRule type="expression" dxfId="213" priority="85">
      <formula>AND(LEN(TRIM($BD908))&gt;0,LEN(TRIM(IN908))=0)</formula>
    </cfRule>
  </conditionalFormatting>
  <conditionalFormatting sqref="IN930:IN931 IN934 IN936 IN938">
    <cfRule type="expression" dxfId="212" priority="51">
      <formula>AND(LEN(TRIM($IB930))&gt;0,LEN(TRIM(IN930))=0)</formula>
    </cfRule>
  </conditionalFormatting>
  <conditionalFormatting sqref="IN941:IN942 IN945 IN947 IN949">
    <cfRule type="expression" dxfId="211" priority="8">
      <formula>AND(LEN(TRIM($IB941))&gt;0,LEN(TRIM(IN941))=0)</formula>
    </cfRule>
  </conditionalFormatting>
  <conditionalFormatting sqref="IO740:IO781 IR740:IT781">
    <cfRule type="expression" dxfId="210" priority="1051">
      <formula>AND(LEN(TRIM($IN740))&gt;0,LEN(TRIM(IO740))=0,$IO740&lt;&gt;"Monoculture",$IP740&lt;&gt;"Monoculture",$IQ740&lt;&gt;"Monoculture")</formula>
    </cfRule>
  </conditionalFormatting>
  <conditionalFormatting sqref="IO822:IO905 IR822:IT905 IO908:IO928 IR908:IS928 IO940:IO950 IR940:IS950">
    <cfRule type="expression" dxfId="209" priority="1133">
      <formula>AND(LEN(TRIM($IN822))&gt;0,LEN(TRIM(IO822))=0,$IO822&lt;&gt;"Monoculture",$IP822&lt;&gt;"Monoculture",$IQ822&lt;&gt;"Monoculture")</formula>
    </cfRule>
  </conditionalFormatting>
  <conditionalFormatting sqref="IO929:IO939 IR929:IS939">
    <cfRule type="expression" dxfId="208" priority="1485">
      <formula>AND(LEN(TRIM($IN929))&gt;0,LEN(TRIM(IO929))=0,$IO929&lt;&gt;"Monoculture",$IP929&lt;&gt;"Monoculture",#REF!&lt;&gt;"Monoculture")</formula>
    </cfRule>
  </conditionalFormatting>
  <conditionalFormatting sqref="IP906:IP907 IS906:IU907 IP951:IP992">
    <cfRule type="expression" dxfId="207" priority="469">
      <formula>AND(LEN(TRIM($IO906))&gt;0,LEN(TRIM(IP906))=0,$IP906&lt;&gt;"Monoculture",$IQ906&lt;&gt;"Monoculture",$IR906&lt;&gt;"Monoculture")</formula>
    </cfRule>
  </conditionalFormatting>
  <conditionalFormatting sqref="IQ782:IQ821 IT782:IV821">
    <cfRule type="expression" dxfId="206" priority="577">
      <formula>AND(LEN(TRIM($IP782))&gt;0,LEN(TRIM(IQ782))=0,$IQ782&lt;&gt;"Monoculture",$IR782&lt;&gt;"Monoculture",$IS782&lt;&gt;"Monoculture")</formula>
    </cfRule>
  </conditionalFormatting>
  <conditionalFormatting sqref="IS951:IU992">
    <cfRule type="expression" dxfId="205" priority="249">
      <formula>AND(LEN(TRIM($IO951))&gt;0,LEN(TRIM(IS951))=0,$IP951&lt;&gt;"Monoculture",$IQ951&lt;&gt;"Monoculture",$IR951&lt;&gt;"Monoculture")</formula>
    </cfRule>
  </conditionalFormatting>
  <conditionalFormatting sqref="IV908:IY950">
    <cfRule type="expression" dxfId="204" priority="1355">
      <formula>AND(LEN(TRIM($IU908))&gt;0,LEN(TRIM(IV908))=0)</formula>
    </cfRule>
  </conditionalFormatting>
  <conditionalFormatting sqref="IW822:IZ907 IW951:IZ992">
    <cfRule type="expression" dxfId="203" priority="371">
      <formula>AND(LEN(TRIM($IV822))&gt;0,LEN(TRIM(IW822))=0)</formula>
    </cfRule>
  </conditionalFormatting>
  <conditionalFormatting sqref="IX740:JA781">
    <cfRule type="expression" dxfId="202" priority="804">
      <formula>AND(LEN(TRIM($IW740))&gt;0,LEN(TRIM(IX740))=0)</formula>
    </cfRule>
  </conditionalFormatting>
  <conditionalFormatting sqref="IX782:JA821">
    <cfRule type="expression" dxfId="201" priority="578">
      <formula>AND(LEN(TRIM($IW782))&gt;0,LEN(TRIM(IX782))=0)</formula>
    </cfRule>
  </conditionalFormatting>
  <conditionalFormatting sqref="JA908:JA950">
    <cfRule type="expression" dxfId="200" priority="1357">
      <formula>AND(OR($JA908&gt;100, $JA908&lt;0), JA908&lt;&gt;"Unspecified")</formula>
    </cfRule>
  </conditionalFormatting>
  <conditionalFormatting sqref="JA908:JI950">
    <cfRule type="expression" dxfId="199" priority="1359">
      <formula>AND(LEN(TRIM($IY908))&gt;0,LEN(TRIM(JA908))=0)</formula>
    </cfRule>
  </conditionalFormatting>
  <conditionalFormatting sqref="JB822:JB907 JB951:JB992">
    <cfRule type="expression" dxfId="198" priority="372">
      <formula>AND(OR($JB822&gt;100, $JB822&lt;0), JB822&lt;&gt;"Unspecified")</formula>
    </cfRule>
  </conditionalFormatting>
  <conditionalFormatting sqref="JB908:JB950">
    <cfRule type="expression" dxfId="197" priority="1361">
      <formula>AND(OR($JB908&gt;100, $JB908&lt;0), JC908&lt;&gt;"Unspecified")</formula>
    </cfRule>
  </conditionalFormatting>
  <conditionalFormatting sqref="JB822:JJ907 JB951:JJ992">
    <cfRule type="expression" dxfId="196" priority="373">
      <formula>AND(LEN(TRIM($IZ822))&gt;0,LEN(TRIM(JB822))=0)</formula>
    </cfRule>
  </conditionalFormatting>
  <conditionalFormatting sqref="JC740:JC781">
    <cfRule type="expression" dxfId="195" priority="805">
      <formula>AND(OR($JC740&gt;100, $JC740&lt;0), JC740&lt;&gt;"Unspecified")</formula>
    </cfRule>
  </conditionalFormatting>
  <conditionalFormatting sqref="JC782:JC821">
    <cfRule type="expression" dxfId="194" priority="579">
      <formula>AND(OR($JC782&gt;100, $JC782&lt;0), JC782&lt;&gt;"Unspecified")</formula>
    </cfRule>
  </conditionalFormatting>
  <conditionalFormatting sqref="JC822:JC907 JC951:JC992">
    <cfRule type="expression" dxfId="193" priority="374">
      <formula>AND(OR($JC822&gt;100, $JC822&lt;0), JD822&lt;&gt;"Unspecified")</formula>
    </cfRule>
  </conditionalFormatting>
  <conditionalFormatting sqref="JC908:JC950">
    <cfRule type="expression" dxfId="192" priority="1363">
      <formula>AND(OR($JC908&gt;100, $JC908&lt;$JB908), $JC908&lt;&gt;"Unspecified")</formula>
    </cfRule>
  </conditionalFormatting>
  <conditionalFormatting sqref="JC740:JI781">
    <cfRule type="expression" dxfId="191" priority="806">
      <formula>AND(LEN(TRIM($JA740))&gt;0,LEN(TRIM(JC740))=0)</formula>
    </cfRule>
  </conditionalFormatting>
  <conditionalFormatting sqref="JC782:JJ821">
    <cfRule type="expression" dxfId="190" priority="580">
      <formula>AND(LEN(TRIM($JA782))&gt;0,LEN(TRIM(JC782))=0)</formula>
    </cfRule>
  </conditionalFormatting>
  <conditionalFormatting sqref="JD740:JD781">
    <cfRule type="expression" dxfId="189" priority="807">
      <formula>AND(OR($JD740&gt;100, $JD740&lt;0), JE740&lt;&gt;"Unspecified")</formula>
    </cfRule>
  </conditionalFormatting>
  <conditionalFormatting sqref="JD782:JD821">
    <cfRule type="expression" dxfId="188" priority="581">
      <formula>AND(OR($JD782&gt;100, $JD782&lt;0), JE782&lt;&gt;"Unspecified")</formula>
    </cfRule>
  </conditionalFormatting>
  <conditionalFormatting sqref="JD822:JD907 JD951:JD992">
    <cfRule type="expression" dxfId="187" priority="375">
      <formula>AND(OR($JD822&gt;100, $JD822&lt;$JC822), $JD822&lt;&gt;"Unspecified")</formula>
    </cfRule>
  </conditionalFormatting>
  <conditionalFormatting sqref="JD908:JD950">
    <cfRule type="expression" dxfId="186" priority="1365">
      <formula>AND($JD908&lt;0, $JD908&lt;&gt;"Unspecified")</formula>
    </cfRule>
  </conditionalFormatting>
  <conditionalFormatting sqref="JE740:JE781">
    <cfRule type="expression" dxfId="185" priority="808">
      <formula>AND(OR($JE740&gt;100, $JE740&lt;$JD740), $JE740&lt;&gt;"Unspecified")</formula>
    </cfRule>
  </conditionalFormatting>
  <conditionalFormatting sqref="JE782:JE821">
    <cfRule type="expression" dxfId="184" priority="582">
      <formula>AND(OR($JE782&gt;100, $JE782&lt;$JD782), $JE782&lt;&gt;"Unspecified")</formula>
    </cfRule>
  </conditionalFormatting>
  <conditionalFormatting sqref="JE822:JE992">
    <cfRule type="expression" dxfId="183" priority="376">
      <formula>AND($JE822&lt;0, $JE822&lt;&gt;"Unspecified")</formula>
    </cfRule>
  </conditionalFormatting>
  <conditionalFormatting sqref="JF740:JF781">
    <cfRule type="expression" dxfId="182" priority="809">
      <formula>AND($JF740&lt;0, $JF740&lt;&gt;"Unspecified")</formula>
    </cfRule>
  </conditionalFormatting>
  <conditionalFormatting sqref="JF782:JF821">
    <cfRule type="expression" dxfId="181" priority="583">
      <formula>AND($JF782&lt;0, $JF782&lt;&gt;"Unspecified")</formula>
    </cfRule>
  </conditionalFormatting>
  <conditionalFormatting sqref="JF822:JF907 JF951:JF992">
    <cfRule type="expression" dxfId="180" priority="377">
      <formula>AND($JF822&lt;0, $JF822&lt;&gt;"Unspecified")</formula>
    </cfRule>
  </conditionalFormatting>
  <conditionalFormatting sqref="JF908:JF950">
    <cfRule type="expression" dxfId="179" priority="1369">
      <formula>AND($JF908&lt;$JE908, $JF908&lt;&gt;"Unspecified")</formula>
    </cfRule>
  </conditionalFormatting>
  <conditionalFormatting sqref="JG740:JG781">
    <cfRule type="expression" dxfId="178" priority="810">
      <formula>AND($JG740&lt;0, $JG740&lt;&gt;"Unspecified")</formula>
    </cfRule>
  </conditionalFormatting>
  <conditionalFormatting sqref="JG782:JG821 JG908:JG950">
    <cfRule type="expression" dxfId="177" priority="584">
      <formula>AND($JG782&lt;0, $JG782&lt;&gt;"Unspecified")</formula>
    </cfRule>
  </conditionalFormatting>
  <conditionalFormatting sqref="JG822:JG907 JG951:JG992">
    <cfRule type="expression" dxfId="176" priority="378">
      <formula>AND($JG822&lt;$JF822, $JG822&lt;&gt;"Unspecified")</formula>
    </cfRule>
  </conditionalFormatting>
  <conditionalFormatting sqref="JH740:JH781">
    <cfRule type="expression" dxfId="175" priority="811">
      <formula>AND($JH740&lt;$JG740, $JH740&lt;&gt;"Unspecified")</formula>
    </cfRule>
  </conditionalFormatting>
  <conditionalFormatting sqref="JH782:JH821">
    <cfRule type="expression" dxfId="174" priority="585">
      <formula>AND($JH782&lt;$JG782, $JH782&lt;&gt;"Unspecified")</formula>
    </cfRule>
  </conditionalFormatting>
  <conditionalFormatting sqref="JH822:JH992">
    <cfRule type="expression" dxfId="173" priority="379">
      <formula>AND($JH822&lt;0, $JH822&lt;&gt;"Unspecified")</formula>
    </cfRule>
  </conditionalFormatting>
  <conditionalFormatting sqref="JI740:JI781">
    <cfRule type="expression" dxfId="172" priority="1095">
      <formula>AND($JI740&lt;#REF!, $JI740&lt;&gt;"Unspecified")</formula>
    </cfRule>
  </conditionalFormatting>
  <conditionalFormatting sqref="JI782:JI821">
    <cfRule type="expression" dxfId="171" priority="586">
      <formula>AND($JI782&lt;0, $JI782&lt;&gt;"Unspecified")</formula>
    </cfRule>
  </conditionalFormatting>
  <conditionalFormatting sqref="JI822:JI907 JI951:JI992">
    <cfRule type="expression" dxfId="170" priority="380">
      <formula>AND($JI822&lt;0, $JI822&lt;&gt;"Unspecified")</formula>
    </cfRule>
  </conditionalFormatting>
  <conditionalFormatting sqref="JI908:JI950">
    <cfRule type="expression" dxfId="169" priority="1375">
      <formula>AND($JI908&lt;$JH908, $JI908&lt;&gt;"Unspecified")</formula>
    </cfRule>
  </conditionalFormatting>
  <conditionalFormatting sqref="JJ740:JJ781">
    <cfRule type="expression" dxfId="168" priority="1055">
      <formula>AND(LEN(TRIM($JI740))&gt;0,LEN(TRIM(JJ740))=0)</formula>
    </cfRule>
  </conditionalFormatting>
  <conditionalFormatting sqref="JJ782:JJ821">
    <cfRule type="expression" dxfId="167" priority="587">
      <formula>AND($JJ782&lt;0, $JJ782&lt;&gt;"Unspecified")</formula>
    </cfRule>
  </conditionalFormatting>
  <conditionalFormatting sqref="JJ822:JJ907 JJ951:JJ992">
    <cfRule type="expression" dxfId="166" priority="381">
      <formula>AND($JJ822&lt;$JI822, $JJ822&lt;&gt;"Unspecified")</formula>
    </cfRule>
  </conditionalFormatting>
  <conditionalFormatting sqref="JJ908:JJ950">
    <cfRule type="expression" dxfId="165" priority="1377">
      <formula>AND(LEN(TRIM(#REF!))&gt;0,LEN(TRIM(JJ908))=0)</formula>
    </cfRule>
  </conditionalFormatting>
  <conditionalFormatting sqref="JL222:JL223 JL240:JL241 JL246:JL247 JL252:JL253 JL228:JL230 JL233:JL235">
    <cfRule type="duplicateValues" dxfId="164" priority="989"/>
  </conditionalFormatting>
  <conditionalFormatting sqref="JL258:JL259 JL264:JL266 JL269:JL271">
    <cfRule type="duplicateValues" dxfId="163" priority="983"/>
  </conditionalFormatting>
  <conditionalFormatting sqref="JL276:JL277 JL282:JL284 JL287:JL289">
    <cfRule type="duplicateValues" dxfId="162" priority="981"/>
  </conditionalFormatting>
  <conditionalFormatting sqref="JL782:JM821 JQ782:JW821 JL822:JT905 JL906:JL907 JL908:JT950 JL951:JL992">
    <cfRule type="expression" dxfId="161" priority="1129">
      <formula>AND(LEN(TRIM($JK782))&gt;0,LEN(TRIM(JL782))=0)</formula>
    </cfRule>
  </conditionalFormatting>
  <conditionalFormatting sqref="JL740:JT781">
    <cfRule type="expression" dxfId="160" priority="1056">
      <formula>AND(LEN(TRIM($JK740))&gt;0,LEN(TRIM(JL740))=0)</formula>
    </cfRule>
  </conditionalFormatting>
  <conditionalFormatting sqref="JN906:JV907 JN951:JV992">
    <cfRule type="expression" dxfId="159" priority="482">
      <formula>AND(LEN(TRIM($JM906))&gt;0,LEN(TRIM(JN906))=0)</formula>
    </cfRule>
  </conditionalFormatting>
  <conditionalFormatting sqref="JV383:JV384">
    <cfRule type="duplicateValues" dxfId="158" priority="973"/>
  </conditionalFormatting>
  <conditionalFormatting sqref="JV385:JV386">
    <cfRule type="duplicateValues" dxfId="157" priority="1017"/>
  </conditionalFormatting>
  <conditionalFormatting sqref="JV387:JV388">
    <cfRule type="duplicateValues" dxfId="156" priority="971"/>
  </conditionalFormatting>
  <conditionalFormatting sqref="JV392:JV393">
    <cfRule type="duplicateValues" dxfId="155" priority="964"/>
  </conditionalFormatting>
  <conditionalFormatting sqref="JV394:JV395">
    <cfRule type="duplicateValues" dxfId="154" priority="965"/>
  </conditionalFormatting>
  <conditionalFormatting sqref="JV396:JV397">
    <cfRule type="duplicateValues" dxfId="153" priority="963"/>
  </conditionalFormatting>
  <conditionalFormatting sqref="JV401:JV402">
    <cfRule type="duplicateValues" dxfId="152" priority="957"/>
  </conditionalFormatting>
  <conditionalFormatting sqref="JV403:JV404">
    <cfRule type="duplicateValues" dxfId="151" priority="958"/>
  </conditionalFormatting>
  <conditionalFormatting sqref="JV405:JV406">
    <cfRule type="duplicateValues" dxfId="150" priority="956"/>
  </conditionalFormatting>
  <conditionalFormatting sqref="JV410:JV411">
    <cfRule type="duplicateValues" dxfId="149" priority="950"/>
  </conditionalFormatting>
  <conditionalFormatting sqref="JV412:JV413">
    <cfRule type="duplicateValues" dxfId="148" priority="951"/>
  </conditionalFormatting>
  <conditionalFormatting sqref="JV414:JV415">
    <cfRule type="duplicateValues" dxfId="147" priority="949"/>
  </conditionalFormatting>
  <conditionalFormatting sqref="JV419:JV420">
    <cfRule type="duplicateValues" dxfId="146" priority="942"/>
  </conditionalFormatting>
  <conditionalFormatting sqref="JV421:JV422">
    <cfRule type="duplicateValues" dxfId="145" priority="943"/>
  </conditionalFormatting>
  <conditionalFormatting sqref="JV423:JV424">
    <cfRule type="duplicateValues" dxfId="144" priority="941"/>
  </conditionalFormatting>
  <conditionalFormatting sqref="JV428:JV429">
    <cfRule type="duplicateValues" dxfId="143" priority="939"/>
  </conditionalFormatting>
  <conditionalFormatting sqref="JV430:JV431">
    <cfRule type="duplicateValues" dxfId="142" priority="940"/>
  </conditionalFormatting>
  <conditionalFormatting sqref="JV432:JV433">
    <cfRule type="duplicateValues" dxfId="141" priority="938"/>
  </conditionalFormatting>
  <conditionalFormatting sqref="JV437:JV438">
    <cfRule type="duplicateValues" dxfId="140" priority="933"/>
  </conditionalFormatting>
  <conditionalFormatting sqref="JV439:JV440">
    <cfRule type="duplicateValues" dxfId="139" priority="934"/>
  </conditionalFormatting>
  <conditionalFormatting sqref="JV441:JV442">
    <cfRule type="duplicateValues" dxfId="138" priority="932"/>
  </conditionalFormatting>
  <conditionalFormatting sqref="JV446:JV447">
    <cfRule type="duplicateValues" dxfId="137" priority="930"/>
  </conditionalFormatting>
  <conditionalFormatting sqref="JV448:JV449">
    <cfRule type="duplicateValues" dxfId="136" priority="931"/>
  </conditionalFormatting>
  <conditionalFormatting sqref="JV450:JV451">
    <cfRule type="duplicateValues" dxfId="135" priority="929"/>
  </conditionalFormatting>
  <conditionalFormatting sqref="JV453:JV454">
    <cfRule type="duplicateValues" dxfId="134" priority="922"/>
  </conditionalFormatting>
  <conditionalFormatting sqref="JV456:JV457">
    <cfRule type="duplicateValues" dxfId="133" priority="924"/>
  </conditionalFormatting>
  <conditionalFormatting sqref="JV459:JV460">
    <cfRule type="duplicateValues" dxfId="132" priority="923"/>
  </conditionalFormatting>
  <conditionalFormatting sqref="JV464:JV465">
    <cfRule type="duplicateValues" dxfId="131" priority="918"/>
  </conditionalFormatting>
  <conditionalFormatting sqref="JV466:JV467">
    <cfRule type="duplicateValues" dxfId="130" priority="919"/>
  </conditionalFormatting>
  <conditionalFormatting sqref="JV468:JV469">
    <cfRule type="duplicateValues" dxfId="129" priority="917"/>
  </conditionalFormatting>
  <conditionalFormatting sqref="JV473:JV474">
    <cfRule type="duplicateValues" dxfId="128" priority="915"/>
  </conditionalFormatting>
  <conditionalFormatting sqref="JV475:JV476">
    <cfRule type="duplicateValues" dxfId="127" priority="916"/>
  </conditionalFormatting>
  <conditionalFormatting sqref="JV477:JV478">
    <cfRule type="duplicateValues" dxfId="126" priority="914"/>
  </conditionalFormatting>
  <conditionalFormatting sqref="JV740:KC781">
    <cfRule type="expression" dxfId="125" priority="1068">
      <formula>AND(LEN(TRIM($JU740))&gt;0,LEN(TRIM(JV740))=0)</formula>
    </cfRule>
  </conditionalFormatting>
  <conditionalFormatting sqref="JV822:KC905 JV908:KC950">
    <cfRule type="expression" dxfId="124" priority="1141">
      <formula>AND(LEN(TRIM($JU822))&gt;0,LEN(TRIM(JV822))=0)</formula>
    </cfRule>
  </conditionalFormatting>
  <conditionalFormatting sqref="JX906:KE907 JX951:KE992">
    <cfRule type="expression" dxfId="123" priority="483">
      <formula>AND(LEN(TRIM($JW906))&gt;0,LEN(TRIM(JX906))=0)</formula>
    </cfRule>
  </conditionalFormatting>
  <conditionalFormatting sqref="JY782:KF821">
    <cfRule type="expression" dxfId="122" priority="591">
      <formula>AND(LEN(TRIM($JX782))&gt;0,LEN(TRIM(JY782))=0)</formula>
    </cfRule>
  </conditionalFormatting>
  <conditionalFormatting sqref="KE740:KG781">
    <cfRule type="expression" dxfId="121" priority="1070">
      <formula>AND(LEN(TRIM($KD740))&gt;0,LEN(TRIM(KE740))=0)</formula>
    </cfRule>
  </conditionalFormatting>
  <conditionalFormatting sqref="KE822:KG905 KE908:KG928 KE929:KF950">
    <cfRule type="expression" dxfId="120" priority="1144">
      <formula>AND(LEN(TRIM($KD822))&gt;0,LEN(TRIM(KE822))=0)</formula>
    </cfRule>
  </conditionalFormatting>
  <conditionalFormatting sqref="KG929:KG950">
    <cfRule type="expression" dxfId="119" priority="6">
      <formula>AND(LEN(TRIM($BD929))&gt;0,LEN(TRIM(KG929))=0)</formula>
    </cfRule>
  </conditionalFormatting>
  <conditionalFormatting sqref="KG906:KI907">
    <cfRule type="expression" dxfId="118" priority="484">
      <formula>AND(LEN(TRIM($KF906))&gt;0,LEN(TRIM(KG906))=0)</formula>
    </cfRule>
  </conditionalFormatting>
  <conditionalFormatting sqref="KG951:KI992">
    <cfRule type="expression" dxfId="117" priority="264">
      <formula>AND(LEN(TRIM($KF951))&gt;0,LEN(TRIM(KG951))=0)</formula>
    </cfRule>
  </conditionalFormatting>
  <conditionalFormatting sqref="KH908:KH950">
    <cfRule type="expression" dxfId="116" priority="119">
      <formula>AND(LEN(TRIM($BD908))&gt;0,LEN(TRIM(KH908))=0)</formula>
    </cfRule>
  </conditionalFormatting>
  <conditionalFormatting sqref="KH782:KJ821">
    <cfRule type="expression" dxfId="115" priority="592">
      <formula>AND(LEN(TRIM($KG782))&gt;0,LEN(TRIM(KH782))=0)</formula>
    </cfRule>
  </conditionalFormatting>
  <conditionalFormatting sqref="KI740:KI781">
    <cfRule type="expression" dxfId="114" priority="1071">
      <formula>AND(LEN(TRIM($KH740))&gt;0,LEN(TRIM(KI740))=0)</formula>
    </cfRule>
  </conditionalFormatting>
  <conditionalFormatting sqref="KI822:KI905 KI908:KI932 KM908:KM932 KI935:KI943 KM935:KM943 KI946:KI950 KM946:KM950">
    <cfRule type="expression" dxfId="113" priority="1147">
      <formula>AND(LEN(TRIM($KH822))&gt;0,LEN(TRIM(KI822))=0)</formula>
    </cfRule>
  </conditionalFormatting>
  <conditionalFormatting sqref="KI933:KI934 KM933:KM934 KI944:KI945 KM944:KM945">
    <cfRule type="expression" dxfId="112" priority="1585">
      <formula>AND(LEN(TRIM($KH934))&gt;0,LEN(TRIM(KI933))=0)</formula>
    </cfRule>
  </conditionalFormatting>
  <conditionalFormatting sqref="KJ294:KJ379 KJ611:KJ673">
    <cfRule type="expression" dxfId="111" priority="979">
      <formula>COUNTIF(KJ:KJ,KJ294)&gt;1</formula>
    </cfRule>
  </conditionalFormatting>
  <conditionalFormatting sqref="KJ823:KJ824 KJ827:KJ828 KJ831:KJ832 KJ835:KJ836 KJ839:KJ840 KJ843:KJ844 KJ847:KJ848 KJ851:KJ852 KJ855:KJ856 KJ859:KJ860 KJ863:KJ864 KJ867:KJ868 KJ871:KJ872 KJ875:KJ876 KJ879:KJ880 KJ883:KJ884 KJ887:KJ888 KJ891:KJ892 KJ895:KJ896 KJ899:KJ900 KJ903:KJ904 KN822 KN826 KR829 KN834 KN838 KR841 KN846 KN850 KR853 KN858 KN862 KR865 KN870 KN874 KR877 KN882 KN886 KR889 KN894 KN898 KR901">
    <cfRule type="expression" dxfId="110" priority="1280">
      <formula>COUNTIF(KL:KL,KJ822)&gt;1</formula>
    </cfRule>
  </conditionalFormatting>
  <conditionalFormatting sqref="KJ933:KJ934 KL933:KL934 KJ944:KJ945 KL944:KL945">
    <cfRule type="expression" dxfId="109" priority="1589">
      <formula>AND(LEN(TRIM($KH934))&gt;0,LEN(TRIM(KJ933))=0,$KI933&lt;&gt;"Hand Hoe",LEFT($KI933,3)&lt;&gt;"No ")</formula>
    </cfRule>
  </conditionalFormatting>
  <conditionalFormatting sqref="KJ740:KL781">
    <cfRule type="expression" dxfId="108" priority="1072">
      <formula>AND(LEN(TRIM($KH740))&gt;0,LEN(TRIM(KJ740))=0,$KI740&lt;&gt;"Hand Hoe",LEFT($KI740,3)&lt;&gt;"No ")</formula>
    </cfRule>
  </conditionalFormatting>
  <conditionalFormatting sqref="KJ822:KL822 KK823:KL823 KJ824:KL824 KK825:KL825 KJ826:KL826 KK827:KL827 KJ828:KL828 KK829:KL829 KJ830:KL830 KK831:KL831 KJ832:KL832 KK833:KL833 KJ834:KL834 KK835:KL835 KJ836:KL836 KK837:KL837 KJ838:KL838 KK839:KL839 KJ840:KL840 KK841:KL841 KJ842:KL842 KK843:KL843 KJ844:KL844 KK845:KL845 KJ846:KL846 KK847:KL847 KJ848:KL848 KK849:KL849 KJ850:KL850 KK851:KL851 KJ852:KL852 KK853:KL853 KJ854:KL854 KK855:KL855 KJ856:KL856 KK857:KL857 KJ858:KL858 KK859:KL859 KJ860:KL860 KK861:KL861 KJ862:KL862 KK863:KL863 KJ864:KL864 KK865:KL865 KJ866:KL866 KK867:KL867 KJ868:KL868 KK869:KL869 KJ870:KL870 KK871:KL871 KJ872:KL872 KK873:KL873 KJ874:KL874 KK875:KL875 KJ876:KL876 KK877:KL877 KJ878:KL878 KK879:KL879 KJ880:KL880 KK881:KL881 KJ882:KL882 KK883:KL883 KJ884:KL884 KK885:KL885 KJ886:KL886 KK887:KL887 KJ888:KL888 KK889:KL889 KJ890:KL890 KK891:KL891 KJ892:KL892 KK893:KL893 KJ894:KL894 KK895:KL895 KJ896:KL896 KK897:KL897 KJ898:KL898 KK899:KL899 KJ900:KL900 KK901:KL901 KJ902:KL902 KK903:KL903 KJ904:KL904 KK905:KL905 KJ908:KJ932 KL908:KL932 KO912 KO919 KO926 KJ935:KJ943 KL935:KL943 KJ946:KJ950 KL946:KL950">
    <cfRule type="expression" dxfId="107" priority="1150">
      <formula>AND(LEN(TRIM($KH822))&gt;0,LEN(TRIM(KJ822))=0,$KI822&lt;&gt;"Hand Hoe",LEFT($KI822,3)&lt;&gt;"No ")</formula>
    </cfRule>
  </conditionalFormatting>
  <conditionalFormatting sqref="KK906:KK907 KK951:KK992">
    <cfRule type="expression" dxfId="106" priority="485">
      <formula>AND(LEN(TRIM($KJ906))&gt;0,LEN(TRIM(KK906))=0)</formula>
    </cfRule>
  </conditionalFormatting>
  <conditionalFormatting sqref="KL782:KL821">
    <cfRule type="expression" dxfId="105" priority="593">
      <formula>AND(LEN(TRIM($KK782))&gt;0,LEN(TRIM(KL782))=0)</formula>
    </cfRule>
  </conditionalFormatting>
  <conditionalFormatting sqref="KL906:KN907 KL952:KN992">
    <cfRule type="expression" dxfId="104" priority="486">
      <formula>AND(LEN(TRIM($KJ906))&gt;0,LEN(TRIM(KL906))=0,$KK906&lt;&gt;"Hand Hoe",LEFT($KK906,3)&lt;&gt;"No ")</formula>
    </cfRule>
  </conditionalFormatting>
  <conditionalFormatting sqref="KM782:KO821">
    <cfRule type="expression" dxfId="103" priority="594">
      <formula>AND(LEN(TRIM($KK782))&gt;0,LEN(TRIM(KM782))=0,$KL782&lt;&gt;"Hand Hoe",LEFT($KL782,3)&lt;&gt;"No ")</formula>
    </cfRule>
  </conditionalFormatting>
  <conditionalFormatting sqref="KN611:KN673">
    <cfRule type="expression" dxfId="102" priority="1020">
      <formula>COUNTIF(KI:KI,KN611)&gt;1</formula>
    </cfRule>
  </conditionalFormatting>
  <conditionalFormatting sqref="KN934 KP934">
    <cfRule type="expression" dxfId="101" priority="284">
      <formula>AND(LEN(TRIM(#REF!))&gt;0,LEN(TRIM(KN934))=0,#REF!&lt;&gt;"Hand Hoe",LEFT(#REF!,3)&lt;&gt;"No ")</formula>
    </cfRule>
  </conditionalFormatting>
  <conditionalFormatting sqref="KN945 KP945">
    <cfRule type="expression" dxfId="100" priority="46">
      <formula>AND(LEN(TRIM(#REF!))&gt;0,LEN(TRIM(KN945))=0,#REF!&lt;&gt;"Hand Hoe",LEFT(#REF!,3)&lt;&gt;"No ")</formula>
    </cfRule>
  </conditionalFormatting>
  <conditionalFormatting sqref="KN740:KP781">
    <cfRule type="expression" dxfId="99" priority="1073">
      <formula>AND(LEN(TRIM($KM740))&gt;0,LEN(TRIM(KN740))=0,$KM740&lt;&gt;"Hand Hoe",LEFT($KM740,3)&lt;&gt;"No ")</formula>
    </cfRule>
  </conditionalFormatting>
  <conditionalFormatting sqref="KO822:KP822 KN823:KP825 KO826:KP826 KN827:KP833 KO834:KP834 KN835:KP837 KO838:KP838 KN839:KP845 KO846:KP846 KN847:KP849 KO850:KP850 KN851:KP857 KO858:KP858 KN859:KP861 KO862:KP862 KN863:KP869 KO870:KP870 KN871:KP873 KO874:KP874 KN875:KP881 KO882:KP882 KN883:KP885 KO886:KP886 KN887:KP893 KO894:KP894 KN895:KP897 KO898:KP898 KN899:KP905 KN908:KN933 KP908:KP933 KN935:KN944 KP935:KP944 KN946:KN950 KP946:KP950">
    <cfRule type="expression" dxfId="98" priority="1211">
      <formula>AND(LEN(TRIM($KM822))&gt;0,LEN(TRIM(KN822))=0,$KM822&lt;&gt;"Hand Hoe",LEFT($KM822,3)&lt;&gt;"No ")</formula>
    </cfRule>
  </conditionalFormatting>
  <conditionalFormatting sqref="KP906:KR907">
    <cfRule type="expression" dxfId="97" priority="487">
      <formula>AND(LEN(TRIM($KO906))&gt;0,LEN(TRIM(KP906))=0,$KO906&lt;&gt;"Hand Hoe",LEFT($KO906,3)&lt;&gt;"No ")</formula>
    </cfRule>
  </conditionalFormatting>
  <conditionalFormatting sqref="KP951:KR992">
    <cfRule type="expression" dxfId="96" priority="267">
      <formula>AND(LEN(TRIM($KO951))&gt;0,LEN(TRIM(KP951))=0,$KO951&lt;&gt;"Hand Hoe",LEFT($KO951,3)&lt;&gt;"No ")</formula>
    </cfRule>
  </conditionalFormatting>
  <conditionalFormatting sqref="KQ782:KS821">
    <cfRule type="expression" dxfId="95" priority="595">
      <formula>AND(LEN(TRIM($KP782))&gt;0,LEN(TRIM(KQ782))=0,$KP782&lt;&gt;"Hand Hoe",LEFT($KP782,3)&lt;&gt;"No ")</formula>
    </cfRule>
  </conditionalFormatting>
  <conditionalFormatting sqref="KR741:KT745 KR747:KT751 KR753:KT757 KR759:KT763 KR765:KT769 KR771:KT775 KR777:KT781">
    <cfRule type="expression" dxfId="94" priority="1074">
      <formula>AND(LEN(TRIM($KQ741))&gt;0,LEN(TRIM(KR741))=0,$KQ741&lt;&gt;"Hand Hoe",LEFT($KQ741,3)&lt;&gt;"No ")</formula>
    </cfRule>
  </conditionalFormatting>
  <conditionalFormatting sqref="KR822:KT828 KS829:KT829 KR830:KT840 KS841:KT841 KR842:KT852 KS853:KT853 KR854:KT864 KS865:KT865 KR866:KT876 KS877:KT877 KR878:KT888 KS889:KT889 KR890:KT900 KS901:KT901 KR902:KT905 KR908:KT928 KR929:KS939 KR940:KT950">
    <cfRule type="expression" dxfId="93" priority="1233">
      <formula>AND(LEN(TRIM($KQ822))&gt;0,LEN(TRIM(KR822))=0,$KQ822&lt;&gt;"Hand Hoe",LEFT($KQ822,3)&lt;&gt;"No ")</formula>
    </cfRule>
  </conditionalFormatting>
  <conditionalFormatting sqref="KT906:KV907 KT951:KV992">
    <cfRule type="expression" dxfId="92" priority="488">
      <formula>AND(LEN(TRIM($KS906))&gt;0,LEN(TRIM(KT906))=0,$KS906&lt;&gt;"Hand Hoe",LEFT($KS906,3)&lt;&gt;"No ")</formula>
    </cfRule>
  </conditionalFormatting>
  <conditionalFormatting sqref="KU740 KU746 KU752 KU764 KU770 KU776">
    <cfRule type="expression" dxfId="91" priority="1121">
      <formula>AND(LEN(TRIM($KR741))&gt;0,LEN(TRIM(KU740))=0,$KR741&lt;&gt;"Hand Hoe",LEFT($KR741,3)&lt;&gt;"No ")</formula>
    </cfRule>
  </conditionalFormatting>
  <conditionalFormatting sqref="KU741">
    <cfRule type="expression" dxfId="90" priority="712">
      <formula>AND(LEN(TRIM(#REF!))&gt;0,LEN(TRIM(KU741))=0,#REF!&lt;&gt;"Hand Hoe",LEFT(#REF!,3)&lt;&gt;"No ")</formula>
    </cfRule>
  </conditionalFormatting>
  <conditionalFormatting sqref="KU742:KU745 KU748:KU751 KU754:KU763 KU766:KU769 KU772:KU775 KU778:KU781">
    <cfRule type="expression" dxfId="89" priority="1096">
      <formula>AND(LEN(TRIM($KR742))&gt;0,LEN(TRIM(KU742))=0,$KR742&lt;&gt;"Hand Hoe",LEFT($KR742,3)&lt;&gt;"No ")</formula>
    </cfRule>
  </conditionalFormatting>
  <conditionalFormatting sqref="KU747">
    <cfRule type="expression" dxfId="88" priority="696">
      <formula>AND(LEN(TRIM(#REF!))&gt;0,LEN(TRIM(KU747))=0,#REF!&lt;&gt;"Hand Hoe",LEFT(#REF!,3)&lt;&gt;"No ")</formula>
    </cfRule>
  </conditionalFormatting>
  <conditionalFormatting sqref="KU753">
    <cfRule type="expression" dxfId="87" priority="836">
      <formula>AND(LEN(TRIM(#REF!))&gt;0,LEN(TRIM(KU753))=0,#REF!&lt;&gt;"Hand Hoe",LEFT(#REF!,3)&lt;&gt;"No ")</formula>
    </cfRule>
  </conditionalFormatting>
  <conditionalFormatting sqref="KU765">
    <cfRule type="expression" dxfId="86" priority="672">
      <formula>AND(LEN(TRIM(#REF!))&gt;0,LEN(TRIM(KU765))=0,#REF!&lt;&gt;"Hand Hoe",LEFT(#REF!,3)&lt;&gt;"No ")</formula>
    </cfRule>
  </conditionalFormatting>
  <conditionalFormatting sqref="KU771">
    <cfRule type="expression" dxfId="85" priority="649">
      <formula>AND(LEN(TRIM(#REF!))&gt;0,LEN(TRIM(KU771))=0,#REF!&lt;&gt;"Hand Hoe",LEFT(#REF!,3)&lt;&gt;"No ")</formula>
    </cfRule>
  </conditionalFormatting>
  <conditionalFormatting sqref="KU777">
    <cfRule type="expression" dxfId="84" priority="623">
      <formula>AND(LEN(TRIM(#REF!))&gt;0,LEN(TRIM(KU777))=0,#REF!&lt;&gt;"Hand Hoe",LEFT(#REF!,3)&lt;&gt;"No ")</formula>
    </cfRule>
  </conditionalFormatting>
  <conditionalFormatting sqref="KU782:KW821">
    <cfRule type="expression" dxfId="83" priority="596">
      <formula>AND(LEN(TRIM($KT782))&gt;0,LEN(TRIM(KU782))=0,$KT782&lt;&gt;"Hand Hoe",LEFT($KT782,3)&lt;&gt;"No ")</formula>
    </cfRule>
  </conditionalFormatting>
  <conditionalFormatting sqref="LA822:LI905 LA908:LI928 LA929:LB939 LD929:LD939 NO929:NO939 LF929:LI950 LA940:LD950">
    <cfRule type="expression" dxfId="82" priority="1246">
      <formula>AND(LEN(TRIM($KV822))&gt;0,LEN(TRIM(LA822))=0,$KV822&lt;&gt;"No mulch applied")</formula>
    </cfRule>
  </conditionalFormatting>
  <conditionalFormatting sqref="LB740:LJ781">
    <cfRule type="expression" dxfId="81" priority="1099">
      <formula>AND(LEN(TRIM($KW740))&gt;0,LEN(TRIM(LB740))=0,$KW740&lt;&gt;"No mulch applied")</formula>
    </cfRule>
  </conditionalFormatting>
  <conditionalFormatting sqref="LC906:LK907">
    <cfRule type="expression" dxfId="80" priority="489">
      <formula>AND(LEN(TRIM($KX906))&gt;0,LEN(TRIM(LC906))=0,$KX906&lt;&gt;"No mulch applied")</formula>
    </cfRule>
  </conditionalFormatting>
  <conditionalFormatting sqref="LC951:LK992">
    <cfRule type="expression" dxfId="79" priority="269">
      <formula>AND(LEN(TRIM($KX951))&gt;0,LEN(TRIM(LC951))=0,$KX951&lt;&gt;"No mulch applied")</formula>
    </cfRule>
  </conditionalFormatting>
  <conditionalFormatting sqref="LD782:LL821">
    <cfRule type="expression" dxfId="78" priority="597">
      <formula>AND(LEN(TRIM($KY782))&gt;0,LEN(TRIM(LD782))=0,$KY782&lt;&gt;"No mulch applied")</formula>
    </cfRule>
  </conditionalFormatting>
  <conditionalFormatting sqref="LK822:LN905 LK908:LN950">
    <cfRule type="expression" dxfId="77" priority="1249">
      <formula>AND(LEN(TRIM($LJ822))&gt;0,LEN(TRIM(LK822))=0)</formula>
    </cfRule>
  </conditionalFormatting>
  <conditionalFormatting sqref="LL740:LO781">
    <cfRule type="expression" dxfId="76" priority="1100">
      <formula>AND(LEN(TRIM($LK740))&gt;0,LEN(TRIM(LL740))=0)</formula>
    </cfRule>
  </conditionalFormatting>
  <conditionalFormatting sqref="LM906:LP907 LM951:LP992">
    <cfRule type="expression" dxfId="75" priority="490">
      <formula>AND(LEN(TRIM($LL906))&gt;0,LEN(TRIM(LM906))=0)</formula>
    </cfRule>
  </conditionalFormatting>
  <conditionalFormatting sqref="LN782:LQ821">
    <cfRule type="expression" dxfId="74" priority="598">
      <formula>AND(LEN(TRIM($LM782))&gt;0,LEN(TRIM(LN782))=0)</formula>
    </cfRule>
  </conditionalFormatting>
  <conditionalFormatting sqref="LP822:LU905 LP908:LU950">
    <cfRule type="expression" dxfId="73" priority="1252">
      <formula>AND(LEN(TRIM($LO822))&gt;0,LEN(TRIM(LP822))=0)</formula>
    </cfRule>
  </conditionalFormatting>
  <conditionalFormatting sqref="LQ740:LV781">
    <cfRule type="expression" dxfId="72" priority="1101">
      <formula>AND(LEN(TRIM($LP740))&gt;0,LEN(TRIM(LQ740))=0)</formula>
    </cfRule>
  </conditionalFormatting>
  <conditionalFormatting sqref="LR906:LW907 LR951:LW992">
    <cfRule type="expression" dxfId="71" priority="491">
      <formula>AND(LEN(TRIM($LQ906))&gt;0,LEN(TRIM(LR906))=0)</formula>
    </cfRule>
  </conditionalFormatting>
  <conditionalFormatting sqref="LS782:LX821">
    <cfRule type="expression" dxfId="70" priority="599">
      <formula>AND(LEN(TRIM($LR782))&gt;0,LEN(TRIM(LS782))=0)</formula>
    </cfRule>
  </conditionalFormatting>
  <conditionalFormatting sqref="LW822:LW905 LW908:LW950">
    <cfRule type="expression" dxfId="69" priority="1253">
      <formula>AND(LEN(TRIM($LV822))&gt;0,LEN(TRIM(LW822))=0)</formula>
    </cfRule>
  </conditionalFormatting>
  <conditionalFormatting sqref="LX740:LX781">
    <cfRule type="expression" dxfId="68" priority="1102">
      <formula>AND(LEN(TRIM($LW740))&gt;0,LEN(TRIM(LX740))=0)</formula>
    </cfRule>
  </conditionalFormatting>
  <conditionalFormatting sqref="LY906:LY907 LY951:LY992">
    <cfRule type="expression" dxfId="67" priority="492">
      <formula>AND(LEN(TRIM($LX906))&gt;0,LEN(TRIM(LY906))=0)</formula>
    </cfRule>
  </conditionalFormatting>
  <conditionalFormatting sqref="LZ782:LZ821">
    <cfRule type="expression" dxfId="66" priority="600">
      <formula>AND(LEN(TRIM($LY782))&gt;0,LEN(TRIM(LZ782))=0)</formula>
    </cfRule>
  </conditionalFormatting>
  <conditionalFormatting sqref="MB822:ME905 MB908:ME950">
    <cfRule type="expression" dxfId="65" priority="1256">
      <formula>AND(LEN(TRIM($MA822))&gt;0,LEN(TRIM(MB822))=0)</formula>
    </cfRule>
  </conditionalFormatting>
  <conditionalFormatting sqref="MC740:MF781">
    <cfRule type="expression" dxfId="64" priority="1103">
      <formula>AND(LEN(TRIM($MB740))&gt;0,LEN(TRIM(MC740))=0)</formula>
    </cfRule>
  </conditionalFormatting>
  <conditionalFormatting sqref="MD906:MG907 MD951:MG992">
    <cfRule type="expression" dxfId="63" priority="493">
      <formula>AND(LEN(TRIM($MC906))&gt;0,LEN(TRIM(MD906))=0)</formula>
    </cfRule>
  </conditionalFormatting>
  <conditionalFormatting sqref="ME782:MH821">
    <cfRule type="expression" dxfId="62" priority="601">
      <formula>AND(LEN(TRIM($MD782))&gt;0,LEN(TRIM(ME782))=0)</formula>
    </cfRule>
  </conditionalFormatting>
  <conditionalFormatting sqref="MG822:MG905 MK822:MM905 MG908:MG950 MK908:MM950">
    <cfRule type="expression" dxfId="61" priority="1259">
      <formula>AND(LEN(TRIM($MF822))&gt;0,LEN(TRIM(MG822))=0)</formula>
    </cfRule>
  </conditionalFormatting>
  <conditionalFormatting sqref="MI906:MI907 MM906:MO907 MI951:MI992 MM951:MO992">
    <cfRule type="expression" dxfId="60" priority="494">
      <formula>AND(LEN(TRIM($MH906))&gt;0,LEN(TRIM(MI906))=0)</formula>
    </cfRule>
  </conditionalFormatting>
  <conditionalFormatting sqref="MJ782:MJ821 MN782:MP821">
    <cfRule type="expression" dxfId="59" priority="602">
      <formula>AND(LEN(TRIM($MI782))&gt;0,LEN(TRIM(MJ782))=0)</formula>
    </cfRule>
  </conditionalFormatting>
  <conditionalFormatting sqref="MO822:MR905 MO908:MR950">
    <cfRule type="expression" dxfId="58" priority="1265">
      <formula>AND(LEN(TRIM($MN822))&gt;0,LEN(TRIM(MO822))=0)</formula>
    </cfRule>
  </conditionalFormatting>
  <conditionalFormatting sqref="MQ906:MT907 MQ951:MT992">
    <cfRule type="expression" dxfId="57" priority="495">
      <formula>AND(LEN(TRIM($MP906))&gt;0,LEN(TRIM(MQ906))=0)</formula>
    </cfRule>
  </conditionalFormatting>
  <conditionalFormatting sqref="MR782:MR821">
    <cfRule type="expression" dxfId="56" priority="603">
      <formula>AND(LEN(TRIM($MQ782))&gt;0,LEN(TRIM(MR782))=0)</formula>
    </cfRule>
  </conditionalFormatting>
  <conditionalFormatting sqref="MU740:MU751 ML740:MN757 MH740:MH781 ML758:MM763 MU758:MU781 ML764:MN781">
    <cfRule type="expression" dxfId="55" priority="1104">
      <formula>AND(LEN(TRIM($MG740))&gt;0,LEN(TRIM(MH740))=0)</formula>
    </cfRule>
  </conditionalFormatting>
  <conditionalFormatting sqref="MU740:MU781">
    <cfRule type="expression" dxfId="54" priority="1087">
      <formula>AND(LEN(TRIM($MS740))&gt;0,LEN(TRIM(MU740))=0)</formula>
    </cfRule>
  </conditionalFormatting>
  <conditionalFormatting sqref="MW740:MW775 MV776:MW781">
    <cfRule type="expression" dxfId="53" priority="1081">
      <formula>AND(LEN(TRIM($MU740))&gt;0,LEN(TRIM(MV740))=0)</formula>
    </cfRule>
  </conditionalFormatting>
  <conditionalFormatting sqref="MW782:MW905 MW908:MW913 MW914:MX914 MW915:MW920 MW921:MX921 MW922:MW927 MW928:MX928 MW929:MW950 MX939 MX950">
    <cfRule type="expression" dxfId="52" priority="1130">
      <formula>AND(LEN(TRIM($MU782))&gt;0,LEN(TRIM(MW782))=0)</formula>
    </cfRule>
  </conditionalFormatting>
  <conditionalFormatting sqref="MY906:MY907 MY951:MY992">
    <cfRule type="expression" dxfId="51" priority="496">
      <formula>AND(LEN(TRIM($MW906))&gt;0,LEN(TRIM(MY906))=0)</formula>
    </cfRule>
  </conditionalFormatting>
  <conditionalFormatting sqref="NE479">
    <cfRule type="duplicateValues" dxfId="50" priority="899"/>
  </conditionalFormatting>
  <conditionalFormatting sqref="NE740:NE762 NE764:NE781">
    <cfRule type="expression" dxfId="49" priority="1088">
      <formula>AND(LEN(TRIM($MZ740))&gt;0,LEN(TRIM(NE740))=0)</formula>
    </cfRule>
  </conditionalFormatting>
  <conditionalFormatting sqref="NE763">
    <cfRule type="expression" dxfId="48" priority="1126">
      <formula>AND(LEN(TRIM($MY763))&gt;0,LEN(TRIM(NE763))=0)</formula>
    </cfRule>
  </conditionalFormatting>
  <conditionalFormatting sqref="NF782:NH833 MU794:MU813 NG835:NH845 NF846:NH893 NF894:NF905 NH894:NH905 NF908:NH914 NF915:NF950 NH915:NH950">
    <cfRule type="expression" dxfId="47" priority="1131">
      <formula>AND(LEN(TRIM($NE782))&gt;0,LEN(TRIM(MU782))=0)</formula>
    </cfRule>
  </conditionalFormatting>
  <conditionalFormatting sqref="NG22:NG29">
    <cfRule type="duplicateValues" dxfId="46" priority="985"/>
  </conditionalFormatting>
  <conditionalFormatting sqref="NG112:NG201">
    <cfRule type="duplicateValues" dxfId="45" priority="992"/>
  </conditionalFormatting>
  <conditionalFormatting sqref="NG222:NG239">
    <cfRule type="duplicateValues" dxfId="44" priority="1012"/>
  </conditionalFormatting>
  <conditionalFormatting sqref="NG240:NG257">
    <cfRule type="duplicateValues" dxfId="43" priority="1013"/>
  </conditionalFormatting>
  <conditionalFormatting sqref="NG258:NG275">
    <cfRule type="duplicateValues" dxfId="42" priority="982"/>
  </conditionalFormatting>
  <conditionalFormatting sqref="NG344:NG361">
    <cfRule type="duplicateValues" dxfId="41" priority="1015"/>
  </conditionalFormatting>
  <conditionalFormatting sqref="NG380:NG382">
    <cfRule type="duplicateValues" dxfId="40" priority="970"/>
  </conditionalFormatting>
  <conditionalFormatting sqref="NG383:NG384">
    <cfRule type="duplicateValues" dxfId="39" priority="969"/>
  </conditionalFormatting>
  <conditionalFormatting sqref="NG385:NG386">
    <cfRule type="duplicateValues" dxfId="38" priority="1018"/>
  </conditionalFormatting>
  <conditionalFormatting sqref="NG387:NG388">
    <cfRule type="duplicateValues" dxfId="37" priority="967"/>
  </conditionalFormatting>
  <conditionalFormatting sqref="NG389:NG391">
    <cfRule type="duplicateValues" dxfId="36" priority="962"/>
  </conditionalFormatting>
  <conditionalFormatting sqref="NG392:NG393">
    <cfRule type="duplicateValues" dxfId="35" priority="961"/>
  </conditionalFormatting>
  <conditionalFormatting sqref="NG394:NG395">
    <cfRule type="duplicateValues" dxfId="34" priority="966"/>
  </conditionalFormatting>
  <conditionalFormatting sqref="NG396:NG397">
    <cfRule type="duplicateValues" dxfId="33" priority="960"/>
  </conditionalFormatting>
  <conditionalFormatting sqref="NG398:NG406">
    <cfRule type="duplicateValues" dxfId="32" priority="945"/>
  </conditionalFormatting>
  <conditionalFormatting sqref="NG407:NG415">
    <cfRule type="duplicateValues" dxfId="31" priority="944"/>
  </conditionalFormatting>
  <conditionalFormatting sqref="NG416:NG424">
    <cfRule type="duplicateValues" dxfId="30" priority="937"/>
  </conditionalFormatting>
  <conditionalFormatting sqref="NG425:NG433">
    <cfRule type="duplicateValues" dxfId="29" priority="935"/>
  </conditionalFormatting>
  <conditionalFormatting sqref="NG434:NG442">
    <cfRule type="duplicateValues" dxfId="28" priority="926"/>
  </conditionalFormatting>
  <conditionalFormatting sqref="NG443:NG451">
    <cfRule type="duplicateValues" dxfId="27" priority="925"/>
  </conditionalFormatting>
  <conditionalFormatting sqref="NG452:NG460">
    <cfRule type="duplicateValues" dxfId="26" priority="920"/>
  </conditionalFormatting>
  <conditionalFormatting sqref="NG461:NG469">
    <cfRule type="duplicateValues" dxfId="25" priority="913"/>
  </conditionalFormatting>
  <conditionalFormatting sqref="NG470:NG478">
    <cfRule type="duplicateValues" dxfId="24" priority="911"/>
  </conditionalFormatting>
  <conditionalFormatting sqref="NG479">
    <cfRule type="duplicateValues" dxfId="23" priority="897"/>
  </conditionalFormatting>
  <conditionalFormatting sqref="NG564:NG567">
    <cfRule type="duplicateValues" dxfId="22" priority="898"/>
  </conditionalFormatting>
  <conditionalFormatting sqref="NG611:NG624">
    <cfRule type="duplicateValues" dxfId="21" priority="286"/>
  </conditionalFormatting>
  <conditionalFormatting sqref="NG625:NG631">
    <cfRule type="duplicateValues" dxfId="20" priority="869"/>
  </conditionalFormatting>
  <conditionalFormatting sqref="NG632:NG638">
    <cfRule type="duplicateValues" dxfId="19" priority="1046"/>
  </conditionalFormatting>
  <conditionalFormatting sqref="NG639:NG645">
    <cfRule type="duplicateValues" dxfId="18" priority="1036"/>
  </conditionalFormatting>
  <conditionalFormatting sqref="NG646:NG652">
    <cfRule type="duplicateValues" dxfId="17" priority="864"/>
  </conditionalFormatting>
  <conditionalFormatting sqref="NG653:NG659">
    <cfRule type="duplicateValues" dxfId="16" priority="1050"/>
  </conditionalFormatting>
  <conditionalFormatting sqref="NG660:NG666">
    <cfRule type="duplicateValues" dxfId="15" priority="844"/>
  </conditionalFormatting>
  <conditionalFormatting sqref="NG667:NG673">
    <cfRule type="duplicateValues" dxfId="14" priority="838"/>
  </conditionalFormatting>
  <conditionalFormatting sqref="NG894:NG905">
    <cfRule type="duplicateValues" dxfId="13" priority="287"/>
  </conditionalFormatting>
  <conditionalFormatting sqref="NG915:NG921">
    <cfRule type="duplicateValues" dxfId="12" priority="122"/>
  </conditionalFormatting>
  <conditionalFormatting sqref="NG922:NG928">
    <cfRule type="duplicateValues" dxfId="11" priority="83"/>
  </conditionalFormatting>
  <conditionalFormatting sqref="NG929:NG939">
    <cfRule type="duplicateValues" dxfId="10" priority="279"/>
  </conditionalFormatting>
  <conditionalFormatting sqref="NG940:NG950">
    <cfRule type="duplicateValues" dxfId="9" priority="41"/>
  </conditionalFormatting>
  <conditionalFormatting sqref="NG740:NH769 NG770:NG781 NH776:NH781">
    <cfRule type="expression" dxfId="8" priority="1083">
      <formula>AND(LEN(TRIM($NE740))&gt;0,LEN(TRIM(NG740))=0)</formula>
    </cfRule>
  </conditionalFormatting>
  <conditionalFormatting sqref="NH906:NJ907">
    <cfRule type="expression" dxfId="7" priority="497">
      <formula>AND(LEN(TRIM($NG906))&gt;0,LEN(TRIM(NH906))=0)</formula>
    </cfRule>
  </conditionalFormatting>
  <conditionalFormatting sqref="NH951:NJ992">
    <cfRule type="expression" dxfId="6" priority="277">
      <formula>AND(LEN(TRIM($NG951))&gt;0,LEN(TRIM(NH951))=0)</formula>
    </cfRule>
  </conditionalFormatting>
  <conditionalFormatting sqref="NJ782:NJ905 NJ908:NJ950">
    <cfRule type="expression" dxfId="5" priority="1132">
      <formula>AND($NJ782&lt;$NI782, $NJ782&lt;&gt;"Unspecified")</formula>
    </cfRule>
  </conditionalFormatting>
  <conditionalFormatting sqref="NL906:NL907 NL951:NL992">
    <cfRule type="expression" dxfId="4" priority="498">
      <formula>AND($NL906&lt;$NK906, $NL906&lt;&gt;"Unspecified")</formula>
    </cfRule>
  </conditionalFormatting>
  <conditionalFormatting sqref="NN740:NO743 NN744:NP745 NN746:NO749 NN750:NP751 NN752:NO755 NN756:NP757 NN758:NO767 NP762:NP763 NN768:NP769 NN770:NO773 NN774:NP775 NN776:NO779 NN780:NP781">
    <cfRule type="expression" dxfId="3" priority="1089">
      <formula>AND(LEN(TRIM($NM740))&gt;0,LEN(TRIM(NN740))=0)</formula>
    </cfRule>
  </conditionalFormatting>
  <conditionalFormatting sqref="NO908:NO914">
    <cfRule type="expression" dxfId="2" priority="1">
      <formula>AND(LEN(TRIM($BD908))&gt;0,LEN(TRIM(NO908))=0)</formula>
    </cfRule>
  </conditionalFormatting>
  <conditionalFormatting sqref="NO929:NO932">
    <cfRule type="expression" dxfId="1" priority="3">
      <formula>AND(LEN(TRIM($IB929))&gt;0,LEN(TRIM(NO929))=0)</formula>
    </cfRule>
  </conditionalFormatting>
  <conditionalFormatting sqref="NO935:NO939">
    <cfRule type="expression" dxfId="0" priority="2">
      <formula>AND(LEN(TRIM($IB935))&gt;0,LEN(TRIM(NO935))=0)</formula>
    </cfRule>
  </conditionalFormatting>
  <dataValidations count="239">
    <dataValidation type="list" allowBlank="1" showInputMessage="1" showErrorMessage="1" prompt="Breed of the animal" sqref="IC740:IC781" xr:uid="{A335BFF6-CBBA-4394-A0A8-E36426F357E9}">
      <formula1>INDIRECT($IB740)</formula1>
    </dataValidation>
    <dataValidation type="list" allowBlank="1" showInputMessage="1" showErrorMessage="1" sqref="GN740:GN781" xr:uid="{5807EEE0-603D-4343-81F9-BEF11F8CAA21}">
      <formula1>INDIRECT($GM740)</formula1>
    </dataValidation>
    <dataValidation type="whole" allowBlank="1" showInputMessage="1" showErrorMessage="1" prompt="Year when the experiment stopped. Year End as stated by the author _x000a__x000a_Should be equal to start year or later" sqref="BB740:BB781" xr:uid="{524B884E-5276-4403-9BFB-B9C106E01AD9}">
      <formula1>BA740</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H740:JH781" xr:uid="{29558FDF-1222-4ACC-8746-C435349691D7}">
      <formula1>JG740</formula1>
    </dataValidation>
    <dataValidation type="decimal" allowBlank="1" showInputMessage="1" prompt="Shade max if shade is provided by ranges. Ex. If shade is 50-70, complete with 70_x000a__x000a_Value should be between agrof_shade_min and 100, or write &quot;Unspecified&quot; if unknown." sqref="JE740:JE781" xr:uid="{259CDD1B-FFCB-4ADB-91A4-524A8EA45693}">
      <formula1>JD740</formula1>
      <formula2>100</formula2>
    </dataValidation>
    <dataValidation type="list" allowBlank="1" showInputMessage="1" showErrorMessage="1" prompt="Variety, cultivar of the crop" sqref="HX740:HX781" xr:uid="{D52545EA-97A6-4534-BC1F-D88FE6C7F770}">
      <formula1>INDIRECT($HW740)</formula1>
    </dataValidation>
    <dataValidation type="list" allowBlank="1" showInputMessage="1" showErrorMessage="1" sqref="E740:E781" xr:uid="{8B82DEBE-BF07-4B1C-942F-4D93135E2053}">
      <formula1>INDIRECT($C740)</formula1>
    </dataValidation>
    <dataValidation type="list" allowBlank="1" showInputMessage="1" showErrorMessage="1" sqref="BI740:BI781" xr:uid="{A3991701-0311-43E1-B165-013C9FEAB522}">
      <formula1>INDIRECT(BH740)</formula1>
    </dataValidation>
    <dataValidation type="list" errorStyle="warning" allowBlank="1" showInputMessage="1" showErrorMessage="1" prompt="Country where the study site is located" sqref="C740:C992" xr:uid="{0EDCCBFD-E202-4A21-A4E3-9C806EBF35FE}">
      <formula1>CountryList</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S740:IS781 IU782:IU821 IS822:IS905 IS908:IS950 IT906:IT907 IT951:IT992" xr:uid="{0A020B49-963A-4429-AA7F-AC89B61F85FE}"/>
    <dataValidation allowBlank="1" showInputMessage="1" showErrorMessage="1" prompt="Unique ID assigned to each site/treatment/managment." sqref="BF740:BF992 CD913:CD914 CD910 BJ908:BJ913 CI914 BT908:BT913 BY908:BY911 BY913:BY918 CD920:CD921 CD917 BJ915:BJ920 CI921 BT915:BT920 BT922:BT927 BY920:BY925 CD927:CD928 CD924 BJ922:BJ927 CI928 CD931:CD932 CD936:CD939 CI939 BT929:BT937 BY927:BY934 BJ929:BJ938 CD942:CD943 CD947:CD950 CI950 BY947:BY950 BT940:BT948 BY936:BY945 BJ940:BJ949 BO908:BO950 NO908:NO914" xr:uid="{8ED1E70E-A0A6-4732-BA22-16678BDF37F7}"/>
    <dataValidation allowBlank="1" showInputMessage="1" showErrorMessage="1" prompt="Subpractice or specific implementation detail of the broader practice as reported (e.g., “reduced tillage”, “legume intercrop”, “organic manure application”)." sqref="BD740:BD992" xr:uid="{5CBCF932-90D1-410F-AAAD-A79CD017B780}"/>
    <dataValidation allowBlank="1" showInputMessage="1" showErrorMessage="1" prompt="Unique identifier assigned to each study" sqref="B740:B992" xr:uid="{770E7D8E-7373-4E43-A87A-0371A175E9D5}"/>
    <dataValidation allowBlank="1" showInputMessage="1" showErrorMessage="1" prompt="Unique identifier assigned to the study by the original systematic synthesis." sqref="A740:A992" xr:uid="{9EB00674-F2E3-42D7-8AE0-9A9DBDA0C521}"/>
    <dataValidation type="decimal" operator="greaterThanOrEqual" allowBlank="1" showInputMessage="1" showErrorMessage="1" sqref="JB740:JB781" xr:uid="{69421177-7844-4842-BBD1-C1754F364C93}">
      <formula1>0</formula1>
    </dataValidation>
    <dataValidation allowBlank="1" showInputMessage="1" showErrorMessage="1" prompt="Name of the agroforestry practice. This dimension captures whether trees are part of a rotation." sqref="IZ740:IZ781" xr:uid="{2150D347-5690-4326-9B75-922624EE590D}"/>
    <dataValidation allowBlank="1" showInputMessage="1" showErrorMessage="1" prompt="Complete with an easy to recognize name for the animal practice, you will use this name to reference it when building treatments later in the extraction process. Avoid using special characters." sqref="ID740:ID781" xr:uid="{EDF67365-4118-4BCE-86C3-B523F8F62A2B}"/>
    <dataValidation type="list" allowBlank="1" showInputMessage="1" showErrorMessage="1" prompt="Name of the animal" sqref="IB740:IB781" xr:uid="{20F14709-6F32-4FE2-A858-02EE8A47A739}">
      <formula1>AnimalsList</formula1>
    </dataValidation>
    <dataValidation type="decimal" operator="greaterThan" allowBlank="1" showInputMessage="1" showErrorMessage="1" prompt="Numerical value of animal growing density corresponding to the selected animal and density unit." sqref="GP740:GP781" xr:uid="{2E956C2C-AEDF-4807-BC61-70A4B0613E2A}">
      <formula1>0</formula1>
    </dataValidation>
    <dataValidation type="list" allowBlank="1" showInputMessage="1" showErrorMessage="1" sqref="GM740:GM781" xr:uid="{83807D1E-F2D0-4256-93DA-156750EBC7E6}">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40:IW821 IU908:IU950 IV822:IV907 IV951:IV992" xr:uid="{36E491A8-4C15-49D1-BE39-AE2CC0B09B26}"/>
    <dataValidation allowBlank="1" showInputMessage="1" showErrorMessage="1" prompt="Fate of crop residues from the previous season" sqref="IT740:IT781" xr:uid="{A557F4C2-3916-4DD2-BF50-DD44D179CC66}"/>
    <dataValidation type="whole" allowBlank="1" showInputMessage="1" sqref="IR740:IR781" xr:uid="{79E7C802-4B3C-472E-BA12-6E7D57DEC495}">
      <formula1>1900</formula1>
      <formula2>2100</formula2>
    </dataValidation>
    <dataValidation type="whole" allowBlank="1" showInputMessage="1" showErrorMessage="1" prompt="Intercropping start year" sqref="IM740:IM781" xr:uid="{44CBFF54-344C-412C-B208-C92122B78BE7}">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W740:HW781" xr:uid="{44E1DE58-A8F6-4800-9112-BAE2B8DF7BC4}">
      <formula1>CropList</formula1>
    </dataValidation>
    <dataValidation type="date" allowBlank="1" showInputMessage="1" prompt="Planting Date Start (dd/mm/yy)" sqref="HU740:HU781" xr:uid="{674F3C37-9E4D-4A4D-BC74-FA13793EEB51}">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R740:HR781" xr:uid="{532A9E11-2052-47C3-BA5B-459D0748D68B}"/>
    <dataValidation type="whole" operator="greaterThan" allowBlank="1" showInputMessage="1" showErrorMessage="1" prompt="How many times was the land tilled during one experimental season " sqref="HQ740:HQ781" xr:uid="{2EB59952-EED4-4777-9FDA-E0B2C17C181B}">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L740:HL781" xr:uid="{F502F5D1-8A64-489E-86A6-C535FD60ADC5}"/>
    <dataValidation type="decimal" operator="greaterThanOrEqual" allowBlank="1" showInputMessage="1" showErrorMessage="1" prompt="Numerical value of tree planting density corresponding to the selected tree and density unit." sqref="EK740:EK781" xr:uid="{ED3154C1-F8E2-4326-8093-94E9E3A9CF67}">
      <formula1>0</formula1>
    </dataValidation>
    <dataValidation type="decimal" operator="greaterThanOrEqual" allowBlank="1" showInputMessage="1" showErrorMessage="1" prompt="Numerical value of tree planting density corresponding to the selected tree and density unit._x000a__x000a_Should be greater than 0" sqref="EG740:EG781" xr:uid="{B8CD0DDE-CD32-46A4-8FF9-216CECAF27EE}">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E740:EE781 EI740:EI781" xr:uid="{9BDEAF2F-8AB4-41D2-A432-9D1726A0C294}">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P740:BP781" xr:uid="{A5ACF548-70E6-468C-A467-7E1CE28C66A2}">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M740:BM781 BH740:BH781 BR740:BR781" xr:uid="{FD95A644-5090-4151-BAAD-E470C1D1CFBB}">
      <formula1>CropList</formula1>
    </dataValidation>
    <dataValidation allowBlank="1" showInputMessage="1" showErrorMessage="1" prompt="Season as stated by the author" sqref="BC740:BC781" xr:uid="{4F58EF34-99FF-4A36-A36A-D4CA11717EA4}"/>
    <dataValidation type="whole" allowBlank="1" showInputMessage="1" showErrorMessage="1" prompt="Year when the experiment started. Year Start as stated by the author" sqref="BA740:BA781" xr:uid="{7F1CB565-7422-4508-931A-440C2F31D36D}">
      <formula1>1900</formula1>
      <formula2>2100</formula2>
    </dataValidation>
    <dataValidation allowBlank="1" showInputMessage="1" showErrorMessage="1" prompt="Complete with the specific time period name the study provide" sqref="AZ740:AZ781" xr:uid="{8FB481D5-BD41-477C-8DCA-85833A532FAB}"/>
    <dataValidation type="whole" operator="greaterThanOrEqual" allowBlank="1" showInputMessage="1" showErrorMessage="1" prompt="Should be 0 or greater" sqref="AY740:AY781" xr:uid="{7BEA74AE-031F-4DD4-B120-9B7EB6E4EA0D}">
      <formula1>0</formula1>
    </dataValidation>
    <dataValidation type="decimal" operator="greaterThanOrEqual" allowBlank="1" showInputMessage="1" prompt="Field size in hectares_x000a__x000a_Should be greater than 0" sqref="AX740:AX781" xr:uid="{B71136DA-6470-4D51-AC94-54BD08D1843F}">
      <formula1>0</formula1>
    </dataValidation>
    <dataValidation type="decimal" operator="greaterThan" allowBlank="1" showInputMessage="1" prompt="The size of a treatment plot in the experiment, if variable use the mean value or mid-point of the size range._x000a__x000a_Valulue should be greater than 0" sqref="AW740:AW781" xr:uid="{1F6DC9E9-6556-4C36-9BF7-8D298B5CF01E}">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740:AV781" xr:uid="{85901635-C4E9-44F7-876D-A4196EB9DA61}"/>
    <dataValidation allowBlank="1" showInputMessage="1" showErrorMessage="1" prompt="Standardised name of the specific study site_x000a__x000a_If site is present in the drop-down list, then this will be automatically completed." sqref="F740:F781" xr:uid="{028925BE-F993-408F-BE8A-9D3329242224}"/>
    <dataValidation type="decimal" operator="greaterThanOrEqual" allowBlank="1" showInputMessage="1" prompt="Canopy height  min if height is provided by ranges. Ex. If height is 50-70, complete with 50_x000a__x000a_Value should be above 0, or write &quot;Unspecified&quot; if unknown." sqref="JG740:JG781" xr:uid="{F2A35109-4F74-453B-B25F-5C40E39987C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F740:JF781" xr:uid="{E9836513-03C7-446D-AC43-9C50E5D738C6}">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D740:JD781" xr:uid="{3D4C03C7-9459-4566-8102-4B31C88A89A7}">
      <formula1>0</formula1>
    </dataValidation>
    <dataValidation type="decimal" allowBlank="1" showInputMessage="1" prompt="Shade mean if shade is provided as mean. Ex. If shade is 52%, complete with 52_x000a__x000a_Value should be between 0 and 100, or write &quot;Unspecified&quot; if unknown." sqref="JC740:JC781" xr:uid="{4A8D21A3-4115-4FC7-923D-84D6127D722A}">
      <formula1>0</formula1>
      <formula2>100</formula2>
    </dataValidation>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740:HP992" xr:uid="{DC5D12C6-06FA-492D-9174-CEE0A1C95CA5}">
      <formula1>0</formula1>
      <formula2>150</formula2>
    </dataValidation>
    <dataValidation allowBlank="1" showInputMessage="1" showErrorMessage="1" prompt="Unit used to report elemental nutrient quantities (N, P, K) applied from organic fertilizers. Try to record kg/ha" sqref="JY740:JY781 KB782:KB821 JY822:JY905 JY908:JY950 KA906:KA907 KA951:KA992" xr:uid="{B0CD23E5-007F-4D4C-A8F3-9C430EA4F896}"/>
    <dataValidation errorStyle="warning" operator="lessThanOrEqual" allowBlank="1" showInputMessage="1" showErrorMessage="1" prompt="Experimental design information, such as plot size, layout and notes on historical management. " sqref="MS740:MS905 AV929:AV950 MS908:MS950 MU906:MU907 MU951:MU992" xr:uid="{D5BF2E44-4D00-49A4-93BE-1BB7D1602755}"/>
    <dataValidation type="date" allowBlank="1" showInputMessage="1" prompt="Planting Date End (dd/mm/yy)" sqref="HV766 HV772 HV778" xr:uid="{FB9724B0-FAC7-41F7-A6F1-B7E78F32FDA7}">
      <formula1>HU772</formula1>
      <formula2>73415</formula2>
    </dataValidation>
    <dataValidation type="date" allowBlank="1" showInputMessage="1" prompt="Planting Date End (dd/mm/yy)" sqref="HV749:HV751 HV764:HV765 HV768:HV771 HV779:HV781 HV774:HV777" xr:uid="{BED1B619-D02F-4E5A-B752-0A638558C2D6}">
      <formula1>HU759</formula1>
      <formula2>73415</formula2>
    </dataValidation>
    <dataValidation type="date" allowBlank="1" showInputMessage="1" prompt="Planting Date End (dd/mm/yy)" sqref="HV744:HV745" xr:uid="{9A7A77CC-06CF-4B7C-81CB-16452D8D2CC0}">
      <formula1>HU757</formula1>
      <formula2>73415</formula2>
    </dataValidation>
    <dataValidation type="date" allowBlank="1" showInputMessage="1" prompt="Planting Date End (dd/mm/yy)" sqref="HV752:HV753 HV756:HV757" xr:uid="{19E9EED9-215F-47D9-8D7B-3AC010E9017C}">
      <formula1>HU761</formula1>
      <formula2>73415</formula2>
    </dataValidation>
    <dataValidation type="decimal" errorStyle="warning" operator="lessThanOrEqual" allowBlank="1" showInputMessage="1" showErrorMessage="1" prompt="Size of Harvested Plot (m2)." sqref="MT740:MT905 MT908:MT950" xr:uid="{EA4D8D63-0F12-4B93-9E24-4E60A3CC42EF}">
      <formula1>AW740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D740:KD781 KG782:KG821 KD822:KD905 KD908:KD950 KF906:KF907 KF951:KF992" xr:uid="{AC3E430A-2AF8-4EE8-8B11-B30E2A5A0CA1}"/>
    <dataValidation type="date" allowBlank="1" showInputMessage="1" prompt="Planting Date End (dd/mm/yy)" sqref="HV748" xr:uid="{91E19363-174F-4514-A48C-7EDCF2AF984C}">
      <formula1>HU756</formula1>
      <formula2>73415</formula2>
    </dataValidation>
    <dataValidation type="date" allowBlank="1" showInputMessage="1" prompt="Planting Date End (dd/mm/yy)" sqref="HV779:HV781 HV749:HV751" xr:uid="{2CDF9745-D6AA-4A05-B7F7-D77A468D5D67}">
      <formula1>HU763</formula1>
      <formula2>73415</formula2>
    </dataValidation>
    <dataValidation type="date" allowBlank="1" showInputMessage="1" prompt="Planting Date End (dd/mm/yy)" sqref="HV750:HV751 HV767:HV769 HV780:HV781 HV773:HV775" xr:uid="{C04E54C6-F44E-4FD9-9814-78902E304568}">
      <formula1>HU762</formula1>
      <formula2>73415</formula2>
    </dataValidation>
    <dataValidation type="decimal" operator="greaterThanOrEqual" allowBlank="1" showInputMessage="1" prompt="Value should be above agrof_dhb_min, or write &quot;Unspecified&quot; if unknown." sqref="JI740:JI781" xr:uid="{AC98F29C-51D4-43E0-82DE-01C6C2044136}">
      <formula1>#REF!</formula1>
    </dataValidation>
    <dataValidation type="date" allowBlank="1" showInputMessage="1" showErrorMessage="1" prompt="(Storage Date End for Postharvest)" sqref="MM740:MM781" xr:uid="{BF7C9F25-C9A4-4B47-9896-1B8AAF3E0978}">
      <formula1>ML740</formula1>
      <formula2>73415</formula2>
    </dataValidation>
    <dataValidation type="date" operator="greaterThanOrEqual" allowBlank="1" showInputMessage="1" showErrorMessage="1" prompt="(Storage Date End for Postharvest)" sqref="MJ740:MJ781" xr:uid="{90776316-7DFF-46CF-8356-A8A08BF32ADB}">
      <formula1>MI740</formula1>
    </dataValidation>
    <dataValidation type="date" operator="greaterThanOrEqual" allowBlank="1" showInputMessage="1" showErrorMessage="1" prompt="Harvest Date End (dd/mm/yy)" sqref="ME740:ME781" xr:uid="{29931A06-AC0C-4D6A-BD0D-3DA964299907}">
      <formula1>MD740</formula1>
    </dataValidation>
    <dataValidation type="date" operator="greaterThanOrEqual" allowBlank="1" showInputMessage="1" showErrorMessage="1" prompt="Date End of the irrigation" sqref="LS740:LS781" xr:uid="{42A0C52C-63AE-4967-B584-11538040C2C7}">
      <formula1>LR740</formula1>
    </dataValidation>
    <dataValidation type="date" allowBlank="1" showInputMessage="1" prompt="Planting Date End (dd/mm/yy)" sqref="HV759" xr:uid="{50A0AF9D-6383-4A69-923F-954CE8EDB6F9}">
      <formula1>HU755</formula1>
      <formula2>73415</formula2>
    </dataValidation>
    <dataValidation type="date" allowBlank="1" showInputMessage="1" prompt="Planting Date End (dd/mm/yy)" sqref="HV758 HV762:HV763" xr:uid="{E52ECD4C-612F-4E69-AF08-139E9428707B}">
      <formula1>HU753</formula1>
      <formula2>73415</formula2>
    </dataValidation>
    <dataValidation type="date" allowBlank="1" showInputMessage="1" prompt="Planting Date End (dd/mm/yy)" sqref="HV754:HV755 HV742:HV743 HV748:HV749 HV766:HV767 HV772:HV773 HV778:HV779" xr:uid="{59E36D52-DCD3-4438-A854-06A13073CEE5}">
      <formula1>HU743</formula1>
      <formula2>73415</formula2>
    </dataValidation>
    <dataValidation type="date" allowBlank="1" showInputMessage="1" prompt="Planting Date End (dd/mm/yy)" sqref="HV761" xr:uid="{70215F8E-EACE-4AF7-BCDD-FE3E7FFD662D}">
      <formula1>HU763</formula1>
      <formula2>73415</formula2>
    </dataValidation>
    <dataValidation type="date" allowBlank="1" showInputMessage="1" prompt="Planting Date End (dd/mm/yy)" sqref="HV754" xr:uid="{C2AE3548-C12F-44CD-BE49-BD1F5DAC91CD}">
      <formula1>HU759</formula1>
      <formula2>73415</formula2>
    </dataValidation>
    <dataValidation type="date" allowBlank="1" showInputMessage="1" prompt="Planting Date End (dd/mm/yy)" sqref="HV760" xr:uid="{EF72CB47-6476-4765-A1A8-E1915AFF8634}">
      <formula1>HU752</formula1>
      <formula2>73415</formula2>
    </dataValidation>
    <dataValidation type="date" allowBlank="1" showInputMessage="1" prompt="Planting Date End (dd/mm/yy)" sqref="HV750:HV753 HV764:HV765 HV740:HV747 HV755:HV758 HV780:HV781 HV767:HV771 HV773:HV777" xr:uid="{D8E9EAD3-2C18-47DB-87C5-A333F46AAC2B}">
      <formula1>#REF!</formula1>
      <formula2>73415</formula2>
    </dataValidation>
    <dataValidation type="date" allowBlank="1" showInputMessage="1" prompt="Planting Date End (dd/mm/yy)" sqref="HV743:HV745 HV755:HV757" xr:uid="{AEE50E1B-12CB-4356-A4E8-1C543894B02B}">
      <formula1>HU754</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W740:OW781" xr:uid="{F996F94A-426B-45E8-8EBB-55CA0760335D}">
      <formula1>OV740</formula1>
      <formula2>2100</formula2>
    </dataValidation>
    <dataValidation type="decimal" operator="greaterThanOrEqual" allowBlank="1" showInputMessage="1" showErrorMessage="1" prompt="Upper limit for variation in suboutcome when  variation is reported as a confidence interval or interquartile range." sqref="OD740:OD781" xr:uid="{2979E9B9-6A6B-4A39-A13B-C631E4C6AC79}">
      <formula1>OC740</formula1>
    </dataValidation>
    <dataValidation allowBlank="1" showInputMessage="1" showErrorMessage="1" prompt="Detailed description of how the practice or sub-practice was implemented, including contextual or methodological qualifiers (e.g., frequency, intensity, timing, species used)." sqref="IN740:IN781 IN822:IN905 BE740:BE992 KH908:KH928 KG929:KH950 IL929:IL950 HL908:HL950 IN908:IN950 IF932:IF933 NO932 NO935 IF935 NO937 IF937 NO939 IF939 NO929 IF929 HR908:HR928 IG908:IG950" xr:uid="{62A85C2E-A015-4E6D-A532-20EA6F977BB5}"/>
    <dataValidation type="whole" errorStyle="warning" operator="greaterThanOrEqual" allowBlank="1" showInputMessage="1" showErrorMessage="1" prompt="(Days after Storage for Postharvest)" sqref="MN740:MN757 MU740:MU751 MU758:MU781 MN764:MN781 MP782:MP821 MM822:MM905 MM908:MM950 MO906:MO907 MO951:MO992" xr:uid="{70C3353F-B306-4158-B4E8-9605E2D7AB80}">
      <formula1>30</formula1>
    </dataValidation>
    <dataValidation type="whole" errorStyle="warning" operator="greaterThanOrEqual" allowBlank="1" showInputMessage="1" showErrorMessage="1" prompt="Harvest Days After Planting" sqref="MF740:MF781 MH782:MH821 ME822:ME905 ME908:ME950 MG906:MG907 MG951:MG992" xr:uid="{DB86028B-581E-4816-87DB-E3BAEEF3CF04}">
      <formula1>30</formula1>
    </dataValidation>
    <dataValidation type="list" allowBlank="1" showInputMessage="1" showErrorMessage="1" prompt="Tree (plant species). Only required if a material comes from a tree or shrub" sqref="LE740:LE781" xr:uid="{CCEA6465-94AE-4143-89D5-A8C28EECB26F}">
      <formula1>tree.latin.name</formula1>
    </dataValidation>
    <dataValidation allowBlank="1" showInputMessage="1" showErrorMessage="1" prompt="(Days after Storage for Postharvest)" sqref="MK740:MK781" xr:uid="{BD42B6FD-763B-48A8-A6F1-381A163EE298}"/>
    <dataValidation type="date" allowBlank="1" showInputMessage="1" showErrorMessage="1" prompt="(Storage Date Start for Postharvest)" sqref="MI740:MI781 ML740:ML781" xr:uid="{81A6AA2C-D87F-444B-8B18-4913B66E751A}">
      <formula1>1</formula1>
      <formula2>73415</formula2>
    </dataValidation>
    <dataValidation type="date" allowBlank="1" showInputMessage="1" showErrorMessage="1" prompt="Harvest Date Start (dd/mm/yy)" sqref="MD740:MD781" xr:uid="{83D68F66-57F6-4AE0-889E-7703D109393F}">
      <formula1>1</formula1>
      <formula2>73415</formula2>
    </dataValidation>
    <dataValidation type="decimal" operator="greaterThanOrEqual" allowBlank="1" showInputMessage="1" showErrorMessage="1" prompt="Amount of Water Applied" sqref="LU740:LU781" xr:uid="{55C13D81-4F88-4DA5-AE4E-69C088E3F05F}">
      <formula1>0</formula1>
    </dataValidation>
    <dataValidation type="date" allowBlank="1" showInputMessage="1" showErrorMessage="1" prompt="Date Start of the irrigation" sqref="LR740:LR781" xr:uid="{1D1B7785-7780-4D72-9DC0-1A76645E66CA}">
      <formula1>1</formula1>
      <formula2>73415</formula2>
    </dataValidation>
    <dataValidation type="decimal" operator="greaterThanOrEqual" allowBlank="1" showInputMessage="1" showErrorMessage="1" prompt="Amount Applied. Captures the total amount of pH-altering material applied" sqref="LO740:LO781" xr:uid="{802D40DE-1FD7-48B6-A722-0821D30E9963}">
      <formula1>0</formula1>
    </dataValidation>
    <dataValidation type="decimal" operator="greaterThanOrEqual" allowBlank="1" showInputMessage="1" showErrorMessage="1" prompt="Amount of material applied in the study_x000a__x000a_Should be 0 or higher" sqref="LJ740:LJ781" xr:uid="{2BF5E266-C828-4121-A201-4B0CB50AC2D5}">
      <formula1>0</formula1>
    </dataValidation>
    <dataValidation type="decimal" operator="greaterThanOrEqual" allowBlank="1" showInputMessage="1" prompt="Indicates the total amount of elemental potassium (K) from non-composted organic materials_x000a__x000a_Should be 0 or higher" sqref="LD740:LD781" xr:uid="{EBC401F9-372E-415E-8263-A28523CAA809}">
      <formula1>0</formula1>
    </dataValidation>
    <dataValidation type="decimal" operator="greaterThanOrEqual" allowBlank="1" showInputMessage="1" prompt="Specifies the total amount of elemental phosphorus (P) from non-composted organic materials_x000a__x000a_Should be 0 or higher" sqref="LC740:LC781" xr:uid="{CA4F5F8F-338A-449A-9521-E7A3E45FF046}">
      <formula1>0</formula1>
    </dataValidation>
    <dataValidation type="decimal" operator="greaterThanOrEqual" allowBlank="1" showInputMessage="1" prompt="Represents the total amount of elemental nitrogen (N) added from non-composted organic materials_x000a__x000a_Should be 0 or higher" sqref="LB740:LB781" xr:uid="{A024B87F-1B21-4362-8E91-56A24741EA8B}">
      <formula1>0</formula1>
    </dataValidation>
    <dataValidation type="decimal" operator="greaterThanOrEqual" allowBlank="1" showInputMessage="1" showErrorMessage="1" prompt="Chemical amount applied_x000a__x000a_Should be 0 or higher" sqref="KU740:KU781" xr:uid="{B29165F8-9FA7-4AB4-A178-E38903308C4D}">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I740:II781" xr:uid="{FC1AA7CD-0573-4590-B48E-D396C2BE9C1A}"/>
    <dataValidation allowBlank="1" showInputMessage="1" showErrorMessage="1" prompt="Unit for the planting density" sqref="BT752 BO761 BT755 BO755 BT758 BT761 BT740 BO743 BT743 BT746 BO749 BT749 BT767 BT764 BO767 BO773 BT773 BO779 BT779 BT770 BT776" xr:uid="{ECE40762-A3DC-4FE6-8E6A-348D15B6D368}"/>
    <dataValidation type="decimal" operator="greaterThanOrEqual" allowBlank="1" showInputMessage="1" prompt="Numerical value of crop planting density corresponding to the selected crop and density unit._x000a__x000a_Should be greater than 0" sqref="BU754 BU763 BU757 BU760 BU745 BU742 BU751 BU748 BU766 BU769 BU775 BU772 BU781 BU778 BK740:BK781" xr:uid="{491A3520-7E14-4D0C-845A-B4B3FC5F1E42}">
      <formula1>0</formula1>
    </dataValidation>
    <dataValidation type="list" allowBlank="1" showInputMessage="1" showErrorMessage="1" prompt="Commercial or local name of the crop variety associated with the selected crop (e.g., Katumani, G2333, Maasai Red). Do not include the crop species name in this field." sqref="BS761:BS762 BS755:BS756 BS743:BS744 BS749:BS750 BS767:BS768 BS773:BS774 BS779:BS780 BN740:BN781" xr:uid="{A81F1213-135D-4D14-AC03-A64CFDBFEC27}">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U752:BU753 BU761:BU762 BU755:BU756 BU758:BU759 BU740:BU741 BU743:BU744 BU746:BU747 BU749:BU750 BU767:BU768 BU764:BU765 BU773:BU774 BU779:BU780 BU770:BU771 BU776:BU777" xr:uid="{873380A7-F15F-4349-80EC-4116077745D8}">
      <formula1>0</formula1>
    </dataValidation>
    <dataValidation type="whole" operator="greaterThanOrEqual" allowBlank="1" showInputMessage="1" showErrorMessage="1" prompt="This only required for temporally aggregated observations in areas with more than one growing season" sqref="ON740:ON758 OT740:OT781 ON764:ON781" xr:uid="{0C8C8CA6-82B9-4101-B23C-203059AEBC52}">
      <formula1>1</formula1>
    </dataValidation>
    <dataValidation type="decimal" allowBlank="1" showInputMessage="1" showErrorMessage="1" prompt="The calendar year the measurement was taken. Seasons in multi-season systems are identified by decimals ‘.1’ or ‘.2’ for the first and second season respectively." sqref="OJ740:OJ758 OU740:OU781 OJ764:OJ781" xr:uid="{34E15C47-BE78-4B2C-9CB3-1BB752D76F9A}">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U740:NU758 OC740:OC781 NU764:NU781" xr:uid="{DF4EFA0B-B67E-47FA-93B2-D15A86868646}">
      <formula1>-9.99999999999999E+40</formula1>
    </dataValidation>
    <dataValidation type="decimal" errorStyle="warning" allowBlank="1" showInputMessage="1" showErrorMessage="1" prompt="Duration (Days). Use with Weight Gain subindicator." sqref="NO740:NO758 NW740:NW781 NO764:NO905 NQ906:NQ907 NO915:NO950 NQ951:NQ992" xr:uid="{7BA922FB-2DFC-41B5-8230-B76567828E4C}">
      <formula1>0</formula1>
      <formula2>1000</formula2>
    </dataValidation>
    <dataValidation type="decimal" allowBlank="1" showInputMessage="1" showErrorMessage="1" prompt="Economic Period (Years). Use with Net Present Value (NPV) outcome or similar only." sqref="NL740:NL758 NL764:NL781" xr:uid="{AEAAA60F-0371-473A-9466-6DD20F3ABC8D}">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N740:NN781 NH776:NH781 NF740:NF781" xr:uid="{FD45CBD8-AE4C-4B99-A910-78B2CF64E26E}"/>
    <dataValidation allowBlank="1" showInputMessage="1" showErrorMessage="1" prompt="Suboutcome or component of the outcome as reported (e.g., “yield per plot”, “gross margin”, “labour cost”, “aboveground biomass”). Use when the study reports multiple components under a broader outcome." sqref="NE740:NE758 NM740:NM781 NE764:NE781" xr:uid="{645B37A5-AEBB-4A14-BAF6-550164A4AD7D}"/>
    <dataValidation allowBlank="1" showInputMessage="1" showErrorMessage="1" prompt="For biodiversity outcomes, specify the functional group related to taxa assessed, if specified in the article" sqref="NB740:NB758 NJ740:NJ781 NB764:NB781" xr:uid="{AF488F1C-E8E7-4D16-A2D3-1460E0214930}"/>
    <dataValidation allowBlank="1" showInputMessage="1" showErrorMessage="1" prompt="taxa details, output from economic indictors" sqref="MU752:MU757" xr:uid="{96A46E6A-1051-4C47-8E3B-30CB4DBDA018}"/>
    <dataValidation allowBlank="1" showInputMessage="1" showErrorMessage="1" prompt="The location in the paper where the data can be found. This should be three letters (fig, tab, or txt) in lowercase and a number (for figures and tables) to signify figure, table or text, respectively." sqref="OP740:OP781 OH740:OH781" xr:uid="{BA80CCAD-2DE0-49E0-86C1-ED4128149E70}"/>
    <dataValidation allowBlank="1" showInputMessage="1" showErrorMessage="1" prompt="Comparison Treatment (e.g. for LER or fertilizer use efficiency outcomes)" sqref="NP753:NP757 NP759:NP763 NP741:NP745 NP747:NP751 NX740:NX781 NP765:NP769 NP771:NP775 NP777:NP781" xr:uid="{22983CAA-5674-4E0F-A389-902B904D6ACC}"/>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M740:OM758 OX740:OX781 OM764:OM781" xr:uid="{14374D6F-7793-4327-826C-3BE324FB81AF}">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K740:OK758 OV740:OV781 OK764:OK781" xr:uid="{B499226D-D04A-4B21-A987-C396EFC5D436}">
      <formula1>1900</formula1>
      <formula2>2100</formula2>
    </dataValidation>
    <dataValidation type="whole" operator="greaterThanOrEqual" allowBlank="1" showInputMessage="1" prompt="Number of independent sampling units on which the sub-outcome estimate is based for this specific practice. " sqref="OE740:OE781 NW740:NW781" xr:uid="{A3F9B329-CAB1-4EFF-9654-6A153EA23E28}">
      <formula1>0</formula1>
    </dataValidation>
    <dataValidation type="decimal" errorStyle="warning" operator="greaterThanOrEqual" allowBlank="1" showInputMessage="1" showErrorMessage="1" prompt="Value measure of dispersion when variation is reported as standard deviation or standard error" sqref="OB740:OB781 NT782:NT905 NT908:NT950 NV906:NV907 NV951:NV992" xr:uid="{3D84A365-A3F5-4E09-A185-26D8714655AB}">
      <formula1>0</formula1>
    </dataValidation>
    <dataValidation type="decimal" operator="greaterThanOrEqual" allowBlank="1" showInputMessage="1" showErrorMessage="1" prompt="Numerical value corresponding to the reported central tendency of the sub-outcome." sqref="NZ740:NZ781" xr:uid="{3E290B33-4C35-4277-80E0-C4231EBB1B6E}">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N740:NN758 NV740:NV781 NN764:NN781" xr:uid="{ADAF877F-FC0A-4419-AF5F-C114901FAF64}"/>
    <dataValidation type="decimal" operator="greaterThanOrEqual" allowBlank="1" showInputMessage="1" showErrorMessage="1" prompt="Starting Weight Unit. Use with Weight Gain subindicator." sqref="NM740:NM758 NU740:NU781 NM764:NM781" xr:uid="{A7BB08A7-5340-447B-BC66-BD38880295A1}">
      <formula1>0</formula1>
    </dataValidation>
    <dataValidation type="decimal" allowBlank="1" showInputMessage="1" showErrorMessage="1" prompt="Economic Discount Rate (%). Typically associated with calculations of Net Present Value (NPV)." sqref="NK740:NK758 NK764:NK781" xr:uid="{103253BB-CB66-4D98-BB24-03FE64678F2B}">
      <formula1>0</formula1>
      <formula2>100</formula2>
    </dataValidation>
    <dataValidation type="decimal" errorStyle="warning" allowBlank="1" showInputMessage="1" showErrorMessage="1" prompt="Soil outcome depths (cm) upper. Upper depth of measurement (cm) for soil outcomes" sqref="NJ740:NJ758 NJ764:NJ905 NJ908:NJ950 NL906:NL907 NL951:NL992" xr:uid="{DA62C813-62D7-4DF0-8AAC-18B0793BB26E}">
      <formula1>0</formula1>
      <formula2>200</formula2>
    </dataValidation>
    <dataValidation type="decimal" errorStyle="warning" allowBlank="1" showInputMessage="1" showErrorMessage="1" prompt="Soil outcome depths (cm) lower. Lower depth of measurement (cm) for soil outcomes" sqref="NI740:NI758 NI764:NI905 NI908:NI950 NK906:NK907 NK951:NK992" xr:uid="{61954D63-750D-409E-A8AE-CF80C0A5CCF5}">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O740:MO758 MO764:MO781 MS740:MS781 MA740:MB781 KX740:KZ781 KV740:KV781 LP740:LP781 MG740:MG781 LK740:LK781" xr:uid="{EF79EC36-1D4D-452E-BA2A-94B67090ED7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N763:HQ763 HN754:HQ754 HN757:HQ757 HN760:HQ760 HN745:HQ745 HN742:HQ742 HN751:HQ751 HN748:HQ748 HN766:HQ766 HN769:HQ769 HN775:HQ775 HN772:HQ772 HN781:HQ781 HN778:HQ778 AU782:AU992 K740:K992 T782:T992 AC782:AC992 AL782:AL992" xr:uid="{410C97C5-D15E-42DE-9D20-A2274A008984}"/>
    <dataValidation errorStyle="warning" allowBlank="1" showInputMessage="1" showErrorMessage="1" prompt="Longitude of the study location in decimal degrees, recorded at the precision reported in the publication or derived from place-based geocoding when coordinates are not provided." sqref="AT782:AT992 J740:J992 S782:S992 AB782:AB992 AK782:AK992" xr:uid="{EBB37E5B-F40B-478F-B6CB-9EF9E076818E}"/>
    <dataValidation errorStyle="warning" allowBlank="1" showInputMessage="1" showErrorMessage="1" prompt="Latitude of the study location in decimal degrees, recorded at the precision reported in the publication or derived from place-based geocoding when coordinates are not provided." sqref="AS782:AS992 I740:I992 R782:R992 AA782:AA992 AJ782:AJ992" xr:uid="{1603F3B4-9F05-4A84-87B0-D2878F1D5289}"/>
    <dataValidation type="decimal" errorStyle="warning" operator="greaterThanOrEqual" allowBlank="1" showInputMessage="1" showErrorMessage="1" prompt="Numerical value corresponding to the reported central tendency of the sub-outcome." sqref="NR740:NR905 NT952:NT992 NR908:NR950 NT906:NT907" xr:uid="{F3F207D9-F808-4FF6-8DA1-6D647DF1A7CC}">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Z762 BZ756 BZ758:BZ759 CE758:CE760 CE740:CE742 BZ740:BZ741 BZ744 CE746:CE748 BZ746:BZ747 BZ750 CE752:CE754 BZ752:BZ753 CE764:CE766 BZ764:BZ765 BZ768 CE770:CE772 BZ770:BZ771 BZ774 CE776:CE778 BZ776:BZ777 BZ780 BU949:BU992 BZ947:BZ992 CE944:CE992 BP946:BP992 BK950:BK992 BK782:BK911 BP782:BP907 CT782:CT992 CO782:CO992 CJ782:CJ992 CE782:CE909 BZ782:BZ907 BU782:BU907 CY782:CY992 EC782:EC992 DX782:DX992 DS782:DS992 DN782:DN992 DI782:DI992 DD782:DD992 BU933:BU935 BU911:BU912 BJ914 BU909 BZ910:BZ911 BZ917:BZ918 BU918:BU919 BJ921 BU916 BP919:BP921 BZ920:BZ921 BT921:BU921 BZ924:BZ925 BU925:BU926 BJ928 BU923 BZ913:BZ914 BP912:BP914 BT914:BU914 BP926:BP928 BZ927:BZ928 BT928:BU928 BZ931:BZ934 BJ939 BZ936:BZ939 BT938:BU939 BP935:BP939 BU944:BU946 BZ942:BZ945 BT949:BT950 BJ950 CE911:CE916 BK914:BK918 BK921:BK925 CE918:CE923 BK928:BK934 CE925:CE930 CE933:CE941 BK939:BK945" xr:uid="{CD98A23A-ACB8-421C-A498-8376EDD271A4}">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X756:BX760 BS757:BS760 CC758:CC760 BX740:BX742 CC740:CC742 BS740:BS742 CC746:CC748 CC752:CC754 BS751:BS754 BX750:BX754 BX744:BX748 BS745:BS748 CC764:CC766 BS769:BS772 BX768:BX772 BX762:BX766 BS763:BS766 CC770:CC772 BS775:BS778 BX774:BX778 CC776:CC778 BI782:BI992 CW782:CW992 CR782:CR992 CM782:CM992 CH782:CH992 CC782:CC992 BX780:BX992 BS781:BS992 BN782:BN992 EA782:EA992 DV782:DV992 DQ782:DQ992 DL782:DL992 DG782:DG992 DB782:DB992 BY912:BZ912 BY919:BZ919 BY926:BZ926 BY935:BZ935 BY946:BZ946" xr:uid="{4DED2971-CB28-4B0B-9571-D9DBAEFB65A9}">
      <formula1>INDIRECT(BH740)</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W762 BW756 BW758:BW760 CB758:CB760 CB740:CB742 BW740:BW742 BW744 CB746:CB748 BW746:BW748 BW750 CB752:CB754 BW752:BW754 CB764:CB766 BW764:BW766 BW768 CB770:CB772 BW770:BW772 BW774 CB776:CB778 BW776:BW778 BW780 CV782:CV992 BH782:BH992 CQ782:CQ992 CL782:CL992 CG782:CG992 CB782:CB992 BW782:BW992 BR782:BR992 BM782:BM992 DZ782:DZ992 DU782:DU992 DP782:DP992 DK782:DK992 DF782:DF992 DA782:DA992" xr:uid="{A060FEDA-1075-46B7-98C6-EB396EA919E0}">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LW740:LW781 LY782:LY821 MQ782:MQ821 MD782:MD821 MI782:MI821 LR782:LR821 LM782:LM821 KX782:KX821 KU822:KU905 LV822:LV905 MN822:MN905 MA822:MA905 MF822:MF905 LO822:LO905 LJ822:LJ905 KU908:KU950 KW906:KW907 KW951:KW992 LV908:LV950 LX906:LX907 LX951:LX992 MN908:MN950 MP906:MP907 MP951:MP992 MA908:MA950 MC906:MC907 MC951:MC992 MF908:MF950 MH906:MH907 MH951:MH992 LO908:LO950 LQ906:LQ907 LQ951:LQ992 LJ908:LJ950 LL906:LL907 LL951:LL992" xr:uid="{07696905-D02B-4EF6-857F-85B54BBD887E}"/>
    <dataValidation type="decimal" errorStyle="warning" operator="greaterThanOrEqual" allowBlank="1" showInputMessage="1" showErrorMessage="1" prompt="Chemical amount applied_x000a__x000a_Should be 0 or higher" sqref="KT759:KT763 KT753:KT757 KT741:KT745 KT747:KT751 KT765:KT769 KT771:KT775 KP740:KP781 KL740:KL781 KT777:KT781 KW782:KW821 KS782:KS821 KO782:KO821 KL822:KL905 KT822:KT905 KP822:KP905 KL908:KL950 KN906:KN907 KN951:KN992 KT908:KT928 KV906:KV907 KP908:KP950 KR906:KR907 KR951:KR992 KT940:KT950 KV951:KV992" xr:uid="{34159E6F-422F-4D1A-B8A6-9B0A52BBE5A1}">
      <formula1>0</formula1>
    </dataValidation>
    <dataValidation type="decimal" errorStyle="warning" operator="greaterThanOrEqual" allowBlank="1" showInputMessage="1" showErrorMessage="1" prompt="Total elemental potassium applied from organic sources (e.g., compost, manure, biosolid)." sqref="KB740:KB781 KE782:KE821 KB822:KB905 KB908:KB950 KD906:KD907 KD951:KD992" xr:uid="{3189FDEB-E45C-4018-9794-4ABE9A9BA26C}">
      <formula1>0</formula1>
    </dataValidation>
    <dataValidation type="decimal" errorStyle="warning" operator="greaterThanOrEqual" allowBlank="1" showInputMessage="1" showErrorMessage="1" prompt="Total elemental phosphorus applied from organic sources (e.g., compost, manure, biosolid)." sqref="KA740:KA781 KD782:KD821 KA822:KA905 KA908:KA950 KC906:KC907 KC951:KC992" xr:uid="{F5A01327-3773-403A-8F34-2BEAC7CD6135}">
      <formula1>0</formula1>
    </dataValidation>
    <dataValidation type="decimal" errorStyle="warning" operator="greaterThanOrEqual" allowBlank="1" showInputMessage="1" showErrorMessage="1" prompt="Total elemental nitrogen applied  from organic sources (e.g., compost, manure, biosolid)." sqref="JZ740:JZ781 KC782:KC821 JZ822:JZ905 JZ908:JZ950 KB906:KB907 KB951:KB992" xr:uid="{72F07F44-6CCD-477D-9688-81E8E62CF9F8}">
      <formula1>0</formula1>
    </dataValidation>
    <dataValidation errorStyle="warning" allowBlank="1" showInputMessage="1" showErrorMessage="1" prompt="Total elemental nitrogen, phosphorus, and potassium applied from inorganic sources (e.g., urea or DAP)." sqref="JN740:JN781 JQ782:JQ821 JN822:JN905 JN908:JN950 JP906:JP907 JP951:JP992" xr:uid="{9C1EE7FF-FDDC-4A2B-B3BF-DCDCF904AC93}"/>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H740:KH781 KK782:KK821 KH822:KH905 KJ906:KJ907 KJ951:KJ992 KO908:KO911 KO913:KO918 KO920:KO925 KK908:KK950 KO927:KO950" xr:uid="{CE46F94E-C16C-4C0F-9C9D-467BEC9AED3A}"/>
    <dataValidation type="decimal" errorStyle="warning" operator="greaterThanOrEqual" allowBlank="1" showInputMessage="1" showErrorMessage="1" prompt="Total potassium applied from inorganic sources presented as potassium oxide (K2O)." sqref="JT740:JT781 JW782:JW821 JT822:JT905 JT908:JT950 JV906:JV907 JV951:JV992" xr:uid="{6D52CEB3-4DC9-4437-A8E8-FE633F6A471A}">
      <formula1>0</formula1>
    </dataValidation>
    <dataValidation type="decimal" errorStyle="warning" operator="greaterThanOrEqual" allowBlank="1" showInputMessage="1" showErrorMessage="1" prompt="Total phosphorus applied from inorganic sources presented as phosphorus pentoxide (P2O5) ." sqref="JS740:JS781 JV782:JV821 JS822:JS905 JS908:JS950 JU906:JU907 JU951:JU992" xr:uid="{60B3BB08-7878-4203-98AA-246D0ABBC566}">
      <formula1>0</formula1>
    </dataValidation>
    <dataValidation type="decimal" errorStyle="warning" operator="greaterThanOrEqual" allowBlank="1" showInputMessage="1" showErrorMessage="1" prompt="Total elemental potassium applied from inorganic sources (e.g., potassium chloride or monopotassium phosphate)." sqref="JR740:JR781 JU782:JU821 JR822:JR905 JR908:JR950 JT906:JT907 JT951:JT992" xr:uid="{EE42FBED-9B67-4787-BD2E-2AF33679087F}">
      <formula1>0</formula1>
    </dataValidation>
    <dataValidation type="decimal" errorStyle="warning" operator="greaterThanOrEqual" allowBlank="1" showInputMessage="1" showErrorMessage="1" prompt="Total elemental phosphorus applied from inorganic sources (e.g., rock phosphate or DAP)." sqref="JQ740:JQ781 JT782:JT821 JQ822:JQ905 JQ908:JQ950 JS906:JS907 JS951:JS992" xr:uid="{2B2C5E47-0147-4EFF-985A-6C12E8884872}">
      <formula1>0</formula1>
    </dataValidation>
    <dataValidation type="decimal" errorStyle="warning" operator="greaterThanOrEqual" allowBlank="1" showInputMessage="1" showErrorMessage="1" prompt="Total elemental nitrogen applied from inorganic sources (e.g., urea or DAP)." sqref="JP740:JP781 JS782:JS821 JP822:JP905 JP908:JP950 JR906:JR907 JR951:JR992" xr:uid="{80E27E62-97D1-4EF6-B493-55DA1F05002E}">
      <formula1>0</formula1>
    </dataValidation>
    <dataValidation errorStyle="warning" allowBlank="1" showInputMessage="1" showErrorMessage="1" prompt="Comparison Treatment (e.g. for LER or fertilizer use efficiency outcomes)" sqref="NP752 NP758 NP740 NP746 NP764 NP770 NP776 NP782:NP905 NS908:NS950 NP908:NP950 NR906:NR907 NR951:NR992" xr:uid="{E891566A-2738-460B-B1EC-26EE7A568085}"/>
    <dataValidation type="decimal" errorStyle="warning" operator="greaterThanOrEqual" allowBlank="1" showInputMessage="1" showErrorMessage="1" prompt="Total elemental nitrogen, phosphorus, and potassium applied from organic sources (e.g., compost, manure, biosolid)." sqref="JX740:JX781 KA782:KA821 JX822:JX905 JX908:JX950 JZ906:JZ907 JZ951:JZ992" xr:uid="{AEE36A9B-3C73-43A9-992F-294C1C14B290}">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J740:KJ781 KJ894:KJ895 KJ902:KJ903 KJ898:KJ899 KJ890:KJ891 KJ886:KJ887 KJ882:KJ883 KJ878:KJ879 KJ870:KJ871 KJ874:KJ875 KJ866:KJ867 KJ834:KJ835 KJ838:KJ839 KJ842:KJ843 KJ822:KJ823 KJ826:KJ827 KJ830:KJ831 KJ846:KJ847 KJ850:KJ851 KJ854:KJ855 KJ862:KJ863 KJ858:KJ859 KJ908:KJ950" xr:uid="{4300E182-4B84-4FAD-B472-B3CEC9680AB6}">
      <formula1>INDIRECT($KI740)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N740:KN781 KN822:KN905 KN946:KN950 KN935:KN944 KN908:KN933" xr:uid="{CF3A4EC4-8961-45F5-90DD-366EBB0EA17A}">
      <formula1>INDIRECT($KM740)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59:KR763 KR747:KR751 KR741:KR745 KR765:KR769 KR771:KR775 KR753:KR757 KR777:KR781 KR822:KR905 KR908:KR950" xr:uid="{38886AE4-9B90-4A83-ADAD-40879FFA4357}">
      <formula1>INDIRECT($KQ741)</formula1>
    </dataValidation>
    <dataValidation type="list" errorStyle="warning" allowBlank="1" showInputMessage="1" showErrorMessage="1" prompt="Name of the organic fertilizer" sqref="JV740:JV781 JV822:JV905 JV908:JV950" xr:uid="{2A1A6242-CDA6-4B2E-9960-6FB8ED139C2A}">
      <formula1>INDIRECT($JU740)</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L740:JL905 JL908:JL950" xr:uid="{F06ECFFB-CA12-411E-AB5B-851E7F22E3D4}">
      <formula1>INDIRECT($JK740)</formula1>
    </dataValidation>
    <dataValidation errorStyle="warning" allowBlank="1" showInputMessage="1" showErrorMessage="1" prompt="Unit used to report elemental nutrient quantities (N, P, K) applied from inorganic fertilizers. Try to record kg/ha" sqref="JR782:JR821 JO822:JO905 JQ951:JQ992 JO908:JO939 JQ906:JQ907" xr:uid="{06FFB0F4-E6AC-4655-8278-D5EBE06ADBEA}"/>
    <dataValidation type="date" errorStyle="warning" allowBlank="1" showInputMessage="1" prompt="Planting Date End (dd/mm/yy)" sqref="HU846:HU848 HU850:HU852 HU822:HU824 HU826:HU828 HU834:HU836 HU838:HU840 HU830:HU832 HU842:HU844 HU858:HU860 HU862:HU864 HU870:HU872 HU874:HU876 HU854:HU856 HU882:HU884 HU886:HU888 HU866:HU868 HU878:HU880 HU894:HU896 HU898:HU900 HU902:HU904 HU890:HU892 HV782:HV905" xr:uid="{A1C29647-C83D-4971-90E6-ED385FD36EB1}">
      <formula1>HT785</formula1>
      <formula2>73415</formula2>
    </dataValidation>
    <dataValidation type="list" errorStyle="warning" allowBlank="1" showInputMessage="1" showErrorMessage="1" prompt="Standardised name of the specific study site" sqref="AO782:AO992" xr:uid="{85ACADA7-67B1-4FC5-834A-997EFB499E3E}">
      <formula1>INDIRECT($AM782)</formula1>
    </dataValidation>
    <dataValidation type="list" errorStyle="warning" allowBlank="1" showInputMessage="1" showErrorMessage="1" prompt="Standardised name of the specific study site" sqref="AF782:AF992" xr:uid="{8B2AAC55-E595-4D62-B97A-1FA8E0127C28}">
      <formula1>INDIRECT($AD782)</formula1>
    </dataValidation>
    <dataValidation type="list" errorStyle="warning" allowBlank="1" showInputMessage="1" showErrorMessage="1" prompt="Standardised name of the specific study site" sqref="W782:W992" xr:uid="{197FA5AC-199D-4C61-9D2E-80BA36002030}">
      <formula1>INDIRECT($U782)</formula1>
    </dataValidation>
    <dataValidation type="list" errorStyle="warning" allowBlank="1" showInputMessage="1" showErrorMessage="1" prompt="Standardised name of the specific study site" sqref="N782:N992" xr:uid="{DBEEEA9B-B391-48D3-871E-A8E44A3FA2D0}">
      <formula1>INDIRECT($L782)</formula1>
    </dataValidation>
    <dataValidation errorStyle="warning" allowBlank="1" showInputMessage="1" showErrorMessage="1" prompt="For biodiversity outcomes, specify the functional group related to taxa assessed, if specified in the article" sqref="NB782:NB905 NB908:NB950 ND906:ND907 ND951:ND992" xr:uid="{ECC88761-6121-47E6-A43F-5F74F3DC2D02}"/>
    <dataValidation type="decimal" errorStyle="warning" operator="greaterThanOrEqual" allowBlank="1" showInputMessage="1" showErrorMessage="1" prompt="Lower limit for variation in suboutcome when variation is reported as a confidence interval or interquartile range." sqref="NU782:NU905 NU908:NU950 NW906:NW907 NW951:NW992" xr:uid="{123A150C-701F-4C25-A941-3DF8F52C3234}">
      <formula1>-9.99999999999999E+40</formula1>
    </dataValidation>
    <dataValidation type="date" errorStyle="warning" allowBlank="1" showInputMessage="1" showErrorMessage="1" prompt="(Storage Date End for Postharvest)" sqref="MO782:MO821 ML822:ML905 ML908:ML950 MN906:MN907 MN951:MN992" xr:uid="{9ECAFEA0-774F-4D7F-A09A-5D0E747C954A}">
      <formula1>MK782</formula1>
      <formula2>73415</formula2>
    </dataValidation>
    <dataValidation type="date" errorStyle="warning" allowBlank="1" showInputMessage="1" showErrorMessage="1" prompt="(Storage Date Start for Postharvest)" sqref="MN782:MN821 MK822:MK905 MK908:MK950 MM906:MM907 MM951:MM992" xr:uid="{E685E0F6-29D9-4EF7-87A1-7B6A8B0C56BF}">
      <formula1>1</formula1>
      <formula2>73415</formula2>
    </dataValidation>
    <dataValidation type="date" errorStyle="warning" operator="greaterThanOrEqual" allowBlank="1" showInputMessage="1" showErrorMessage="1" prompt="Harvest Date End (dd/mm/yy)" sqref="MG782:MG821 MD822:MD905 MD908:MD950 MF906:MF907 MF951:MF992" xr:uid="{831CCC4A-C2E4-4851-89EB-9EBD727C74F0}">
      <formula1>MC782</formula1>
    </dataValidation>
    <dataValidation type="date" errorStyle="warning" allowBlank="1" showInputMessage="1" showErrorMessage="1" prompt="Harvest Date Start (dd/mm/yy)" sqref="MF782:MF821 MC822:MC905 MC908:MC950 ME906:ME907 ME951:ME992" xr:uid="{943119AE-9E9F-4C8E-9961-A5E6AF4645CB}">
      <formula1>1</formula1>
      <formula2>73415</formula2>
    </dataValidation>
    <dataValidation type="list" errorStyle="warning" allowBlank="1" showInputMessage="1" showErrorMessage="1" prompt="Tree (plant species). Only required if a material comes from a tree or shrub" sqref="LG782:LG821 LD822:LD905 LD908:LD950 LF906:LF907 LF951:LF992" xr:uid="{FB83DFFE-BB34-4043-8A5E-25A22733D740}">
      <formula1>tree.latin.name</formula1>
    </dataValidation>
    <dataValidation type="list" errorStyle="warning" allowBlank="1" showInputMessage="1" showErrorMessage="1" prompt="Name of the organic fertilizer" sqref="JY782:JY821" xr:uid="{4FBCD2AE-67EF-47F9-9C08-74593A1A241F}">
      <formula1>INDIRECT($JX782)</formula1>
    </dataValidation>
    <dataValidation errorStyle="warning" allowBlank="1" showInputMessage="1" showErrorMessage="1" prompt="Name of the agroforestry practice. This dimension captures whether trees are part of a rotation." sqref="IZ782:IZ821 IX908:IX950 IY822:IY907 IY951:IY992" xr:uid="{EDC85C7D-FB0C-4831-B725-B9AC809113F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782:ID992" xr:uid="{C55FC205-840F-4EC9-A8F3-D291B6CE81F5}"/>
    <dataValidation type="list" errorStyle="warning" allowBlank="1" showInputMessage="1" showErrorMessage="1" prompt="Breed of the animal" sqref="IC782:IC992" xr:uid="{CC09B9FA-8BE3-4D8E-BDAE-24D1F0A0E3C9}">
      <formula1>INDIRECT($IB782)</formula1>
    </dataValidation>
    <dataValidation type="list" errorStyle="warning" allowBlank="1" showInputMessage="1" showErrorMessage="1" prompt="Name of the animal" sqref="IB782:IB992" xr:uid="{B49B7FB5-5B62-486B-9F0F-59E8D098DBC9}">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782:GN992" xr:uid="{84B7B4D7-9215-4A3A-9DC2-9903594A0860}">
      <formula1>INDIRECT($GM782)</formula1>
    </dataValidation>
    <dataValidation type="decimal" errorStyle="warning" operator="greaterThan" allowBlank="1" showInputMessage="1" showErrorMessage="1" prompt="Numerical value of animal growing density corresponding to the selected animal and density unit." sqref="HJ782:HJ992 GP782:GP992 GU782:GU992 GZ782:GZ992 HE782:HE992" xr:uid="{985FAAC8-E275-480D-8799-06ECA4EC360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782:HG992 GM782:GM992 GR782:GR992 GW782:GW992 HB782:HB992" xr:uid="{CE4923D3-3DCE-4FB6-BFD0-0E19C3D3094A}">
      <formula1>AnimalsList</formula1>
    </dataValidation>
    <dataValidation type="decimal" errorStyle="warning" operator="greaterThanOrEqual" allowBlank="1" showInputMessage="1" showErrorMessage="1" prompt="Amount of Water Applied" sqref="LW782:LW821 LT822:LT905 LT908:LT950 LV906:LV907 LV951:LV992" xr:uid="{B995908C-9149-4C0C-B129-011FCFCFB3CC}">
      <formula1>0</formula1>
    </dataValidation>
    <dataValidation type="date" errorStyle="warning" operator="greaterThanOrEqual" allowBlank="1" showInputMessage="1" showErrorMessage="1" prompt="Date End of the irrigation" sqref="LU782:LU821 LR822:LR905 LR908:LR950 LT906:LT907 LT951:LT992" xr:uid="{DD77D96B-544F-4A54-A40D-C6F7E31F61FB}">
      <formula1>LQ782</formula1>
    </dataValidation>
    <dataValidation type="date" errorStyle="warning" allowBlank="1" showInputMessage="1" showErrorMessage="1" prompt="Date Start of the irrigation" sqref="LT782:LT821 LQ822:LQ905 LQ908:LQ950 LS906:LS907 LS951:LS992" xr:uid="{88BCB13A-99BE-4408-B08E-6AF39CCE8A55}">
      <formula1>1</formula1>
      <formula2>73415</formula2>
    </dataValidation>
    <dataValidation type="list" errorStyle="warning" allowBlank="1" showInputMessage="1" showErrorMessage="1" prompt="Variety, cultivar of the crop" sqref="HX782:HX992" xr:uid="{71060030-02A6-4EF9-A2A9-61480A7989C1}">
      <formula1>INDIRECT($HW782)</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782:HW992" xr:uid="{0D49BA36-9EF7-41DD-890C-55AEBCA8B9D8}">
      <formula1>CropList</formula1>
    </dataValidation>
    <dataValidation type="date" errorStyle="warning" allowBlank="1" showInputMessage="1" prompt="Planting Date Start (dd/mm/yy)" sqref="HU782:HU992" xr:uid="{F82364BD-65B4-4A09-BAD4-AB6795A5B26A}">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782:HR907 HR929:HR992" xr:uid="{21BFAF1D-A4BF-413A-85D6-6149E1F7EAB3}"/>
    <dataValidation type="whole" errorStyle="warning" operator="greaterThan" allowBlank="1" showInputMessage="1" showErrorMessage="1" prompt="How many times was the land tilled during one experimental season " sqref="HQ782:HQ992" xr:uid="{52EDAFC2-AB53-4B23-970A-962BDCED69C4}">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782:HL907 HL951:HL992" xr:uid="{93CC0C3F-A603-491D-8B55-758103199FDB}"/>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H782:OH905 OJ906:OJ907 OJ951:OJ992 OP908:OP950" xr:uid="{24F895E5-9582-48FF-9478-472CF317D533}"/>
    <dataValidation type="decimal" errorStyle="warning" operator="greaterThanOrEqual" allowBlank="1" showInputMessage="1" showErrorMessage="1" prompt="Amount Applied. Captures the total amount of pH-altering material applied" sqref="LQ782:LQ821 LN822:LN905 LN908:LN950 LP906:LP907 LP951:LP992" xr:uid="{7E56D0A8-E42C-4D4C-AB5C-85A22BA60B7C}">
      <formula1>0</formula1>
    </dataValidation>
    <dataValidation type="decimal" errorStyle="warning" operator="greaterThanOrEqual" allowBlank="1" showInputMessage="1" showErrorMessage="1" prompt="Amount of material applied in the study_x000a__x000a_Should be 0 or higher" sqref="LL782:LL821 LI822:LI905 LI908:LI950 LK906:LK907 LK951:LK992" xr:uid="{3A0D24DA-AD7E-42B8-B270-E6C2970F8DB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M782:KM821" xr:uid="{9F9AE4F2-6BD6-47B8-9649-D0F2426BEDBC}">
      <formula1>INDIRECT($KL782)</formula1>
    </dataValidation>
    <dataValidation type="whole" errorStyle="warning" allowBlank="1" showInputMessage="1" prompt="The start year of the crop rotation practice" sqref="IT782:IT821 IR822:IR905 IR908:IR950 IS906:IS907 IS951:IS992" xr:uid="{90951761-FF67-453A-B61B-7A009CC662D2}">
      <formula1>1900</formula1>
      <formula2>2100</formula2>
    </dataValidation>
    <dataValidation errorStyle="warning" allowBlank="1" showInputMessage="1" showErrorMessage="1" prompt="Intercropping start season" sqref="IL782:IL821 IM951:IM992 IL908:IL928 IM822:IM907" xr:uid="{D8FB5599-9407-42ED-9B57-DD6585126E07}"/>
    <dataValidation type="whole" errorStyle="warning" allowBlank="1" showInputMessage="1" showErrorMessage="1" prompt="Intercropping start year" sqref="IK782:IK821 IK908:IK950 IL822:IL907 IL951:IL992" xr:uid="{3434D6FF-E1A1-4753-BCD6-E879F415F1F9}">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G782:IG821 IP782:IP821 IO951:IO992 IN822:IN905 IO906:IO907 IH822:IH907 IH951:IH992" xr:uid="{19E62965-416D-4BC0-BDE7-3C0753D0D829}"/>
    <dataValidation type="decimal" errorStyle="warning" operator="greaterThanOrEqual" allowBlank="1" showInputMessage="1" showErrorMessage="1" prompt="Numerical value of tree planting density corresponding to the selected tree and density unit._x000a__x000a_Should be greater than 0" sqref="EO782:EO992 GK782:GK992 GG782:GG992 GC782:GC992 FY782:FY992 FU782:FU992 FQ782:FQ992 FM782:FM992 FI782:FI992 FE782:FE992 FA782:FA992 EW782:EW992 ES782:ES992 EK782:EK992 EG782:EG992" xr:uid="{A4D1E20C-4A62-48E0-82E6-C7A3EE157BB0}">
      <formula1>0</formula1>
    </dataValidation>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L782:OL905 ON906:ON907 ON951:ON992" xr:uid="{B29D7D13-19A5-4381-B0B4-0222CDBCB309}">
      <formula1>OK782</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K782:OK905 OM906:OM907 OM951:OM992 OS908:OS950" xr:uid="{F5036BED-F4A6-4DD8-8133-63BEAF37E82C}">
      <formula1>1900</formula1>
      <formula2>2100</formula2>
    </dataValidation>
    <dataValidation errorStyle="warning" allowBlank="1" showInputMessage="1" showErrorMessage="1" prompt="Season as stated by the author" sqref="BC782:BC992" xr:uid="{0721A951-4886-4621-AC1E-ECFA8EDC65D6}"/>
    <dataValidation type="whole" errorStyle="warning" allowBlank="1" showInputMessage="1" showErrorMessage="1" prompt="Year when the experiment stopped. Year End as stated by the author _x000a__x000a_Should be equal to start year or later" sqref="BB782:BB992" xr:uid="{353A607B-DD0B-4FBE-9D29-EF3D6E159E77}">
      <formula1>BA782</formula1>
      <formula2>2100</formula2>
    </dataValidation>
    <dataValidation type="whole" errorStyle="warning" allowBlank="1" showInputMessage="1" showErrorMessage="1" prompt="Year when the experiment started. Year Start as stated by the author" sqref="BA782:BA992" xr:uid="{EBBD489C-F93C-46FF-A69A-2DE74AD2B5E8}">
      <formula1>1900</formula1>
      <formula2>2100</formula2>
    </dataValidation>
    <dataValidation errorStyle="warning" allowBlank="1" showInputMessage="1" showErrorMessage="1" prompt="Complete with the specific time period name the study provide" sqref="AZ782:AZ992" xr:uid="{8C5053A2-B8B1-4979-9241-2850770D98DF}"/>
    <dataValidation type="whole" errorStyle="warning" operator="greaterThanOrEqual" allowBlank="1" showInputMessage="1" showErrorMessage="1" prompt="Length of time the experiment has been ongoing up to the date the data are being reported for in years._x000a__x000a_Should be 0 or greater" sqref="AY782:AY992" xr:uid="{1619ADC2-8B45-4D9F-9CCC-F5B4C87DBB0D}">
      <formula1>0</formula1>
    </dataValidation>
    <dataValidation type="decimal" errorStyle="warning" operator="greaterThanOrEqual" allowBlank="1" showInputMessage="1" prompt="Field size in hectares_x000a__x000a_Should be greater than 0" sqref="AX782:AX992" xr:uid="{52D8E1F4-A602-4986-9068-A2E9C00B90DF}">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782:AW928 AW951:AW992" xr:uid="{9807DF58-03D2-4101-955C-05EFA24F2DC7}">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782:AV928 AV951:AV992" xr:uid="{E0009FA5-4C66-408D-971A-A01099C01EC0}"/>
    <dataValidation type="decimal" errorStyle="warning" operator="greaterThanOrEqual" allowBlank="1" showInputMessage="1" prompt="Value should be above 0, or write &quot;Unspecified&quot; if unknown." sqref="JJ782:JJ821 JH908:JH950 JI822:JI907 JI951:JI992" xr:uid="{ED97A9D3-816B-4DDC-A987-0A644992BDB1}">
      <formula1>0</formula1>
    </dataValidation>
    <dataValidation type="decimal" errorStyle="warning" operator="greaterThanOrEqual" allowBlank="1" showInputMessage="1" showErrorMessage="1" prompt="Value should be above 0, or write &quot;Unspecified&quot; if unknown." sqref="JI782:JI821 JG908:JG950 JH822:JH907 JH951:JH992" xr:uid="{994C4D8E-FD36-4E8E-977A-4A4F49BE849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82:JH821 JF908:JF950 JG822:JG907 JG951:JG992" xr:uid="{FC28F3AF-1312-48DF-955A-30B460AC23D0}">
      <formula1>JE782</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82:JG821 JE908:JE950 JF822:JF907 JF951:JF992" xr:uid="{4DFAFE2F-6950-4063-A06C-4BF041DA36CF}">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82:JF821 JD908:JD950 JE822:JE907 JE951:JE992" xr:uid="{8722A845-B543-46D4-ACBD-DB0393432730}">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82:JE821 JC908:JC950 JD822:JD907 JD951:JD992" xr:uid="{E85098AC-35D6-4A50-940C-68FE32FF19D2}">
      <formula1>JB782</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82:JD821 JB908:JB950 JC822:JC907 JC951:JC992" xr:uid="{D266C9FE-B35C-4549-B645-BFD121B665D1}">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82:JC821 JA908:JA950 JB822:JB907 JB951:JB992" xr:uid="{7C9C415A-85F8-4BBF-9E5C-36B6FD60D087}">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ON782:ON821 ON908:ON950 OP822:OP907 OP951:OP992" xr:uid="{73083D9A-4FD5-4CF0-BCE4-4CF9B448904D}">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M782:OM821 OO906:OO907 OO951:OO992 OW908:OW950" xr:uid="{54A0B34B-3958-45C4-8482-92EA6DB4E1E5}">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N782:NN905 NN908:NN950 NP906:NP907 NP951:NP992" xr:uid="{28EFA190-4902-4441-9C90-AECE017E4348}"/>
    <dataValidation type="decimal" errorStyle="warning" operator="greaterThanOrEqual" allowBlank="1" showInputMessage="1" showErrorMessage="1" prompt="Starting Weight Unit. Use with Weight Gain subindicator." sqref="NM782:NM905 NM908:NM950 NO906:NO907 NO951:NO992" xr:uid="{D38EB3AF-33DC-4895-8F84-3CCC14905DAA}">
      <formula1>0</formula1>
    </dataValidation>
    <dataValidation type="decimal" errorStyle="warning" allowBlank="1" showInputMessage="1" showErrorMessage="1" prompt="Economic Discount Rate (%). Typically associated with calculations of Net Present Value (NPV)." sqref="NK782:NK905 NK908:NK950 NM906:NM907 NM951:NM992" xr:uid="{6E8E4FD6-6F5D-4DD8-920C-019C1BDA83E2}">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F782:LF821 LC822:LC905 NO929:NO939 LC940:LC950 LE951:LE992 LC908:LC928 LE906:LE907" xr:uid="{149457FC-E823-44EF-9BE6-DDA647B2B9CC}">
      <formula1>0</formula1>
    </dataValidation>
    <dataValidation type="decimal" errorStyle="warning" operator="greaterThanOrEqual" allowBlank="1" showInputMessage="1" prompt="Specifies the total amount of elemental phosphorus (P) from non-composted organic materials_x000a__x000a_Should be 0 or higher" sqref="LE782:LE821 LB822:LB905 LB908:LB950 LD906:LD907 LD951:LD992" xr:uid="{C34C6F97-8A0B-422D-A000-8ED13CBB7683}">
      <formula1>0</formula1>
    </dataValidation>
    <dataValidation type="decimal" errorStyle="warning" operator="greaterThanOrEqual" allowBlank="1" showInputMessage="1" prompt="Represents the total amount of elemental nitrogen (N) added from non-composted organic materials_x000a__x000a_Should be 0 or higher" sqref="LD782:LD821 LA822:LA905 LA908:LA950 LC906:LC907 LC951:LC992" xr:uid="{BA9C4A1D-C951-429F-A3DE-8A2BD4FC643D}">
      <formula1>0</formula1>
    </dataValidation>
    <dataValidation errorStyle="warning" allowBlank="1" showInputMessage="1" showErrorMessage="1" prompt="Frequency of the weeding practice" sqref="KJ782:KJ821 KG822:KG905 KI951:KI992 KG908:KG928 KI906:KI907" xr:uid="{82F62A37-3B10-41A0-9A02-6A4F0F61D6AA}"/>
    <dataValidation errorStyle="warning" allowBlank="1" showInputMessage="1" showErrorMessage="1" prompt="Fate of crop residues from the previous season" sqref="IV782:IV821 IT822:IT905 IU906:IU907 IU951:IU992" xr:uid="{DEAF55F4-380E-476D-843F-29F812ACF13A}"/>
    <dataValidation type="list" errorStyle="warning" allowBlank="1" showInputMessage="1" showErrorMessage="1" prompt="Standardised name of the specific study site" sqref="E782:E992" xr:uid="{7F920623-BE19-4979-9D95-1D21BDB1CC3B}">
      <formula1>INDIRECT($C782)</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J782:OJ905 OL906:OL907 OL951:OL992 OR908:OR950" xr:uid="{0A43B8F4-1C74-4C88-9140-6938805C954D}">
      <formula1>1900</formula1>
      <formula2>2100</formula2>
    </dataValidation>
    <dataValidation type="decimal" errorStyle="warning" allowBlank="1" showInputMessage="1" showErrorMessage="1" prompt="Economic Period (Years). Use with Net Present Value (NPV) outcome or similar only." sqref="NL782:NL905 NL908:NL950 NN906:NN907 NN951:NN992" xr:uid="{D556A6F3-A8A6-44AB-BA4F-D81B6F76E863}">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U782:KU821" xr:uid="{D1DC657A-1368-4701-A8B1-C2FF75DB27B9}">
      <formula1>INDIRECT($KT782)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Q782:KQ821" xr:uid="{18D500D6-6F2C-44DE-BD91-5B815B1B535B}">
      <formula1>INDIRECT($KP782)</formula1>
    </dataValidation>
    <dataValidation type="decimal" errorStyle="warning" operator="greaterThanOrEqual" allowBlank="1" showInputMessage="1" showErrorMessage="1" prompt="Upper limit for variation in suboutcome when  variation is reported as a confidence interval or interquartile range." sqref="NV782:NV905 NV908:NV950 NX906:NX907 NX951:NX992" xr:uid="{C9627ED0-0873-4342-A9F4-E598E2C64587}">
      <formula1>NU782</formula1>
    </dataValidation>
    <dataValidation type="whole" errorStyle="warning" operator="greaterThanOrEqual" allowBlank="1" showInputMessage="1" prompt="Number of independent sampling units on which the sub-outcome estimate is based for this specific practice. " sqref="NW782:NW905 NW908:NW950 NY906:NY907 NY951:NY992" xr:uid="{C724F9AE-D452-4C9D-B5B1-69DD692BF7C0}">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782:GI992 EE782:EE992 GE782:GE992 GA782:GA992 FW782:FW992 FS782:FS992 FO782:FO992 FK782:FK992 FG782:FG992 FC782:FC992 EY782:EY992 EU782:EU992 EQ782:EQ992 EM782:EM992 EI782:EI992" xr:uid="{E0B32FF3-5CAE-427E-9A63-D74E7A48D74D}">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782:HH992" xr:uid="{716E55BC-92D7-4B47-91EA-ED15DF2242F7}">
      <formula1>INDIRECT($HG782)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782:HC992" xr:uid="{1A3FCAAB-8119-4C9F-AAD8-AFE0B38E83F3}">
      <formula1>INDIRECT($HB782)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782:GX992" xr:uid="{03697988-633C-43E7-B7C5-4CFFEB238B8F}">
      <formula1>INDIRECT($GW782)</formula1>
    </dataValidation>
    <dataValidation type="list" errorStyle="warning" allowBlank="1" showInputMessage="1" showErrorMessage="1" errorTitle="Invalid Entry" error="Please select a country from the dropdown list." promptTitle="Country" prompt="Select a country from the dropdown list." sqref="L782:L992 U782:U992 AD782:AD992 AM782:AM992" xr:uid="{53A99ABA-41E5-43B5-B617-5DAEAE241750}">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MU814:MU821 NE782:NE905 NE908:NE950 NG906:NG907 NG951:NG992" xr:uid="{061FDFA2-B000-4FFD-97E0-7911DCA77B3B}"/>
    <dataValidation errorStyle="warning" allowBlank="1" showInputMessage="1" showErrorMessage="1" prompt="Description of the suboutcome as reported in the primary study or systematic synthesis. Record sufficient detail to clearly identify what was measured and how it was defined." sqref="MU794:MU813 NF782:NF833 NE834:NE845 NF846:NF905 NF908:NF950 NH906:NH907 NH951:NH992" xr:uid="{4D9EA2D0-9994-4202-866E-1B472A648BA6}"/>
    <dataValidation errorStyle="warning" allowBlank="1" showInputMessage="1" showErrorMessage="1" prompt="taxa details, output from economic indictors" sqref="MU782:MU793 MU822:MU905 MU908:MU950 MW906:MW907 MW951:MW992" xr:uid="{349B1C75-3B35-4EBA-BC81-4A2F24400CE4}"/>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B782 JB788 JB794 JB800 JB806 JB814 JA846 JA842 JA850 JA854 JA822 JA826 JA830 JA834 JA838 JA858 JA862 JA866 JA870 JA874 JA878 JA882 JA886 JA890 JA894 JA898 JA902" xr:uid="{03F72559-2ACF-4ED4-BAFD-3524E35FF8E1}">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S782 GS788 GS794 GS800 GS806 GS814 GS834 GS854 GS850 GS846 GS830 GS826 GS822 GS842 GS838 GS866 GS862 GS858 GS878 GS874 GS870 GS890 GS886 GS882 GS902 GS898 GS894" xr:uid="{9FA8D786-9359-47DE-8CC2-FA5C1401A20B}">
      <formula1>INDIRECT($GR782)</formula1>
    </dataValidation>
    <dataValidation type="decimal" errorStyle="warning" operator="greaterThanOrEqual" allowBlank="1" showInputMessage="1" showErrorMessage="1" sqref="JB783:JB787 JB789:JB793 JB795:JB799 JB801:JB805 JB807:JB813 JB815:JB821 JA871:JA873 JA863:JA865 JA855:JA857 JA847:JA849 JA851:JA853 JA839:JA841 JA823:JA825 JA827:JA829 JA831:JA833 JA843:JA845 JA835:JA837 JA867:JA869 JA859:JA861 JA875:JA877 JA879:JA881 JA887:JA889 JA883:JA885 JA891:JA893 JA895:JA897 JA899:JA901 IZ908:IZ950 JA903:JA907 JA951:JA992" xr:uid="{0F021AF5-044C-4F93-ABD7-52E41F5FEBB8}">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82:H821 AP782:AP992 O782:O992 X782:X992 AG782:AG992 F782:F992" xr:uid="{E502EF6D-A043-4BC8-B8E0-97DD6DDF4EAB}"/>
    <dataValidation type="list" errorStyle="warning" allowBlank="1" showInputMessage="1" showErrorMessage="1" sqref="GS783:GS787 GS789:GS793 GS815:GS821 GS795:GS799 GS801:GS805 GS807:GS813 GS855:GS857 GS859:GS861 GS851:GS853 GS847:GS849 GS843:GS845 GS827:GS829 GS823:GS825 GS839:GS841 GS835:GS837 GS831:GS833 GS867:GS869 GS863:GS865 GS871:GS873 GS875:GS877 GS879:GS881 GS883:GS885 GS887:GS889 GS891:GS893 GS895:GS897 GS899:GS901 GS903:GS992" xr:uid="{1D39390F-78CA-4CD7-A284-C5A0B2A92064}">
      <formula1>INDIRECT($GR783)</formula1>
    </dataValidation>
    <dataValidation type="decimal" errorStyle="warning" operator="lessThanOrEqual" allowBlank="1" showInputMessage="1" showErrorMessage="1" prompt="Size of Harvested Plot (m2)." sqref="AW929:AW950 MV906:MV907 MV951:MV992" xr:uid="{962896AD-9708-47C3-AA8E-2426205FED81}">
      <formula1>WVB906</formula1>
    </dataValidation>
    <dataValidation type="list" errorStyle="warning" allowBlank="1" showInputMessage="1" prompt="Please use active ingredient name over trade-name of product, unless the  product contains multiple active ingredients then it is acceptible to use the product name." sqref="KJ848 KJ900 KJ904 KJ896 KJ888 KJ892 KJ884 KJ876 KJ880 KJ872 KJ864 KJ868 KJ860 KJ840 KJ844 KJ836 KJ828 KJ832 KJ824 KJ852 KJ856" xr:uid="{1FDAC260-A03A-4428-B8EA-51BCF84FF3A1}">
      <formula1>INDIRECT($KI825)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N934 KN945" xr:uid="{86C39B00-62C1-4FB8-81AB-BD67EBB973BF}">
      <formula1>INDIRECT(#REF!)</formula1>
    </dataValidation>
    <dataValidation type="decimal" errorStyle="warning" operator="greaterThanOrEqual" allowBlank="1" showInputMessage="1" prompt="Value should be above agrof_dhb_min, or write &quot;Unspecified&quot; if unknown." sqref="JJ822:JJ907 JJ951:JJ992 JI908:JI950" xr:uid="{E794A382-0096-4B47-BD5C-F99417439D6B}">
      <formula1>JH822</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K822:JK907 JK951:JK992" xr:uid="{BD86E795-A3D0-4869-AF6E-11148E75DE36}"/>
    <dataValidation type="list" errorStyle="warning" allowBlank="1" showInputMessage="1" prompt="Please use active ingredient name over trade-name of product, unless the  product contains multiple active ingredients then it is acceptible to use the product name." sqref="KL906:KL907 KL951:KL992" xr:uid="{A9EA6C2D-C52F-4DDE-8ED9-9A30436288AC}">
      <formula1>INDIRECT($KK906)</formula1>
    </dataValidation>
    <dataValidation type="list" errorStyle="warning" allowBlank="1" showInputMessage="1" showErrorMessage="1" prompt="Name of the organic fertilizer" sqref="JX906:JX907 JX951:JX992" xr:uid="{7C454B61-AC30-46A9-AC4E-38E8B4F8D053}">
      <formula1>INDIRECT($JW906)</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906:JN907 JN951:JN992" xr:uid="{D26143B9-C606-420F-A5A5-E16DA30573E5}">
      <formula1>INDIRECT($JM906)</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906:KT907 KT951:KT992" xr:uid="{6AAA09EA-1C3E-45AD-BC84-D12E357FC3D0}">
      <formula1>INDIRECT($KS906)</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906:KP907 KP951:KP992" xr:uid="{EA9A1876-74DA-46B6-B2C4-5BFA9F4EBCFB}">
      <formula1>INDIRECT($KO906)</formula1>
    </dataValidation>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908:OV950" xr:uid="{98010425-183B-4719-AA4C-5CDC40BFB232}">
      <formula1>OS908</formula1>
      <formula2>2100</formula2>
    </dataValidation>
  </dataValidations>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83750-E336-4A0A-A46F-D83DE736FA17}">
  <dimension ref="A1:R239"/>
  <sheetViews>
    <sheetView tabSelected="1" topLeftCell="A7" zoomScale="88" zoomScaleNormal="88" workbookViewId="0">
      <pane ySplit="1" topLeftCell="A104" activePane="bottomLeft" state="frozen"/>
      <selection activeCell="A7" sqref="A7"/>
      <selection pane="bottomLeft" activeCell="E128" sqref="E128"/>
    </sheetView>
  </sheetViews>
  <sheetFormatPr defaultRowHeight="15"/>
  <cols>
    <col min="1" max="1" width="23.28515625" customWidth="1"/>
    <col min="2" max="2" width="33.42578125" customWidth="1"/>
    <col min="3" max="3" width="10.5703125" customWidth="1"/>
    <col min="4" max="4" width="8.85546875" customWidth="1"/>
    <col min="5" max="5" width="66.140625" customWidth="1"/>
    <col min="6" max="12" width="18.7109375" customWidth="1"/>
    <col min="13" max="13" width="18.5703125" customWidth="1"/>
  </cols>
  <sheetData>
    <row r="1" spans="1:17" hidden="1">
      <c r="A1" s="59" t="s">
        <v>751</v>
      </c>
      <c r="B1" s="11">
        <v>7</v>
      </c>
      <c r="D1" s="11"/>
    </row>
    <row r="2" spans="1:17" hidden="1">
      <c r="A2" s="59" t="s">
        <v>752</v>
      </c>
      <c r="B2" s="11" t="s">
        <v>753</v>
      </c>
      <c r="D2" s="11"/>
    </row>
    <row r="3" spans="1:17" hidden="1">
      <c r="A3" s="59" t="s">
        <v>754</v>
      </c>
    </row>
    <row r="4" spans="1:17" hidden="1">
      <c r="A4" s="59" t="s">
        <v>755</v>
      </c>
    </row>
    <row r="5" spans="1:17" hidden="1">
      <c r="B5" s="59"/>
    </row>
    <row r="6" spans="1:17" hidden="1">
      <c r="B6" s="11"/>
    </row>
    <row r="7" spans="1:17" s="60" customFormat="1" ht="39.950000000000003" customHeight="1">
      <c r="B7" s="105" t="s">
        <v>756</v>
      </c>
      <c r="C7" s="60" t="s">
        <v>757</v>
      </c>
      <c r="D7" s="60" t="s">
        <v>758</v>
      </c>
      <c r="E7" s="60" t="s">
        <v>759</v>
      </c>
      <c r="F7" s="60" t="s">
        <v>760</v>
      </c>
      <c r="G7" s="60" t="s">
        <v>761</v>
      </c>
      <c r="H7" s="60" t="s">
        <v>762</v>
      </c>
      <c r="I7" s="60" t="s">
        <v>763</v>
      </c>
      <c r="J7" s="60" t="s">
        <v>764</v>
      </c>
      <c r="K7" s="60" t="s">
        <v>765</v>
      </c>
      <c r="L7" s="60" t="s">
        <v>766</v>
      </c>
      <c r="M7" s="60" t="s">
        <v>767</v>
      </c>
      <c r="N7" s="60" t="s">
        <v>768</v>
      </c>
      <c r="O7" s="60" t="s">
        <v>769</v>
      </c>
      <c r="P7" s="60" t="s">
        <v>770</v>
      </c>
      <c r="Q7" s="60" t="s">
        <v>771</v>
      </c>
    </row>
    <row r="8" spans="1:17">
      <c r="A8" s="61" t="s">
        <v>494</v>
      </c>
      <c r="B8" s="86" t="s">
        <v>1412</v>
      </c>
      <c r="C8" t="s">
        <v>772</v>
      </c>
      <c r="E8" t="s">
        <v>455</v>
      </c>
      <c r="L8" t="s">
        <v>773</v>
      </c>
      <c r="M8" t="s">
        <v>774</v>
      </c>
      <c r="N8" t="s">
        <v>775</v>
      </c>
    </row>
    <row r="9" spans="1:17">
      <c r="A9" s="61" t="s">
        <v>494</v>
      </c>
      <c r="B9" t="s">
        <v>652</v>
      </c>
      <c r="C9" t="s">
        <v>772</v>
      </c>
      <c r="E9" t="s">
        <v>776</v>
      </c>
      <c r="L9" t="s">
        <v>777</v>
      </c>
      <c r="M9" t="s">
        <v>774</v>
      </c>
      <c r="N9" t="s">
        <v>778</v>
      </c>
    </row>
    <row r="10" spans="1:17">
      <c r="A10" s="31" t="s">
        <v>493</v>
      </c>
      <c r="B10" t="s">
        <v>1309</v>
      </c>
      <c r="C10" t="s">
        <v>779</v>
      </c>
      <c r="E10" t="s">
        <v>453</v>
      </c>
      <c r="G10" t="s">
        <v>1208</v>
      </c>
      <c r="L10" t="s">
        <v>780</v>
      </c>
      <c r="M10" t="s">
        <v>781</v>
      </c>
      <c r="N10" t="s">
        <v>782</v>
      </c>
    </row>
    <row r="11" spans="1:17">
      <c r="A11" s="31" t="s">
        <v>493</v>
      </c>
      <c r="B11" t="s">
        <v>1310</v>
      </c>
      <c r="C11" t="s">
        <v>779</v>
      </c>
      <c r="E11" t="s">
        <v>783</v>
      </c>
      <c r="G11" t="s">
        <v>784</v>
      </c>
      <c r="L11" t="s">
        <v>785</v>
      </c>
      <c r="M11" t="s">
        <v>781</v>
      </c>
      <c r="N11" t="s">
        <v>786</v>
      </c>
    </row>
    <row r="12" spans="1:17">
      <c r="A12" s="31" t="s">
        <v>493</v>
      </c>
      <c r="B12" t="s">
        <v>1311</v>
      </c>
      <c r="C12" t="s">
        <v>779</v>
      </c>
      <c r="E12" t="s">
        <v>787</v>
      </c>
      <c r="G12" t="s">
        <v>1209</v>
      </c>
      <c r="L12" t="s">
        <v>788</v>
      </c>
      <c r="M12" t="s">
        <v>789</v>
      </c>
      <c r="N12" t="s">
        <v>790</v>
      </c>
    </row>
    <row r="13" spans="1:17">
      <c r="A13" s="31" t="s">
        <v>493</v>
      </c>
      <c r="B13" t="s">
        <v>1312</v>
      </c>
      <c r="C13" t="s">
        <v>779</v>
      </c>
      <c r="E13" t="s">
        <v>450</v>
      </c>
      <c r="G13" s="4" t="s">
        <v>1207</v>
      </c>
      <c r="L13" t="s">
        <v>791</v>
      </c>
      <c r="M13" t="s">
        <v>781</v>
      </c>
      <c r="N13" t="s">
        <v>792</v>
      </c>
    </row>
    <row r="14" spans="1:17">
      <c r="A14" s="31" t="s">
        <v>493</v>
      </c>
      <c r="B14" t="s">
        <v>1313</v>
      </c>
      <c r="C14" t="s">
        <v>779</v>
      </c>
      <c r="E14" t="s">
        <v>793</v>
      </c>
      <c r="G14" s="4" t="s">
        <v>794</v>
      </c>
    </row>
    <row r="15" spans="1:17">
      <c r="A15" s="31" t="s">
        <v>493</v>
      </c>
      <c r="B15" t="s">
        <v>1314</v>
      </c>
      <c r="C15" t="s">
        <v>779</v>
      </c>
      <c r="E15" t="s">
        <v>449</v>
      </c>
      <c r="G15" s="4" t="s">
        <v>1206</v>
      </c>
      <c r="L15" t="s">
        <v>795</v>
      </c>
      <c r="M15" t="s">
        <v>781</v>
      </c>
      <c r="N15" t="s">
        <v>796</v>
      </c>
    </row>
    <row r="16" spans="1:17">
      <c r="A16" s="31" t="s">
        <v>493</v>
      </c>
      <c r="B16" t="s">
        <v>1315</v>
      </c>
      <c r="C16" t="s">
        <v>797</v>
      </c>
      <c r="D16" t="s">
        <v>798</v>
      </c>
      <c r="E16" t="s">
        <v>448</v>
      </c>
      <c r="L16" t="s">
        <v>799</v>
      </c>
      <c r="M16" t="s">
        <v>800</v>
      </c>
      <c r="N16" t="s">
        <v>801</v>
      </c>
    </row>
    <row r="17" spans="1:14">
      <c r="A17" s="31" t="s">
        <v>493</v>
      </c>
      <c r="B17" t="s">
        <v>1316</v>
      </c>
      <c r="C17" t="s">
        <v>797</v>
      </c>
      <c r="D17" t="s">
        <v>798</v>
      </c>
      <c r="E17" t="s">
        <v>447</v>
      </c>
      <c r="L17" t="s">
        <v>802</v>
      </c>
      <c r="M17" t="s">
        <v>800</v>
      </c>
      <c r="N17" t="s">
        <v>801</v>
      </c>
    </row>
    <row r="18" spans="1:14">
      <c r="A18" s="31" t="s">
        <v>493</v>
      </c>
      <c r="B18" t="s">
        <v>1317</v>
      </c>
      <c r="C18" t="s">
        <v>797</v>
      </c>
      <c r="D18" t="s">
        <v>803</v>
      </c>
      <c r="E18" t="s">
        <v>446</v>
      </c>
      <c r="L18" t="s">
        <v>804</v>
      </c>
      <c r="M18" t="s">
        <v>800</v>
      </c>
      <c r="N18" t="s">
        <v>805</v>
      </c>
    </row>
    <row r="19" spans="1:14" ht="15.75" thickBot="1">
      <c r="A19" s="39" t="s">
        <v>1154</v>
      </c>
      <c r="B19" t="s">
        <v>644</v>
      </c>
      <c r="C19" t="s">
        <v>772</v>
      </c>
      <c r="E19" t="s">
        <v>445</v>
      </c>
      <c r="G19" t="s">
        <v>806</v>
      </c>
      <c r="I19" t="s">
        <v>807</v>
      </c>
      <c r="J19" t="s">
        <v>808</v>
      </c>
      <c r="K19" t="s">
        <v>809</v>
      </c>
    </row>
    <row r="20" spans="1:14" ht="15.75" thickBot="1">
      <c r="A20" s="39" t="s">
        <v>1154</v>
      </c>
      <c r="B20" t="s">
        <v>643</v>
      </c>
      <c r="C20" s="106" t="s">
        <v>810</v>
      </c>
      <c r="D20" s="106" t="s">
        <v>811</v>
      </c>
      <c r="E20" s="45" t="s">
        <v>723</v>
      </c>
      <c r="F20" s="107"/>
      <c r="G20" t="s">
        <v>812</v>
      </c>
      <c r="H20" s="107"/>
      <c r="I20" s="107"/>
      <c r="J20" s="107"/>
      <c r="K20" s="107"/>
      <c r="L20" t="s">
        <v>813</v>
      </c>
    </row>
    <row r="21" spans="1:14" ht="14.45" customHeight="1" thickBot="1">
      <c r="A21" s="39" t="s">
        <v>1154</v>
      </c>
      <c r="B21" t="s">
        <v>642</v>
      </c>
      <c r="C21" s="106" t="s">
        <v>810</v>
      </c>
      <c r="D21" s="106" t="s">
        <v>814</v>
      </c>
      <c r="E21" s="106" t="s">
        <v>444</v>
      </c>
      <c r="F21" s="108"/>
      <c r="G21" t="s">
        <v>812</v>
      </c>
      <c r="H21" s="108"/>
      <c r="I21" s="108"/>
      <c r="J21" s="108"/>
      <c r="K21" s="108"/>
      <c r="L21" s="108" t="s">
        <v>815</v>
      </c>
    </row>
    <row r="22" spans="1:14" ht="14.45" customHeight="1" thickBot="1">
      <c r="A22" s="39" t="s">
        <v>1154</v>
      </c>
      <c r="B22" t="s">
        <v>641</v>
      </c>
      <c r="C22" s="106" t="s">
        <v>810</v>
      </c>
      <c r="D22" s="106" t="s">
        <v>1004</v>
      </c>
      <c r="E22" s="106" t="s">
        <v>443</v>
      </c>
      <c r="F22" s="109"/>
      <c r="H22" s="109"/>
      <c r="I22" s="109"/>
      <c r="J22" s="109"/>
      <c r="K22" s="109"/>
      <c r="L22" s="109"/>
    </row>
    <row r="23" spans="1:14" ht="15.75" thickBot="1">
      <c r="A23" s="34" t="s">
        <v>1155</v>
      </c>
      <c r="B23" s="106" t="s">
        <v>640</v>
      </c>
      <c r="C23" s="106" t="s">
        <v>772</v>
      </c>
      <c r="D23" s="106"/>
      <c r="E23" s="106" t="s">
        <v>442</v>
      </c>
      <c r="F23" s="107"/>
      <c r="G23" s="107" t="s">
        <v>806</v>
      </c>
      <c r="H23" s="107"/>
      <c r="I23" s="107"/>
      <c r="J23" s="107"/>
      <c r="K23" s="107"/>
    </row>
    <row r="24" spans="1:14" ht="15.75" thickBot="1">
      <c r="A24" s="34" t="s">
        <v>1155</v>
      </c>
      <c r="B24" s="106" t="s">
        <v>639</v>
      </c>
      <c r="C24" s="106" t="s">
        <v>810</v>
      </c>
      <c r="D24" s="106"/>
      <c r="E24" s="106" t="s">
        <v>441</v>
      </c>
      <c r="F24" s="107"/>
      <c r="G24" s="107" t="s">
        <v>816</v>
      </c>
      <c r="H24" s="107"/>
      <c r="I24" s="107"/>
      <c r="J24" s="107"/>
      <c r="K24" s="107"/>
    </row>
    <row r="25" spans="1:14" ht="15.75" thickBot="1">
      <c r="A25" s="34" t="s">
        <v>1155</v>
      </c>
      <c r="B25" s="106" t="s">
        <v>638</v>
      </c>
      <c r="C25" s="106" t="s">
        <v>810</v>
      </c>
      <c r="D25" s="106"/>
      <c r="E25" s="106" t="s">
        <v>440</v>
      </c>
      <c r="F25" s="107"/>
      <c r="G25" s="107" t="s">
        <v>816</v>
      </c>
      <c r="H25" s="107"/>
      <c r="I25" s="107"/>
      <c r="J25" s="107"/>
      <c r="K25" s="107"/>
    </row>
    <row r="26" spans="1:14" ht="15.75" thickBot="1">
      <c r="A26" s="34" t="s">
        <v>1155</v>
      </c>
      <c r="B26" s="106" t="s">
        <v>637</v>
      </c>
      <c r="C26" s="106" t="s">
        <v>772</v>
      </c>
      <c r="D26" s="106"/>
      <c r="E26" s="106" t="s">
        <v>439</v>
      </c>
      <c r="F26" s="107"/>
      <c r="G26" s="107" t="s">
        <v>806</v>
      </c>
      <c r="H26" s="107"/>
      <c r="I26" s="107"/>
      <c r="J26" s="107"/>
      <c r="K26" s="107"/>
    </row>
    <row r="27" spans="1:14" ht="15.75" thickBot="1">
      <c r="A27" s="22" t="s">
        <v>490</v>
      </c>
      <c r="B27" s="106" t="s">
        <v>636</v>
      </c>
      <c r="C27" s="106" t="s">
        <v>779</v>
      </c>
      <c r="D27" s="106" t="s">
        <v>56</v>
      </c>
      <c r="E27" s="106" t="s">
        <v>817</v>
      </c>
      <c r="F27" s="106"/>
      <c r="G27" s="106"/>
      <c r="H27" s="106"/>
      <c r="I27" s="106"/>
      <c r="J27" s="106"/>
      <c r="K27" s="106"/>
      <c r="L27" t="s">
        <v>818</v>
      </c>
      <c r="M27" t="s">
        <v>774</v>
      </c>
      <c r="N27" t="s">
        <v>819</v>
      </c>
    </row>
    <row r="28" spans="1:14" ht="15.75" thickBot="1">
      <c r="A28" s="22" t="s">
        <v>490</v>
      </c>
      <c r="B28" s="106" t="s">
        <v>635</v>
      </c>
      <c r="C28" s="106" t="s">
        <v>779</v>
      </c>
      <c r="D28" s="106" t="s">
        <v>56</v>
      </c>
      <c r="E28" s="106" t="s">
        <v>820</v>
      </c>
      <c r="F28" s="106"/>
      <c r="G28" s="106"/>
      <c r="H28" s="106"/>
      <c r="I28" s="106"/>
      <c r="J28" s="106"/>
      <c r="K28" s="106"/>
      <c r="L28" t="s">
        <v>821</v>
      </c>
      <c r="M28" t="s">
        <v>774</v>
      </c>
      <c r="N28" t="s">
        <v>822</v>
      </c>
    </row>
    <row r="29" spans="1:14" ht="15.75" thickBot="1">
      <c r="A29" s="22" t="s">
        <v>490</v>
      </c>
      <c r="B29" s="106" t="s">
        <v>717</v>
      </c>
      <c r="C29" s="106" t="s">
        <v>779</v>
      </c>
      <c r="D29" s="106"/>
      <c r="E29" s="109" t="s">
        <v>1157</v>
      </c>
      <c r="F29" s="106"/>
      <c r="G29" s="106"/>
      <c r="H29" s="106"/>
      <c r="I29" s="106"/>
      <c r="J29" s="106"/>
      <c r="K29" s="106"/>
    </row>
    <row r="30" spans="1:14" ht="15.75" thickBot="1">
      <c r="A30" s="22" t="s">
        <v>490</v>
      </c>
      <c r="B30" s="106" t="s">
        <v>1746</v>
      </c>
      <c r="C30" s="106" t="s">
        <v>779</v>
      </c>
      <c r="D30" s="106"/>
      <c r="E30" s="109" t="s">
        <v>1756</v>
      </c>
      <c r="F30" s="106"/>
      <c r="G30" s="106"/>
      <c r="H30" s="106"/>
      <c r="I30" s="106"/>
      <c r="J30" s="106"/>
      <c r="K30" s="106"/>
    </row>
    <row r="31" spans="1:14" ht="15.75" thickBot="1">
      <c r="A31" s="1" t="s">
        <v>489</v>
      </c>
      <c r="B31" s="106" t="s">
        <v>823</v>
      </c>
      <c r="C31" s="106" t="s">
        <v>779</v>
      </c>
      <c r="D31" s="106" t="s">
        <v>56</v>
      </c>
      <c r="E31" s="106" t="s">
        <v>438</v>
      </c>
      <c r="F31" s="106"/>
      <c r="G31" s="106" t="s">
        <v>1597</v>
      </c>
      <c r="H31" s="106"/>
      <c r="I31" s="106"/>
      <c r="J31" s="106"/>
      <c r="K31" s="106"/>
      <c r="L31" s="110"/>
    </row>
    <row r="32" spans="1:14" ht="15.75" thickBot="1">
      <c r="A32" s="1" t="s">
        <v>489</v>
      </c>
      <c r="B32" s="106" t="s">
        <v>824</v>
      </c>
      <c r="C32" s="106" t="s">
        <v>779</v>
      </c>
      <c r="D32" s="106" t="s">
        <v>56</v>
      </c>
      <c r="E32" s="106" t="s">
        <v>825</v>
      </c>
      <c r="F32" s="106"/>
      <c r="G32" s="106" t="s">
        <v>826</v>
      </c>
      <c r="H32" s="106" t="s">
        <v>827</v>
      </c>
      <c r="I32" s="106"/>
      <c r="J32" s="106"/>
      <c r="K32" s="106"/>
      <c r="L32" s="110"/>
    </row>
    <row r="33" spans="1:15" ht="15.75" thickBot="1">
      <c r="A33" s="1" t="s">
        <v>489</v>
      </c>
      <c r="B33" s="106" t="s">
        <v>828</v>
      </c>
      <c r="C33" s="106" t="s">
        <v>779</v>
      </c>
      <c r="D33" s="106" t="s">
        <v>829</v>
      </c>
      <c r="E33" s="106" t="s">
        <v>433</v>
      </c>
      <c r="F33" s="106"/>
      <c r="G33" s="106" t="s">
        <v>830</v>
      </c>
      <c r="H33" s="106"/>
      <c r="I33" s="106"/>
      <c r="J33" s="106"/>
      <c r="K33" s="106"/>
      <c r="L33" s="110"/>
    </row>
    <row r="34" spans="1:15" ht="15.75" thickBot="1">
      <c r="A34" s="1" t="s">
        <v>489</v>
      </c>
      <c r="B34" s="106" t="s">
        <v>831</v>
      </c>
      <c r="C34" s="106" t="s">
        <v>810</v>
      </c>
      <c r="D34" s="106" t="s">
        <v>56</v>
      </c>
      <c r="E34" s="106" t="s">
        <v>436</v>
      </c>
      <c r="F34" s="106"/>
      <c r="G34" s="106"/>
      <c r="H34" s="106" t="s">
        <v>832</v>
      </c>
      <c r="I34" s="106"/>
      <c r="J34" s="106"/>
      <c r="K34" s="106"/>
    </row>
    <row r="35" spans="1:15" ht="15.75" thickBot="1">
      <c r="A35" s="1" t="s">
        <v>489</v>
      </c>
      <c r="B35" s="106" t="s">
        <v>833</v>
      </c>
      <c r="C35" s="106" t="s">
        <v>779</v>
      </c>
      <c r="D35" s="106"/>
      <c r="E35" s="106" t="s">
        <v>435</v>
      </c>
      <c r="F35" s="106"/>
      <c r="G35" s="106" t="s">
        <v>834</v>
      </c>
      <c r="H35" s="106"/>
      <c r="I35" s="106"/>
      <c r="J35" s="106"/>
      <c r="K35" s="106"/>
    </row>
    <row r="36" spans="1:15" ht="15.75" thickBot="1">
      <c r="A36" s="39" t="s">
        <v>835</v>
      </c>
      <c r="B36" s="106" t="s">
        <v>836</v>
      </c>
      <c r="C36" s="106" t="s">
        <v>779</v>
      </c>
      <c r="D36" s="106"/>
      <c r="E36" s="106" t="s">
        <v>434</v>
      </c>
      <c r="F36" s="106"/>
      <c r="G36" s="106" t="s">
        <v>837</v>
      </c>
      <c r="H36" s="106" t="s">
        <v>838</v>
      </c>
      <c r="I36" s="106" t="s">
        <v>807</v>
      </c>
      <c r="J36" s="106" t="s">
        <v>839</v>
      </c>
      <c r="K36" s="111" t="s">
        <v>840</v>
      </c>
      <c r="L36" s="3"/>
    </row>
    <row r="37" spans="1:15" ht="15.75" thickBot="1">
      <c r="A37" s="39" t="s">
        <v>835</v>
      </c>
      <c r="B37" s="106" t="s">
        <v>841</v>
      </c>
      <c r="C37" s="106" t="s">
        <v>779</v>
      </c>
      <c r="D37" s="106" t="s">
        <v>829</v>
      </c>
      <c r="E37" s="106" t="s">
        <v>433</v>
      </c>
      <c r="F37" s="106"/>
      <c r="G37" s="106" t="s">
        <v>830</v>
      </c>
      <c r="H37" s="106"/>
      <c r="I37" s="106"/>
      <c r="J37" s="106"/>
      <c r="K37" s="106"/>
      <c r="L37" s="110"/>
    </row>
    <row r="38" spans="1:15" ht="15.75" thickBot="1">
      <c r="A38" s="39" t="s">
        <v>835</v>
      </c>
      <c r="B38" s="106" t="s">
        <v>842</v>
      </c>
      <c r="C38" s="106" t="s">
        <v>810</v>
      </c>
      <c r="D38" s="106"/>
      <c r="E38" s="106" t="s">
        <v>432</v>
      </c>
      <c r="F38" s="106"/>
      <c r="H38" s="106" t="s">
        <v>832</v>
      </c>
      <c r="I38" s="106"/>
      <c r="J38" s="106"/>
      <c r="K38" s="106"/>
    </row>
    <row r="39" spans="1:15" ht="15.75" thickBot="1">
      <c r="A39" s="39" t="s">
        <v>835</v>
      </c>
      <c r="B39" s="106" t="s">
        <v>843</v>
      </c>
      <c r="C39" s="106" t="s">
        <v>779</v>
      </c>
      <c r="D39" s="106"/>
      <c r="E39" s="106" t="s">
        <v>683</v>
      </c>
      <c r="F39" s="106"/>
      <c r="G39" s="106" t="s">
        <v>834</v>
      </c>
      <c r="H39" s="106"/>
      <c r="I39" s="106"/>
      <c r="J39" s="106"/>
      <c r="K39" s="107"/>
    </row>
    <row r="40" spans="1:15" ht="15.75" thickBot="1">
      <c r="A40" s="31" t="s">
        <v>1153</v>
      </c>
      <c r="B40" s="106" t="s">
        <v>844</v>
      </c>
      <c r="C40" s="106" t="s">
        <v>779</v>
      </c>
      <c r="D40" s="106"/>
      <c r="E40" s="106" t="s">
        <v>1747</v>
      </c>
      <c r="F40" s="106"/>
      <c r="G40" s="106" t="s">
        <v>845</v>
      </c>
      <c r="H40" s="106"/>
      <c r="I40" s="106"/>
      <c r="J40" s="106"/>
      <c r="K40" s="3"/>
      <c r="L40" s="3" t="s">
        <v>1748</v>
      </c>
      <c r="M40" t="s">
        <v>846</v>
      </c>
      <c r="N40" t="s">
        <v>847</v>
      </c>
    </row>
    <row r="41" spans="1:15" ht="15.75" thickBot="1">
      <c r="A41" s="31" t="s">
        <v>1153</v>
      </c>
      <c r="B41" s="106" t="s">
        <v>848</v>
      </c>
      <c r="C41" s="106" t="s">
        <v>779</v>
      </c>
      <c r="D41" s="106"/>
      <c r="E41" s="106" t="s">
        <v>669</v>
      </c>
      <c r="F41" s="106"/>
      <c r="G41" s="106" t="s">
        <v>1749</v>
      </c>
      <c r="H41" s="106"/>
      <c r="I41" s="106"/>
      <c r="J41" s="106"/>
      <c r="L41" s="3" t="s">
        <v>849</v>
      </c>
      <c r="M41" t="s">
        <v>850</v>
      </c>
      <c r="N41" t="s">
        <v>851</v>
      </c>
    </row>
    <row r="42" spans="1:15" ht="15.75" thickBot="1">
      <c r="A42" s="31" t="s">
        <v>1153</v>
      </c>
      <c r="B42" s="106" t="s">
        <v>852</v>
      </c>
      <c r="C42" s="106" t="s">
        <v>779</v>
      </c>
      <c r="D42" s="106"/>
      <c r="E42" s="106" t="s">
        <v>668</v>
      </c>
      <c r="F42" s="106"/>
      <c r="G42" s="106" t="s">
        <v>830</v>
      </c>
      <c r="H42" s="106"/>
      <c r="I42" s="106"/>
      <c r="J42" s="106"/>
      <c r="K42" s="106"/>
      <c r="L42" s="110" t="s">
        <v>853</v>
      </c>
      <c r="M42" t="s">
        <v>854</v>
      </c>
      <c r="N42" t="s">
        <v>855</v>
      </c>
      <c r="O42" t="s">
        <v>856</v>
      </c>
    </row>
    <row r="43" spans="1:15" ht="15.75" thickBot="1">
      <c r="A43" s="31" t="s">
        <v>1153</v>
      </c>
      <c r="B43" s="106" t="s">
        <v>857</v>
      </c>
      <c r="C43" s="106" t="s">
        <v>810</v>
      </c>
      <c r="D43" s="106"/>
      <c r="E43" s="106" t="s">
        <v>666</v>
      </c>
      <c r="F43" s="106"/>
      <c r="G43" s="106"/>
      <c r="H43" s="106" t="s">
        <v>832</v>
      </c>
      <c r="I43" s="106"/>
      <c r="J43" s="106"/>
      <c r="K43" s="106"/>
      <c r="L43" t="s">
        <v>858</v>
      </c>
      <c r="M43" t="s">
        <v>859</v>
      </c>
      <c r="N43" t="s">
        <v>860</v>
      </c>
      <c r="O43" t="s">
        <v>856</v>
      </c>
    </row>
    <row r="44" spans="1:15" ht="15.75" thickBot="1">
      <c r="A44" s="31" t="s">
        <v>1153</v>
      </c>
      <c r="B44" s="106" t="s">
        <v>1106</v>
      </c>
      <c r="C44" s="106" t="s">
        <v>779</v>
      </c>
      <c r="D44" s="106"/>
      <c r="E44" s="106" t="s">
        <v>683</v>
      </c>
      <c r="F44" s="106"/>
      <c r="G44" s="106" t="s">
        <v>834</v>
      </c>
      <c r="H44" s="106"/>
      <c r="I44" s="106"/>
      <c r="J44" s="106"/>
      <c r="K44" s="106"/>
    </row>
    <row r="45" spans="1:15" ht="15.75" thickBot="1">
      <c r="A45" s="34" t="s">
        <v>861</v>
      </c>
      <c r="B45" s="106" t="s">
        <v>616</v>
      </c>
      <c r="C45" s="106" t="s">
        <v>779</v>
      </c>
      <c r="D45" s="106"/>
      <c r="E45" s="106" t="s">
        <v>431</v>
      </c>
      <c r="F45" s="106"/>
      <c r="G45" s="106" t="s">
        <v>806</v>
      </c>
      <c r="H45" s="106" t="s">
        <v>862</v>
      </c>
      <c r="I45" s="106" t="s">
        <v>838</v>
      </c>
      <c r="J45" s="106" t="s">
        <v>838</v>
      </c>
      <c r="K45" s="106" t="s">
        <v>838</v>
      </c>
    </row>
    <row r="46" spans="1:15" ht="15.75" thickBot="1">
      <c r="A46" s="34" t="s">
        <v>861</v>
      </c>
      <c r="B46" s="106" t="s">
        <v>615</v>
      </c>
      <c r="C46" s="106" t="s">
        <v>779</v>
      </c>
      <c r="D46" s="106"/>
      <c r="E46" s="106" t="s">
        <v>430</v>
      </c>
      <c r="F46" s="106"/>
      <c r="G46" s="24" t="s">
        <v>1241</v>
      </c>
      <c r="H46" s="106"/>
      <c r="I46" s="106" t="s">
        <v>807</v>
      </c>
      <c r="J46" s="106"/>
      <c r="K46" s="106"/>
    </row>
    <row r="47" spans="1:15" ht="15.75" thickBot="1">
      <c r="A47" s="34" t="s">
        <v>863</v>
      </c>
      <c r="B47" s="106" t="s">
        <v>614</v>
      </c>
      <c r="C47" s="106" t="s">
        <v>779</v>
      </c>
      <c r="D47" s="106"/>
      <c r="E47" s="106" t="s">
        <v>429</v>
      </c>
      <c r="F47" s="106"/>
      <c r="G47" s="106" t="s">
        <v>864</v>
      </c>
      <c r="H47" s="106" t="s">
        <v>865</v>
      </c>
      <c r="I47" s="106" t="s">
        <v>807</v>
      </c>
      <c r="J47" s="106" t="s">
        <v>866</v>
      </c>
      <c r="K47" s="106" t="s">
        <v>867</v>
      </c>
    </row>
    <row r="48" spans="1:15" ht="15.75" thickBot="1">
      <c r="A48" s="34" t="s">
        <v>863</v>
      </c>
      <c r="B48" s="106" t="s">
        <v>613</v>
      </c>
      <c r="C48" s="106" t="s">
        <v>779</v>
      </c>
      <c r="D48" s="106"/>
      <c r="E48" s="106" t="s">
        <v>428</v>
      </c>
      <c r="F48" s="106"/>
      <c r="G48" s="106" t="s">
        <v>868</v>
      </c>
      <c r="H48" s="106" t="s">
        <v>838</v>
      </c>
      <c r="I48" s="106" t="s">
        <v>869</v>
      </c>
      <c r="J48" s="106"/>
      <c r="K48" s="106"/>
    </row>
    <row r="49" spans="1:11" ht="15.75" thickBot="1">
      <c r="A49" s="34" t="s">
        <v>863</v>
      </c>
      <c r="B49" s="106" t="s">
        <v>612</v>
      </c>
      <c r="C49" s="106" t="s">
        <v>870</v>
      </c>
      <c r="D49" s="106" t="s">
        <v>871</v>
      </c>
      <c r="E49" s="106" t="s">
        <v>427</v>
      </c>
      <c r="F49" s="106"/>
      <c r="G49" s="106" t="s">
        <v>838</v>
      </c>
      <c r="H49" s="106" t="s">
        <v>872</v>
      </c>
      <c r="I49" s="106" t="s">
        <v>807</v>
      </c>
      <c r="J49" s="106" t="s">
        <v>873</v>
      </c>
      <c r="K49" s="106" t="s">
        <v>874</v>
      </c>
    </row>
    <row r="50" spans="1:11" ht="15.75" thickBot="1">
      <c r="A50" s="34" t="s">
        <v>863</v>
      </c>
      <c r="B50" s="106" t="s">
        <v>611</v>
      </c>
      <c r="C50" s="106" t="s">
        <v>779</v>
      </c>
      <c r="D50" s="106"/>
      <c r="E50" s="106" t="s">
        <v>426</v>
      </c>
      <c r="F50" s="106"/>
      <c r="G50" s="106" t="s">
        <v>806</v>
      </c>
      <c r="H50" s="106" t="s">
        <v>875</v>
      </c>
      <c r="I50" s="106"/>
      <c r="J50" s="106"/>
      <c r="K50" s="106"/>
    </row>
    <row r="51" spans="1:11" ht="15.75" thickBot="1">
      <c r="A51" s="39" t="s">
        <v>876</v>
      </c>
      <c r="B51" s="106" t="s">
        <v>610</v>
      </c>
      <c r="C51" s="106" t="s">
        <v>779</v>
      </c>
      <c r="D51" s="106"/>
      <c r="E51" s="106" t="s">
        <v>425</v>
      </c>
      <c r="F51" s="106"/>
      <c r="G51" s="106" t="s">
        <v>806</v>
      </c>
      <c r="H51" s="106"/>
      <c r="I51" s="106"/>
      <c r="J51" s="106"/>
      <c r="K51" s="106"/>
    </row>
    <row r="52" spans="1:11" ht="15.75" thickBot="1">
      <c r="A52" s="39" t="s">
        <v>876</v>
      </c>
      <c r="B52" s="106" t="s">
        <v>609</v>
      </c>
      <c r="C52" s="106" t="s">
        <v>779</v>
      </c>
      <c r="D52" s="106"/>
      <c r="E52" s="106" t="s">
        <v>424</v>
      </c>
      <c r="F52" s="106"/>
      <c r="G52" s="106" t="s">
        <v>1722</v>
      </c>
      <c r="H52" s="106"/>
      <c r="I52" s="106"/>
      <c r="J52" s="106"/>
      <c r="K52" s="106"/>
    </row>
    <row r="53" spans="1:11" ht="15.75" thickBot="1">
      <c r="A53" s="39" t="s">
        <v>877</v>
      </c>
      <c r="B53" s="106" t="s">
        <v>608</v>
      </c>
      <c r="C53" s="106" t="s">
        <v>779</v>
      </c>
      <c r="D53" s="106"/>
      <c r="E53" s="106" t="s">
        <v>423</v>
      </c>
      <c r="F53" s="106"/>
      <c r="G53" s="106" t="s">
        <v>878</v>
      </c>
      <c r="H53" s="106"/>
      <c r="I53" s="106"/>
      <c r="J53" s="106"/>
      <c r="K53" s="106"/>
    </row>
    <row r="54" spans="1:11" ht="15.75" thickBot="1">
      <c r="A54" s="39" t="s">
        <v>877</v>
      </c>
      <c r="B54" s="106" t="s">
        <v>607</v>
      </c>
      <c r="C54" t="s">
        <v>879</v>
      </c>
      <c r="D54" s="106"/>
      <c r="E54" s="106" t="s">
        <v>1133</v>
      </c>
      <c r="G54" s="106"/>
      <c r="H54" s="106"/>
      <c r="I54" s="106"/>
      <c r="J54" s="106"/>
      <c r="K54" s="106"/>
    </row>
    <row r="55" spans="1:11" ht="15.75" thickBot="1">
      <c r="A55" s="39" t="s">
        <v>877</v>
      </c>
      <c r="B55" s="106" t="s">
        <v>606</v>
      </c>
      <c r="C55" t="s">
        <v>879</v>
      </c>
      <c r="D55" s="106"/>
      <c r="E55" s="106" t="s">
        <v>1134</v>
      </c>
      <c r="G55" s="106"/>
      <c r="H55" s="106"/>
      <c r="I55" s="106"/>
      <c r="J55" s="106"/>
      <c r="K55" s="106"/>
    </row>
    <row r="56" spans="1:11" ht="15.75" thickBot="1">
      <c r="A56" s="41" t="s">
        <v>880</v>
      </c>
      <c r="B56" s="106" t="s">
        <v>1233</v>
      </c>
      <c r="C56" s="106" t="s">
        <v>779</v>
      </c>
      <c r="D56" s="106"/>
      <c r="E56" s="106" t="s">
        <v>881</v>
      </c>
      <c r="G56" s="106" t="s">
        <v>806</v>
      </c>
      <c r="H56" s="106"/>
      <c r="I56" s="106"/>
      <c r="J56" s="106"/>
      <c r="K56" s="106"/>
    </row>
    <row r="57" spans="1:11" ht="15.75" thickBot="1">
      <c r="A57" s="41" t="s">
        <v>880</v>
      </c>
      <c r="B57" s="106" t="s">
        <v>695</v>
      </c>
      <c r="C57" s="106" t="s">
        <v>779</v>
      </c>
      <c r="D57" s="106"/>
      <c r="E57" s="106" t="s">
        <v>422</v>
      </c>
      <c r="F57" s="106"/>
      <c r="G57" s="106" t="s">
        <v>882</v>
      </c>
      <c r="H57" s="106"/>
      <c r="I57" s="106"/>
      <c r="J57" s="106"/>
      <c r="K57" s="106"/>
    </row>
    <row r="58" spans="1:11" ht="15.75" thickBot="1">
      <c r="A58" s="41" t="s">
        <v>880</v>
      </c>
      <c r="B58" s="106" t="s">
        <v>696</v>
      </c>
      <c r="C58" s="106" t="s">
        <v>779</v>
      </c>
      <c r="D58" s="106"/>
      <c r="E58" s="106" t="s">
        <v>421</v>
      </c>
      <c r="F58" s="106"/>
      <c r="G58" s="24" t="s">
        <v>1240</v>
      </c>
      <c r="H58" s="106"/>
      <c r="I58" s="106"/>
      <c r="J58" s="106"/>
      <c r="K58" s="106"/>
    </row>
    <row r="59" spans="1:11" ht="15.75" thickBot="1">
      <c r="A59" s="41" t="s">
        <v>880</v>
      </c>
      <c r="B59" s="106" t="s">
        <v>697</v>
      </c>
      <c r="C59" s="106" t="s">
        <v>779</v>
      </c>
      <c r="D59" s="106"/>
      <c r="E59" s="106" t="s">
        <v>420</v>
      </c>
      <c r="F59" s="106"/>
      <c r="G59" s="106" t="s">
        <v>1751</v>
      </c>
      <c r="H59" s="106"/>
      <c r="I59" s="106"/>
      <c r="J59" s="106"/>
      <c r="K59" s="106"/>
    </row>
    <row r="60" spans="1:11" ht="15.75" thickBot="1">
      <c r="A60" s="41" t="s">
        <v>880</v>
      </c>
      <c r="B60" s="106" t="s">
        <v>698</v>
      </c>
      <c r="C60" s="106" t="s">
        <v>779</v>
      </c>
      <c r="D60" s="106"/>
      <c r="E60" s="106" t="s">
        <v>1100</v>
      </c>
      <c r="F60" s="106"/>
      <c r="G60" s="106" t="s">
        <v>883</v>
      </c>
      <c r="H60" s="106" t="s">
        <v>865</v>
      </c>
      <c r="I60" s="106"/>
      <c r="J60" s="106"/>
      <c r="K60" s="106"/>
    </row>
    <row r="61" spans="1:11" ht="15.75" thickBot="1">
      <c r="A61" s="47" t="s">
        <v>663</v>
      </c>
      <c r="B61" s="106" t="s">
        <v>725</v>
      </c>
      <c r="C61" s="106" t="s">
        <v>779</v>
      </c>
      <c r="D61" s="106"/>
      <c r="E61" s="106" t="s">
        <v>726</v>
      </c>
      <c r="F61" s="106"/>
      <c r="G61" s="106" t="s">
        <v>806</v>
      </c>
      <c r="H61" s="106"/>
      <c r="I61" s="106"/>
      <c r="J61" s="106"/>
      <c r="K61" s="106"/>
    </row>
    <row r="62" spans="1:11" ht="15.75" thickBot="1">
      <c r="A62" s="47" t="s">
        <v>663</v>
      </c>
      <c r="B62" s="106" t="s">
        <v>701</v>
      </c>
      <c r="C62" s="106" t="s">
        <v>779</v>
      </c>
      <c r="D62" s="106"/>
      <c r="E62" s="106" t="s">
        <v>665</v>
      </c>
      <c r="F62" s="106"/>
      <c r="G62" s="106" t="s">
        <v>1749</v>
      </c>
      <c r="H62" s="106"/>
      <c r="I62" s="106"/>
      <c r="J62" s="106"/>
      <c r="K62" s="106"/>
    </row>
    <row r="63" spans="1:11" ht="15.75" thickBot="1">
      <c r="A63" s="47" t="s">
        <v>663</v>
      </c>
      <c r="B63" s="106" t="s">
        <v>702</v>
      </c>
      <c r="C63" s="106" t="s">
        <v>779</v>
      </c>
      <c r="D63" s="106"/>
      <c r="E63" s="106" t="s">
        <v>664</v>
      </c>
      <c r="F63" s="106"/>
      <c r="G63" s="24" t="s">
        <v>1750</v>
      </c>
      <c r="H63" s="106"/>
      <c r="I63" s="106"/>
      <c r="J63" s="106"/>
      <c r="K63" s="106"/>
    </row>
    <row r="64" spans="1:11" ht="15.75" thickBot="1">
      <c r="A64" s="47" t="s">
        <v>663</v>
      </c>
      <c r="B64" s="106" t="s">
        <v>703</v>
      </c>
      <c r="C64" s="106" t="s">
        <v>779</v>
      </c>
      <c r="D64" s="106"/>
      <c r="E64" s="106" t="s">
        <v>662</v>
      </c>
      <c r="F64" s="106"/>
      <c r="G64" s="106" t="s">
        <v>1753</v>
      </c>
      <c r="H64" s="106"/>
      <c r="I64" s="106"/>
      <c r="J64" s="106"/>
      <c r="K64" s="106"/>
    </row>
    <row r="65" spans="1:11" ht="15.75" thickBot="1">
      <c r="A65" s="47" t="s">
        <v>663</v>
      </c>
      <c r="B65" s="106" t="s">
        <v>1752</v>
      </c>
      <c r="C65" s="106" t="s">
        <v>779</v>
      </c>
      <c r="D65" s="106"/>
      <c r="E65" s="106" t="s">
        <v>1754</v>
      </c>
      <c r="F65" s="106"/>
      <c r="G65" s="106" t="s">
        <v>1755</v>
      </c>
      <c r="H65" s="106"/>
      <c r="I65" s="107"/>
      <c r="J65" s="107"/>
      <c r="K65" s="107"/>
    </row>
    <row r="66" spans="1:11" ht="15.75" thickBot="1">
      <c r="A66" s="38" t="s">
        <v>1234</v>
      </c>
      <c r="B66" s="106" t="s">
        <v>605</v>
      </c>
      <c r="C66" s="106" t="s">
        <v>779</v>
      </c>
      <c r="D66" s="106"/>
      <c r="E66" s="106" t="s">
        <v>417</v>
      </c>
      <c r="F66" s="106"/>
      <c r="G66" s="106" t="s">
        <v>806</v>
      </c>
      <c r="H66" s="106"/>
    </row>
    <row r="67" spans="1:11" ht="15.75" thickBot="1">
      <c r="A67" s="38" t="s">
        <v>1234</v>
      </c>
      <c r="B67" s="106" t="s">
        <v>604</v>
      </c>
      <c r="C67" s="106" t="s">
        <v>779</v>
      </c>
      <c r="D67" s="106"/>
      <c r="E67" s="106" t="s">
        <v>1101</v>
      </c>
      <c r="F67" s="106"/>
      <c r="G67" s="24" t="s">
        <v>1741</v>
      </c>
      <c r="H67" s="106" t="s">
        <v>865</v>
      </c>
    </row>
    <row r="68" spans="1:11" ht="15.75" thickBot="1">
      <c r="A68" s="38" t="s">
        <v>1235</v>
      </c>
      <c r="B68" s="106" t="s">
        <v>656</v>
      </c>
      <c r="C68" s="106" t="s">
        <v>779</v>
      </c>
      <c r="D68" s="106"/>
      <c r="E68" s="106" t="s">
        <v>658</v>
      </c>
      <c r="F68" s="106"/>
      <c r="G68" s="106" t="s">
        <v>884</v>
      </c>
      <c r="H68" s="106"/>
      <c r="J68" t="s">
        <v>885</v>
      </c>
      <c r="K68" t="s">
        <v>886</v>
      </c>
    </row>
    <row r="69" spans="1:11" ht="15.75" thickBot="1">
      <c r="A69" s="38" t="s">
        <v>1235</v>
      </c>
      <c r="B69" s="106" t="s">
        <v>657</v>
      </c>
      <c r="C69" s="106" t="s">
        <v>779</v>
      </c>
      <c r="D69" s="106"/>
      <c r="E69" s="106" t="s">
        <v>659</v>
      </c>
      <c r="F69" s="106"/>
      <c r="G69" s="106" t="s">
        <v>887</v>
      </c>
      <c r="H69" s="106"/>
      <c r="J69" t="s">
        <v>885</v>
      </c>
      <c r="K69" t="s">
        <v>886</v>
      </c>
    </row>
    <row r="70" spans="1:11" ht="15.75" thickBot="1">
      <c r="A70" s="38" t="s">
        <v>1235</v>
      </c>
      <c r="B70" s="106" t="s">
        <v>603</v>
      </c>
      <c r="C70" s="106" t="s">
        <v>779</v>
      </c>
      <c r="D70" s="106"/>
      <c r="E70" s="106" t="s">
        <v>727</v>
      </c>
      <c r="F70" s="106"/>
      <c r="G70" s="106"/>
      <c r="H70" s="106"/>
    </row>
    <row r="71" spans="1:11" ht="14.45" customHeight="1" thickBot="1">
      <c r="A71" s="38" t="s">
        <v>1235</v>
      </c>
      <c r="B71" s="106" t="s">
        <v>602</v>
      </c>
      <c r="C71" s="106" t="s">
        <v>779</v>
      </c>
      <c r="D71" s="106"/>
      <c r="E71" s="106" t="s">
        <v>728</v>
      </c>
      <c r="F71" s="106"/>
      <c r="G71" s="106"/>
      <c r="H71" s="106"/>
    </row>
    <row r="72" spans="1:11" ht="14.45" customHeight="1" thickBot="1">
      <c r="A72" s="38" t="s">
        <v>1235</v>
      </c>
      <c r="B72" s="106" t="s">
        <v>601</v>
      </c>
      <c r="C72" s="106" t="s">
        <v>779</v>
      </c>
      <c r="D72" s="106"/>
      <c r="E72" s="106" t="s">
        <v>415</v>
      </c>
      <c r="F72" s="106"/>
      <c r="G72" s="4" t="s">
        <v>888</v>
      </c>
      <c r="H72" s="106"/>
    </row>
    <row r="73" spans="1:11" ht="14.45" customHeight="1" thickBot="1">
      <c r="A73" s="34" t="s">
        <v>1102</v>
      </c>
      <c r="B73" s="106" t="s">
        <v>600</v>
      </c>
      <c r="C73" s="106" t="s">
        <v>779</v>
      </c>
      <c r="D73" s="106"/>
      <c r="E73" s="106" t="s">
        <v>889</v>
      </c>
      <c r="F73" s="106"/>
      <c r="G73" s="106" t="s">
        <v>806</v>
      </c>
      <c r="H73" s="106"/>
      <c r="I73" s="106"/>
    </row>
    <row r="74" spans="1:11" ht="14.45" customHeight="1" thickBot="1">
      <c r="A74" s="34" t="s">
        <v>1102</v>
      </c>
      <c r="B74" s="106" t="s">
        <v>890</v>
      </c>
      <c r="C74" s="106" t="s">
        <v>779</v>
      </c>
      <c r="D74" s="106"/>
      <c r="E74" s="106" t="s">
        <v>416</v>
      </c>
      <c r="F74" s="106"/>
      <c r="G74" s="24" t="s">
        <v>1740</v>
      </c>
      <c r="H74" s="106"/>
      <c r="I74" s="106"/>
    </row>
    <row r="75" spans="1:11" ht="15.75" thickBot="1">
      <c r="A75" s="34" t="s">
        <v>1103</v>
      </c>
      <c r="B75" s="106" t="s">
        <v>596</v>
      </c>
      <c r="C75" s="106" t="s">
        <v>779</v>
      </c>
      <c r="D75" s="106"/>
      <c r="E75" s="106" t="s">
        <v>891</v>
      </c>
      <c r="F75" s="106"/>
      <c r="G75" s="106"/>
      <c r="H75" s="106"/>
    </row>
    <row r="76" spans="1:11" ht="14.45" customHeight="1" thickBot="1">
      <c r="A76" s="34" t="s">
        <v>1103</v>
      </c>
      <c r="B76" s="106" t="s">
        <v>595</v>
      </c>
      <c r="C76" s="106" t="s">
        <v>779</v>
      </c>
      <c r="D76" s="106"/>
      <c r="E76" s="106" t="s">
        <v>728</v>
      </c>
      <c r="F76" s="106"/>
      <c r="G76" s="106"/>
      <c r="H76" s="106"/>
    </row>
    <row r="77" spans="1:11" ht="14.45" customHeight="1" thickBot="1">
      <c r="A77" s="34" t="s">
        <v>1103</v>
      </c>
      <c r="B77" s="106" t="s">
        <v>594</v>
      </c>
      <c r="C77" s="106" t="s">
        <v>779</v>
      </c>
      <c r="D77" s="106"/>
      <c r="E77" s="106" t="s">
        <v>415</v>
      </c>
      <c r="F77" s="106"/>
      <c r="G77" s="4" t="s">
        <v>888</v>
      </c>
      <c r="H77" s="106"/>
    </row>
    <row r="78" spans="1:11" ht="15.75" thickBot="1">
      <c r="A78" s="39" t="s">
        <v>1107</v>
      </c>
      <c r="B78" s="106" t="s">
        <v>729</v>
      </c>
      <c r="C78" s="106" t="s">
        <v>779</v>
      </c>
      <c r="D78" s="106"/>
      <c r="E78" s="106" t="s">
        <v>414</v>
      </c>
      <c r="F78" s="106"/>
      <c r="G78" s="106" t="s">
        <v>806</v>
      </c>
      <c r="H78" s="106"/>
      <c r="I78" s="106"/>
      <c r="J78" s="106"/>
      <c r="K78" s="106"/>
    </row>
    <row r="79" spans="1:11" ht="15.75" thickBot="1">
      <c r="A79" s="39" t="s">
        <v>1107</v>
      </c>
      <c r="B79" s="106" t="s">
        <v>593</v>
      </c>
      <c r="C79" s="106" t="s">
        <v>779</v>
      </c>
      <c r="D79" s="106"/>
      <c r="E79" s="106" t="s">
        <v>413</v>
      </c>
      <c r="F79" s="106"/>
      <c r="G79" s="22" t="s">
        <v>1739</v>
      </c>
      <c r="H79" s="106"/>
      <c r="I79" s="106" t="s">
        <v>807</v>
      </c>
      <c r="J79" s="106" t="s">
        <v>892</v>
      </c>
      <c r="K79" s="106" t="s">
        <v>893</v>
      </c>
    </row>
    <row r="80" spans="1:11" ht="15.75" thickBot="1">
      <c r="A80" s="39" t="s">
        <v>1107</v>
      </c>
      <c r="B80" s="107" t="s">
        <v>592</v>
      </c>
      <c r="C80" s="106" t="s">
        <v>779</v>
      </c>
      <c r="D80" s="107"/>
      <c r="E80" s="107" t="s">
        <v>412</v>
      </c>
      <c r="F80" s="107"/>
      <c r="G80" s="22" t="s">
        <v>1742</v>
      </c>
      <c r="H80" s="107"/>
      <c r="I80" s="107"/>
      <c r="J80" s="107"/>
      <c r="K80" s="107"/>
    </row>
    <row r="81" spans="1:14" ht="15.75" thickBot="1">
      <c r="A81" s="39" t="s">
        <v>1107</v>
      </c>
      <c r="B81" s="107" t="s">
        <v>715</v>
      </c>
      <c r="C81" s="106" t="s">
        <v>779</v>
      </c>
      <c r="D81" s="107"/>
      <c r="E81" s="106" t="s">
        <v>1239</v>
      </c>
      <c r="F81" s="107"/>
      <c r="G81" s="22" t="s">
        <v>1743</v>
      </c>
      <c r="H81" s="107"/>
      <c r="I81" s="107"/>
      <c r="J81" s="107"/>
      <c r="K81" s="107"/>
    </row>
    <row r="82" spans="1:14" ht="15.75" thickBot="1">
      <c r="A82" s="39" t="s">
        <v>1107</v>
      </c>
      <c r="B82" s="107" t="s">
        <v>1738</v>
      </c>
      <c r="C82" s="106" t="s">
        <v>810</v>
      </c>
      <c r="D82" s="106" t="s">
        <v>1004</v>
      </c>
      <c r="E82" s="106" t="s">
        <v>1757</v>
      </c>
      <c r="F82" s="107"/>
      <c r="G82" s="107"/>
      <c r="H82" s="107"/>
      <c r="I82" s="107"/>
      <c r="J82" s="107"/>
      <c r="K82" s="107"/>
    </row>
    <row r="83" spans="1:14" ht="15.75" thickBot="1">
      <c r="A83" s="39" t="s">
        <v>1108</v>
      </c>
      <c r="B83" s="106" t="s">
        <v>590</v>
      </c>
      <c r="C83" s="106" t="s">
        <v>779</v>
      </c>
      <c r="D83" s="106" t="s">
        <v>894</v>
      </c>
      <c r="E83" s="107" t="s">
        <v>411</v>
      </c>
      <c r="F83" s="107"/>
      <c r="G83" s="107" t="s">
        <v>895</v>
      </c>
      <c r="H83" s="107"/>
      <c r="I83" s="107"/>
      <c r="J83" s="107"/>
      <c r="K83" s="107"/>
    </row>
    <row r="84" spans="1:14" ht="15.75" thickBot="1">
      <c r="A84" s="39" t="s">
        <v>1108</v>
      </c>
      <c r="B84" s="106" t="s">
        <v>589</v>
      </c>
      <c r="C84" s="106" t="s">
        <v>779</v>
      </c>
      <c r="D84" s="106" t="s">
        <v>894</v>
      </c>
      <c r="E84" s="107" t="s">
        <v>410</v>
      </c>
      <c r="F84" s="107"/>
      <c r="G84" s="107" t="s">
        <v>895</v>
      </c>
      <c r="H84" s="107"/>
      <c r="I84" s="107"/>
      <c r="J84" s="107"/>
      <c r="K84" s="107"/>
    </row>
    <row r="85" spans="1:14" ht="15.75" thickBot="1">
      <c r="A85" s="39" t="s">
        <v>1108</v>
      </c>
      <c r="B85" s="106" t="s">
        <v>588</v>
      </c>
      <c r="C85" s="106" t="s">
        <v>779</v>
      </c>
      <c r="D85" s="106" t="s">
        <v>894</v>
      </c>
      <c r="E85" s="107" t="s">
        <v>409</v>
      </c>
      <c r="F85" s="107"/>
      <c r="G85" s="107" t="s">
        <v>895</v>
      </c>
      <c r="H85" s="107"/>
      <c r="I85" s="107"/>
      <c r="J85" s="107"/>
      <c r="K85" s="107"/>
    </row>
    <row r="86" spans="1:14" ht="15.75" thickBot="1">
      <c r="A86" s="39" t="s">
        <v>1108</v>
      </c>
      <c r="B86" s="106" t="s">
        <v>587</v>
      </c>
      <c r="C86" s="106" t="s">
        <v>779</v>
      </c>
      <c r="D86" s="106" t="s">
        <v>803</v>
      </c>
      <c r="E86" s="107" t="s">
        <v>408</v>
      </c>
      <c r="F86" s="107"/>
      <c r="G86" s="107" t="s">
        <v>896</v>
      </c>
      <c r="H86" s="107"/>
      <c r="I86" s="107"/>
      <c r="J86" s="107"/>
      <c r="K86" s="107"/>
    </row>
    <row r="87" spans="1:14" ht="15.75" thickBot="1">
      <c r="A87" s="39" t="s">
        <v>1108</v>
      </c>
      <c r="B87" s="106" t="s">
        <v>586</v>
      </c>
      <c r="C87" s="106" t="s">
        <v>779</v>
      </c>
      <c r="D87" s="106" t="s">
        <v>803</v>
      </c>
      <c r="E87" s="107" t="s">
        <v>407</v>
      </c>
      <c r="F87" s="107"/>
      <c r="G87" s="107" t="s">
        <v>896</v>
      </c>
      <c r="H87" s="107"/>
      <c r="I87" s="107"/>
      <c r="J87" s="107"/>
      <c r="K87" s="107"/>
    </row>
    <row r="88" spans="1:14" ht="15.75" thickBot="1">
      <c r="A88" s="39" t="s">
        <v>1108</v>
      </c>
      <c r="B88" s="106" t="s">
        <v>716</v>
      </c>
      <c r="C88" s="106" t="s">
        <v>779</v>
      </c>
      <c r="D88" s="106" t="s">
        <v>803</v>
      </c>
      <c r="E88" s="107" t="s">
        <v>406</v>
      </c>
      <c r="F88" s="107"/>
      <c r="G88" s="107" t="s">
        <v>896</v>
      </c>
      <c r="H88" s="107"/>
      <c r="I88" s="107"/>
      <c r="J88" s="107"/>
      <c r="K88" s="107"/>
    </row>
    <row r="89" spans="1:14" ht="15.75" thickBot="1">
      <c r="A89" s="39" t="s">
        <v>1108</v>
      </c>
      <c r="B89" s="106" t="s">
        <v>585</v>
      </c>
      <c r="C89" s="106" t="s">
        <v>779</v>
      </c>
      <c r="D89" s="106" t="s">
        <v>871</v>
      </c>
      <c r="E89" s="107" t="s">
        <v>405</v>
      </c>
      <c r="F89" s="107"/>
      <c r="G89" s="107"/>
      <c r="H89" s="107"/>
      <c r="I89" s="107"/>
      <c r="J89" s="107"/>
      <c r="K89" s="107"/>
    </row>
    <row r="90" spans="1:14" ht="15.75" thickBot="1">
      <c r="A90" s="39" t="s">
        <v>1108</v>
      </c>
      <c r="B90" s="106" t="s">
        <v>584</v>
      </c>
      <c r="C90" s="106" t="s">
        <v>779</v>
      </c>
      <c r="D90" s="106" t="s">
        <v>871</v>
      </c>
      <c r="E90" s="107" t="s">
        <v>404</v>
      </c>
      <c r="F90" s="107"/>
      <c r="G90" s="107"/>
      <c r="H90" s="107"/>
      <c r="I90" s="107"/>
      <c r="J90" s="107"/>
      <c r="K90" s="107"/>
    </row>
    <row r="91" spans="1:14" ht="15.75" thickBot="1">
      <c r="A91" s="39" t="s">
        <v>1108</v>
      </c>
      <c r="B91" s="106" t="s">
        <v>583</v>
      </c>
      <c r="C91" s="106" t="s">
        <v>779</v>
      </c>
      <c r="D91" s="106" t="s">
        <v>871</v>
      </c>
      <c r="E91" s="107" t="s">
        <v>403</v>
      </c>
      <c r="F91" s="107"/>
      <c r="G91" s="107"/>
      <c r="H91" s="107"/>
      <c r="I91" s="107"/>
      <c r="J91" s="107"/>
      <c r="K91" s="107"/>
    </row>
    <row r="92" spans="1:14" ht="15.75" thickBot="1">
      <c r="A92" s="38" t="s">
        <v>1246</v>
      </c>
      <c r="B92" s="107" t="s">
        <v>582</v>
      </c>
      <c r="C92" s="106" t="s">
        <v>779</v>
      </c>
      <c r="D92" s="106"/>
      <c r="E92" s="106" t="s">
        <v>402</v>
      </c>
      <c r="F92" s="106"/>
      <c r="G92" s="106" t="s">
        <v>806</v>
      </c>
      <c r="H92" s="106"/>
      <c r="I92" s="106"/>
      <c r="J92" s="106"/>
      <c r="K92" s="106"/>
      <c r="M92" t="s">
        <v>897</v>
      </c>
    </row>
    <row r="93" spans="1:14" ht="15.75" thickBot="1">
      <c r="A93" s="38" t="s">
        <v>1246</v>
      </c>
      <c r="B93" s="107" t="s">
        <v>581</v>
      </c>
      <c r="C93" s="106" t="s">
        <v>779</v>
      </c>
      <c r="D93" s="106"/>
      <c r="E93" s="106" t="s">
        <v>401</v>
      </c>
      <c r="F93" s="106"/>
      <c r="G93" s="22" t="s">
        <v>1717</v>
      </c>
      <c r="H93" s="106"/>
      <c r="I93" s="106"/>
      <c r="J93" s="106"/>
      <c r="K93" s="106"/>
    </row>
    <row r="94" spans="1:14" ht="15.75" thickBot="1">
      <c r="A94" s="38" t="s">
        <v>1247</v>
      </c>
      <c r="B94" s="107" t="s">
        <v>580</v>
      </c>
      <c r="C94" s="106" t="s">
        <v>779</v>
      </c>
      <c r="D94" s="106"/>
      <c r="E94" s="106" t="s">
        <v>400</v>
      </c>
      <c r="F94" s="106"/>
      <c r="G94" s="106" t="s">
        <v>898</v>
      </c>
      <c r="H94" s="106" t="s">
        <v>838</v>
      </c>
      <c r="I94" s="106" t="s">
        <v>807</v>
      </c>
      <c r="J94" s="106" t="s">
        <v>899</v>
      </c>
      <c r="K94" s="106" t="s">
        <v>900</v>
      </c>
      <c r="M94" t="s">
        <v>901</v>
      </c>
      <c r="N94" s="112" t="s">
        <v>796</v>
      </c>
    </row>
    <row r="95" spans="1:14" ht="15.75" thickBot="1">
      <c r="A95" s="38" t="s">
        <v>1247</v>
      </c>
      <c r="B95" s="106" t="s">
        <v>579</v>
      </c>
      <c r="C95" s="106" t="s">
        <v>779</v>
      </c>
      <c r="D95" s="106"/>
      <c r="E95" s="106" t="s">
        <v>399</v>
      </c>
      <c r="F95" s="106"/>
      <c r="G95" s="106" t="s">
        <v>902</v>
      </c>
      <c r="H95" s="106" t="s">
        <v>903</v>
      </c>
      <c r="I95" s="106" t="s">
        <v>807</v>
      </c>
      <c r="J95" s="106" t="s">
        <v>899</v>
      </c>
      <c r="K95" s="106" t="s">
        <v>900</v>
      </c>
      <c r="N95" s="112"/>
    </row>
    <row r="96" spans="1:14" ht="15.75" thickBot="1">
      <c r="A96" s="38" t="s">
        <v>1247</v>
      </c>
      <c r="B96" s="106" t="s">
        <v>1109</v>
      </c>
      <c r="C96" s="106" t="s">
        <v>779</v>
      </c>
      <c r="D96" s="106" t="s">
        <v>904</v>
      </c>
      <c r="E96" s="106" t="s">
        <v>905</v>
      </c>
      <c r="F96" s="106"/>
      <c r="G96" s="106" t="s">
        <v>906</v>
      </c>
      <c r="H96" s="106" t="s">
        <v>838</v>
      </c>
      <c r="I96" s="106" t="s">
        <v>907</v>
      </c>
      <c r="J96" s="106" t="s">
        <v>807</v>
      </c>
      <c r="K96" s="106"/>
      <c r="M96" t="s">
        <v>901</v>
      </c>
      <c r="N96" s="112" t="s">
        <v>796</v>
      </c>
    </row>
    <row r="97" spans="1:14" ht="15.75" thickBot="1">
      <c r="A97" s="38" t="s">
        <v>1247</v>
      </c>
      <c r="B97" s="106" t="s">
        <v>1110</v>
      </c>
      <c r="C97" s="106" t="s">
        <v>810</v>
      </c>
      <c r="D97" s="106"/>
      <c r="E97" s="106" t="s">
        <v>397</v>
      </c>
      <c r="F97" s="106"/>
      <c r="G97" s="106" t="s">
        <v>838</v>
      </c>
      <c r="H97" s="106" t="s">
        <v>832</v>
      </c>
      <c r="I97" s="106"/>
      <c r="J97" s="106"/>
      <c r="K97" s="106"/>
      <c r="M97" t="s">
        <v>812</v>
      </c>
      <c r="N97" t="s">
        <v>908</v>
      </c>
    </row>
    <row r="98" spans="1:14" ht="15.75" thickBot="1">
      <c r="A98" s="38" t="s">
        <v>1247</v>
      </c>
      <c r="B98" s="106" t="s">
        <v>578</v>
      </c>
      <c r="C98" s="106" t="s">
        <v>779</v>
      </c>
      <c r="D98" s="106"/>
      <c r="E98" s="106" t="s">
        <v>909</v>
      </c>
      <c r="F98" s="106"/>
      <c r="G98" s="106"/>
      <c r="H98" s="106"/>
      <c r="I98" s="106"/>
      <c r="J98" s="106"/>
      <c r="K98" s="106"/>
    </row>
    <row r="99" spans="1:14" ht="15.75" thickBot="1">
      <c r="A99" s="38" t="s">
        <v>1247</v>
      </c>
      <c r="B99" s="106" t="s">
        <v>577</v>
      </c>
      <c r="C99" s="106" t="s">
        <v>810</v>
      </c>
      <c r="D99" s="106"/>
      <c r="E99" s="106" t="s">
        <v>910</v>
      </c>
      <c r="F99" s="106"/>
      <c r="G99" s="106" t="s">
        <v>838</v>
      </c>
      <c r="H99" s="106" t="s">
        <v>832</v>
      </c>
      <c r="I99" s="106" t="s">
        <v>807</v>
      </c>
      <c r="J99" s="106" t="s">
        <v>911</v>
      </c>
      <c r="K99" s="106" t="s">
        <v>912</v>
      </c>
      <c r="M99" t="s">
        <v>812</v>
      </c>
      <c r="N99" t="s">
        <v>908</v>
      </c>
    </row>
    <row r="100" spans="1:14" ht="15.75" thickBot="1">
      <c r="A100" s="38" t="s">
        <v>1247</v>
      </c>
      <c r="B100" s="106" t="s">
        <v>576</v>
      </c>
      <c r="C100" s="106" t="s">
        <v>810</v>
      </c>
      <c r="D100" s="106"/>
      <c r="E100" s="106" t="s">
        <v>395</v>
      </c>
      <c r="F100" s="106"/>
      <c r="G100" s="106" t="s">
        <v>838</v>
      </c>
      <c r="H100" s="106" t="s">
        <v>832</v>
      </c>
      <c r="I100" s="106" t="s">
        <v>807</v>
      </c>
      <c r="J100" s="106" t="s">
        <v>913</v>
      </c>
      <c r="K100" s="106" t="s">
        <v>914</v>
      </c>
      <c r="M100" t="s">
        <v>812</v>
      </c>
      <c r="N100" t="s">
        <v>908</v>
      </c>
    </row>
    <row r="101" spans="1:14" ht="15.75" thickBot="1">
      <c r="A101" s="38" t="s">
        <v>1247</v>
      </c>
      <c r="B101" s="106" t="s">
        <v>575</v>
      </c>
      <c r="C101" s="106" t="s">
        <v>810</v>
      </c>
      <c r="D101" s="106"/>
      <c r="E101" s="106" t="s">
        <v>394</v>
      </c>
      <c r="F101" s="106"/>
      <c r="G101" s="106" t="s">
        <v>838</v>
      </c>
      <c r="H101" s="106" t="s">
        <v>832</v>
      </c>
      <c r="I101" s="106" t="s">
        <v>807</v>
      </c>
      <c r="J101" s="106" t="s">
        <v>913</v>
      </c>
      <c r="K101" s="106" t="s">
        <v>914</v>
      </c>
      <c r="M101" t="s">
        <v>812</v>
      </c>
      <c r="N101" t="s">
        <v>908</v>
      </c>
    </row>
    <row r="102" spans="1:14" ht="15.75" thickBot="1">
      <c r="A102" s="38" t="s">
        <v>1247</v>
      </c>
      <c r="B102" s="106" t="s">
        <v>574</v>
      </c>
      <c r="C102" s="106" t="s">
        <v>810</v>
      </c>
      <c r="D102" s="106"/>
      <c r="E102" s="106" t="s">
        <v>393</v>
      </c>
      <c r="F102" s="106"/>
      <c r="G102" s="106" t="s">
        <v>838</v>
      </c>
      <c r="H102" s="106" t="s">
        <v>832</v>
      </c>
      <c r="I102" s="106" t="s">
        <v>807</v>
      </c>
      <c r="J102" s="106" t="s">
        <v>913</v>
      </c>
      <c r="K102" s="106" t="s">
        <v>914</v>
      </c>
    </row>
    <row r="103" spans="1:14" ht="15.75" thickBot="1">
      <c r="A103" s="38" t="s">
        <v>1247</v>
      </c>
      <c r="B103" s="106" t="s">
        <v>573</v>
      </c>
      <c r="C103" s="106" t="s">
        <v>810</v>
      </c>
      <c r="D103" s="106"/>
      <c r="E103" s="106" t="s">
        <v>392</v>
      </c>
      <c r="F103" s="106"/>
      <c r="G103" s="106" t="s">
        <v>838</v>
      </c>
      <c r="H103" s="106" t="s">
        <v>832</v>
      </c>
      <c r="I103" s="106" t="s">
        <v>807</v>
      </c>
      <c r="J103" s="106" t="s">
        <v>915</v>
      </c>
      <c r="K103" s="106" t="s">
        <v>916</v>
      </c>
    </row>
    <row r="104" spans="1:14" ht="15.75" thickBot="1">
      <c r="A104" s="34" t="s">
        <v>1248</v>
      </c>
      <c r="B104" s="106" t="s">
        <v>572</v>
      </c>
      <c r="C104" s="106" t="s">
        <v>779</v>
      </c>
      <c r="D104" s="106"/>
      <c r="E104" s="106" t="s">
        <v>391</v>
      </c>
      <c r="F104" s="106"/>
      <c r="G104" s="106" t="s">
        <v>898</v>
      </c>
      <c r="H104" s="106" t="s">
        <v>838</v>
      </c>
      <c r="I104" s="106" t="s">
        <v>807</v>
      </c>
      <c r="J104" s="106" t="s">
        <v>899</v>
      </c>
      <c r="K104" s="106" t="s">
        <v>900</v>
      </c>
    </row>
    <row r="105" spans="1:14" ht="15.75" thickBot="1">
      <c r="A105" s="34" t="s">
        <v>1248</v>
      </c>
      <c r="B105" s="106" t="s">
        <v>571</v>
      </c>
      <c r="C105" s="106" t="s">
        <v>779</v>
      </c>
      <c r="D105" s="106"/>
      <c r="E105" s="106" t="s">
        <v>390</v>
      </c>
      <c r="F105" s="106"/>
      <c r="G105" s="106" t="s">
        <v>917</v>
      </c>
      <c r="H105" s="106" t="s">
        <v>903</v>
      </c>
      <c r="I105" s="106" t="s">
        <v>807</v>
      </c>
      <c r="J105" s="106" t="s">
        <v>899</v>
      </c>
      <c r="K105" s="106" t="s">
        <v>900</v>
      </c>
    </row>
    <row r="106" spans="1:14" ht="15.75" thickBot="1">
      <c r="A106" s="34" t="s">
        <v>1248</v>
      </c>
      <c r="B106" s="106" t="s">
        <v>570</v>
      </c>
      <c r="C106" s="106" t="s">
        <v>779</v>
      </c>
      <c r="D106" s="106" t="s">
        <v>904</v>
      </c>
      <c r="E106" s="106" t="s">
        <v>374</v>
      </c>
      <c r="F106" s="106"/>
      <c r="G106" s="106" t="s">
        <v>906</v>
      </c>
      <c r="H106" s="106" t="s">
        <v>838</v>
      </c>
      <c r="I106" s="106" t="s">
        <v>907</v>
      </c>
      <c r="J106" s="106" t="s">
        <v>807</v>
      </c>
      <c r="K106" s="106"/>
    </row>
    <row r="107" spans="1:14" ht="15.75" thickBot="1">
      <c r="A107" s="34" t="s">
        <v>1248</v>
      </c>
      <c r="B107" s="106" t="s">
        <v>569</v>
      </c>
      <c r="C107" s="106" t="s">
        <v>810</v>
      </c>
      <c r="D107" s="106"/>
      <c r="E107" s="106" t="s">
        <v>389</v>
      </c>
      <c r="F107" s="106"/>
      <c r="G107" s="106" t="s">
        <v>838</v>
      </c>
      <c r="H107" s="106" t="s">
        <v>832</v>
      </c>
      <c r="I107" s="106"/>
      <c r="J107" s="106"/>
      <c r="K107" s="106"/>
      <c r="M107" t="s">
        <v>812</v>
      </c>
      <c r="N107" t="s">
        <v>908</v>
      </c>
    </row>
    <row r="108" spans="1:14" ht="15.75" thickBot="1">
      <c r="A108" s="34" t="s">
        <v>1248</v>
      </c>
      <c r="B108" s="106" t="s">
        <v>568</v>
      </c>
      <c r="C108" s="106" t="s">
        <v>779</v>
      </c>
      <c r="D108" s="106"/>
      <c r="E108" s="106" t="s">
        <v>918</v>
      </c>
      <c r="F108" s="106"/>
      <c r="G108" s="106"/>
      <c r="H108" s="106"/>
      <c r="I108" s="106"/>
      <c r="J108" s="106"/>
      <c r="K108" s="106"/>
    </row>
    <row r="109" spans="1:14" ht="15.75" thickBot="1">
      <c r="A109" s="34" t="s">
        <v>1248</v>
      </c>
      <c r="B109" s="106" t="s">
        <v>567</v>
      </c>
      <c r="C109" s="106" t="s">
        <v>810</v>
      </c>
      <c r="D109" s="106"/>
      <c r="E109" s="106" t="s">
        <v>388</v>
      </c>
      <c r="F109" s="106"/>
      <c r="G109" s="106" t="s">
        <v>838</v>
      </c>
      <c r="H109" s="106" t="s">
        <v>832</v>
      </c>
      <c r="I109" s="106" t="s">
        <v>807</v>
      </c>
      <c r="J109" s="106" t="s">
        <v>919</v>
      </c>
      <c r="K109" s="106" t="s">
        <v>920</v>
      </c>
      <c r="M109" t="s">
        <v>812</v>
      </c>
      <c r="N109" t="s">
        <v>908</v>
      </c>
    </row>
    <row r="110" spans="1:14" ht="15.75" thickBot="1">
      <c r="A110" s="34" t="s">
        <v>1248</v>
      </c>
      <c r="B110" s="106" t="s">
        <v>566</v>
      </c>
      <c r="C110" s="106" t="s">
        <v>810</v>
      </c>
      <c r="D110" s="106"/>
      <c r="E110" s="106" t="s">
        <v>387</v>
      </c>
      <c r="F110" s="106"/>
      <c r="G110" s="106" t="s">
        <v>838</v>
      </c>
      <c r="H110" s="106" t="s">
        <v>832</v>
      </c>
      <c r="I110" s="106" t="s">
        <v>807</v>
      </c>
      <c r="J110" s="106" t="s">
        <v>921</v>
      </c>
      <c r="K110" s="106" t="s">
        <v>922</v>
      </c>
      <c r="M110" t="s">
        <v>812</v>
      </c>
      <c r="N110" t="s">
        <v>908</v>
      </c>
    </row>
    <row r="111" spans="1:14" ht="15.75" thickBot="1">
      <c r="A111" s="34" t="s">
        <v>1248</v>
      </c>
      <c r="B111" s="106" t="s">
        <v>565</v>
      </c>
      <c r="C111" s="106" t="s">
        <v>810</v>
      </c>
      <c r="D111" s="106"/>
      <c r="E111" s="106" t="s">
        <v>386</v>
      </c>
      <c r="F111" s="106"/>
      <c r="G111" s="106" t="s">
        <v>838</v>
      </c>
      <c r="H111" s="106" t="s">
        <v>832</v>
      </c>
      <c r="I111" s="106" t="s">
        <v>807</v>
      </c>
      <c r="J111" s="106" t="s">
        <v>923</v>
      </c>
      <c r="K111" s="106" t="s">
        <v>924</v>
      </c>
      <c r="M111" t="s">
        <v>812</v>
      </c>
      <c r="N111" t="s">
        <v>908</v>
      </c>
    </row>
    <row r="112" spans="1:14" ht="15.75" thickBot="1">
      <c r="A112" s="34" t="s">
        <v>1248</v>
      </c>
      <c r="B112" s="106" t="s">
        <v>564</v>
      </c>
      <c r="C112" s="106" t="s">
        <v>779</v>
      </c>
      <c r="D112" s="106"/>
      <c r="E112" s="106" t="s">
        <v>385</v>
      </c>
      <c r="F112" s="106"/>
      <c r="G112" s="106" t="s">
        <v>925</v>
      </c>
      <c r="H112" s="106" t="s">
        <v>838</v>
      </c>
      <c r="I112" s="106" t="s">
        <v>926</v>
      </c>
      <c r="J112" s="106" t="s">
        <v>807</v>
      </c>
      <c r="K112" s="106"/>
    </row>
    <row r="113" spans="1:13" ht="15.75" thickBot="1">
      <c r="A113" s="38" t="s">
        <v>1112</v>
      </c>
      <c r="B113" s="106" t="s">
        <v>748</v>
      </c>
      <c r="C113" s="106" t="s">
        <v>779</v>
      </c>
      <c r="D113" s="106"/>
      <c r="E113" s="106" t="s">
        <v>1111</v>
      </c>
      <c r="F113" s="106"/>
      <c r="G113" s="106" t="s">
        <v>806</v>
      </c>
      <c r="H113" s="106" t="s">
        <v>838</v>
      </c>
      <c r="I113" s="106" t="s">
        <v>838</v>
      </c>
      <c r="J113" s="106" t="s">
        <v>838</v>
      </c>
      <c r="K113" s="106" t="s">
        <v>838</v>
      </c>
    </row>
    <row r="114" spans="1:13" ht="15.75" thickBot="1">
      <c r="A114" s="38" t="s">
        <v>1112</v>
      </c>
      <c r="B114" s="106" t="s">
        <v>749</v>
      </c>
      <c r="C114" s="106" t="s">
        <v>779</v>
      </c>
      <c r="D114" s="106"/>
      <c r="E114" s="106" t="s">
        <v>383</v>
      </c>
      <c r="F114" s="106"/>
      <c r="G114" s="127" t="s">
        <v>1882</v>
      </c>
      <c r="H114" s="106" t="s">
        <v>838</v>
      </c>
      <c r="I114" s="106" t="s">
        <v>807</v>
      </c>
      <c r="J114" s="106" t="s">
        <v>927</v>
      </c>
      <c r="K114" s="106" t="s">
        <v>928</v>
      </c>
      <c r="M114" s="112" t="s">
        <v>796</v>
      </c>
    </row>
    <row r="115" spans="1:13" ht="15.75" thickBot="1">
      <c r="A115" s="38" t="s">
        <v>1113</v>
      </c>
      <c r="B115" s="106" t="s">
        <v>563</v>
      </c>
      <c r="C115" s="106" t="s">
        <v>779</v>
      </c>
      <c r="D115" s="106"/>
      <c r="E115" s="106" t="s">
        <v>382</v>
      </c>
      <c r="F115" s="106"/>
      <c r="G115" s="106" t="s">
        <v>929</v>
      </c>
      <c r="H115" s="106" t="s">
        <v>862</v>
      </c>
      <c r="I115" s="106" t="s">
        <v>807</v>
      </c>
      <c r="J115" s="106"/>
      <c r="K115" s="106"/>
      <c r="L115" t="s">
        <v>901</v>
      </c>
      <c r="M115" s="112" t="s">
        <v>796</v>
      </c>
    </row>
    <row r="116" spans="1:13" ht="15.75" thickBot="1">
      <c r="A116" s="38" t="s">
        <v>1113</v>
      </c>
      <c r="B116" s="106" t="s">
        <v>562</v>
      </c>
      <c r="C116" s="106" t="s">
        <v>779</v>
      </c>
      <c r="D116" s="106"/>
      <c r="E116" s="106" t="s">
        <v>381</v>
      </c>
      <c r="F116" s="106"/>
      <c r="G116" s="106" t="s">
        <v>806</v>
      </c>
      <c r="H116" s="106" t="s">
        <v>838</v>
      </c>
      <c r="I116" s="106" t="s">
        <v>838</v>
      </c>
      <c r="J116" s="106" t="s">
        <v>838</v>
      </c>
      <c r="K116" s="106" t="s">
        <v>838</v>
      </c>
    </row>
    <row r="117" spans="1:13" ht="15.75" thickBot="1">
      <c r="A117" s="34" t="s">
        <v>1114</v>
      </c>
      <c r="B117" s="106" t="s">
        <v>561</v>
      </c>
      <c r="C117" s="106" t="s">
        <v>779</v>
      </c>
      <c r="D117" s="106"/>
      <c r="E117" s="106" t="s">
        <v>380</v>
      </c>
      <c r="F117" s="106"/>
      <c r="G117" s="106" t="s">
        <v>806</v>
      </c>
      <c r="H117" s="106" t="s">
        <v>838</v>
      </c>
      <c r="I117" s="106" t="s">
        <v>838</v>
      </c>
      <c r="J117" s="106" t="s">
        <v>838</v>
      </c>
      <c r="K117" s="106" t="s">
        <v>838</v>
      </c>
    </row>
    <row r="118" spans="1:13" ht="15.75" thickBot="1">
      <c r="A118" s="34" t="s">
        <v>1114</v>
      </c>
      <c r="B118" s="106" t="s">
        <v>930</v>
      </c>
      <c r="C118" s="106" t="s">
        <v>779</v>
      </c>
      <c r="D118" s="106"/>
      <c r="E118" s="106" t="s">
        <v>931</v>
      </c>
      <c r="F118" s="106"/>
      <c r="G118" s="22" t="s">
        <v>1716</v>
      </c>
      <c r="H118" s="106" t="s">
        <v>838</v>
      </c>
      <c r="I118" s="106" t="s">
        <v>807</v>
      </c>
      <c r="J118" s="106" t="s">
        <v>932</v>
      </c>
      <c r="K118" s="106" t="s">
        <v>933</v>
      </c>
    </row>
    <row r="119" spans="1:13" ht="15.75" thickBot="1">
      <c r="A119" s="34" t="s">
        <v>1115</v>
      </c>
      <c r="B119" s="106" t="s">
        <v>934</v>
      </c>
      <c r="C119" s="106" t="s">
        <v>779</v>
      </c>
      <c r="D119" s="106"/>
      <c r="E119" s="106" t="s">
        <v>378</v>
      </c>
      <c r="F119" s="106"/>
      <c r="G119" s="106" t="s">
        <v>1961</v>
      </c>
      <c r="H119" s="106" t="s">
        <v>838</v>
      </c>
      <c r="I119" s="106" t="s">
        <v>807</v>
      </c>
      <c r="J119" s="106" t="s">
        <v>932</v>
      </c>
      <c r="K119" s="106" t="s">
        <v>933</v>
      </c>
    </row>
    <row r="120" spans="1:13" ht="15.75" thickBot="1">
      <c r="A120" s="34" t="s">
        <v>1115</v>
      </c>
      <c r="B120" s="106" t="s">
        <v>935</v>
      </c>
      <c r="C120" s="106" t="s">
        <v>779</v>
      </c>
      <c r="D120" s="106" t="s">
        <v>904</v>
      </c>
      <c r="E120" s="106" t="s">
        <v>377</v>
      </c>
      <c r="F120" s="106"/>
      <c r="G120" s="106" t="s">
        <v>936</v>
      </c>
      <c r="H120" s="106" t="s">
        <v>838</v>
      </c>
      <c r="I120" s="106" t="s">
        <v>807</v>
      </c>
      <c r="J120" s="106"/>
      <c r="K120" s="106"/>
      <c r="L120" t="s">
        <v>901</v>
      </c>
      <c r="M120" s="112" t="s">
        <v>796</v>
      </c>
    </row>
    <row r="121" spans="1:13" ht="15.75" thickBot="1">
      <c r="A121" s="34" t="s">
        <v>1115</v>
      </c>
      <c r="B121" s="106" t="s">
        <v>937</v>
      </c>
      <c r="C121" s="106" t="s">
        <v>810</v>
      </c>
      <c r="D121" s="106"/>
      <c r="E121" s="106" t="s">
        <v>376</v>
      </c>
      <c r="F121" s="106"/>
      <c r="G121" s="106" t="s">
        <v>838</v>
      </c>
      <c r="H121" s="106" t="s">
        <v>832</v>
      </c>
      <c r="I121" s="106" t="s">
        <v>807</v>
      </c>
      <c r="J121" s="106" t="s">
        <v>938</v>
      </c>
      <c r="K121" s="106" t="s">
        <v>893</v>
      </c>
      <c r="M121" t="s">
        <v>908</v>
      </c>
    </row>
    <row r="122" spans="1:13" ht="15.75" thickBot="1">
      <c r="A122" s="38" t="s">
        <v>1122</v>
      </c>
      <c r="B122" s="106" t="s">
        <v>548</v>
      </c>
      <c r="C122" s="106" t="s">
        <v>779</v>
      </c>
      <c r="D122" s="106"/>
      <c r="E122" s="106" t="s">
        <v>350</v>
      </c>
      <c r="F122" s="106"/>
      <c r="G122" s="106" t="s">
        <v>806</v>
      </c>
      <c r="H122" s="106" t="s">
        <v>862</v>
      </c>
      <c r="I122" s="106" t="s">
        <v>838</v>
      </c>
      <c r="J122" s="106" t="s">
        <v>838</v>
      </c>
      <c r="K122" s="106" t="s">
        <v>838</v>
      </c>
    </row>
    <row r="123" spans="1:13" ht="15.75" thickBot="1">
      <c r="A123" s="38" t="s">
        <v>1122</v>
      </c>
      <c r="B123" s="106" t="s">
        <v>547</v>
      </c>
      <c r="C123" s="106" t="s">
        <v>779</v>
      </c>
      <c r="D123" s="106"/>
      <c r="E123" s="106" t="s">
        <v>1121</v>
      </c>
      <c r="F123" s="106"/>
      <c r="G123" s="106" t="s">
        <v>1238</v>
      </c>
      <c r="H123" s="106" t="s">
        <v>865</v>
      </c>
      <c r="I123" s="106" t="s">
        <v>807</v>
      </c>
      <c r="J123" s="106" t="s">
        <v>939</v>
      </c>
      <c r="K123" s="106" t="s">
        <v>940</v>
      </c>
      <c r="L123" t="s">
        <v>901</v>
      </c>
      <c r="M123" s="112" t="s">
        <v>796</v>
      </c>
    </row>
    <row r="124" spans="1:13" ht="15.75" thickBot="1">
      <c r="A124" s="38" t="s">
        <v>1123</v>
      </c>
      <c r="B124" s="106" t="s">
        <v>546</v>
      </c>
      <c r="C124" s="106" t="s">
        <v>779</v>
      </c>
      <c r="D124" s="106"/>
      <c r="E124" s="106" t="s">
        <v>374</v>
      </c>
      <c r="F124" s="106"/>
      <c r="G124" s="106" t="s">
        <v>906</v>
      </c>
      <c r="H124" s="106" t="s">
        <v>838</v>
      </c>
      <c r="I124" s="106" t="s">
        <v>807</v>
      </c>
      <c r="J124" s="106"/>
      <c r="K124" s="106"/>
      <c r="M124" s="112"/>
    </row>
    <row r="125" spans="1:13" ht="15.75" thickBot="1">
      <c r="A125" s="38" t="s">
        <v>1123</v>
      </c>
      <c r="B125" s="106" t="s">
        <v>545</v>
      </c>
      <c r="C125" s="106" t="s">
        <v>810</v>
      </c>
      <c r="D125" s="106"/>
      <c r="E125" s="106" t="s">
        <v>373</v>
      </c>
      <c r="F125" s="106"/>
      <c r="G125" s="106" t="s">
        <v>838</v>
      </c>
      <c r="H125" s="106" t="s">
        <v>832</v>
      </c>
      <c r="I125" s="106" t="s">
        <v>807</v>
      </c>
      <c r="J125" s="106" t="s">
        <v>941</v>
      </c>
      <c r="K125" s="106" t="s">
        <v>942</v>
      </c>
      <c r="M125" s="112"/>
    </row>
    <row r="126" spans="1:13" ht="15.75" thickBot="1">
      <c r="A126" s="38" t="s">
        <v>1123</v>
      </c>
      <c r="B126" s="106" t="s">
        <v>544</v>
      </c>
      <c r="C126" s="106" t="s">
        <v>810</v>
      </c>
      <c r="D126" s="106"/>
      <c r="E126" s="106" t="s">
        <v>372</v>
      </c>
      <c r="F126" s="106"/>
      <c r="G126" s="106" t="s">
        <v>838</v>
      </c>
      <c r="H126" s="106" t="s">
        <v>832</v>
      </c>
      <c r="I126" s="106" t="s">
        <v>807</v>
      </c>
      <c r="J126" s="106" t="s">
        <v>943</v>
      </c>
      <c r="K126" s="106" t="s">
        <v>944</v>
      </c>
      <c r="M126" s="112" t="s">
        <v>796</v>
      </c>
    </row>
    <row r="127" spans="1:13" ht="15.75" thickBot="1">
      <c r="A127" s="38" t="s">
        <v>1123</v>
      </c>
      <c r="B127" s="106" t="s">
        <v>543</v>
      </c>
      <c r="C127" s="106" t="s">
        <v>810</v>
      </c>
      <c r="D127" s="106"/>
      <c r="E127" s="106" t="s">
        <v>371</v>
      </c>
      <c r="F127" s="106"/>
      <c r="G127" s="106" t="s">
        <v>838</v>
      </c>
      <c r="H127" s="106" t="s">
        <v>832</v>
      </c>
      <c r="I127" s="106" t="s">
        <v>807</v>
      </c>
      <c r="J127" s="106" t="s">
        <v>945</v>
      </c>
      <c r="K127" s="106" t="s">
        <v>946</v>
      </c>
    </row>
    <row r="128" spans="1:13" ht="15.75" thickBot="1">
      <c r="A128" s="38" t="s">
        <v>1123</v>
      </c>
      <c r="B128" s="106" t="s">
        <v>542</v>
      </c>
      <c r="C128" s="106" t="s">
        <v>779</v>
      </c>
      <c r="D128" s="106"/>
      <c r="E128" s="106" t="s">
        <v>370</v>
      </c>
      <c r="F128" s="106"/>
      <c r="G128" s="106" t="s">
        <v>947</v>
      </c>
      <c r="H128" s="106" t="s">
        <v>838</v>
      </c>
      <c r="I128" s="106" t="s">
        <v>807</v>
      </c>
      <c r="J128" s="106" t="s">
        <v>948</v>
      </c>
      <c r="K128" s="106" t="s">
        <v>949</v>
      </c>
    </row>
    <row r="129" spans="1:11" ht="15.75" thickBot="1">
      <c r="A129" s="38" t="s">
        <v>1123</v>
      </c>
      <c r="B129" s="106" t="s">
        <v>541</v>
      </c>
      <c r="C129" s="106" t="s">
        <v>779</v>
      </c>
      <c r="D129" s="106"/>
      <c r="E129" s="106" t="s">
        <v>369</v>
      </c>
      <c r="F129" s="106"/>
      <c r="G129" s="106" t="s">
        <v>950</v>
      </c>
      <c r="H129" s="106" t="s">
        <v>862</v>
      </c>
      <c r="I129" s="106" t="s">
        <v>807</v>
      </c>
      <c r="J129" s="106" t="s">
        <v>951</v>
      </c>
      <c r="K129" s="106" t="s">
        <v>952</v>
      </c>
    </row>
    <row r="130" spans="1:11" ht="15.75" thickBot="1">
      <c r="A130" s="38" t="s">
        <v>1123</v>
      </c>
      <c r="B130" s="106" t="s">
        <v>540</v>
      </c>
      <c r="C130" s="106" t="s">
        <v>779</v>
      </c>
      <c r="D130" s="106"/>
      <c r="E130" s="106" t="s">
        <v>368</v>
      </c>
      <c r="F130" s="106"/>
      <c r="G130" s="4" t="s">
        <v>953</v>
      </c>
      <c r="H130" s="106"/>
      <c r="I130" s="106"/>
      <c r="J130" s="106"/>
      <c r="K130" s="106"/>
    </row>
    <row r="131" spans="1:11" ht="15.75" thickBot="1">
      <c r="A131" s="38" t="s">
        <v>1123</v>
      </c>
      <c r="B131" s="106" t="s">
        <v>539</v>
      </c>
      <c r="C131" s="106" t="s">
        <v>779</v>
      </c>
      <c r="D131" s="106"/>
      <c r="E131" s="106" t="s">
        <v>367</v>
      </c>
      <c r="F131" s="106"/>
      <c r="G131" s="106" t="s">
        <v>954</v>
      </c>
      <c r="H131" s="106" t="s">
        <v>2</v>
      </c>
      <c r="I131" s="106" t="s">
        <v>807</v>
      </c>
      <c r="J131" s="106"/>
      <c r="K131" s="106"/>
    </row>
    <row r="132" spans="1:11" ht="15.75" thickBot="1">
      <c r="A132" s="38" t="s">
        <v>1123</v>
      </c>
      <c r="B132" s="106" t="s">
        <v>538</v>
      </c>
      <c r="C132" s="106" t="s">
        <v>779</v>
      </c>
      <c r="D132" s="106"/>
      <c r="E132" s="106" t="s">
        <v>363</v>
      </c>
      <c r="F132" s="106"/>
      <c r="G132" s="106" t="s">
        <v>955</v>
      </c>
      <c r="H132" s="106" t="s">
        <v>956</v>
      </c>
      <c r="I132" s="106" t="s">
        <v>807</v>
      </c>
      <c r="J132" s="106"/>
      <c r="K132" s="106"/>
    </row>
    <row r="133" spans="1:11" ht="15.75" thickBot="1">
      <c r="A133" s="38" t="s">
        <v>1123</v>
      </c>
      <c r="B133" s="106" t="s">
        <v>537</v>
      </c>
      <c r="C133" s="106" t="s">
        <v>810</v>
      </c>
      <c r="D133" s="106"/>
      <c r="E133" s="106" t="s">
        <v>366</v>
      </c>
      <c r="F133" s="106"/>
      <c r="G133" s="106" t="s">
        <v>832</v>
      </c>
      <c r="H133" s="106" t="s">
        <v>2</v>
      </c>
      <c r="I133" s="106" t="s">
        <v>807</v>
      </c>
      <c r="J133" s="106"/>
      <c r="K133" s="106"/>
    </row>
    <row r="134" spans="1:11" ht="15.75" thickBot="1">
      <c r="A134" s="37" t="s">
        <v>1128</v>
      </c>
      <c r="B134" s="106" t="s">
        <v>536</v>
      </c>
      <c r="C134" s="106" t="s">
        <v>779</v>
      </c>
      <c r="D134" s="106"/>
      <c r="E134" s="106" t="s">
        <v>350</v>
      </c>
      <c r="F134" s="106"/>
      <c r="G134" s="106" t="s">
        <v>806</v>
      </c>
      <c r="H134" s="106" t="s">
        <v>862</v>
      </c>
      <c r="I134" s="106" t="s">
        <v>838</v>
      </c>
      <c r="J134" s="106" t="s">
        <v>838</v>
      </c>
      <c r="K134" s="106" t="s">
        <v>838</v>
      </c>
    </row>
    <row r="135" spans="1:11" ht="15.75" thickBot="1">
      <c r="A135" s="37" t="s">
        <v>1128</v>
      </c>
      <c r="B135" s="106" t="s">
        <v>535</v>
      </c>
      <c r="C135" s="106" t="s">
        <v>779</v>
      </c>
      <c r="D135" s="106"/>
      <c r="E135" s="106" t="s">
        <v>365</v>
      </c>
      <c r="F135" s="106"/>
      <c r="G135" s="106" t="s">
        <v>957</v>
      </c>
      <c r="H135" s="106" t="s">
        <v>838</v>
      </c>
      <c r="I135" s="106" t="s">
        <v>807</v>
      </c>
      <c r="J135" s="106" t="s">
        <v>958</v>
      </c>
      <c r="K135" s="106" t="s">
        <v>959</v>
      </c>
    </row>
    <row r="136" spans="1:11" ht="15.75" thickBot="1">
      <c r="A136" s="37" t="s">
        <v>1127</v>
      </c>
      <c r="B136" s="106" t="s">
        <v>534</v>
      </c>
      <c r="C136" s="106" t="s">
        <v>779</v>
      </c>
      <c r="D136" s="106"/>
      <c r="E136" s="106" t="s">
        <v>364</v>
      </c>
      <c r="F136" s="106"/>
      <c r="G136" s="106" t="s">
        <v>960</v>
      </c>
      <c r="H136" s="106" t="s">
        <v>862</v>
      </c>
      <c r="I136" s="106" t="s">
        <v>807</v>
      </c>
      <c r="J136" s="106" t="s">
        <v>961</v>
      </c>
      <c r="K136" s="106" t="s">
        <v>962</v>
      </c>
    </row>
    <row r="137" spans="1:11" ht="15.75" thickBot="1">
      <c r="A137" s="37" t="s">
        <v>1127</v>
      </c>
      <c r="B137" s="106" t="s">
        <v>1125</v>
      </c>
      <c r="C137" s="106" t="s">
        <v>779</v>
      </c>
      <c r="D137" s="106"/>
      <c r="E137" s="106" t="s">
        <v>363</v>
      </c>
      <c r="F137" s="106"/>
      <c r="G137" s="106" t="s">
        <v>963</v>
      </c>
      <c r="H137" s="106"/>
      <c r="I137" s="106" t="s">
        <v>807</v>
      </c>
      <c r="J137" s="106"/>
      <c r="K137" s="106"/>
    </row>
    <row r="138" spans="1:11" ht="15.75" thickBot="1">
      <c r="A138" s="37" t="s">
        <v>1127</v>
      </c>
      <c r="B138" s="106" t="s">
        <v>1126</v>
      </c>
      <c r="C138" s="106" t="s">
        <v>810</v>
      </c>
      <c r="D138" s="106"/>
      <c r="E138" s="106" t="s">
        <v>362</v>
      </c>
      <c r="F138" s="106" t="s">
        <v>838</v>
      </c>
      <c r="G138" s="106" t="s">
        <v>832</v>
      </c>
      <c r="H138" s="106"/>
      <c r="I138" s="106" t="s">
        <v>807</v>
      </c>
      <c r="J138" s="106"/>
      <c r="K138" s="106"/>
    </row>
    <row r="139" spans="1:11" ht="15.75" thickBot="1">
      <c r="A139" s="62" t="s">
        <v>1129</v>
      </c>
      <c r="B139" s="106" t="s">
        <v>533</v>
      </c>
      <c r="C139" s="106" t="s">
        <v>779</v>
      </c>
      <c r="D139" s="106"/>
      <c r="E139" s="106" t="s">
        <v>350</v>
      </c>
      <c r="F139" s="106"/>
      <c r="G139" s="106" t="s">
        <v>806</v>
      </c>
      <c r="H139" s="106" t="s">
        <v>862</v>
      </c>
      <c r="I139" s="106" t="s">
        <v>838</v>
      </c>
      <c r="J139" s="106" t="s">
        <v>838</v>
      </c>
      <c r="K139" s="106" t="s">
        <v>838</v>
      </c>
    </row>
    <row r="140" spans="1:11" ht="15.75" thickBot="1">
      <c r="A140" s="62" t="s">
        <v>1129</v>
      </c>
      <c r="B140" s="106" t="s">
        <v>532</v>
      </c>
      <c r="C140" s="106" t="s">
        <v>779</v>
      </c>
      <c r="D140" s="106"/>
      <c r="E140" s="106" t="s">
        <v>361</v>
      </c>
      <c r="F140" s="106"/>
      <c r="G140" s="24" t="s">
        <v>1718</v>
      </c>
      <c r="H140" s="106"/>
      <c r="I140" s="106" t="s">
        <v>807</v>
      </c>
      <c r="J140" s="106" t="s">
        <v>838</v>
      </c>
      <c r="K140" s="106" t="s">
        <v>838</v>
      </c>
    </row>
    <row r="141" spans="1:11" ht="15.75" thickBot="1">
      <c r="A141" s="62" t="s">
        <v>1130</v>
      </c>
      <c r="B141" s="106" t="s">
        <v>531</v>
      </c>
      <c r="C141" s="106" t="s">
        <v>879</v>
      </c>
      <c r="D141" s="106"/>
      <c r="E141" s="106" t="s">
        <v>1135</v>
      </c>
      <c r="F141" s="107"/>
      <c r="G141" s="107"/>
      <c r="H141" s="107"/>
      <c r="I141" s="107"/>
      <c r="J141" s="107"/>
      <c r="K141" s="107"/>
    </row>
    <row r="142" spans="1:11" ht="15.75" thickBot="1">
      <c r="A142" s="62" t="s">
        <v>1130</v>
      </c>
      <c r="B142" s="106" t="s">
        <v>530</v>
      </c>
      <c r="C142" s="106" t="s">
        <v>879</v>
      </c>
      <c r="D142" s="106"/>
      <c r="E142" s="106" t="s">
        <v>1136</v>
      </c>
      <c r="F142" s="107"/>
      <c r="G142" s="107"/>
      <c r="H142" s="107"/>
      <c r="I142" s="107"/>
      <c r="J142" s="107"/>
      <c r="K142" s="107"/>
    </row>
    <row r="143" spans="1:11" ht="15.75" thickBot="1">
      <c r="A143" s="62" t="s">
        <v>1130</v>
      </c>
      <c r="B143" s="106" t="s">
        <v>529</v>
      </c>
      <c r="C143" s="106" t="s">
        <v>779</v>
      </c>
      <c r="D143" s="106"/>
      <c r="E143" s="106" t="s">
        <v>358</v>
      </c>
      <c r="F143" s="107"/>
      <c r="G143" s="107" t="s">
        <v>964</v>
      </c>
      <c r="H143" s="107" t="s">
        <v>838</v>
      </c>
      <c r="I143" s="107" t="s">
        <v>807</v>
      </c>
      <c r="J143" s="107"/>
      <c r="K143" s="107"/>
    </row>
    <row r="144" spans="1:11" ht="15.75" thickBot="1">
      <c r="A144" s="62" t="s">
        <v>1130</v>
      </c>
      <c r="B144" s="106" t="s">
        <v>528</v>
      </c>
      <c r="C144" s="106" t="s">
        <v>810</v>
      </c>
      <c r="D144" s="106"/>
      <c r="E144" s="106" t="s">
        <v>357</v>
      </c>
      <c r="F144" s="107"/>
      <c r="G144" s="107" t="s">
        <v>838</v>
      </c>
      <c r="H144" s="107" t="s">
        <v>832</v>
      </c>
      <c r="I144" s="107"/>
      <c r="J144" s="107"/>
      <c r="K144" s="107"/>
    </row>
    <row r="145" spans="1:11" ht="15.75" thickBot="1">
      <c r="A145" s="62" t="s">
        <v>1130</v>
      </c>
      <c r="B145" s="106" t="s">
        <v>527</v>
      </c>
      <c r="C145" s="106" t="s">
        <v>779</v>
      </c>
      <c r="D145" s="106"/>
      <c r="E145" s="106" t="s">
        <v>356</v>
      </c>
      <c r="F145" s="107"/>
      <c r="G145" s="107" t="s">
        <v>965</v>
      </c>
      <c r="H145" s="107" t="s">
        <v>838</v>
      </c>
      <c r="I145" s="107" t="s">
        <v>807</v>
      </c>
      <c r="J145" s="107" t="s">
        <v>966</v>
      </c>
      <c r="K145" s="107" t="s">
        <v>967</v>
      </c>
    </row>
    <row r="146" spans="1:11" ht="15.75" thickBot="1">
      <c r="A146" s="124" t="s">
        <v>1744</v>
      </c>
      <c r="B146" s="106" t="s">
        <v>526</v>
      </c>
      <c r="C146" s="106" t="s">
        <v>779</v>
      </c>
      <c r="D146" s="106"/>
      <c r="E146" s="106" t="s">
        <v>350</v>
      </c>
      <c r="F146" s="107"/>
      <c r="G146" s="107" t="s">
        <v>806</v>
      </c>
      <c r="H146" s="107" t="s">
        <v>862</v>
      </c>
      <c r="I146" s="107" t="s">
        <v>838</v>
      </c>
      <c r="J146" s="107" t="s">
        <v>838</v>
      </c>
      <c r="K146" s="107" t="s">
        <v>838</v>
      </c>
    </row>
    <row r="147" spans="1:11" ht="15.75" thickBot="1">
      <c r="A147" s="124" t="s">
        <v>1744</v>
      </c>
      <c r="B147" s="106" t="s">
        <v>525</v>
      </c>
      <c r="C147" s="106" t="s">
        <v>779</v>
      </c>
      <c r="D147" s="106"/>
      <c r="E147" s="107" t="s">
        <v>355</v>
      </c>
      <c r="F147" s="107"/>
      <c r="G147" s="22" t="s">
        <v>1719</v>
      </c>
      <c r="H147" s="107" t="s">
        <v>838</v>
      </c>
      <c r="I147" s="107" t="s">
        <v>807</v>
      </c>
      <c r="J147" s="107" t="s">
        <v>968</v>
      </c>
      <c r="K147" s="107" t="s">
        <v>969</v>
      </c>
    </row>
    <row r="148" spans="1:11" ht="15.75" thickBot="1">
      <c r="A148" s="34" t="s">
        <v>1137</v>
      </c>
      <c r="B148" s="106" t="s">
        <v>524</v>
      </c>
      <c r="C148" s="106" t="s">
        <v>779</v>
      </c>
      <c r="D148" s="106"/>
      <c r="E148" s="106" t="s">
        <v>350</v>
      </c>
      <c r="F148" s="106"/>
      <c r="G148" s="106" t="s">
        <v>806</v>
      </c>
      <c r="H148" s="106" t="s">
        <v>862</v>
      </c>
      <c r="I148" s="106" t="s">
        <v>838</v>
      </c>
      <c r="J148" s="106" t="s">
        <v>838</v>
      </c>
      <c r="K148" s="106" t="s">
        <v>838</v>
      </c>
    </row>
    <row r="149" spans="1:11" ht="15.75" thickBot="1">
      <c r="A149" s="34" t="s">
        <v>1137</v>
      </c>
      <c r="B149" s="106" t="s">
        <v>523</v>
      </c>
      <c r="C149" s="106" t="s">
        <v>779</v>
      </c>
      <c r="D149" s="106"/>
      <c r="E149" s="106" t="s">
        <v>354</v>
      </c>
      <c r="F149" s="106"/>
      <c r="G149" s="106" t="s">
        <v>1720</v>
      </c>
      <c r="H149" s="106" t="s">
        <v>838</v>
      </c>
      <c r="I149" s="106" t="s">
        <v>807</v>
      </c>
      <c r="J149" s="106" t="s">
        <v>970</v>
      </c>
      <c r="K149" s="106" t="s">
        <v>971</v>
      </c>
    </row>
    <row r="150" spans="1:11" ht="15.75" thickBot="1">
      <c r="A150" s="34" t="s">
        <v>1138</v>
      </c>
      <c r="B150" s="107" t="s">
        <v>522</v>
      </c>
      <c r="C150" s="106" t="s">
        <v>879</v>
      </c>
      <c r="D150" s="106"/>
      <c r="E150" s="106" t="s">
        <v>353</v>
      </c>
      <c r="F150" s="106"/>
      <c r="G150" s="106" t="s">
        <v>972</v>
      </c>
      <c r="H150" s="106"/>
      <c r="I150" s="106"/>
      <c r="J150" s="106"/>
      <c r="K150" s="106"/>
    </row>
    <row r="151" spans="1:11" ht="15.75" thickBot="1">
      <c r="A151" s="34" t="s">
        <v>1138</v>
      </c>
      <c r="B151" s="107" t="s">
        <v>521</v>
      </c>
      <c r="C151" s="106" t="s">
        <v>879</v>
      </c>
      <c r="D151" s="106"/>
      <c r="E151" s="106" t="s">
        <v>352</v>
      </c>
      <c r="F151" s="106"/>
      <c r="G151" s="106" t="s">
        <v>972</v>
      </c>
      <c r="H151" s="106"/>
      <c r="I151" s="106"/>
      <c r="J151" s="106"/>
      <c r="K151" s="106"/>
    </row>
    <row r="152" spans="1:11" ht="15.75" thickBot="1">
      <c r="A152" s="34" t="s">
        <v>1138</v>
      </c>
      <c r="B152" s="107" t="s">
        <v>520</v>
      </c>
      <c r="C152" s="107" t="s">
        <v>870</v>
      </c>
      <c r="D152" s="106"/>
      <c r="E152" s="106" t="s">
        <v>351</v>
      </c>
      <c r="F152" s="106"/>
      <c r="G152" s="106"/>
      <c r="H152" s="106" t="s">
        <v>973</v>
      </c>
      <c r="I152" s="106"/>
      <c r="J152" s="106"/>
      <c r="K152" s="106"/>
    </row>
    <row r="153" spans="1:11" ht="15.75" thickBot="1">
      <c r="A153" s="33" t="s">
        <v>1139</v>
      </c>
      <c r="B153" s="107" t="s">
        <v>1141</v>
      </c>
      <c r="C153" s="107" t="s">
        <v>779</v>
      </c>
      <c r="D153" s="107"/>
      <c r="E153" s="107" t="s">
        <v>350</v>
      </c>
      <c r="F153" s="107"/>
      <c r="G153" s="107"/>
      <c r="H153" s="107"/>
      <c r="I153" s="107"/>
      <c r="J153" s="107"/>
      <c r="K153" s="107"/>
    </row>
    <row r="154" spans="1:11" ht="15.75" thickBot="1">
      <c r="A154" s="33" t="s">
        <v>1139</v>
      </c>
      <c r="B154" s="107" t="s">
        <v>1142</v>
      </c>
      <c r="C154" s="107" t="s">
        <v>779</v>
      </c>
      <c r="D154" s="107"/>
      <c r="E154" s="107" t="s">
        <v>349</v>
      </c>
      <c r="F154" s="107"/>
      <c r="G154" s="22" t="s">
        <v>1721</v>
      </c>
      <c r="H154" s="106" t="s">
        <v>865</v>
      </c>
      <c r="I154" s="107"/>
      <c r="J154" s="107"/>
      <c r="K154" s="107"/>
    </row>
    <row r="155" spans="1:11">
      <c r="A155" s="33" t="s">
        <v>1140</v>
      </c>
      <c r="B155" s="107" t="s">
        <v>1143</v>
      </c>
      <c r="C155" s="107" t="s">
        <v>879</v>
      </c>
      <c r="D155" s="107"/>
      <c r="E155" s="45" t="s">
        <v>348</v>
      </c>
      <c r="F155" s="107"/>
      <c r="G155" s="107" t="s">
        <v>972</v>
      </c>
      <c r="H155" s="107"/>
      <c r="I155" s="107"/>
      <c r="J155" s="107"/>
      <c r="K155" s="107"/>
    </row>
    <row r="156" spans="1:11">
      <c r="A156" s="33" t="s">
        <v>1140</v>
      </c>
      <c r="B156" s="107" t="s">
        <v>1144</v>
      </c>
      <c r="C156" s="107" t="s">
        <v>879</v>
      </c>
      <c r="D156" s="107"/>
      <c r="E156" s="113" t="s">
        <v>347</v>
      </c>
      <c r="F156" s="107"/>
      <c r="G156" s="107" t="s">
        <v>972</v>
      </c>
      <c r="H156" s="107"/>
      <c r="I156" s="107"/>
      <c r="J156" s="107"/>
      <c r="K156" s="107"/>
    </row>
    <row r="157" spans="1:11" ht="15.75" thickBot="1">
      <c r="A157" s="33" t="s">
        <v>1140</v>
      </c>
      <c r="B157" s="107" t="s">
        <v>1145</v>
      </c>
      <c r="C157" s="107" t="s">
        <v>870</v>
      </c>
      <c r="D157" s="107"/>
      <c r="E157" s="107" t="s">
        <v>346</v>
      </c>
      <c r="F157" s="107"/>
      <c r="G157" s="107" t="s">
        <v>838</v>
      </c>
      <c r="H157" s="45" t="s">
        <v>973</v>
      </c>
      <c r="I157" s="107"/>
      <c r="J157" s="107"/>
      <c r="K157" s="107"/>
    </row>
    <row r="158" spans="1:11" ht="15.75" thickBot="1">
      <c r="A158" s="38" t="s">
        <v>1723</v>
      </c>
      <c r="B158" s="107" t="s">
        <v>1726</v>
      </c>
      <c r="C158" s="107" t="s">
        <v>779</v>
      </c>
      <c r="D158" s="107"/>
      <c r="E158" s="106" t="s">
        <v>350</v>
      </c>
      <c r="F158" s="107"/>
      <c r="G158" s="106" t="s">
        <v>806</v>
      </c>
      <c r="H158" s="45"/>
      <c r="I158" s="107"/>
      <c r="J158" s="107"/>
      <c r="K158" s="107"/>
    </row>
    <row r="159" spans="1:11" ht="15.75" thickBot="1">
      <c r="A159" s="38" t="s">
        <v>1723</v>
      </c>
      <c r="B159" s="107" t="s">
        <v>1727</v>
      </c>
      <c r="C159" s="107" t="s">
        <v>779</v>
      </c>
      <c r="D159" s="107"/>
      <c r="E159" s="106" t="s">
        <v>1725</v>
      </c>
      <c r="F159" s="107"/>
      <c r="G159" s="22" t="s">
        <v>1745</v>
      </c>
      <c r="H159" s="45"/>
      <c r="I159" s="107"/>
      <c r="J159" s="107"/>
      <c r="K159" s="107"/>
    </row>
    <row r="160" spans="1:11" ht="15.75" thickBot="1">
      <c r="A160" s="38" t="s">
        <v>1723</v>
      </c>
      <c r="B160" s="107" t="s">
        <v>1728</v>
      </c>
      <c r="C160" s="107" t="s">
        <v>779</v>
      </c>
      <c r="D160" s="107"/>
      <c r="E160" t="s">
        <v>1724</v>
      </c>
      <c r="F160" s="107"/>
      <c r="G160" s="107" t="s">
        <v>1733</v>
      </c>
      <c r="H160" s="45"/>
      <c r="I160" s="107"/>
      <c r="J160" s="107"/>
      <c r="K160" s="107"/>
    </row>
    <row r="161" spans="1:14" ht="15.75" thickBot="1">
      <c r="A161" s="38" t="s">
        <v>1723</v>
      </c>
      <c r="B161" s="107" t="s">
        <v>1729</v>
      </c>
      <c r="C161" s="107" t="s">
        <v>779</v>
      </c>
      <c r="D161" s="107"/>
      <c r="E161" s="107" t="s">
        <v>1732</v>
      </c>
      <c r="F161" s="107"/>
      <c r="G161" s="107" t="s">
        <v>1734</v>
      </c>
      <c r="H161" s="45"/>
      <c r="I161" s="107"/>
      <c r="J161" s="107"/>
      <c r="K161" s="107"/>
    </row>
    <row r="162" spans="1:14" ht="15.75" thickBot="1">
      <c r="A162" s="38" t="s">
        <v>1723</v>
      </c>
      <c r="B162" s="107" t="s">
        <v>1730</v>
      </c>
      <c r="C162" s="107" t="s">
        <v>779</v>
      </c>
      <c r="D162" s="107"/>
      <c r="E162" s="107" t="s">
        <v>1731</v>
      </c>
      <c r="F162" s="107"/>
      <c r="G162" s="107" t="s">
        <v>1735</v>
      </c>
      <c r="H162" s="45"/>
      <c r="I162" s="107"/>
      <c r="J162" s="107"/>
      <c r="K162" s="107"/>
    </row>
    <row r="163" spans="1:14">
      <c r="A163" s="63" t="s">
        <v>974</v>
      </c>
      <c r="B163" s="107"/>
      <c r="C163" s="107"/>
      <c r="D163" s="107"/>
      <c r="E163" s="107"/>
      <c r="F163" s="107"/>
      <c r="G163" s="107"/>
      <c r="H163" s="107"/>
      <c r="I163" s="107"/>
      <c r="J163" s="107"/>
      <c r="K163" s="107"/>
    </row>
    <row r="164" spans="1:14" ht="15.75" thickBot="1">
      <c r="A164" s="22" t="s">
        <v>490</v>
      </c>
      <c r="B164" t="s">
        <v>975</v>
      </c>
      <c r="C164" t="s">
        <v>779</v>
      </c>
      <c r="D164" t="s">
        <v>56</v>
      </c>
      <c r="E164" t="s">
        <v>976</v>
      </c>
      <c r="L164" t="s">
        <v>977</v>
      </c>
      <c r="M164" t="s">
        <v>978</v>
      </c>
      <c r="N164" t="s">
        <v>979</v>
      </c>
    </row>
    <row r="165" spans="1:14" ht="14.45" customHeight="1" thickBot="1">
      <c r="A165" s="32" t="s">
        <v>1245</v>
      </c>
      <c r="B165" s="106" t="s">
        <v>519</v>
      </c>
      <c r="C165" t="s">
        <v>779</v>
      </c>
      <c r="E165" t="s">
        <v>345</v>
      </c>
      <c r="G165" t="s">
        <v>806</v>
      </c>
      <c r="H165" t="s">
        <v>980</v>
      </c>
      <c r="I165" t="s">
        <v>807</v>
      </c>
      <c r="J165" t="s">
        <v>808</v>
      </c>
      <c r="K165" t="s">
        <v>809</v>
      </c>
    </row>
    <row r="166" spans="1:14" ht="15.75" thickBot="1">
      <c r="A166" s="32" t="s">
        <v>1245</v>
      </c>
      <c r="B166" s="106" t="s">
        <v>518</v>
      </c>
      <c r="C166" s="106" t="s">
        <v>810</v>
      </c>
      <c r="D166" s="106" t="s">
        <v>811</v>
      </c>
      <c r="E166" s="114" t="s">
        <v>344</v>
      </c>
      <c r="F166" s="106"/>
      <c r="G166" s="106"/>
      <c r="H166" s="106" t="s">
        <v>981</v>
      </c>
      <c r="I166" s="106"/>
      <c r="J166" s="106"/>
      <c r="K166" s="106"/>
    </row>
    <row r="167" spans="1:14">
      <c r="A167" s="31" t="s">
        <v>1151</v>
      </c>
      <c r="B167" t="s">
        <v>517</v>
      </c>
      <c r="C167" s="107" t="s">
        <v>779</v>
      </c>
      <c r="E167" t="s">
        <v>343</v>
      </c>
    </row>
    <row r="168" spans="1:14">
      <c r="A168" s="31" t="s">
        <v>1151</v>
      </c>
      <c r="B168" t="s">
        <v>1164</v>
      </c>
      <c r="C168" s="107" t="s">
        <v>779</v>
      </c>
    </row>
    <row r="169" spans="1:14">
      <c r="A169" s="31" t="s">
        <v>1151</v>
      </c>
      <c r="B169" t="s">
        <v>982</v>
      </c>
      <c r="C169" s="107" t="s">
        <v>779</v>
      </c>
      <c r="E169" t="s">
        <v>342</v>
      </c>
      <c r="G169" t="s">
        <v>1150</v>
      </c>
    </row>
    <row r="170" spans="1:14" ht="15.75" thickBot="1">
      <c r="A170" s="31" t="s">
        <v>1151</v>
      </c>
      <c r="B170" t="s">
        <v>714</v>
      </c>
      <c r="C170" s="107" t="s">
        <v>779</v>
      </c>
      <c r="E170" t="s">
        <v>341</v>
      </c>
    </row>
    <row r="171" spans="1:14" ht="15.75" thickBot="1">
      <c r="A171" s="31" t="s">
        <v>1151</v>
      </c>
      <c r="B171" s="106" t="s">
        <v>708</v>
      </c>
      <c r="C171" s="106" t="s">
        <v>779</v>
      </c>
      <c r="D171" s="106"/>
      <c r="E171" s="106" t="s">
        <v>336</v>
      </c>
      <c r="F171" s="106"/>
      <c r="G171" s="106" t="s">
        <v>983</v>
      </c>
      <c r="H171" s="106"/>
      <c r="I171" s="106"/>
      <c r="J171" s="106"/>
      <c r="K171" s="106"/>
    </row>
    <row r="172" spans="1:14" ht="15.75" thickBot="1">
      <c r="A172" s="31" t="s">
        <v>1152</v>
      </c>
      <c r="B172" s="106" t="s">
        <v>713</v>
      </c>
      <c r="C172" s="106" t="s">
        <v>779</v>
      </c>
      <c r="D172" s="106"/>
      <c r="E172" s="106" t="s">
        <v>328</v>
      </c>
      <c r="F172" s="106"/>
      <c r="G172" s="106" t="s">
        <v>984</v>
      </c>
      <c r="H172" s="106" t="s">
        <v>985</v>
      </c>
      <c r="I172" s="106"/>
      <c r="J172" s="106"/>
      <c r="K172" s="106"/>
    </row>
    <row r="173" spans="1:14" ht="15.75" thickBot="1">
      <c r="A173" s="1" t="s">
        <v>0</v>
      </c>
      <c r="B173" s="106" t="s">
        <v>704</v>
      </c>
      <c r="C173" s="106" t="s">
        <v>779</v>
      </c>
      <c r="D173" s="106" t="s">
        <v>56</v>
      </c>
      <c r="E173" s="106" t="s">
        <v>340</v>
      </c>
      <c r="F173" s="106"/>
      <c r="G173" s="106" t="s">
        <v>774</v>
      </c>
      <c r="H173" s="106"/>
      <c r="I173" s="106"/>
      <c r="J173" s="106"/>
      <c r="K173" s="106"/>
      <c r="L173" t="s">
        <v>986</v>
      </c>
      <c r="M173" t="s">
        <v>774</v>
      </c>
      <c r="N173" t="s">
        <v>56</v>
      </c>
    </row>
    <row r="174" spans="1:14" ht="15.75" thickBot="1">
      <c r="A174" s="1" t="s">
        <v>0</v>
      </c>
      <c r="B174" s="106" t="s">
        <v>705</v>
      </c>
      <c r="C174" s="106" t="s">
        <v>779</v>
      </c>
      <c r="D174" s="106"/>
      <c r="E174" s="106" t="s">
        <v>339</v>
      </c>
      <c r="F174" s="106"/>
      <c r="G174" s="106" t="s">
        <v>774</v>
      </c>
      <c r="H174" s="106"/>
      <c r="I174" s="106"/>
      <c r="J174" s="106"/>
      <c r="K174" s="106"/>
      <c r="L174" t="s">
        <v>987</v>
      </c>
      <c r="M174" t="s">
        <v>774</v>
      </c>
      <c r="N174" t="s">
        <v>988</v>
      </c>
    </row>
    <row r="175" spans="1:14" s="64" customFormat="1" ht="15.75" thickBot="1">
      <c r="A175" s="1" t="s">
        <v>0</v>
      </c>
      <c r="B175" s="106" t="s">
        <v>706</v>
      </c>
      <c r="C175" s="106" t="s">
        <v>779</v>
      </c>
      <c r="D175" s="106"/>
      <c r="E175" s="106" t="s">
        <v>338</v>
      </c>
      <c r="F175" s="106"/>
      <c r="G175" s="106" t="s">
        <v>989</v>
      </c>
      <c r="H175" s="106"/>
      <c r="I175" s="106"/>
      <c r="J175" s="106"/>
      <c r="K175" s="106"/>
      <c r="L175" t="s">
        <v>990</v>
      </c>
      <c r="M175" t="s">
        <v>781</v>
      </c>
      <c r="N175" t="s">
        <v>991</v>
      </c>
    </row>
    <row r="176" spans="1:14" ht="15.75" thickBot="1">
      <c r="A176" s="1" t="s">
        <v>0</v>
      </c>
      <c r="B176" s="106" t="s">
        <v>707</v>
      </c>
      <c r="C176" s="106" t="s">
        <v>779</v>
      </c>
      <c r="D176" s="106" t="s">
        <v>56</v>
      </c>
      <c r="E176" s="106" t="s">
        <v>337</v>
      </c>
      <c r="F176" s="106"/>
      <c r="G176" s="106" t="s">
        <v>992</v>
      </c>
      <c r="H176" s="106" t="s">
        <v>993</v>
      </c>
      <c r="I176" s="106" t="s">
        <v>807</v>
      </c>
      <c r="J176" s="106"/>
      <c r="K176" s="106"/>
      <c r="L176" t="s">
        <v>994</v>
      </c>
      <c r="M176" t="s">
        <v>995</v>
      </c>
      <c r="N176" t="s">
        <v>56</v>
      </c>
    </row>
    <row r="177" spans="1:18" ht="15.75" thickBot="1">
      <c r="A177" s="1" t="s">
        <v>0</v>
      </c>
      <c r="B177" s="106" t="s">
        <v>511</v>
      </c>
      <c r="C177" s="106" t="s">
        <v>810</v>
      </c>
      <c r="D177" s="106" t="s">
        <v>871</v>
      </c>
      <c r="E177" s="106" t="s">
        <v>996</v>
      </c>
      <c r="F177" s="106"/>
      <c r="G177" s="106"/>
      <c r="H177" s="106" t="s">
        <v>997</v>
      </c>
      <c r="I177" s="106" t="s">
        <v>807</v>
      </c>
      <c r="J177" s="106" t="s">
        <v>998</v>
      </c>
      <c r="K177" s="106" t="s">
        <v>999</v>
      </c>
    </row>
    <row r="178" spans="1:18" ht="15.75" thickBot="1">
      <c r="A178" s="1" t="s">
        <v>0</v>
      </c>
      <c r="B178" s="106" t="s">
        <v>510</v>
      </c>
      <c r="C178" s="106" t="s">
        <v>810</v>
      </c>
      <c r="D178" s="106" t="s">
        <v>871</v>
      </c>
      <c r="E178" s="106" t="s">
        <v>1000</v>
      </c>
      <c r="F178" s="106"/>
      <c r="G178" s="106"/>
      <c r="H178" s="106" t="s">
        <v>1001</v>
      </c>
      <c r="I178" s="106" t="s">
        <v>807</v>
      </c>
      <c r="J178" s="106" t="s">
        <v>998</v>
      </c>
      <c r="K178" s="106" t="s">
        <v>999</v>
      </c>
    </row>
    <row r="179" spans="1:18" ht="15.75" thickBot="1">
      <c r="A179" s="1" t="s">
        <v>0</v>
      </c>
      <c r="B179" s="106" t="s">
        <v>509</v>
      </c>
      <c r="C179" s="106" t="s">
        <v>810</v>
      </c>
      <c r="D179" s="106" t="s">
        <v>1002</v>
      </c>
      <c r="E179" s="106" t="s">
        <v>333</v>
      </c>
      <c r="F179" s="106"/>
      <c r="G179" s="106" t="s">
        <v>838</v>
      </c>
      <c r="H179" s="106" t="s">
        <v>1003</v>
      </c>
      <c r="I179" s="106" t="s">
        <v>807</v>
      </c>
      <c r="J179" s="106"/>
      <c r="K179" s="106"/>
    </row>
    <row r="180" spans="1:18" ht="15.75" thickBot="1">
      <c r="A180" s="1" t="s">
        <v>0</v>
      </c>
      <c r="B180" s="106" t="s">
        <v>508</v>
      </c>
      <c r="C180" s="106" t="s">
        <v>810</v>
      </c>
      <c r="D180" s="106" t="s">
        <v>1004</v>
      </c>
      <c r="E180" s="106" t="s">
        <v>332</v>
      </c>
      <c r="F180" s="106"/>
      <c r="G180" s="106" t="s">
        <v>838</v>
      </c>
      <c r="H180" s="106" t="s">
        <v>1003</v>
      </c>
      <c r="I180" s="106" t="s">
        <v>807</v>
      </c>
      <c r="J180" s="106"/>
      <c r="K180" s="106"/>
    </row>
    <row r="181" spans="1:18" ht="15.75" thickBot="1">
      <c r="A181" s="1" t="s">
        <v>0</v>
      </c>
      <c r="B181" s="106" t="s">
        <v>507</v>
      </c>
      <c r="C181" s="106" t="s">
        <v>779</v>
      </c>
      <c r="D181" s="106"/>
      <c r="E181" s="106" t="s">
        <v>331</v>
      </c>
      <c r="F181" s="106"/>
      <c r="G181" s="106"/>
      <c r="H181" s="106" t="s">
        <v>1005</v>
      </c>
      <c r="I181" s="106" t="s">
        <v>1006</v>
      </c>
      <c r="J181" s="106" t="s">
        <v>807</v>
      </c>
      <c r="K181" s="106"/>
    </row>
    <row r="182" spans="1:18" ht="15.75" thickBot="1">
      <c r="A182" s="1" t="s">
        <v>0</v>
      </c>
      <c r="B182" s="106" t="s">
        <v>506</v>
      </c>
      <c r="C182" s="106" t="s">
        <v>810</v>
      </c>
      <c r="D182" s="106"/>
      <c r="E182" s="106" t="s">
        <v>330</v>
      </c>
      <c r="F182" s="106"/>
      <c r="G182" s="106"/>
      <c r="H182" s="106" t="s">
        <v>832</v>
      </c>
      <c r="I182" s="106" t="s">
        <v>807</v>
      </c>
      <c r="J182" s="106" t="s">
        <v>1007</v>
      </c>
      <c r="K182" s="106" t="s">
        <v>1008</v>
      </c>
    </row>
    <row r="183" spans="1:18" ht="15.75" thickBot="1">
      <c r="A183" s="1" t="s">
        <v>0</v>
      </c>
      <c r="B183" s="106" t="s">
        <v>505</v>
      </c>
      <c r="C183" s="106" t="s">
        <v>810</v>
      </c>
      <c r="D183" s="106" t="s">
        <v>1009</v>
      </c>
      <c r="E183" s="106" t="s">
        <v>329</v>
      </c>
      <c r="F183" s="106"/>
      <c r="G183" s="106"/>
      <c r="H183" s="106" t="s">
        <v>1010</v>
      </c>
      <c r="I183" s="106" t="s">
        <v>1011</v>
      </c>
      <c r="J183" s="106" t="s">
        <v>1012</v>
      </c>
      <c r="K183" s="106" t="s">
        <v>1013</v>
      </c>
    </row>
    <row r="184" spans="1:18" s="19" customFormat="1" ht="15.75" thickBot="1">
      <c r="A184" s="1" t="s">
        <v>0</v>
      </c>
      <c r="B184" s="106" t="s">
        <v>504</v>
      </c>
      <c r="C184" s="106" t="s">
        <v>779</v>
      </c>
      <c r="D184" s="106"/>
      <c r="E184" s="106" t="s">
        <v>327</v>
      </c>
      <c r="F184"/>
      <c r="G184"/>
      <c r="H184"/>
      <c r="I184"/>
      <c r="J184"/>
      <c r="K184"/>
      <c r="L184"/>
      <c r="M184"/>
      <c r="N184"/>
      <c r="O184"/>
      <c r="P184"/>
      <c r="Q184"/>
      <c r="R184"/>
    </row>
    <row r="185" spans="1:18" ht="15.75" thickBot="1">
      <c r="A185" s="30" t="s">
        <v>1244</v>
      </c>
      <c r="B185" s="106" t="s">
        <v>503</v>
      </c>
      <c r="C185" s="106" t="s">
        <v>779</v>
      </c>
      <c r="D185" s="106" t="s">
        <v>1014</v>
      </c>
      <c r="E185" s="106" t="s">
        <v>326</v>
      </c>
      <c r="F185" s="106"/>
      <c r="G185" s="106" t="s">
        <v>1015</v>
      </c>
      <c r="H185" s="106"/>
      <c r="I185" s="106"/>
      <c r="J185" s="106"/>
      <c r="K185" s="106"/>
      <c r="L185" t="s">
        <v>1016</v>
      </c>
      <c r="M185" t="s">
        <v>781</v>
      </c>
      <c r="N185" t="s">
        <v>1017</v>
      </c>
    </row>
    <row r="186" spans="1:18" ht="15.75" thickBot="1">
      <c r="A186" s="30" t="s">
        <v>1244</v>
      </c>
      <c r="B186" s="106" t="s">
        <v>502</v>
      </c>
      <c r="C186" s="106" t="s">
        <v>810</v>
      </c>
      <c r="D186" s="106" t="s">
        <v>56</v>
      </c>
      <c r="E186" s="106" t="s">
        <v>325</v>
      </c>
      <c r="F186" s="106"/>
      <c r="G186" s="106"/>
      <c r="H186" s="106"/>
      <c r="I186" s="106"/>
      <c r="J186" s="106"/>
      <c r="K186" s="106"/>
      <c r="L186" s="10" t="s">
        <v>1018</v>
      </c>
      <c r="M186" t="s">
        <v>859</v>
      </c>
      <c r="N186" t="s">
        <v>1019</v>
      </c>
    </row>
    <row r="187" spans="1:18" ht="15.75" thickBot="1">
      <c r="A187" s="30" t="s">
        <v>1244</v>
      </c>
      <c r="B187" s="106" t="s">
        <v>1192</v>
      </c>
      <c r="C187" s="106" t="s">
        <v>779</v>
      </c>
      <c r="D187" s="106" t="s">
        <v>1014</v>
      </c>
      <c r="E187" s="106" t="s">
        <v>324</v>
      </c>
      <c r="F187" s="106"/>
      <c r="G187" s="106" t="s">
        <v>1020</v>
      </c>
      <c r="H187" s="106"/>
      <c r="I187" s="106"/>
      <c r="J187" s="106"/>
      <c r="K187" s="106"/>
      <c r="L187" s="3" t="s">
        <v>1021</v>
      </c>
      <c r="M187" t="s">
        <v>781</v>
      </c>
      <c r="N187" t="s">
        <v>1022</v>
      </c>
    </row>
    <row r="188" spans="1:18" ht="15.75" thickBot="1">
      <c r="A188" s="30" t="s">
        <v>1244</v>
      </c>
      <c r="B188" s="106" t="s">
        <v>1193</v>
      </c>
      <c r="C188" s="106" t="s">
        <v>810</v>
      </c>
      <c r="D188" s="106"/>
      <c r="E188" s="106" t="s">
        <v>323</v>
      </c>
      <c r="F188" s="106"/>
      <c r="G188" s="106"/>
      <c r="H188" s="106"/>
      <c r="I188" s="106"/>
      <c r="J188" s="106"/>
      <c r="K188" s="106"/>
      <c r="L188" s="3" t="s">
        <v>1023</v>
      </c>
      <c r="M188" t="s">
        <v>859</v>
      </c>
      <c r="N188" t="s">
        <v>1024</v>
      </c>
    </row>
    <row r="189" spans="1:18" ht="15.75" thickBot="1">
      <c r="A189" s="30" t="s">
        <v>1244</v>
      </c>
      <c r="B189" s="106" t="s">
        <v>1194</v>
      </c>
      <c r="C189" s="106" t="s">
        <v>810</v>
      </c>
      <c r="D189" s="106"/>
      <c r="E189" s="106" t="s">
        <v>322</v>
      </c>
      <c r="F189" s="106"/>
      <c r="G189" s="106"/>
      <c r="H189" s="106"/>
      <c r="I189" s="106"/>
      <c r="J189" s="106"/>
      <c r="K189" s="106"/>
      <c r="L189" s="3" t="s">
        <v>1025</v>
      </c>
      <c r="M189" t="s">
        <v>859</v>
      </c>
      <c r="N189" t="s">
        <v>1026</v>
      </c>
    </row>
    <row r="190" spans="1:18" ht="15.75" thickBot="1">
      <c r="A190" s="30" t="s">
        <v>1244</v>
      </c>
      <c r="B190" s="106" t="s">
        <v>1195</v>
      </c>
      <c r="C190" s="106" t="s">
        <v>810</v>
      </c>
      <c r="D190" s="106"/>
      <c r="E190" s="106" t="s">
        <v>321</v>
      </c>
      <c r="F190" s="106"/>
      <c r="G190" s="106"/>
      <c r="H190" s="106"/>
      <c r="I190" s="106"/>
      <c r="J190" s="106"/>
      <c r="K190" s="106"/>
      <c r="L190" s="3" t="s">
        <v>1025</v>
      </c>
      <c r="M190" t="s">
        <v>859</v>
      </c>
      <c r="N190" t="s">
        <v>1026</v>
      </c>
    </row>
    <row r="191" spans="1:18" ht="15.75" thickBot="1">
      <c r="A191" s="30" t="s">
        <v>1244</v>
      </c>
      <c r="B191" s="106" t="s">
        <v>718</v>
      </c>
      <c r="C191" s="106" t="s">
        <v>1027</v>
      </c>
      <c r="D191" s="106"/>
      <c r="E191" s="106" t="s">
        <v>320</v>
      </c>
      <c r="F191" s="106"/>
      <c r="G191" s="106"/>
      <c r="H191" s="106"/>
      <c r="I191" s="106"/>
      <c r="J191" s="106"/>
      <c r="K191" s="106"/>
      <c r="L191" s="3" t="s">
        <v>1028</v>
      </c>
      <c r="M191" t="s">
        <v>1029</v>
      </c>
      <c r="N191" t="s">
        <v>1030</v>
      </c>
    </row>
    <row r="192" spans="1:18" ht="14.45" customHeight="1" thickBot="1">
      <c r="A192" s="30" t="s">
        <v>1244</v>
      </c>
      <c r="B192" s="106" t="s">
        <v>501</v>
      </c>
      <c r="C192" s="106" t="s">
        <v>779</v>
      </c>
      <c r="D192" s="106"/>
      <c r="E192" s="106" t="s">
        <v>319</v>
      </c>
      <c r="F192" s="106"/>
      <c r="G192" s="106"/>
      <c r="H192" s="106"/>
      <c r="I192" s="106"/>
      <c r="J192" s="106"/>
      <c r="K192" s="106"/>
      <c r="L192" s="3" t="s">
        <v>1031</v>
      </c>
      <c r="M192" t="s">
        <v>1032</v>
      </c>
      <c r="N192" t="s">
        <v>1033</v>
      </c>
    </row>
    <row r="193" spans="1:11" ht="15.75" thickBot="1">
      <c r="A193" s="30" t="s">
        <v>1244</v>
      </c>
      <c r="B193" s="106" t="s">
        <v>500</v>
      </c>
      <c r="C193" s="106" t="s">
        <v>779</v>
      </c>
      <c r="D193" s="106"/>
      <c r="E193" s="106" t="s">
        <v>318</v>
      </c>
      <c r="F193" s="106"/>
      <c r="G193" s="106" t="s">
        <v>1034</v>
      </c>
      <c r="H193" s="106"/>
      <c r="I193" s="106"/>
      <c r="J193" s="106"/>
      <c r="K193" s="106"/>
    </row>
    <row r="194" spans="1:11" ht="15" customHeight="1" thickBot="1">
      <c r="A194" s="39" t="s">
        <v>1156</v>
      </c>
      <c r="B194" s="106" t="s">
        <v>499</v>
      </c>
      <c r="C194" s="106" t="s">
        <v>779</v>
      </c>
      <c r="D194" s="106"/>
      <c r="E194" s="107" t="s">
        <v>317</v>
      </c>
      <c r="F194" s="106"/>
      <c r="G194" s="106"/>
      <c r="H194" s="106"/>
      <c r="I194" s="106"/>
      <c r="J194" s="106"/>
      <c r="K194" s="106"/>
    </row>
    <row r="195" spans="1:11" ht="15.75" thickBot="1">
      <c r="A195" s="39" t="s">
        <v>1156</v>
      </c>
      <c r="B195" s="106" t="s">
        <v>498</v>
      </c>
      <c r="C195" s="106" t="s">
        <v>1035</v>
      </c>
      <c r="D195" s="106"/>
      <c r="E195" s="115" t="s">
        <v>316</v>
      </c>
      <c r="F195" s="106"/>
      <c r="G195" s="106"/>
      <c r="H195" s="106"/>
      <c r="I195" s="106"/>
      <c r="J195" s="106"/>
      <c r="K195" s="106"/>
    </row>
    <row r="196" spans="1:11" ht="15.75" thickBot="1">
      <c r="A196" s="39" t="s">
        <v>1156</v>
      </c>
      <c r="B196" s="106" t="s">
        <v>497</v>
      </c>
      <c r="C196" s="106" t="s">
        <v>1035</v>
      </c>
      <c r="D196" s="106"/>
      <c r="E196" s="115" t="s">
        <v>315</v>
      </c>
      <c r="F196" s="106"/>
      <c r="G196" s="106"/>
      <c r="H196" s="106"/>
      <c r="I196" s="106"/>
      <c r="J196" s="106"/>
      <c r="K196" s="106"/>
    </row>
    <row r="197" spans="1:11" ht="15" customHeight="1" thickBot="1">
      <c r="A197" s="39" t="s">
        <v>1156</v>
      </c>
      <c r="B197" s="106" t="s">
        <v>496</v>
      </c>
      <c r="C197" s="106" t="s">
        <v>1035</v>
      </c>
      <c r="D197" s="106"/>
      <c r="E197" s="107" t="s">
        <v>314</v>
      </c>
      <c r="F197" s="106"/>
      <c r="G197" s="106"/>
      <c r="H197" s="106"/>
      <c r="I197" s="106"/>
      <c r="J197" s="106"/>
      <c r="K197" s="106"/>
    </row>
    <row r="198" spans="1:11" ht="15" customHeight="1" thickBot="1">
      <c r="A198" s="39" t="s">
        <v>1156</v>
      </c>
      <c r="B198" s="106" t="s">
        <v>495</v>
      </c>
      <c r="C198" s="106" t="s">
        <v>1035</v>
      </c>
      <c r="D198" s="106"/>
      <c r="E198" s="107" t="s">
        <v>313</v>
      </c>
      <c r="F198" s="106"/>
      <c r="G198" s="106"/>
      <c r="H198" s="106"/>
      <c r="I198" s="106"/>
      <c r="J198" s="106"/>
      <c r="K198" s="106"/>
    </row>
    <row r="199" spans="1:11" ht="15.75" thickBot="1">
      <c r="A199" s="82" t="s">
        <v>1181</v>
      </c>
      <c r="B199" s="116" t="s">
        <v>1173</v>
      </c>
      <c r="C199" s="106"/>
      <c r="D199" s="106"/>
      <c r="E199" s="107"/>
      <c r="F199" s="106"/>
      <c r="G199" s="106"/>
      <c r="H199" s="106"/>
      <c r="I199" s="106"/>
      <c r="J199" s="106"/>
      <c r="K199" s="106"/>
    </row>
    <row r="200" spans="1:11" ht="15.75" thickBot="1">
      <c r="A200" s="82" t="s">
        <v>1181</v>
      </c>
      <c r="B200" s="116" t="s">
        <v>1174</v>
      </c>
      <c r="C200" s="106"/>
      <c r="D200" s="106"/>
      <c r="E200" s="107"/>
      <c r="F200" s="106"/>
      <c r="G200" s="106"/>
      <c r="H200" s="106"/>
      <c r="I200" s="106"/>
      <c r="J200" s="106"/>
      <c r="K200" s="106"/>
    </row>
    <row r="201" spans="1:11" ht="15.75" thickBot="1">
      <c r="A201" s="82" t="s">
        <v>1181</v>
      </c>
      <c r="B201" s="117" t="s">
        <v>1180</v>
      </c>
      <c r="C201" s="106"/>
      <c r="D201" s="106"/>
      <c r="E201" s="107"/>
      <c r="F201" s="106"/>
      <c r="G201" s="106"/>
      <c r="H201" s="106"/>
      <c r="I201" s="106"/>
      <c r="J201" s="106"/>
      <c r="K201" s="106"/>
    </row>
    <row r="202" spans="1:11" ht="15" customHeight="1" thickBot="1">
      <c r="A202" s="82" t="s">
        <v>1181</v>
      </c>
      <c r="B202" s="117" t="s">
        <v>1175</v>
      </c>
      <c r="C202" s="106"/>
      <c r="D202" s="106"/>
      <c r="E202" s="107"/>
      <c r="F202" s="106"/>
      <c r="G202" s="106"/>
      <c r="H202" s="106"/>
      <c r="I202" s="106"/>
      <c r="J202" s="106"/>
      <c r="K202" s="106"/>
    </row>
    <row r="203" spans="1:11" ht="15.75" thickBot="1">
      <c r="A203" s="82" t="s">
        <v>1181</v>
      </c>
      <c r="B203" s="117" t="s">
        <v>1176</v>
      </c>
      <c r="C203" s="106"/>
      <c r="D203" s="106"/>
      <c r="E203" s="107"/>
      <c r="F203" s="106"/>
      <c r="G203" s="106"/>
      <c r="H203" s="106"/>
      <c r="I203" s="106"/>
      <c r="J203" s="106"/>
      <c r="K203" s="106"/>
    </row>
    <row r="204" spans="1:11" ht="15.75" thickBot="1">
      <c r="A204" s="82" t="s">
        <v>1181</v>
      </c>
      <c r="B204" s="117" t="s">
        <v>1179</v>
      </c>
      <c r="C204" s="106"/>
      <c r="D204" s="106"/>
      <c r="E204" s="107"/>
      <c r="F204" s="106"/>
      <c r="G204" s="106"/>
      <c r="H204" s="106"/>
      <c r="I204" s="106"/>
      <c r="J204" s="106"/>
      <c r="K204" s="106"/>
    </row>
    <row r="205" spans="1:11" ht="15.75" thickBot="1">
      <c r="A205" s="82" t="s">
        <v>1181</v>
      </c>
      <c r="B205" s="118" t="s">
        <v>1177</v>
      </c>
      <c r="C205" s="106"/>
      <c r="D205" s="106"/>
      <c r="E205" s="107"/>
      <c r="F205" s="106"/>
      <c r="G205" s="106"/>
      <c r="H205" s="106"/>
      <c r="I205" s="106"/>
      <c r="J205" s="106"/>
      <c r="K205" s="106"/>
    </row>
    <row r="206" spans="1:11" ht="15.75" thickBot="1">
      <c r="A206" s="29"/>
      <c r="B206" s="119"/>
      <c r="C206" s="106"/>
      <c r="D206" s="106"/>
      <c r="E206" s="107"/>
      <c r="F206" s="106"/>
      <c r="G206" s="106"/>
      <c r="H206" s="106"/>
      <c r="I206" s="106"/>
      <c r="J206" s="106"/>
      <c r="K206" s="106"/>
    </row>
    <row r="207" spans="1:11" ht="15.75" thickBot="1">
      <c r="A207" s="29"/>
      <c r="B207" s="119"/>
      <c r="C207" s="106"/>
      <c r="D207" s="106"/>
      <c r="E207" s="107"/>
      <c r="F207" s="106"/>
      <c r="G207" s="106"/>
      <c r="H207" s="106"/>
      <c r="I207" s="106"/>
      <c r="J207" s="106"/>
      <c r="K207" s="106"/>
    </row>
    <row r="208" spans="1:11" ht="15.75" thickBot="1">
      <c r="A208" s="29"/>
      <c r="B208" s="119"/>
      <c r="C208" s="106"/>
      <c r="D208" s="106"/>
      <c r="E208" s="107"/>
      <c r="F208" s="106"/>
      <c r="G208" s="106"/>
      <c r="H208" s="106"/>
      <c r="I208" s="106"/>
      <c r="J208" s="106"/>
      <c r="K208" s="106"/>
    </row>
    <row r="209" spans="1:14" ht="15.75" thickBot="1">
      <c r="A209" s="39" t="s">
        <v>1036</v>
      </c>
      <c r="B209" s="106" t="s">
        <v>1037</v>
      </c>
      <c r="C209" s="106" t="s">
        <v>879</v>
      </c>
      <c r="D209" s="106"/>
      <c r="E209" s="45" t="s">
        <v>1038</v>
      </c>
      <c r="F209" s="106"/>
      <c r="G209" s="106" t="s">
        <v>1039</v>
      </c>
      <c r="H209" s="106" t="s">
        <v>1040</v>
      </c>
      <c r="I209" s="106" t="s">
        <v>807</v>
      </c>
      <c r="J209" s="106" t="s">
        <v>1041</v>
      </c>
      <c r="K209" s="106" t="s">
        <v>1042</v>
      </c>
    </row>
    <row r="210" spans="1:14" ht="15.75" thickBot="1">
      <c r="A210" s="39" t="s">
        <v>1036</v>
      </c>
      <c r="B210" s="106" t="s">
        <v>1043</v>
      </c>
      <c r="C210" s="106" t="s">
        <v>879</v>
      </c>
      <c r="D210" s="106"/>
      <c r="E210" s="45" t="s">
        <v>1044</v>
      </c>
      <c r="F210" s="106"/>
      <c r="G210" s="106" t="s">
        <v>1039</v>
      </c>
      <c r="H210" s="106" t="s">
        <v>1045</v>
      </c>
      <c r="I210" s="106" t="s">
        <v>807</v>
      </c>
      <c r="J210" s="106" t="s">
        <v>1041</v>
      </c>
      <c r="K210" s="106" t="s">
        <v>1042</v>
      </c>
    </row>
    <row r="211" spans="1:14">
      <c r="A211" s="39" t="s">
        <v>1036</v>
      </c>
      <c r="B211" s="107" t="s">
        <v>1046</v>
      </c>
      <c r="C211" s="107" t="s">
        <v>870</v>
      </c>
      <c r="D211" s="107"/>
      <c r="E211" s="45" t="s">
        <v>1047</v>
      </c>
      <c r="F211" s="107"/>
      <c r="G211" s="107" t="s">
        <v>838</v>
      </c>
      <c r="H211" s="107"/>
      <c r="I211" s="107"/>
      <c r="J211" s="107"/>
      <c r="K211" s="107"/>
    </row>
    <row r="212" spans="1:14">
      <c r="A212" s="39" t="s">
        <v>1036</v>
      </c>
      <c r="B212" s="107"/>
      <c r="C212" s="107"/>
      <c r="D212" s="107"/>
      <c r="E212" s="45"/>
      <c r="F212" s="107"/>
      <c r="G212" s="107"/>
      <c r="H212" s="107"/>
      <c r="I212" s="107"/>
      <c r="J212" s="107"/>
      <c r="K212" s="107"/>
    </row>
    <row r="213" spans="1:14">
      <c r="A213" s="39"/>
      <c r="B213" s="107"/>
      <c r="C213" s="107"/>
      <c r="D213" s="107"/>
      <c r="E213" s="45"/>
      <c r="F213" s="107"/>
      <c r="G213" s="107"/>
      <c r="H213" s="107"/>
      <c r="I213" s="107"/>
      <c r="J213" s="107"/>
      <c r="K213" s="107"/>
    </row>
    <row r="214" spans="1:14" ht="14.45" customHeight="1">
      <c r="A214" s="1"/>
      <c r="E214" s="113"/>
      <c r="F214" s="109"/>
      <c r="G214" s="109"/>
      <c r="H214" s="109"/>
      <c r="I214" s="109"/>
      <c r="J214" s="109"/>
      <c r="K214" s="109"/>
      <c r="L214" s="3"/>
    </row>
    <row r="215" spans="1:14" ht="14.45" customHeight="1">
      <c r="A215" s="65" t="s">
        <v>1048</v>
      </c>
      <c r="B215" t="s">
        <v>1049</v>
      </c>
      <c r="E215" s="109"/>
      <c r="F215" s="109"/>
      <c r="G215" s="109"/>
      <c r="H215" s="109"/>
      <c r="I215" s="109"/>
      <c r="J215" s="109"/>
      <c r="K215" s="109"/>
      <c r="L215" s="3"/>
    </row>
    <row r="216" spans="1:14">
      <c r="A216" s="65" t="s">
        <v>1048</v>
      </c>
      <c r="B216" t="s">
        <v>1050</v>
      </c>
      <c r="C216" t="s">
        <v>1051</v>
      </c>
      <c r="D216" t="s">
        <v>1004</v>
      </c>
      <c r="E216" t="s">
        <v>1052</v>
      </c>
      <c r="L216" t="s">
        <v>1053</v>
      </c>
      <c r="M216" t="s">
        <v>1054</v>
      </c>
      <c r="N216" t="s">
        <v>1055</v>
      </c>
    </row>
    <row r="217" spans="1:14">
      <c r="A217" s="65" t="s">
        <v>1048</v>
      </c>
      <c r="B217" t="s">
        <v>1056</v>
      </c>
      <c r="C217" t="s">
        <v>772</v>
      </c>
      <c r="D217" t="s">
        <v>56</v>
      </c>
      <c r="E217" t="s">
        <v>1057</v>
      </c>
      <c r="L217" t="s">
        <v>1058</v>
      </c>
      <c r="M217" t="s">
        <v>1059</v>
      </c>
      <c r="N217" t="s">
        <v>1060</v>
      </c>
    </row>
    <row r="218" spans="1:14">
      <c r="A218" s="65" t="s">
        <v>1048</v>
      </c>
      <c r="B218" t="s">
        <v>1061</v>
      </c>
      <c r="C218" t="s">
        <v>1062</v>
      </c>
      <c r="D218" t="s">
        <v>1063</v>
      </c>
      <c r="E218" t="s">
        <v>1064</v>
      </c>
      <c r="G218" t="s">
        <v>1065</v>
      </c>
      <c r="L218" t="s">
        <v>1066</v>
      </c>
      <c r="N218" t="s">
        <v>1067</v>
      </c>
    </row>
    <row r="219" spans="1:14">
      <c r="A219" s="65" t="s">
        <v>1048</v>
      </c>
      <c r="B219" t="s">
        <v>1068</v>
      </c>
      <c r="C219" t="s">
        <v>1062</v>
      </c>
      <c r="D219" t="s">
        <v>1063</v>
      </c>
      <c r="E219" t="s">
        <v>1069</v>
      </c>
      <c r="G219" t="s">
        <v>1065</v>
      </c>
      <c r="L219" t="s">
        <v>1070</v>
      </c>
      <c r="M219" t="s">
        <v>1065</v>
      </c>
      <c r="N219" t="s">
        <v>1071</v>
      </c>
    </row>
    <row r="220" spans="1:14">
      <c r="A220" s="65" t="s">
        <v>1048</v>
      </c>
      <c r="B220" t="s">
        <v>1072</v>
      </c>
      <c r="C220" t="s">
        <v>1062</v>
      </c>
      <c r="E220" t="s">
        <v>1073</v>
      </c>
      <c r="L220" t="s">
        <v>1074</v>
      </c>
      <c r="M220" t="s">
        <v>1075</v>
      </c>
      <c r="N220" t="s">
        <v>1076</v>
      </c>
    </row>
    <row r="221" spans="1:14">
      <c r="A221" s="65" t="s">
        <v>1048</v>
      </c>
      <c r="B221" t="s">
        <v>1077</v>
      </c>
      <c r="C221" t="s">
        <v>1062</v>
      </c>
      <c r="E221" t="s">
        <v>1078</v>
      </c>
      <c r="L221" t="s">
        <v>313</v>
      </c>
      <c r="M221" t="s">
        <v>1075</v>
      </c>
      <c r="N221" t="s">
        <v>1076</v>
      </c>
    </row>
    <row r="231" spans="1:12">
      <c r="A231" t="s">
        <v>1079</v>
      </c>
      <c r="B231" s="120" t="s">
        <v>1080</v>
      </c>
      <c r="C231" t="s">
        <v>772</v>
      </c>
      <c r="L231" t="s">
        <v>1081</v>
      </c>
    </row>
    <row r="232" spans="1:12">
      <c r="A232" s="66"/>
      <c r="B232" s="121" t="s">
        <v>1082</v>
      </c>
      <c r="C232" t="s">
        <v>772</v>
      </c>
    </row>
    <row r="233" spans="1:12">
      <c r="A233" s="1" t="s">
        <v>1079</v>
      </c>
      <c r="B233" s="120" t="s">
        <v>0</v>
      </c>
      <c r="C233" t="s">
        <v>779</v>
      </c>
      <c r="L233" t="s">
        <v>1083</v>
      </c>
    </row>
    <row r="234" spans="1:12">
      <c r="A234" s="1" t="s">
        <v>1079</v>
      </c>
      <c r="B234" s="120" t="s">
        <v>1084</v>
      </c>
      <c r="C234" t="s">
        <v>779</v>
      </c>
      <c r="L234" t="s">
        <v>1085</v>
      </c>
    </row>
    <row r="235" spans="1:12">
      <c r="A235" s="1" t="s">
        <v>1079</v>
      </c>
      <c r="B235" s="120" t="s">
        <v>1086</v>
      </c>
      <c r="C235" t="s">
        <v>779</v>
      </c>
      <c r="L235" t="s">
        <v>1087</v>
      </c>
    </row>
    <row r="236" spans="1:12">
      <c r="A236" s="1" t="s">
        <v>1079</v>
      </c>
      <c r="B236" s="120" t="s">
        <v>1088</v>
      </c>
      <c r="C236" t="s">
        <v>779</v>
      </c>
      <c r="L236" t="s">
        <v>1089</v>
      </c>
    </row>
    <row r="237" spans="1:12">
      <c r="A237" s="1" t="s">
        <v>1079</v>
      </c>
      <c r="B237" s="120" t="s">
        <v>1090</v>
      </c>
      <c r="C237" t="s">
        <v>779</v>
      </c>
      <c r="L237" t="s">
        <v>1091</v>
      </c>
    </row>
    <row r="238" spans="1:12">
      <c r="A238" s="1" t="s">
        <v>1079</v>
      </c>
      <c r="B238" s="120" t="s">
        <v>1092</v>
      </c>
      <c r="C238" t="s">
        <v>779</v>
      </c>
      <c r="L238" t="s">
        <v>1093</v>
      </c>
    </row>
    <row r="239" spans="1:12">
      <c r="A239" s="1" t="s">
        <v>1079</v>
      </c>
      <c r="B239" s="120" t="s">
        <v>1094</v>
      </c>
      <c r="C239" t="s">
        <v>779</v>
      </c>
      <c r="L239" t="s">
        <v>1095</v>
      </c>
    </row>
  </sheetData>
  <autoFilter ref="A7:O198" xr:uid="{E2E14D23-A897-46A4-9AB6-9676AB69F3D4}"/>
  <hyperlinks>
    <hyperlink ref="K109" r:id="rId1" display="http://aims.fao.org/aos/agrovoc/c_5192" xr:uid="{F1C9BC5F-B659-4119-8064-AB671C5B6F94}"/>
    <hyperlink ref="K110" r:id="rId2" display="http://aims.fao.org/aos/agrovoc/c_5192" xr:uid="{F37403DC-CFE6-4E28-AABF-E50DA69510B9}"/>
    <hyperlink ref="K111" r:id="rId3" display="http://aims.fao.org/aos/agrovoc/c_5192" xr:uid="{46206065-96CF-452C-81EB-4690F17E16A8}"/>
    <hyperlink ref="K99" r:id="rId4" display="http://aims.fao.org/aos/agrovoc/c_5192" xr:uid="{B1C266E3-BA94-410C-9FE7-0B5C2680B0C1}"/>
    <hyperlink ref="K100" r:id="rId5" display="http://aims.fao.org/aos/agrovoc/c_5192" xr:uid="{13D95D05-BE25-43D8-B47B-0680A7713D2D}"/>
    <hyperlink ref="K101" r:id="rId6" display="http://aims.fao.org/aos/agrovoc/c_5192" xr:uid="{0CB7BE85-8561-46F1-A362-7206284B6A70}"/>
    <hyperlink ref="K102" r:id="rId7" display="http://aims.fao.org/aos/agrovoc/c_5192" xr:uid="{EB6730D6-50DA-4C7C-92D2-8BA072E76A85}"/>
    <hyperlink ref="K94" r:id="rId8" xr:uid="{D63B4FDA-DAE6-4A15-BC1A-3709CB1E69B3}"/>
    <hyperlink ref="K95" r:id="rId9" xr:uid="{B50DE812-2FA1-4DB8-AFDB-6C22467D5EA7}"/>
    <hyperlink ref="K104" r:id="rId10" xr:uid="{C40557E3-C633-42EA-8308-6974EC1AA2B5}"/>
    <hyperlink ref="K105" r:id="rId11" xr:uid="{5E2D10A7-8E3A-4C70-8164-F75C57A064B9}"/>
    <hyperlink ref="K118" r:id="rId12" xr:uid="{6DFAB5B8-1146-4B6C-AB8A-063718E22CDC}"/>
    <hyperlink ref="K119" r:id="rId13" xr:uid="{46E44108-A8D3-4A9D-B282-5373D98DE003}"/>
    <hyperlink ref="K121" r:id="rId14" xr:uid="{F2293EE7-5059-4DD4-9DB4-CF65CAB63248}"/>
    <hyperlink ref="K114" r:id="rId15" xr:uid="{82CE302F-E5CE-4EDE-96AB-AB3360E3038D}"/>
    <hyperlink ref="K123" r:id="rId16" xr:uid="{AA9CA2A1-BB08-4371-821F-09FFA31BDECA}"/>
    <hyperlink ref="K126" r:id="rId17" xr:uid="{14AEDA92-C99C-49BA-989A-BEEA9B45B6EA}"/>
    <hyperlink ref="K127" r:id="rId18" xr:uid="{ED74A0F7-E586-4D8E-88F7-FD9496F143F7}"/>
    <hyperlink ref="K128" r:id="rId19" xr:uid="{7BB922EC-BB36-49F9-BC68-AB9E20ACFAF6}"/>
    <hyperlink ref="K129" r:id="rId20" xr:uid="{ADF3885A-321F-4D68-91F3-B7461D2D5440}"/>
    <hyperlink ref="K47" r:id="rId21" xr:uid="{EE003D69-2F74-4E1C-A562-2F03F3EC1792}"/>
    <hyperlink ref="K165" r:id="rId22" xr:uid="{49727012-3414-486B-80AB-B8A91315826E}"/>
    <hyperlink ref="K135" r:id="rId23" xr:uid="{AFBFAB76-BA52-4376-88B8-6040A38DC017}"/>
    <hyperlink ref="K136" r:id="rId24" xr:uid="{BF225069-03EE-4291-988B-F9E20A73ADB9}"/>
    <hyperlink ref="K145" r:id="rId25" xr:uid="{495DC5CC-C888-42F1-AF92-C7CA120CFD80}"/>
    <hyperlink ref="K147" r:id="rId26" xr:uid="{5C70CC55-B88B-4F10-9DE2-9A59CB091A58}"/>
    <hyperlink ref="K79" r:id="rId27" xr:uid="{AF09E965-97C2-49CD-BAE1-FE561D01B52F}"/>
    <hyperlink ref="K36" r:id="rId28" xr:uid="{FA7F9AE1-5833-4448-A764-6652D56C0684}"/>
    <hyperlink ref="K19" r:id="rId29" xr:uid="{E2E796B3-AE34-48B3-BF40-AC1309E91159}"/>
    <hyperlink ref="K182" r:id="rId30" xr:uid="{7E4B0859-412A-46D1-80DB-66708EAE8827}"/>
    <hyperlink ref="K183" r:id="rId31" display="http://aims.fao.org/aos/agrovoc/c_2412" xr:uid="{3BECE384-74AB-40A2-9FD7-4AAFEBC2222C}"/>
    <hyperlink ref="K209" r:id="rId32" xr:uid="{E8C44303-84C7-4D82-8387-1DF1DE08176F}"/>
    <hyperlink ref="K210" r:id="rId33" xr:uid="{EFB8F5F4-CF0C-4638-84AF-5EF7165327C3}"/>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OW166"/>
  <sheetViews>
    <sheetView topLeftCell="A141" workbookViewId="0">
      <selection activeCell="Q149" sqref="Q149"/>
    </sheetView>
  </sheetViews>
  <sheetFormatPr defaultRowHeight="15"/>
  <sheetData>
    <row r="1" spans="1:410" s="48" customFormat="1" ht="75.75" thickBot="1">
      <c r="A1" s="86" t="s">
        <v>1412</v>
      </c>
      <c r="B1" s="48" t="s">
        <v>652</v>
      </c>
      <c r="C1" s="49" t="s">
        <v>672</v>
      </c>
      <c r="D1" s="49" t="s">
        <v>651</v>
      </c>
      <c r="E1" s="49" t="s">
        <v>650</v>
      </c>
      <c r="F1" s="49" t="s">
        <v>649</v>
      </c>
      <c r="G1" s="49" t="s">
        <v>682</v>
      </c>
      <c r="H1" s="49" t="s">
        <v>648</v>
      </c>
      <c r="I1" s="49" t="s">
        <v>647</v>
      </c>
      <c r="J1" s="49" t="s">
        <v>646</v>
      </c>
      <c r="K1" s="49" t="s">
        <v>645</v>
      </c>
      <c r="L1" s="49" t="s">
        <v>674</v>
      </c>
      <c r="M1" s="49" t="s">
        <v>675</v>
      </c>
      <c r="N1" s="49" t="s">
        <v>676</v>
      </c>
      <c r="O1" s="49" t="s">
        <v>677</v>
      </c>
      <c r="P1" s="49" t="s">
        <v>678</v>
      </c>
      <c r="Q1" s="49" t="s">
        <v>679</v>
      </c>
      <c r="R1" s="49" t="s">
        <v>680</v>
      </c>
      <c r="S1" s="49" t="s">
        <v>681</v>
      </c>
      <c r="T1" s="49" t="s">
        <v>673</v>
      </c>
      <c r="U1" s="49" t="s">
        <v>1321</v>
      </c>
      <c r="V1" s="49" t="s">
        <v>1322</v>
      </c>
      <c r="W1" s="49" t="s">
        <v>1323</v>
      </c>
      <c r="X1" s="49" t="s">
        <v>1324</v>
      </c>
      <c r="Y1" s="49" t="s">
        <v>1325</v>
      </c>
      <c r="Z1" s="49" t="s">
        <v>1326</v>
      </c>
      <c r="AA1" s="49" t="s">
        <v>1327</v>
      </c>
      <c r="AB1" s="49" t="s">
        <v>1328</v>
      </c>
      <c r="AC1" s="49" t="s">
        <v>1318</v>
      </c>
      <c r="AD1" s="49" t="s">
        <v>1329</v>
      </c>
      <c r="AE1" s="49" t="s">
        <v>1330</v>
      </c>
      <c r="AF1" s="49" t="s">
        <v>1331</v>
      </c>
      <c r="AG1" s="49" t="s">
        <v>1332</v>
      </c>
      <c r="AH1" s="49" t="s">
        <v>1333</v>
      </c>
      <c r="AI1" s="49" t="s">
        <v>1334</v>
      </c>
      <c r="AJ1" s="49" t="s">
        <v>1335</v>
      </c>
      <c r="AK1" s="49" t="s">
        <v>1336</v>
      </c>
      <c r="AL1" s="49" t="s">
        <v>1319</v>
      </c>
      <c r="AM1" s="49" t="s">
        <v>1337</v>
      </c>
      <c r="AN1" s="49" t="s">
        <v>1338</v>
      </c>
      <c r="AO1" s="49" t="s">
        <v>1339</v>
      </c>
      <c r="AP1" s="49" t="s">
        <v>1340</v>
      </c>
      <c r="AQ1" s="49" t="s">
        <v>1341</v>
      </c>
      <c r="AR1" s="49" t="s">
        <v>1342</v>
      </c>
      <c r="AS1" s="49" t="s">
        <v>1343</v>
      </c>
      <c r="AT1" s="49" t="s">
        <v>1344</v>
      </c>
      <c r="AU1" s="49" t="s">
        <v>1320</v>
      </c>
      <c r="AV1" s="50" t="s">
        <v>644</v>
      </c>
      <c r="AW1" s="50" t="s">
        <v>643</v>
      </c>
      <c r="AX1" s="50" t="s">
        <v>642</v>
      </c>
      <c r="AY1" s="50" t="s">
        <v>641</v>
      </c>
      <c r="AZ1" s="43" t="s">
        <v>640</v>
      </c>
      <c r="BA1" s="43" t="s">
        <v>639</v>
      </c>
      <c r="BB1" s="43" t="s">
        <v>638</v>
      </c>
      <c r="BC1" s="43" t="s">
        <v>637</v>
      </c>
      <c r="BD1" s="42" t="s">
        <v>636</v>
      </c>
      <c r="BE1" s="42" t="s">
        <v>635</v>
      </c>
      <c r="BF1" s="42" t="s">
        <v>717</v>
      </c>
      <c r="BG1" s="44" t="s">
        <v>1242</v>
      </c>
      <c r="BH1" s="1" t="s">
        <v>634</v>
      </c>
      <c r="BI1" s="1" t="s">
        <v>633</v>
      </c>
      <c r="BJ1" s="1" t="s">
        <v>632</v>
      </c>
      <c r="BK1" s="1" t="s">
        <v>631</v>
      </c>
      <c r="BL1" s="1" t="s">
        <v>630</v>
      </c>
      <c r="BM1" s="1" t="s">
        <v>629</v>
      </c>
      <c r="BN1" s="1" t="s">
        <v>628</v>
      </c>
      <c r="BO1" s="1" t="s">
        <v>627</v>
      </c>
      <c r="BP1" s="1" t="s">
        <v>626</v>
      </c>
      <c r="BQ1" s="1" t="s">
        <v>625</v>
      </c>
      <c r="BR1" s="1" t="s">
        <v>624</v>
      </c>
      <c r="BS1" s="1" t="s">
        <v>623</v>
      </c>
      <c r="BT1" s="1" t="s">
        <v>622</v>
      </c>
      <c r="BU1" s="1" t="s">
        <v>621</v>
      </c>
      <c r="BV1" s="1" t="s">
        <v>620</v>
      </c>
      <c r="BW1" s="1" t="s">
        <v>1254</v>
      </c>
      <c r="BX1" s="1" t="s">
        <v>1255</v>
      </c>
      <c r="BY1" s="1" t="s">
        <v>1256</v>
      </c>
      <c r="BZ1" s="1" t="s">
        <v>1257</v>
      </c>
      <c r="CA1" s="1" t="s">
        <v>1249</v>
      </c>
      <c r="CB1" s="1" t="s">
        <v>1259</v>
      </c>
      <c r="CC1" s="1" t="s">
        <v>1260</v>
      </c>
      <c r="CD1" s="1" t="s">
        <v>1261</v>
      </c>
      <c r="CE1" s="1" t="s">
        <v>1262</v>
      </c>
      <c r="CF1" s="1" t="s">
        <v>1250</v>
      </c>
      <c r="CG1" s="1" t="s">
        <v>1263</v>
      </c>
      <c r="CH1" s="1" t="s">
        <v>1264</v>
      </c>
      <c r="CI1" s="1" t="s">
        <v>1265</v>
      </c>
      <c r="CJ1" s="1" t="s">
        <v>1266</v>
      </c>
      <c r="CK1" s="1" t="s">
        <v>1251</v>
      </c>
      <c r="CL1" s="1" t="s">
        <v>1267</v>
      </c>
      <c r="CM1" s="1" t="s">
        <v>1268</v>
      </c>
      <c r="CN1" s="1" t="s">
        <v>1269</v>
      </c>
      <c r="CO1" s="1" t="s">
        <v>1270</v>
      </c>
      <c r="CP1" s="1" t="s">
        <v>1252</v>
      </c>
      <c r="CQ1" s="1" t="s">
        <v>1271</v>
      </c>
      <c r="CR1" s="1" t="s">
        <v>1272</v>
      </c>
      <c r="CS1" s="1" t="s">
        <v>1273</v>
      </c>
      <c r="CT1" s="1" t="s">
        <v>1274</v>
      </c>
      <c r="CU1" s="1" t="s">
        <v>1253</v>
      </c>
      <c r="CV1" s="1" t="s">
        <v>1275</v>
      </c>
      <c r="CW1" s="1" t="s">
        <v>1276</v>
      </c>
      <c r="CX1" s="1" t="s">
        <v>1277</v>
      </c>
      <c r="CY1" s="1" t="s">
        <v>1278</v>
      </c>
      <c r="CZ1" s="1" t="s">
        <v>1258</v>
      </c>
      <c r="DA1" s="1" t="s">
        <v>1285</v>
      </c>
      <c r="DB1" s="1" t="s">
        <v>1286</v>
      </c>
      <c r="DC1" s="1" t="s">
        <v>1287</v>
      </c>
      <c r="DD1" s="1" t="s">
        <v>1288</v>
      </c>
      <c r="DE1" s="1" t="s">
        <v>1279</v>
      </c>
      <c r="DF1" s="1" t="s">
        <v>1289</v>
      </c>
      <c r="DG1" s="1" t="s">
        <v>1290</v>
      </c>
      <c r="DH1" s="1" t="s">
        <v>1291</v>
      </c>
      <c r="DI1" s="1" t="s">
        <v>1292</v>
      </c>
      <c r="DJ1" s="1" t="s">
        <v>1280</v>
      </c>
      <c r="DK1" s="1" t="s">
        <v>1293</v>
      </c>
      <c r="DL1" s="1" t="s">
        <v>1294</v>
      </c>
      <c r="DM1" s="1" t="s">
        <v>1295</v>
      </c>
      <c r="DN1" s="1" t="s">
        <v>1296</v>
      </c>
      <c r="DO1" s="1" t="s">
        <v>1281</v>
      </c>
      <c r="DP1" s="1" t="s">
        <v>1297</v>
      </c>
      <c r="DQ1" s="1" t="s">
        <v>1298</v>
      </c>
      <c r="DR1" s="1" t="s">
        <v>1299</v>
      </c>
      <c r="DS1" s="1" t="s">
        <v>1300</v>
      </c>
      <c r="DT1" s="1" t="s">
        <v>1282</v>
      </c>
      <c r="DU1" s="1" t="s">
        <v>1301</v>
      </c>
      <c r="DV1" s="1" t="s">
        <v>1302</v>
      </c>
      <c r="DW1" s="1" t="s">
        <v>1303</v>
      </c>
      <c r="DX1" s="1" t="s">
        <v>1304</v>
      </c>
      <c r="DY1" s="1" t="s">
        <v>1283</v>
      </c>
      <c r="DZ1" s="1" t="s">
        <v>1305</v>
      </c>
      <c r="EA1" s="1" t="s">
        <v>1306</v>
      </c>
      <c r="EB1" s="1" t="s">
        <v>1307</v>
      </c>
      <c r="EC1" s="1" t="s">
        <v>1308</v>
      </c>
      <c r="ED1" s="1" t="s">
        <v>1284</v>
      </c>
      <c r="EE1" s="42" t="s">
        <v>619</v>
      </c>
      <c r="EF1" s="42" t="s">
        <v>618</v>
      </c>
      <c r="EG1" s="42" t="s">
        <v>617</v>
      </c>
      <c r="EH1" s="42" t="s">
        <v>684</v>
      </c>
      <c r="EI1" s="42" t="s">
        <v>685</v>
      </c>
      <c r="EJ1" s="42" t="s">
        <v>686</v>
      </c>
      <c r="EK1" s="42" t="s">
        <v>687</v>
      </c>
      <c r="EL1" s="42" t="s">
        <v>688</v>
      </c>
      <c r="EM1" s="42" t="s">
        <v>1355</v>
      </c>
      <c r="EN1" s="42" t="s">
        <v>1356</v>
      </c>
      <c r="EO1" s="42" t="s">
        <v>1357</v>
      </c>
      <c r="EP1" s="42" t="s">
        <v>1345</v>
      </c>
      <c r="EQ1" s="42" t="s">
        <v>1358</v>
      </c>
      <c r="ER1" s="42" t="s">
        <v>1359</v>
      </c>
      <c r="ES1" s="42" t="s">
        <v>1360</v>
      </c>
      <c r="ET1" s="42" t="s">
        <v>1346</v>
      </c>
      <c r="EU1" s="42" t="s">
        <v>1361</v>
      </c>
      <c r="EV1" s="42" t="s">
        <v>1362</v>
      </c>
      <c r="EW1" s="42" t="s">
        <v>1363</v>
      </c>
      <c r="EX1" s="42" t="s">
        <v>1347</v>
      </c>
      <c r="EY1" s="42" t="s">
        <v>1367</v>
      </c>
      <c r="EZ1" s="42" t="s">
        <v>1368</v>
      </c>
      <c r="FA1" s="42" t="s">
        <v>1369</v>
      </c>
      <c r="FB1" s="42" t="s">
        <v>1348</v>
      </c>
      <c r="FC1" s="42" t="s">
        <v>1370</v>
      </c>
      <c r="FD1" s="42" t="s">
        <v>1371</v>
      </c>
      <c r="FE1" s="42" t="s">
        <v>1372</v>
      </c>
      <c r="FF1" s="42" t="s">
        <v>1349</v>
      </c>
      <c r="FG1" s="42" t="s">
        <v>1373</v>
      </c>
      <c r="FH1" s="42" t="s">
        <v>1374</v>
      </c>
      <c r="FI1" s="42" t="s">
        <v>1375</v>
      </c>
      <c r="FJ1" s="42" t="s">
        <v>1350</v>
      </c>
      <c r="FK1" s="42" t="s">
        <v>1376</v>
      </c>
      <c r="FL1" s="42" t="s">
        <v>1377</v>
      </c>
      <c r="FM1" s="42" t="s">
        <v>1378</v>
      </c>
      <c r="FN1" s="42" t="s">
        <v>1351</v>
      </c>
      <c r="FO1" s="42" t="s">
        <v>1379</v>
      </c>
      <c r="FP1" s="42" t="s">
        <v>1380</v>
      </c>
      <c r="FQ1" s="42" t="s">
        <v>1381</v>
      </c>
      <c r="FR1" s="42" t="s">
        <v>1352</v>
      </c>
      <c r="FS1" s="42" t="s">
        <v>1382</v>
      </c>
      <c r="FT1" s="42" t="s">
        <v>1383</v>
      </c>
      <c r="FU1" s="42" t="s">
        <v>1384</v>
      </c>
      <c r="FV1" s="42" t="s">
        <v>1353</v>
      </c>
      <c r="FW1" s="42" t="s">
        <v>1385</v>
      </c>
      <c r="FX1" s="42" t="s">
        <v>1386</v>
      </c>
      <c r="FY1" s="42" t="s">
        <v>1387</v>
      </c>
      <c r="FZ1" s="42" t="s">
        <v>1354</v>
      </c>
      <c r="GA1" s="42" t="s">
        <v>1388</v>
      </c>
      <c r="GB1" s="42" t="s">
        <v>1389</v>
      </c>
      <c r="GC1" s="42" t="s">
        <v>1390</v>
      </c>
      <c r="GD1" s="42" t="s">
        <v>1364</v>
      </c>
      <c r="GE1" s="42" t="s">
        <v>1391</v>
      </c>
      <c r="GF1" s="42" t="s">
        <v>1392</v>
      </c>
      <c r="GG1" s="42" t="s">
        <v>1393</v>
      </c>
      <c r="GH1" s="42" t="s">
        <v>1365</v>
      </c>
      <c r="GI1" s="42" t="s">
        <v>1394</v>
      </c>
      <c r="GJ1" s="42" t="s">
        <v>1395</v>
      </c>
      <c r="GK1" s="42" t="s">
        <v>1396</v>
      </c>
      <c r="GL1" s="42" t="s">
        <v>1366</v>
      </c>
      <c r="GM1" s="42" t="s">
        <v>691</v>
      </c>
      <c r="GN1" s="42" t="s">
        <v>700</v>
      </c>
      <c r="GO1" s="42" t="s">
        <v>689</v>
      </c>
      <c r="GP1" s="42" t="s">
        <v>690</v>
      </c>
      <c r="GQ1" s="42" t="s">
        <v>1104</v>
      </c>
      <c r="GR1" s="42" t="s">
        <v>693</v>
      </c>
      <c r="GS1" s="42" t="s">
        <v>699</v>
      </c>
      <c r="GT1" s="42" t="s">
        <v>694</v>
      </c>
      <c r="GU1" s="42" t="s">
        <v>692</v>
      </c>
      <c r="GV1" s="42" t="s">
        <v>1105</v>
      </c>
      <c r="GW1" s="42" t="s">
        <v>1400</v>
      </c>
      <c r="GX1" s="42" t="s">
        <v>1401</v>
      </c>
      <c r="GY1" s="42" t="s">
        <v>1402</v>
      </c>
      <c r="GZ1" s="42" t="s">
        <v>1403</v>
      </c>
      <c r="HA1" s="42" t="s">
        <v>1397</v>
      </c>
      <c r="HB1" s="42" t="s">
        <v>1404</v>
      </c>
      <c r="HC1" s="42" t="s">
        <v>1405</v>
      </c>
      <c r="HD1" s="42" t="s">
        <v>1406</v>
      </c>
      <c r="HE1" s="42" t="s">
        <v>1407</v>
      </c>
      <c r="HF1" s="42" t="s">
        <v>1398</v>
      </c>
      <c r="HG1" s="42" t="s">
        <v>1408</v>
      </c>
      <c r="HH1" s="42" t="s">
        <v>1409</v>
      </c>
      <c r="HI1" s="42" t="s">
        <v>1410</v>
      </c>
      <c r="HJ1" s="42" t="s">
        <v>1411</v>
      </c>
      <c r="HK1" s="42" t="s">
        <v>1399</v>
      </c>
      <c r="HL1" s="34" t="s">
        <v>616</v>
      </c>
      <c r="HM1" s="34" t="s">
        <v>615</v>
      </c>
      <c r="HN1" s="34" t="s">
        <v>614</v>
      </c>
      <c r="HO1" s="34" t="s">
        <v>613</v>
      </c>
      <c r="HP1" s="34" t="s">
        <v>612</v>
      </c>
      <c r="HQ1" s="34" t="s">
        <v>611</v>
      </c>
      <c r="HR1" s="42" t="s">
        <v>610</v>
      </c>
      <c r="HS1" s="42" t="s">
        <v>609</v>
      </c>
      <c r="HT1" s="42" t="s">
        <v>608</v>
      </c>
      <c r="HU1" s="42" t="s">
        <v>607</v>
      </c>
      <c r="HV1" s="42" t="s">
        <v>606</v>
      </c>
      <c r="HW1" s="42" t="s">
        <v>1233</v>
      </c>
      <c r="HX1" s="42" t="s">
        <v>695</v>
      </c>
      <c r="HY1" s="42" t="s">
        <v>696</v>
      </c>
      <c r="HZ1" s="42" t="s">
        <v>697</v>
      </c>
      <c r="IA1" s="42" t="s">
        <v>698</v>
      </c>
      <c r="IB1" s="18" t="s">
        <v>725</v>
      </c>
      <c r="IC1" s="18" t="s">
        <v>701</v>
      </c>
      <c r="ID1" s="18" t="s">
        <v>702</v>
      </c>
      <c r="IE1" s="18" t="s">
        <v>703</v>
      </c>
      <c r="IF1" s="42" t="s">
        <v>605</v>
      </c>
      <c r="IG1" s="42" t="s">
        <v>604</v>
      </c>
      <c r="IH1" s="42" t="s">
        <v>656</v>
      </c>
      <c r="II1" s="42" t="s">
        <v>657</v>
      </c>
      <c r="IJ1" s="42" t="s">
        <v>603</v>
      </c>
      <c r="IK1" s="42" t="s">
        <v>602</v>
      </c>
      <c r="IL1" s="42" t="s">
        <v>601</v>
      </c>
      <c r="IM1" s="42" t="s">
        <v>600</v>
      </c>
      <c r="IN1" s="42" t="s">
        <v>599</v>
      </c>
      <c r="IO1" s="42" t="s">
        <v>598</v>
      </c>
      <c r="IP1" s="42" t="s">
        <v>597</v>
      </c>
      <c r="IQ1" s="42" t="s">
        <v>596</v>
      </c>
      <c r="IR1" s="42" t="s">
        <v>595</v>
      </c>
      <c r="IS1" s="42" t="s">
        <v>594</v>
      </c>
      <c r="IT1" s="50" t="s">
        <v>729</v>
      </c>
      <c r="IU1" s="50" t="s">
        <v>593</v>
      </c>
      <c r="IV1" s="50" t="s">
        <v>592</v>
      </c>
      <c r="IW1" s="50" t="s">
        <v>591</v>
      </c>
      <c r="IX1" s="50" t="s">
        <v>715</v>
      </c>
      <c r="IY1" s="50" t="s">
        <v>590</v>
      </c>
      <c r="IZ1" s="50" t="s">
        <v>589</v>
      </c>
      <c r="JA1" s="50" t="s">
        <v>588</v>
      </c>
      <c r="JB1" s="50" t="s">
        <v>587</v>
      </c>
      <c r="JC1" s="50" t="s">
        <v>586</v>
      </c>
      <c r="JD1" s="50" t="s">
        <v>716</v>
      </c>
      <c r="JE1" s="50" t="s">
        <v>585</v>
      </c>
      <c r="JF1" s="50" t="s">
        <v>584</v>
      </c>
      <c r="JG1" s="50" t="s">
        <v>583</v>
      </c>
      <c r="JH1" s="44" t="s">
        <v>582</v>
      </c>
      <c r="JI1" s="44" t="s">
        <v>581</v>
      </c>
      <c r="JJ1" s="44" t="s">
        <v>580</v>
      </c>
      <c r="JK1" s="42" t="s">
        <v>579</v>
      </c>
      <c r="JL1" s="42" t="s">
        <v>1109</v>
      </c>
      <c r="JM1" s="42" t="s">
        <v>1110</v>
      </c>
      <c r="JN1" s="42" t="s">
        <v>578</v>
      </c>
      <c r="JO1" s="42" t="s">
        <v>577</v>
      </c>
      <c r="JP1" s="42" t="s">
        <v>576</v>
      </c>
      <c r="JQ1" s="42" t="s">
        <v>575</v>
      </c>
      <c r="JR1" s="42" t="s">
        <v>574</v>
      </c>
      <c r="JS1" s="42" t="s">
        <v>573</v>
      </c>
      <c r="JT1" s="42" t="s">
        <v>572</v>
      </c>
      <c r="JU1" s="42" t="s">
        <v>571</v>
      </c>
      <c r="JV1" s="42" t="s">
        <v>570</v>
      </c>
      <c r="JW1" s="42" t="s">
        <v>569</v>
      </c>
      <c r="JX1" s="42" t="s">
        <v>568</v>
      </c>
      <c r="JY1" s="42" t="s">
        <v>567</v>
      </c>
      <c r="JZ1" s="42" t="s">
        <v>566</v>
      </c>
      <c r="KA1" s="42" t="s">
        <v>565</v>
      </c>
      <c r="KB1" s="42" t="s">
        <v>564</v>
      </c>
      <c r="KC1" s="42" t="s">
        <v>748</v>
      </c>
      <c r="KD1" s="42" t="s">
        <v>749</v>
      </c>
      <c r="KE1" s="42" t="s">
        <v>563</v>
      </c>
      <c r="KF1" s="42" t="s">
        <v>562</v>
      </c>
      <c r="KG1" s="42" t="s">
        <v>561</v>
      </c>
      <c r="KH1" s="42" t="s">
        <v>560</v>
      </c>
      <c r="KI1" s="42" t="s">
        <v>559</v>
      </c>
      <c r="KJ1" s="42" t="s">
        <v>558</v>
      </c>
      <c r="KK1" s="42" t="s">
        <v>557</v>
      </c>
      <c r="KL1" s="42" t="s">
        <v>556</v>
      </c>
      <c r="KM1" s="42" t="s">
        <v>555</v>
      </c>
      <c r="KN1" s="42" t="s">
        <v>554</v>
      </c>
      <c r="KO1" s="42" t="s">
        <v>553</v>
      </c>
      <c r="KP1" s="42" t="s">
        <v>552</v>
      </c>
      <c r="KQ1" s="42" t="s">
        <v>551</v>
      </c>
      <c r="KR1" s="42" t="s">
        <v>550</v>
      </c>
      <c r="KS1" s="42" t="s">
        <v>549</v>
      </c>
      <c r="KT1" s="42" t="s">
        <v>548</v>
      </c>
      <c r="KU1" s="42" t="s">
        <v>1120</v>
      </c>
      <c r="KV1" s="42" t="s">
        <v>1117</v>
      </c>
      <c r="KW1" s="42" t="s">
        <v>1118</v>
      </c>
      <c r="KX1" s="42" t="s">
        <v>1119</v>
      </c>
      <c r="KY1" s="42" t="s">
        <v>546</v>
      </c>
      <c r="KZ1" s="42" t="s">
        <v>545</v>
      </c>
      <c r="LA1" s="42" t="s">
        <v>544</v>
      </c>
      <c r="LB1" s="42" t="s">
        <v>543</v>
      </c>
      <c r="LC1" s="42" t="s">
        <v>542</v>
      </c>
      <c r="LD1" s="42" t="s">
        <v>541</v>
      </c>
      <c r="LE1" s="42" t="s">
        <v>540</v>
      </c>
      <c r="LF1" s="42" t="s">
        <v>539</v>
      </c>
      <c r="LG1" s="42" t="s">
        <v>538</v>
      </c>
      <c r="LH1" s="42" t="s">
        <v>537</v>
      </c>
      <c r="LI1" s="42" t="s">
        <v>536</v>
      </c>
      <c r="LJ1" s="42" t="s">
        <v>535</v>
      </c>
      <c r="LK1" s="42" t="s">
        <v>534</v>
      </c>
      <c r="LL1" s="42" t="s">
        <v>1125</v>
      </c>
      <c r="LM1" s="42" t="s">
        <v>1126</v>
      </c>
      <c r="LN1" s="42" t="s">
        <v>533</v>
      </c>
      <c r="LO1" s="42" t="s">
        <v>532</v>
      </c>
      <c r="LP1" s="44" t="s">
        <v>531</v>
      </c>
      <c r="LQ1" s="44" t="s">
        <v>530</v>
      </c>
      <c r="LR1" s="44" t="s">
        <v>529</v>
      </c>
      <c r="LS1" s="44" t="s">
        <v>528</v>
      </c>
      <c r="LT1" s="44" t="s">
        <v>527</v>
      </c>
      <c r="LU1" s="44" t="s">
        <v>526</v>
      </c>
      <c r="LV1" s="44" t="s">
        <v>1099</v>
      </c>
      <c r="LW1" s="44" t="s">
        <v>1096</v>
      </c>
      <c r="LX1" s="44" t="s">
        <v>1097</v>
      </c>
      <c r="LY1" s="44" t="s">
        <v>1098</v>
      </c>
      <c r="LZ1" s="42" t="s">
        <v>524</v>
      </c>
      <c r="MA1" s="42" t="s">
        <v>523</v>
      </c>
      <c r="MB1" s="44" t="s">
        <v>522</v>
      </c>
      <c r="MC1" s="44" t="s">
        <v>521</v>
      </c>
      <c r="MD1" s="44" t="s">
        <v>520</v>
      </c>
      <c r="ME1" s="44" t="s">
        <v>1141</v>
      </c>
      <c r="MF1" s="44" t="s">
        <v>1149</v>
      </c>
      <c r="MG1" s="44" t="s">
        <v>1148</v>
      </c>
      <c r="MH1" s="44" t="s">
        <v>1147</v>
      </c>
      <c r="MI1" s="44" t="s">
        <v>1146</v>
      </c>
      <c r="MJ1" s="44" t="s">
        <v>1143</v>
      </c>
      <c r="MK1" s="44" t="s">
        <v>1144</v>
      </c>
      <c r="ML1" s="44" t="s">
        <v>1145</v>
      </c>
      <c r="MM1" s="42" t="s">
        <v>519</v>
      </c>
      <c r="MN1" s="43" t="s">
        <v>518</v>
      </c>
      <c r="MO1" s="51" t="s">
        <v>517</v>
      </c>
      <c r="MP1" s="51" t="s">
        <v>1221</v>
      </c>
      <c r="MQ1" s="51" t="s">
        <v>516</v>
      </c>
      <c r="MR1" s="51" t="s">
        <v>515</v>
      </c>
      <c r="MS1" s="51" t="s">
        <v>514</v>
      </c>
      <c r="MT1" s="51" t="s">
        <v>513</v>
      </c>
      <c r="MU1" s="51" t="s">
        <v>512</v>
      </c>
      <c r="MV1" s="51" t="s">
        <v>714</v>
      </c>
      <c r="MW1" s="51" t="s">
        <v>708</v>
      </c>
      <c r="MX1" s="42" t="s">
        <v>713</v>
      </c>
      <c r="MY1" s="42" t="s">
        <v>704</v>
      </c>
      <c r="MZ1" s="42" t="s">
        <v>705</v>
      </c>
      <c r="NA1" s="42" t="s">
        <v>706</v>
      </c>
      <c r="NB1" s="42" t="s">
        <v>707</v>
      </c>
      <c r="NC1" s="42" t="s">
        <v>511</v>
      </c>
      <c r="ND1" s="42" t="s">
        <v>510</v>
      </c>
      <c r="NE1" s="42" t="s">
        <v>509</v>
      </c>
      <c r="NF1" s="42" t="s">
        <v>508</v>
      </c>
      <c r="NG1" s="42" t="s">
        <v>507</v>
      </c>
      <c r="NH1" s="42" t="s">
        <v>506</v>
      </c>
      <c r="NI1" s="42" t="s">
        <v>505</v>
      </c>
      <c r="NJ1" s="42" t="s">
        <v>504</v>
      </c>
      <c r="NK1" s="42" t="s">
        <v>503</v>
      </c>
      <c r="NL1" s="42" t="s">
        <v>502</v>
      </c>
      <c r="NM1" s="42" t="s">
        <v>1192</v>
      </c>
      <c r="NN1" s="42" t="s">
        <v>1193</v>
      </c>
      <c r="NO1" s="42" t="s">
        <v>1194</v>
      </c>
      <c r="NP1" s="42" t="s">
        <v>1195</v>
      </c>
      <c r="NQ1" s="42" t="s">
        <v>718</v>
      </c>
      <c r="NR1" s="42" t="s">
        <v>1222</v>
      </c>
      <c r="NS1" s="42" t="s">
        <v>1223</v>
      </c>
      <c r="NT1" s="42" t="s">
        <v>1224</v>
      </c>
      <c r="NU1" s="42" t="s">
        <v>1225</v>
      </c>
      <c r="NV1" s="42" t="s">
        <v>1226</v>
      </c>
      <c r="NW1" s="42" t="s">
        <v>1227</v>
      </c>
      <c r="NX1" s="42" t="s">
        <v>1228</v>
      </c>
      <c r="NY1" s="42" t="s">
        <v>1229</v>
      </c>
      <c r="NZ1" s="42" t="s">
        <v>1230</v>
      </c>
      <c r="OA1" s="42" t="s">
        <v>1231</v>
      </c>
      <c r="OB1" s="42" t="s">
        <v>501</v>
      </c>
      <c r="OC1" s="42" t="s">
        <v>500</v>
      </c>
      <c r="OD1" s="42" t="s">
        <v>499</v>
      </c>
      <c r="OE1" s="42" t="s">
        <v>498</v>
      </c>
      <c r="OF1" s="42" t="s">
        <v>497</v>
      </c>
      <c r="OG1" s="42" t="s">
        <v>496</v>
      </c>
      <c r="OH1" s="42" t="s">
        <v>495</v>
      </c>
      <c r="OI1" s="80" t="s">
        <v>1173</v>
      </c>
      <c r="OJ1" s="80" t="s">
        <v>1174</v>
      </c>
      <c r="OK1" s="81" t="s">
        <v>1180</v>
      </c>
      <c r="OL1" s="81" t="s">
        <v>1175</v>
      </c>
      <c r="OM1" s="81" t="s">
        <v>1176</v>
      </c>
      <c r="ON1" s="81" t="s">
        <v>1179</v>
      </c>
      <c r="OO1" s="79" t="s">
        <v>1177</v>
      </c>
    </row>
    <row r="2" spans="1:410" ht="15.75" thickBot="1">
      <c r="A2" t="s">
        <v>248</v>
      </c>
      <c r="B2" t="s">
        <v>1618</v>
      </c>
      <c r="C2" t="s">
        <v>1183</v>
      </c>
      <c r="D2" s="100" t="s">
        <v>31</v>
      </c>
      <c r="E2" s="90" t="s">
        <v>1632</v>
      </c>
      <c r="F2" s="100" t="s">
        <v>31</v>
      </c>
      <c r="G2" s="87" t="s">
        <v>2</v>
      </c>
      <c r="H2" s="87" t="s">
        <v>30</v>
      </c>
      <c r="I2">
        <v>7.3666666669999996</v>
      </c>
      <c r="J2">
        <v>3.8333333330000001</v>
      </c>
      <c r="K2" s="87" t="s">
        <v>29</v>
      </c>
      <c r="AV2" t="s">
        <v>1634</v>
      </c>
      <c r="AW2" t="s">
        <v>838</v>
      </c>
      <c r="AX2" t="s">
        <v>1619</v>
      </c>
      <c r="AY2" t="s">
        <v>838</v>
      </c>
      <c r="AZ2" t="s">
        <v>838</v>
      </c>
      <c r="BA2">
        <v>2003</v>
      </c>
      <c r="BB2">
        <v>2004</v>
      </c>
      <c r="BD2" t="s">
        <v>238</v>
      </c>
      <c r="BE2" t="s">
        <v>1628</v>
      </c>
      <c r="BF2" t="s">
        <v>64</v>
      </c>
      <c r="BG2" s="78" t="s">
        <v>1243</v>
      </c>
      <c r="BH2" t="s">
        <v>23</v>
      </c>
      <c r="BI2" t="s">
        <v>1636</v>
      </c>
      <c r="BJ2" t="s">
        <v>838</v>
      </c>
      <c r="BK2" t="s">
        <v>838</v>
      </c>
      <c r="BL2" t="s">
        <v>56</v>
      </c>
      <c r="BM2" t="s">
        <v>1626</v>
      </c>
      <c r="BN2" t="s">
        <v>1635</v>
      </c>
      <c r="BO2" t="s">
        <v>838</v>
      </c>
      <c r="BP2" t="s">
        <v>838</v>
      </c>
      <c r="BQ2" t="s">
        <v>56</v>
      </c>
      <c r="BR2" t="s">
        <v>1633</v>
      </c>
      <c r="BS2" t="s">
        <v>234</v>
      </c>
      <c r="BT2" t="s">
        <v>838</v>
      </c>
      <c r="BU2" t="s">
        <v>838</v>
      </c>
      <c r="BV2" t="s">
        <v>838</v>
      </c>
      <c r="HR2" t="s">
        <v>838</v>
      </c>
      <c r="HS2" t="s">
        <v>838</v>
      </c>
      <c r="HT2" t="s">
        <v>838</v>
      </c>
      <c r="HU2" t="s">
        <v>838</v>
      </c>
      <c r="HV2" t="s">
        <v>838</v>
      </c>
      <c r="HW2" t="s">
        <v>838</v>
      </c>
      <c r="HX2" t="s">
        <v>838</v>
      </c>
      <c r="HY2" t="s">
        <v>838</v>
      </c>
      <c r="HZ2" t="s">
        <v>838</v>
      </c>
      <c r="IA2" t="s">
        <v>838</v>
      </c>
      <c r="IB2" t="s">
        <v>838</v>
      </c>
      <c r="IC2" t="s">
        <v>838</v>
      </c>
      <c r="ID2" t="s">
        <v>838</v>
      </c>
      <c r="IE2" t="s">
        <v>838</v>
      </c>
      <c r="IF2" t="s">
        <v>1628</v>
      </c>
      <c r="IG2" t="s">
        <v>838</v>
      </c>
      <c r="IH2" t="s">
        <v>838</v>
      </c>
      <c r="II2" t="s">
        <v>838</v>
      </c>
      <c r="IJ2" t="s">
        <v>838</v>
      </c>
      <c r="IK2" t="s">
        <v>838</v>
      </c>
      <c r="IL2" t="s">
        <v>838</v>
      </c>
      <c r="JH2" t="s">
        <v>1639</v>
      </c>
      <c r="JI2" s="84" t="s">
        <v>15</v>
      </c>
      <c r="JJ2" t="s">
        <v>14</v>
      </c>
      <c r="JK2" t="s">
        <v>1645</v>
      </c>
      <c r="JL2" t="s">
        <v>13</v>
      </c>
      <c r="JM2" t="s">
        <v>1641</v>
      </c>
      <c r="KH2" s="54" t="s">
        <v>722</v>
      </c>
      <c r="MM2" t="s">
        <v>1621</v>
      </c>
      <c r="MN2" t="s">
        <v>838</v>
      </c>
      <c r="MO2" t="s">
        <v>1650</v>
      </c>
      <c r="MQ2" t="s">
        <v>23</v>
      </c>
      <c r="MR2" t="s">
        <v>1626</v>
      </c>
      <c r="MS2" t="s">
        <v>1633</v>
      </c>
      <c r="MY2" t="s">
        <v>1649</v>
      </c>
      <c r="MZ2" t="s">
        <v>1622</v>
      </c>
      <c r="NA2" t="s">
        <v>1531</v>
      </c>
      <c r="NB2" t="s">
        <v>1623</v>
      </c>
      <c r="NK2" t="s">
        <v>6</v>
      </c>
      <c r="NM2" t="s">
        <v>1624</v>
      </c>
      <c r="NQ2">
        <v>2</v>
      </c>
      <c r="OB2" t="s">
        <v>1594</v>
      </c>
      <c r="OC2" s="87" t="s">
        <v>2</v>
      </c>
      <c r="OD2">
        <v>2003</v>
      </c>
      <c r="OI2" t="s">
        <v>1178</v>
      </c>
      <c r="OJ2" s="58">
        <v>46105</v>
      </c>
    </row>
    <row r="3" spans="1:410" ht="15.75" thickBot="1">
      <c r="A3" t="s">
        <v>248</v>
      </c>
      <c r="B3" t="s">
        <v>1618</v>
      </c>
      <c r="C3" t="s">
        <v>1183</v>
      </c>
      <c r="D3" s="100" t="s">
        <v>31</v>
      </c>
      <c r="E3" s="90" t="s">
        <v>1632</v>
      </c>
      <c r="F3" s="100" t="s">
        <v>31</v>
      </c>
      <c r="G3" s="87" t="s">
        <v>2</v>
      </c>
      <c r="H3" s="87" t="s">
        <v>30</v>
      </c>
      <c r="I3">
        <v>7.3666666669999996</v>
      </c>
      <c r="J3">
        <v>3.8333333330000001</v>
      </c>
      <c r="K3" s="87" t="s">
        <v>29</v>
      </c>
      <c r="AV3" t="s">
        <v>838</v>
      </c>
      <c r="AW3" t="s">
        <v>838</v>
      </c>
      <c r="AX3" t="s">
        <v>1619</v>
      </c>
      <c r="AY3" t="s">
        <v>838</v>
      </c>
      <c r="AZ3" t="s">
        <v>838</v>
      </c>
      <c r="BA3">
        <v>2003</v>
      </c>
      <c r="BB3">
        <v>2004</v>
      </c>
      <c r="BD3" t="s">
        <v>238</v>
      </c>
      <c r="BE3" t="s">
        <v>1629</v>
      </c>
      <c r="BF3" t="s">
        <v>57</v>
      </c>
      <c r="BG3" s="78" t="s">
        <v>1243</v>
      </c>
      <c r="BH3" t="s">
        <v>23</v>
      </c>
      <c r="BI3" t="s">
        <v>1636</v>
      </c>
      <c r="BJ3" t="s">
        <v>838</v>
      </c>
      <c r="BK3" t="s">
        <v>838</v>
      </c>
      <c r="BL3" t="s">
        <v>56</v>
      </c>
      <c r="BM3" t="s">
        <v>1626</v>
      </c>
      <c r="BN3" t="s">
        <v>1637</v>
      </c>
      <c r="BO3" t="s">
        <v>838</v>
      </c>
      <c r="BP3" t="s">
        <v>838</v>
      </c>
      <c r="HR3" t="s">
        <v>838</v>
      </c>
      <c r="HS3" t="s">
        <v>838</v>
      </c>
      <c r="HT3" t="s">
        <v>838</v>
      </c>
      <c r="HU3" t="s">
        <v>838</v>
      </c>
      <c r="HV3" t="s">
        <v>838</v>
      </c>
      <c r="HW3" t="s">
        <v>838</v>
      </c>
      <c r="HX3" t="s">
        <v>838</v>
      </c>
      <c r="HY3" t="s">
        <v>838</v>
      </c>
      <c r="HZ3" t="s">
        <v>838</v>
      </c>
      <c r="IA3" t="s">
        <v>838</v>
      </c>
      <c r="IB3" t="s">
        <v>838</v>
      </c>
      <c r="IC3" t="s">
        <v>838</v>
      </c>
      <c r="ID3" t="s">
        <v>838</v>
      </c>
      <c r="IE3" t="s">
        <v>838</v>
      </c>
      <c r="IF3" t="s">
        <v>1629</v>
      </c>
      <c r="IG3" t="s">
        <v>838</v>
      </c>
      <c r="IH3" t="s">
        <v>838</v>
      </c>
      <c r="II3" t="s">
        <v>838</v>
      </c>
      <c r="IJ3" t="s">
        <v>838</v>
      </c>
      <c r="IK3" t="s">
        <v>838</v>
      </c>
      <c r="IL3" t="s">
        <v>838</v>
      </c>
      <c r="JH3" t="s">
        <v>1640</v>
      </c>
      <c r="JI3" s="84" t="s">
        <v>15</v>
      </c>
      <c r="JJ3" t="s">
        <v>14</v>
      </c>
      <c r="JK3" t="s">
        <v>1645</v>
      </c>
      <c r="JL3" t="s">
        <v>13</v>
      </c>
      <c r="JM3" t="s">
        <v>1642</v>
      </c>
      <c r="KH3" s="54" t="s">
        <v>722</v>
      </c>
      <c r="MM3" t="s">
        <v>1621</v>
      </c>
      <c r="MN3" t="s">
        <v>838</v>
      </c>
      <c r="MO3" t="s">
        <v>1651</v>
      </c>
      <c r="MQ3" t="s">
        <v>23</v>
      </c>
      <c r="MR3" t="s">
        <v>1626</v>
      </c>
      <c r="MY3" t="s">
        <v>1649</v>
      </c>
      <c r="MZ3" t="s">
        <v>1622</v>
      </c>
      <c r="NA3" t="s">
        <v>1531</v>
      </c>
      <c r="NB3" t="s">
        <v>1623</v>
      </c>
      <c r="NK3" t="s">
        <v>6</v>
      </c>
      <c r="NM3" t="s">
        <v>1624</v>
      </c>
      <c r="NQ3">
        <v>2</v>
      </c>
      <c r="OB3" t="s">
        <v>1594</v>
      </c>
      <c r="OC3" s="87" t="s">
        <v>2</v>
      </c>
      <c r="OD3">
        <v>2003</v>
      </c>
      <c r="OI3" t="s">
        <v>1178</v>
      </c>
      <c r="OJ3" s="58">
        <v>46105</v>
      </c>
    </row>
    <row r="4" spans="1:410" ht="15.75" thickBot="1">
      <c r="A4" t="s">
        <v>248</v>
      </c>
      <c r="B4" t="s">
        <v>1618</v>
      </c>
      <c r="C4" t="s">
        <v>1183</v>
      </c>
      <c r="D4" s="100" t="s">
        <v>31</v>
      </c>
      <c r="E4" s="90" t="s">
        <v>1632</v>
      </c>
      <c r="F4" s="100" t="s">
        <v>31</v>
      </c>
      <c r="G4" s="87" t="s">
        <v>2</v>
      </c>
      <c r="H4" s="87" t="s">
        <v>30</v>
      </c>
      <c r="I4">
        <v>7.3666666669999996</v>
      </c>
      <c r="J4">
        <v>3.8333333330000001</v>
      </c>
      <c r="K4" s="87" t="s">
        <v>29</v>
      </c>
      <c r="AV4" t="s">
        <v>838</v>
      </c>
      <c r="AW4" t="s">
        <v>838</v>
      </c>
      <c r="AX4" t="s">
        <v>1619</v>
      </c>
      <c r="AY4" t="s">
        <v>838</v>
      </c>
      <c r="AZ4" t="s">
        <v>838</v>
      </c>
      <c r="BA4">
        <v>2003</v>
      </c>
      <c r="BB4">
        <v>2004</v>
      </c>
      <c r="BD4" t="s">
        <v>238</v>
      </c>
      <c r="BE4" t="s">
        <v>1630</v>
      </c>
      <c r="BF4" t="s">
        <v>48</v>
      </c>
      <c r="BG4" s="78" t="s">
        <v>1243</v>
      </c>
      <c r="BH4" t="s">
        <v>23</v>
      </c>
      <c r="BI4" t="s">
        <v>1636</v>
      </c>
      <c r="BJ4" t="s">
        <v>838</v>
      </c>
      <c r="BK4" t="s">
        <v>838</v>
      </c>
      <c r="BL4" t="s">
        <v>56</v>
      </c>
      <c r="BM4" t="s">
        <v>1633</v>
      </c>
      <c r="BN4" t="s">
        <v>234</v>
      </c>
      <c r="BO4" t="s">
        <v>838</v>
      </c>
      <c r="BP4" t="s">
        <v>838</v>
      </c>
      <c r="HR4" t="s">
        <v>838</v>
      </c>
      <c r="HS4" t="s">
        <v>838</v>
      </c>
      <c r="HT4" t="s">
        <v>838</v>
      </c>
      <c r="HU4" t="s">
        <v>838</v>
      </c>
      <c r="HV4" t="s">
        <v>838</v>
      </c>
      <c r="HW4" t="s">
        <v>838</v>
      </c>
      <c r="HX4" t="s">
        <v>838</v>
      </c>
      <c r="HY4" t="s">
        <v>838</v>
      </c>
      <c r="HZ4" t="s">
        <v>838</v>
      </c>
      <c r="IA4" t="s">
        <v>838</v>
      </c>
      <c r="IB4" t="s">
        <v>838</v>
      </c>
      <c r="IC4" t="s">
        <v>838</v>
      </c>
      <c r="ID4" t="s">
        <v>838</v>
      </c>
      <c r="IE4" t="s">
        <v>838</v>
      </c>
      <c r="IF4" t="s">
        <v>1630</v>
      </c>
      <c r="IG4" t="s">
        <v>838</v>
      </c>
      <c r="IH4" t="s">
        <v>838</v>
      </c>
      <c r="II4" t="s">
        <v>838</v>
      </c>
      <c r="IJ4" t="s">
        <v>838</v>
      </c>
      <c r="IK4" t="s">
        <v>838</v>
      </c>
      <c r="IL4" t="s">
        <v>838</v>
      </c>
      <c r="JH4" t="s">
        <v>1638</v>
      </c>
      <c r="JI4" s="84" t="s">
        <v>15</v>
      </c>
      <c r="JJ4" t="s">
        <v>14</v>
      </c>
      <c r="JK4" t="s">
        <v>1645</v>
      </c>
      <c r="JL4" t="s">
        <v>13</v>
      </c>
      <c r="JM4" t="s">
        <v>1643</v>
      </c>
      <c r="KH4" s="54" t="s">
        <v>722</v>
      </c>
      <c r="MM4" t="s">
        <v>1621</v>
      </c>
      <c r="MN4" t="s">
        <v>838</v>
      </c>
      <c r="MO4" t="s">
        <v>1652</v>
      </c>
      <c r="MQ4" t="s">
        <v>23</v>
      </c>
      <c r="MR4" t="s">
        <v>1633</v>
      </c>
      <c r="MY4" t="s">
        <v>1649</v>
      </c>
      <c r="MZ4" t="s">
        <v>1622</v>
      </c>
      <c r="NA4" t="s">
        <v>1531</v>
      </c>
      <c r="NB4" t="s">
        <v>1623</v>
      </c>
      <c r="NK4" t="s">
        <v>6</v>
      </c>
      <c r="NM4" t="s">
        <v>1624</v>
      </c>
      <c r="NQ4">
        <v>2</v>
      </c>
      <c r="OB4" t="s">
        <v>1594</v>
      </c>
      <c r="OC4" s="87" t="s">
        <v>2</v>
      </c>
      <c r="OD4">
        <v>2003</v>
      </c>
      <c r="OI4" t="s">
        <v>1178</v>
      </c>
      <c r="OJ4" s="58">
        <v>46105</v>
      </c>
    </row>
    <row r="5" spans="1:410" ht="15.75" thickBot="1">
      <c r="A5" t="s">
        <v>248</v>
      </c>
      <c r="B5" t="s">
        <v>1618</v>
      </c>
      <c r="C5" t="s">
        <v>1183</v>
      </c>
      <c r="D5" s="100" t="s">
        <v>31</v>
      </c>
      <c r="E5" s="90" t="s">
        <v>1632</v>
      </c>
      <c r="F5" s="100" t="s">
        <v>31</v>
      </c>
      <c r="G5" s="87" t="s">
        <v>2</v>
      </c>
      <c r="H5" s="87" t="s">
        <v>30</v>
      </c>
      <c r="I5">
        <v>7.3666666669999996</v>
      </c>
      <c r="J5">
        <v>3.8333333330000001</v>
      </c>
      <c r="K5" s="87" t="s">
        <v>29</v>
      </c>
      <c r="AV5" t="s">
        <v>838</v>
      </c>
      <c r="AW5" t="s">
        <v>838</v>
      </c>
      <c r="AX5" t="s">
        <v>1619</v>
      </c>
      <c r="AY5" t="s">
        <v>838</v>
      </c>
      <c r="AZ5" t="s">
        <v>838</v>
      </c>
      <c r="BA5">
        <v>2003</v>
      </c>
      <c r="BB5">
        <v>2004</v>
      </c>
      <c r="BD5" t="s">
        <v>19</v>
      </c>
      <c r="BE5" t="s">
        <v>1620</v>
      </c>
      <c r="BF5" t="s">
        <v>39</v>
      </c>
      <c r="BG5" s="78" t="s">
        <v>1243</v>
      </c>
      <c r="BH5" t="s">
        <v>23</v>
      </c>
      <c r="BI5" t="s">
        <v>1636</v>
      </c>
      <c r="BJ5" t="s">
        <v>838</v>
      </c>
      <c r="BK5" t="s">
        <v>838</v>
      </c>
      <c r="HR5" t="s">
        <v>838</v>
      </c>
      <c r="HS5" t="s">
        <v>838</v>
      </c>
      <c r="HT5" t="s">
        <v>838</v>
      </c>
      <c r="HU5" t="s">
        <v>838</v>
      </c>
      <c r="HV5" t="s">
        <v>838</v>
      </c>
      <c r="HW5" t="s">
        <v>838</v>
      </c>
      <c r="HX5" t="s">
        <v>838</v>
      </c>
      <c r="HY5" t="s">
        <v>838</v>
      </c>
      <c r="HZ5" t="s">
        <v>838</v>
      </c>
      <c r="IA5" t="s">
        <v>838</v>
      </c>
      <c r="IB5" t="s">
        <v>838</v>
      </c>
      <c r="IC5" t="s">
        <v>838</v>
      </c>
      <c r="ID5" t="s">
        <v>838</v>
      </c>
      <c r="IE5" t="s">
        <v>838</v>
      </c>
      <c r="IF5" t="s">
        <v>1620</v>
      </c>
      <c r="IG5" t="s">
        <v>19</v>
      </c>
      <c r="IH5" t="s">
        <v>838</v>
      </c>
      <c r="II5" t="s">
        <v>838</v>
      </c>
      <c r="IJ5" t="s">
        <v>838</v>
      </c>
      <c r="IK5" t="s">
        <v>838</v>
      </c>
      <c r="IL5" t="s">
        <v>838</v>
      </c>
      <c r="JH5" t="s">
        <v>1638</v>
      </c>
      <c r="JI5" s="84" t="s">
        <v>15</v>
      </c>
      <c r="JJ5" t="s">
        <v>14</v>
      </c>
      <c r="JK5" t="s">
        <v>1645</v>
      </c>
      <c r="JL5" t="s">
        <v>13</v>
      </c>
      <c r="JM5" t="s">
        <v>1644</v>
      </c>
      <c r="KH5" s="54" t="s">
        <v>722</v>
      </c>
      <c r="MM5" t="s">
        <v>1621</v>
      </c>
      <c r="MN5" t="s">
        <v>838</v>
      </c>
      <c r="MO5" t="s">
        <v>1653</v>
      </c>
      <c r="MQ5" t="s">
        <v>23</v>
      </c>
      <c r="MY5" t="s">
        <v>1649</v>
      </c>
      <c r="MZ5" t="s">
        <v>1622</v>
      </c>
      <c r="NA5" t="s">
        <v>1531</v>
      </c>
      <c r="NB5" t="s">
        <v>1623</v>
      </c>
      <c r="NK5" t="s">
        <v>6</v>
      </c>
      <c r="NM5" t="s">
        <v>1624</v>
      </c>
      <c r="NQ5">
        <v>2</v>
      </c>
      <c r="OB5" t="s">
        <v>1594</v>
      </c>
      <c r="OC5" s="87" t="s">
        <v>2</v>
      </c>
      <c r="OD5">
        <v>2003</v>
      </c>
      <c r="OI5" t="s">
        <v>1178</v>
      </c>
      <c r="OJ5" s="58">
        <v>46105</v>
      </c>
    </row>
    <row r="6" spans="1:410" ht="15.75" thickBot="1">
      <c r="A6" t="s">
        <v>248</v>
      </c>
      <c r="B6" t="s">
        <v>1618</v>
      </c>
      <c r="C6" t="s">
        <v>1183</v>
      </c>
      <c r="D6" s="100" t="s">
        <v>31</v>
      </c>
      <c r="E6" s="90" t="s">
        <v>1632</v>
      </c>
      <c r="F6" s="100" t="s">
        <v>31</v>
      </c>
      <c r="G6" s="87" t="s">
        <v>2</v>
      </c>
      <c r="H6" s="87" t="s">
        <v>30</v>
      </c>
      <c r="I6">
        <v>7.3666666669999996</v>
      </c>
      <c r="J6">
        <v>3.8333333330000001</v>
      </c>
      <c r="K6" s="87" t="s">
        <v>29</v>
      </c>
      <c r="AV6" t="s">
        <v>838</v>
      </c>
      <c r="AW6" t="s">
        <v>838</v>
      </c>
      <c r="AX6" t="s">
        <v>1619</v>
      </c>
      <c r="AY6" t="s">
        <v>838</v>
      </c>
      <c r="AZ6" t="s">
        <v>838</v>
      </c>
      <c r="BA6">
        <v>2003</v>
      </c>
      <c r="BB6">
        <v>2004</v>
      </c>
      <c r="BD6" t="s">
        <v>238</v>
      </c>
      <c r="BE6" t="s">
        <v>1631</v>
      </c>
      <c r="BF6" t="s">
        <v>43</v>
      </c>
      <c r="BG6" s="78" t="s">
        <v>1243</v>
      </c>
      <c r="BH6" t="s">
        <v>1626</v>
      </c>
      <c r="BI6" t="s">
        <v>1635</v>
      </c>
      <c r="BJ6" t="s">
        <v>838</v>
      </c>
      <c r="BK6" t="s">
        <v>838</v>
      </c>
      <c r="BL6" t="s">
        <v>56</v>
      </c>
      <c r="BM6" t="s">
        <v>1633</v>
      </c>
      <c r="BN6" t="s">
        <v>234</v>
      </c>
      <c r="BO6" t="s">
        <v>838</v>
      </c>
      <c r="BP6" t="s">
        <v>838</v>
      </c>
      <c r="HR6" t="s">
        <v>838</v>
      </c>
      <c r="HS6" t="s">
        <v>838</v>
      </c>
      <c r="HT6" t="s">
        <v>838</v>
      </c>
      <c r="HU6" t="s">
        <v>838</v>
      </c>
      <c r="HV6" t="s">
        <v>838</v>
      </c>
      <c r="HW6" t="s">
        <v>838</v>
      </c>
      <c r="HX6" t="s">
        <v>838</v>
      </c>
      <c r="HY6" t="s">
        <v>838</v>
      </c>
      <c r="HZ6" t="s">
        <v>838</v>
      </c>
      <c r="IA6" t="s">
        <v>838</v>
      </c>
      <c r="IB6" t="s">
        <v>838</v>
      </c>
      <c r="IC6" t="s">
        <v>838</v>
      </c>
      <c r="ID6" t="s">
        <v>838</v>
      </c>
      <c r="IE6" t="s">
        <v>838</v>
      </c>
      <c r="IF6" t="s">
        <v>1631</v>
      </c>
      <c r="IG6" t="s">
        <v>838</v>
      </c>
      <c r="IH6" t="s">
        <v>838</v>
      </c>
      <c r="II6" t="s">
        <v>838</v>
      </c>
      <c r="IJ6" t="s">
        <v>838</v>
      </c>
      <c r="IK6" t="s">
        <v>838</v>
      </c>
      <c r="IL6" t="s">
        <v>838</v>
      </c>
      <c r="JH6" t="s">
        <v>1638</v>
      </c>
      <c r="JI6" s="84" t="s">
        <v>15</v>
      </c>
      <c r="JJ6" t="s">
        <v>14</v>
      </c>
      <c r="JK6" t="s">
        <v>1646</v>
      </c>
      <c r="JL6" t="s">
        <v>13</v>
      </c>
      <c r="JM6">
        <v>120</v>
      </c>
      <c r="KH6" s="54" t="s">
        <v>722</v>
      </c>
      <c r="MM6" t="s">
        <v>1621</v>
      </c>
      <c r="MN6" t="s">
        <v>838</v>
      </c>
      <c r="MO6" t="s">
        <v>1654</v>
      </c>
      <c r="MQ6" t="s">
        <v>1626</v>
      </c>
      <c r="MR6" t="s">
        <v>1633</v>
      </c>
      <c r="MY6" t="s">
        <v>1649</v>
      </c>
      <c r="MZ6" t="s">
        <v>1622</v>
      </c>
      <c r="NA6" t="s">
        <v>1531</v>
      </c>
      <c r="NB6" t="s">
        <v>1623</v>
      </c>
      <c r="NK6" t="s">
        <v>6</v>
      </c>
      <c r="NM6" t="s">
        <v>1624</v>
      </c>
      <c r="NQ6">
        <v>2</v>
      </c>
      <c r="OB6" t="s">
        <v>1594</v>
      </c>
      <c r="OC6" s="87" t="s">
        <v>2</v>
      </c>
      <c r="OD6">
        <v>2003</v>
      </c>
      <c r="OI6" t="s">
        <v>1178</v>
      </c>
      <c r="OJ6" s="58">
        <v>46105</v>
      </c>
    </row>
    <row r="7" spans="1:410" ht="15.75" thickBot="1">
      <c r="A7" t="s">
        <v>248</v>
      </c>
      <c r="B7" t="s">
        <v>1618</v>
      </c>
      <c r="C7" t="s">
        <v>1183</v>
      </c>
      <c r="D7" s="100" t="s">
        <v>31</v>
      </c>
      <c r="E7" s="90" t="s">
        <v>1632</v>
      </c>
      <c r="F7" s="100" t="s">
        <v>31</v>
      </c>
      <c r="G7" s="87" t="s">
        <v>2</v>
      </c>
      <c r="H7" s="87" t="s">
        <v>30</v>
      </c>
      <c r="I7">
        <v>7.3666666669999996</v>
      </c>
      <c r="J7">
        <v>3.8333333330000001</v>
      </c>
      <c r="K7" s="87" t="s">
        <v>29</v>
      </c>
      <c r="AV7" t="s">
        <v>838</v>
      </c>
      <c r="AW7" t="s">
        <v>838</v>
      </c>
      <c r="AX7" t="s">
        <v>1619</v>
      </c>
      <c r="AY7" t="s">
        <v>838</v>
      </c>
      <c r="AZ7" t="s">
        <v>838</v>
      </c>
      <c r="BA7">
        <v>2003</v>
      </c>
      <c r="BB7">
        <v>2004</v>
      </c>
      <c r="BD7" t="s">
        <v>19</v>
      </c>
      <c r="BE7" t="s">
        <v>1625</v>
      </c>
      <c r="BF7" t="s">
        <v>24</v>
      </c>
      <c r="BG7" s="78" t="s">
        <v>1243</v>
      </c>
      <c r="BH7" t="s">
        <v>1626</v>
      </c>
      <c r="BI7" t="s">
        <v>1635</v>
      </c>
      <c r="BJ7" t="s">
        <v>838</v>
      </c>
      <c r="BK7" t="s">
        <v>838</v>
      </c>
      <c r="HR7" t="s">
        <v>838</v>
      </c>
      <c r="HS7" t="s">
        <v>838</v>
      </c>
      <c r="HT7" t="s">
        <v>838</v>
      </c>
      <c r="HU7" t="s">
        <v>838</v>
      </c>
      <c r="HV7" t="s">
        <v>838</v>
      </c>
      <c r="HW7" t="s">
        <v>838</v>
      </c>
      <c r="HX7" t="s">
        <v>838</v>
      </c>
      <c r="HY7" t="s">
        <v>838</v>
      </c>
      <c r="HZ7" t="s">
        <v>838</v>
      </c>
      <c r="IA7" t="s">
        <v>838</v>
      </c>
      <c r="IB7" t="s">
        <v>838</v>
      </c>
      <c r="IC7" t="s">
        <v>838</v>
      </c>
      <c r="ID7" t="s">
        <v>838</v>
      </c>
      <c r="IE7" t="s">
        <v>838</v>
      </c>
      <c r="IF7" t="s">
        <v>1625</v>
      </c>
      <c r="IG7" t="s">
        <v>19</v>
      </c>
      <c r="IH7" t="s">
        <v>838</v>
      </c>
      <c r="II7" t="s">
        <v>838</v>
      </c>
      <c r="IJ7" t="s">
        <v>838</v>
      </c>
      <c r="IK7" t="s">
        <v>838</v>
      </c>
      <c r="IL7" t="s">
        <v>838</v>
      </c>
      <c r="JH7" t="s">
        <v>1638</v>
      </c>
      <c r="JI7" s="84" t="s">
        <v>15</v>
      </c>
      <c r="JJ7" t="s">
        <v>14</v>
      </c>
      <c r="JK7" t="s">
        <v>1646</v>
      </c>
      <c r="JL7" t="s">
        <v>13</v>
      </c>
      <c r="JM7">
        <v>120</v>
      </c>
      <c r="KH7" s="54" t="s">
        <v>722</v>
      </c>
      <c r="MM7" t="s">
        <v>1621</v>
      </c>
      <c r="MN7" t="s">
        <v>838</v>
      </c>
      <c r="MO7" t="s">
        <v>1655</v>
      </c>
      <c r="MQ7" t="s">
        <v>1626</v>
      </c>
      <c r="MY7" t="s">
        <v>1649</v>
      </c>
      <c r="MZ7" t="s">
        <v>1622</v>
      </c>
      <c r="NA7" t="s">
        <v>1531</v>
      </c>
      <c r="NB7" t="s">
        <v>1623</v>
      </c>
      <c r="NK7" t="s">
        <v>6</v>
      </c>
      <c r="NM7" t="s">
        <v>1624</v>
      </c>
      <c r="NQ7">
        <v>2</v>
      </c>
      <c r="OB7" t="s">
        <v>1594</v>
      </c>
      <c r="OC7" s="87" t="s">
        <v>2</v>
      </c>
      <c r="OD7">
        <v>2003</v>
      </c>
      <c r="OI7" t="s">
        <v>1178</v>
      </c>
      <c r="OJ7" s="58">
        <v>46105</v>
      </c>
    </row>
    <row r="8" spans="1:410" ht="15.75" thickBot="1">
      <c r="A8" t="s">
        <v>248</v>
      </c>
      <c r="B8" t="s">
        <v>1618</v>
      </c>
      <c r="C8" t="s">
        <v>1183</v>
      </c>
      <c r="D8" s="100" t="s">
        <v>31</v>
      </c>
      <c r="E8" s="90" t="s">
        <v>1632</v>
      </c>
      <c r="F8" s="100" t="s">
        <v>31</v>
      </c>
      <c r="G8" s="87" t="s">
        <v>2</v>
      </c>
      <c r="H8" s="87" t="s">
        <v>30</v>
      </c>
      <c r="I8">
        <v>7.3666666669999996</v>
      </c>
      <c r="J8">
        <v>3.8333333330000001</v>
      </c>
      <c r="K8" s="87" t="s">
        <v>29</v>
      </c>
      <c r="AV8" t="s">
        <v>838</v>
      </c>
      <c r="AW8" t="s">
        <v>838</v>
      </c>
      <c r="AX8" t="s">
        <v>1619</v>
      </c>
      <c r="AY8" t="s">
        <v>838</v>
      </c>
      <c r="AZ8" t="s">
        <v>838</v>
      </c>
      <c r="BA8">
        <v>2003</v>
      </c>
      <c r="BB8">
        <v>2004</v>
      </c>
      <c r="BD8" t="s">
        <v>19</v>
      </c>
      <c r="BE8" t="s">
        <v>1627</v>
      </c>
      <c r="BF8" t="s">
        <v>252</v>
      </c>
      <c r="BG8" s="78" t="s">
        <v>1243</v>
      </c>
      <c r="BH8" t="s">
        <v>1633</v>
      </c>
      <c r="BI8" t="s">
        <v>234</v>
      </c>
      <c r="BJ8" t="s">
        <v>838</v>
      </c>
      <c r="BK8" t="s">
        <v>838</v>
      </c>
      <c r="HR8" t="s">
        <v>838</v>
      </c>
      <c r="HS8" t="s">
        <v>838</v>
      </c>
      <c r="HT8" t="s">
        <v>838</v>
      </c>
      <c r="HU8" t="s">
        <v>838</v>
      </c>
      <c r="HV8" t="s">
        <v>838</v>
      </c>
      <c r="HW8" t="s">
        <v>838</v>
      </c>
      <c r="HX8" t="s">
        <v>838</v>
      </c>
      <c r="HY8" t="s">
        <v>838</v>
      </c>
      <c r="HZ8" t="s">
        <v>838</v>
      </c>
      <c r="IA8" t="s">
        <v>838</v>
      </c>
      <c r="IB8" t="s">
        <v>838</v>
      </c>
      <c r="IC8" t="s">
        <v>838</v>
      </c>
      <c r="ID8" t="s">
        <v>838</v>
      </c>
      <c r="IE8" t="s">
        <v>838</v>
      </c>
      <c r="IF8" t="s">
        <v>1627</v>
      </c>
      <c r="IG8" t="s">
        <v>19</v>
      </c>
      <c r="IH8" t="s">
        <v>838</v>
      </c>
      <c r="II8" t="s">
        <v>838</v>
      </c>
      <c r="IJ8" t="s">
        <v>838</v>
      </c>
      <c r="IK8" t="s">
        <v>838</v>
      </c>
      <c r="IL8" t="s">
        <v>838</v>
      </c>
      <c r="JH8" t="s">
        <v>1647</v>
      </c>
      <c r="JI8" s="84" t="s">
        <v>721</v>
      </c>
      <c r="JJ8" t="s">
        <v>1648</v>
      </c>
      <c r="KH8" s="54" t="s">
        <v>722</v>
      </c>
      <c r="MM8" t="s">
        <v>1621</v>
      </c>
      <c r="MN8" t="s">
        <v>838</v>
      </c>
      <c r="MO8" t="s">
        <v>1656</v>
      </c>
      <c r="MQ8" t="s">
        <v>1633</v>
      </c>
      <c r="MY8" t="s">
        <v>1649</v>
      </c>
      <c r="MZ8" t="s">
        <v>1622</v>
      </c>
      <c r="NA8" t="s">
        <v>1531</v>
      </c>
      <c r="NB8" t="s">
        <v>1623</v>
      </c>
      <c r="NK8" t="s">
        <v>6</v>
      </c>
      <c r="NM8" t="s">
        <v>1624</v>
      </c>
      <c r="NQ8">
        <v>2</v>
      </c>
      <c r="OB8" t="s">
        <v>1594</v>
      </c>
      <c r="OC8" s="87" t="s">
        <v>2</v>
      </c>
      <c r="OD8">
        <v>2003</v>
      </c>
      <c r="OI8" t="s">
        <v>1178</v>
      </c>
      <c r="OJ8" s="58">
        <v>46105</v>
      </c>
    </row>
    <row r="9" spans="1:410" ht="15.75" thickBot="1"/>
    <row r="10" spans="1:410" s="48" customFormat="1" ht="75.75" thickBot="1">
      <c r="A10" s="86" t="s">
        <v>1412</v>
      </c>
      <c r="B10" s="48" t="s">
        <v>652</v>
      </c>
      <c r="C10" s="49" t="s">
        <v>672</v>
      </c>
      <c r="D10" s="49" t="s">
        <v>651</v>
      </c>
      <c r="E10" s="49" t="s">
        <v>650</v>
      </c>
      <c r="F10" s="49" t="s">
        <v>649</v>
      </c>
      <c r="G10" s="49" t="s">
        <v>682</v>
      </c>
      <c r="H10" s="49" t="s">
        <v>648</v>
      </c>
      <c r="I10" s="49" t="s">
        <v>647</v>
      </c>
      <c r="J10" s="49" t="s">
        <v>646</v>
      </c>
      <c r="K10" s="49" t="s">
        <v>645</v>
      </c>
      <c r="L10" s="49" t="s">
        <v>674</v>
      </c>
      <c r="M10" s="49" t="s">
        <v>675</v>
      </c>
      <c r="N10" s="49" t="s">
        <v>676</v>
      </c>
      <c r="O10" s="49" t="s">
        <v>677</v>
      </c>
      <c r="P10" s="49" t="s">
        <v>678</v>
      </c>
      <c r="Q10" s="49" t="s">
        <v>679</v>
      </c>
      <c r="R10" s="49" t="s">
        <v>680</v>
      </c>
      <c r="S10" s="49" t="s">
        <v>681</v>
      </c>
      <c r="T10" s="49" t="s">
        <v>673</v>
      </c>
      <c r="U10" s="49" t="s">
        <v>1321</v>
      </c>
      <c r="V10" s="49" t="s">
        <v>1322</v>
      </c>
      <c r="W10" s="49" t="s">
        <v>1323</v>
      </c>
      <c r="X10" s="49" t="s">
        <v>1324</v>
      </c>
      <c r="Y10" s="49" t="s">
        <v>1325</v>
      </c>
      <c r="Z10" s="49" t="s">
        <v>1326</v>
      </c>
      <c r="AA10" s="49" t="s">
        <v>1327</v>
      </c>
      <c r="AB10" s="49" t="s">
        <v>1328</v>
      </c>
      <c r="AC10" s="49" t="s">
        <v>1318</v>
      </c>
      <c r="AD10" s="49" t="s">
        <v>1329</v>
      </c>
      <c r="AE10" s="49" t="s">
        <v>1330</v>
      </c>
      <c r="AF10" s="49" t="s">
        <v>1331</v>
      </c>
      <c r="AG10" s="49" t="s">
        <v>1332</v>
      </c>
      <c r="AH10" s="49" t="s">
        <v>1333</v>
      </c>
      <c r="AI10" s="49" t="s">
        <v>1334</v>
      </c>
      <c r="AJ10" s="49" t="s">
        <v>1335</v>
      </c>
      <c r="AK10" s="49" t="s">
        <v>1336</v>
      </c>
      <c r="AL10" s="49" t="s">
        <v>1319</v>
      </c>
      <c r="AM10" s="49" t="s">
        <v>1337</v>
      </c>
      <c r="AN10" s="49" t="s">
        <v>1338</v>
      </c>
      <c r="AO10" s="49" t="s">
        <v>1339</v>
      </c>
      <c r="AP10" s="49" t="s">
        <v>1340</v>
      </c>
      <c r="AQ10" s="49" t="s">
        <v>1341</v>
      </c>
      <c r="AR10" s="49" t="s">
        <v>1342</v>
      </c>
      <c r="AS10" s="49" t="s">
        <v>1343</v>
      </c>
      <c r="AT10" s="49" t="s">
        <v>1344</v>
      </c>
      <c r="AU10" s="49" t="s">
        <v>1320</v>
      </c>
      <c r="AV10" s="50" t="s">
        <v>644</v>
      </c>
      <c r="AW10" s="50" t="s">
        <v>643</v>
      </c>
      <c r="AX10" s="50" t="s">
        <v>642</v>
      </c>
      <c r="AY10" s="50" t="s">
        <v>641</v>
      </c>
      <c r="AZ10" s="43" t="s">
        <v>640</v>
      </c>
      <c r="BA10" s="43" t="s">
        <v>639</v>
      </c>
      <c r="BB10" s="43" t="s">
        <v>638</v>
      </c>
      <c r="BC10" s="43" t="s">
        <v>637</v>
      </c>
      <c r="BD10" s="42" t="s">
        <v>636</v>
      </c>
      <c r="BE10" s="42" t="s">
        <v>635</v>
      </c>
      <c r="BF10" s="42" t="s">
        <v>717</v>
      </c>
      <c r="BG10" s="44" t="s">
        <v>1746</v>
      </c>
      <c r="BH10" s="1" t="s">
        <v>634</v>
      </c>
      <c r="BI10" s="1" t="s">
        <v>633</v>
      </c>
      <c r="BJ10" s="1" t="s">
        <v>632</v>
      </c>
      <c r="BK10" s="1" t="s">
        <v>631</v>
      </c>
      <c r="BL10" s="1" t="s">
        <v>630</v>
      </c>
      <c r="BM10" s="1" t="s">
        <v>629</v>
      </c>
      <c r="BN10" s="1" t="s">
        <v>628</v>
      </c>
      <c r="BO10" s="1" t="s">
        <v>627</v>
      </c>
      <c r="BP10" s="1" t="s">
        <v>626</v>
      </c>
      <c r="BQ10" s="1" t="s">
        <v>625</v>
      </c>
      <c r="BR10" s="1" t="s">
        <v>624</v>
      </c>
      <c r="BS10" s="1" t="s">
        <v>623</v>
      </c>
      <c r="BT10" s="1" t="s">
        <v>622</v>
      </c>
      <c r="BU10" s="1" t="s">
        <v>621</v>
      </c>
      <c r="BV10" s="1" t="s">
        <v>620</v>
      </c>
      <c r="BW10" s="1" t="s">
        <v>1254</v>
      </c>
      <c r="BX10" s="1" t="s">
        <v>1255</v>
      </c>
      <c r="BY10" s="1" t="s">
        <v>1256</v>
      </c>
      <c r="BZ10" s="1" t="s">
        <v>1257</v>
      </c>
      <c r="CA10" s="1" t="s">
        <v>1249</v>
      </c>
      <c r="CB10" s="1" t="s">
        <v>1259</v>
      </c>
      <c r="CC10" s="1" t="s">
        <v>1260</v>
      </c>
      <c r="CD10" s="1" t="s">
        <v>1261</v>
      </c>
      <c r="CE10" s="1" t="s">
        <v>1262</v>
      </c>
      <c r="CF10" s="1" t="s">
        <v>1250</v>
      </c>
      <c r="CG10" s="1" t="s">
        <v>1263</v>
      </c>
      <c r="CH10" s="1" t="s">
        <v>1264</v>
      </c>
      <c r="CI10" s="1" t="s">
        <v>1265</v>
      </c>
      <c r="CJ10" s="1" t="s">
        <v>1266</v>
      </c>
      <c r="CK10" s="1" t="s">
        <v>1251</v>
      </c>
      <c r="CL10" s="1" t="s">
        <v>1267</v>
      </c>
      <c r="CM10" s="1" t="s">
        <v>1268</v>
      </c>
      <c r="CN10" s="1" t="s">
        <v>1269</v>
      </c>
      <c r="CO10" s="1" t="s">
        <v>1270</v>
      </c>
      <c r="CP10" s="1" t="s">
        <v>1252</v>
      </c>
      <c r="CQ10" s="1" t="s">
        <v>1271</v>
      </c>
      <c r="CR10" s="1" t="s">
        <v>1272</v>
      </c>
      <c r="CS10" s="1" t="s">
        <v>1273</v>
      </c>
      <c r="CT10" s="1" t="s">
        <v>1274</v>
      </c>
      <c r="CU10" s="1" t="s">
        <v>1253</v>
      </c>
      <c r="CV10" s="1" t="s">
        <v>1275</v>
      </c>
      <c r="CW10" s="1" t="s">
        <v>1276</v>
      </c>
      <c r="CX10" s="1" t="s">
        <v>1277</v>
      </c>
      <c r="CY10" s="1" t="s">
        <v>1278</v>
      </c>
      <c r="CZ10" s="1" t="s">
        <v>1258</v>
      </c>
      <c r="DA10" s="1" t="s">
        <v>1285</v>
      </c>
      <c r="DB10" s="1" t="s">
        <v>1286</v>
      </c>
      <c r="DC10" s="1" t="s">
        <v>1287</v>
      </c>
      <c r="DD10" s="1" t="s">
        <v>1288</v>
      </c>
      <c r="DE10" s="1" t="s">
        <v>1279</v>
      </c>
      <c r="DF10" s="1" t="s">
        <v>1289</v>
      </c>
      <c r="DG10" s="1" t="s">
        <v>1290</v>
      </c>
      <c r="DH10" s="1" t="s">
        <v>1291</v>
      </c>
      <c r="DI10" s="1" t="s">
        <v>1292</v>
      </c>
      <c r="DJ10" s="1" t="s">
        <v>1280</v>
      </c>
      <c r="DK10" s="1" t="s">
        <v>1293</v>
      </c>
      <c r="DL10" s="1" t="s">
        <v>1294</v>
      </c>
      <c r="DM10" s="1" t="s">
        <v>1295</v>
      </c>
      <c r="DN10" s="1" t="s">
        <v>1296</v>
      </c>
      <c r="DO10" s="1" t="s">
        <v>1281</v>
      </c>
      <c r="DP10" s="1" t="s">
        <v>1297</v>
      </c>
      <c r="DQ10" s="1" t="s">
        <v>1298</v>
      </c>
      <c r="DR10" s="1" t="s">
        <v>1299</v>
      </c>
      <c r="DS10" s="1" t="s">
        <v>1300</v>
      </c>
      <c r="DT10" s="1" t="s">
        <v>1282</v>
      </c>
      <c r="DU10" s="1" t="s">
        <v>1301</v>
      </c>
      <c r="DV10" s="1" t="s">
        <v>1302</v>
      </c>
      <c r="DW10" s="1" t="s">
        <v>1303</v>
      </c>
      <c r="DX10" s="1" t="s">
        <v>1304</v>
      </c>
      <c r="DY10" s="1" t="s">
        <v>1283</v>
      </c>
      <c r="DZ10" s="1" t="s">
        <v>1305</v>
      </c>
      <c r="EA10" s="1" t="s">
        <v>1306</v>
      </c>
      <c r="EB10" s="1" t="s">
        <v>1307</v>
      </c>
      <c r="EC10" s="1" t="s">
        <v>1308</v>
      </c>
      <c r="ED10" s="1" t="s">
        <v>1284</v>
      </c>
      <c r="EE10" s="42" t="s">
        <v>619</v>
      </c>
      <c r="EF10" s="42" t="s">
        <v>618</v>
      </c>
      <c r="EG10" s="42" t="s">
        <v>617</v>
      </c>
      <c r="EH10" s="42" t="s">
        <v>684</v>
      </c>
      <c r="EI10" s="42" t="s">
        <v>685</v>
      </c>
      <c r="EJ10" s="42" t="s">
        <v>686</v>
      </c>
      <c r="EK10" s="42" t="s">
        <v>687</v>
      </c>
      <c r="EL10" s="42" t="s">
        <v>688</v>
      </c>
      <c r="EM10" s="42" t="s">
        <v>1355</v>
      </c>
      <c r="EN10" s="42" t="s">
        <v>1356</v>
      </c>
      <c r="EO10" s="42" t="s">
        <v>1357</v>
      </c>
      <c r="EP10" s="42" t="s">
        <v>1345</v>
      </c>
      <c r="EQ10" s="42" t="s">
        <v>1358</v>
      </c>
      <c r="ER10" s="42" t="s">
        <v>1359</v>
      </c>
      <c r="ES10" s="42" t="s">
        <v>1360</v>
      </c>
      <c r="ET10" s="42" t="s">
        <v>1346</v>
      </c>
      <c r="EU10" s="42" t="s">
        <v>1361</v>
      </c>
      <c r="EV10" s="42" t="s">
        <v>1362</v>
      </c>
      <c r="EW10" s="42" t="s">
        <v>1363</v>
      </c>
      <c r="EX10" s="42" t="s">
        <v>1347</v>
      </c>
      <c r="EY10" s="42" t="s">
        <v>1367</v>
      </c>
      <c r="EZ10" s="42" t="s">
        <v>1368</v>
      </c>
      <c r="FA10" s="42" t="s">
        <v>1369</v>
      </c>
      <c r="FB10" s="42" t="s">
        <v>1348</v>
      </c>
      <c r="FC10" s="42" t="s">
        <v>1370</v>
      </c>
      <c r="FD10" s="42" t="s">
        <v>1371</v>
      </c>
      <c r="FE10" s="42" t="s">
        <v>1372</v>
      </c>
      <c r="FF10" s="42" t="s">
        <v>1349</v>
      </c>
      <c r="FG10" s="42" t="s">
        <v>1373</v>
      </c>
      <c r="FH10" s="42" t="s">
        <v>1374</v>
      </c>
      <c r="FI10" s="42" t="s">
        <v>1375</v>
      </c>
      <c r="FJ10" s="42" t="s">
        <v>1350</v>
      </c>
      <c r="FK10" s="42" t="s">
        <v>1376</v>
      </c>
      <c r="FL10" s="42" t="s">
        <v>1377</v>
      </c>
      <c r="FM10" s="42" t="s">
        <v>1378</v>
      </c>
      <c r="FN10" s="42" t="s">
        <v>1351</v>
      </c>
      <c r="FO10" s="42" t="s">
        <v>1379</v>
      </c>
      <c r="FP10" s="42" t="s">
        <v>1380</v>
      </c>
      <c r="FQ10" s="42" t="s">
        <v>1381</v>
      </c>
      <c r="FR10" s="42" t="s">
        <v>1352</v>
      </c>
      <c r="FS10" s="42" t="s">
        <v>1382</v>
      </c>
      <c r="FT10" s="42" t="s">
        <v>1383</v>
      </c>
      <c r="FU10" s="42" t="s">
        <v>1384</v>
      </c>
      <c r="FV10" s="42" t="s">
        <v>1353</v>
      </c>
      <c r="FW10" s="42" t="s">
        <v>1385</v>
      </c>
      <c r="FX10" s="42" t="s">
        <v>1386</v>
      </c>
      <c r="FY10" s="42" t="s">
        <v>1387</v>
      </c>
      <c r="FZ10" s="42" t="s">
        <v>1354</v>
      </c>
      <c r="GA10" s="42" t="s">
        <v>1388</v>
      </c>
      <c r="GB10" s="42" t="s">
        <v>1389</v>
      </c>
      <c r="GC10" s="42" t="s">
        <v>1390</v>
      </c>
      <c r="GD10" s="42" t="s">
        <v>1364</v>
      </c>
      <c r="GE10" s="42" t="s">
        <v>1391</v>
      </c>
      <c r="GF10" s="42" t="s">
        <v>1392</v>
      </c>
      <c r="GG10" s="42" t="s">
        <v>1393</v>
      </c>
      <c r="GH10" s="42" t="s">
        <v>1365</v>
      </c>
      <c r="GI10" s="42" t="s">
        <v>1394</v>
      </c>
      <c r="GJ10" s="42" t="s">
        <v>1395</v>
      </c>
      <c r="GK10" s="42" t="s">
        <v>1396</v>
      </c>
      <c r="GL10" s="42" t="s">
        <v>1366</v>
      </c>
      <c r="GM10" s="42" t="s">
        <v>691</v>
      </c>
      <c r="GN10" s="42" t="s">
        <v>700</v>
      </c>
      <c r="GO10" s="42" t="s">
        <v>689</v>
      </c>
      <c r="GP10" s="42" t="s">
        <v>690</v>
      </c>
      <c r="GQ10" s="42" t="s">
        <v>1104</v>
      </c>
      <c r="GR10" s="42" t="s">
        <v>693</v>
      </c>
      <c r="GS10" s="42" t="s">
        <v>699</v>
      </c>
      <c r="GT10" s="42" t="s">
        <v>694</v>
      </c>
      <c r="GU10" s="42" t="s">
        <v>692</v>
      </c>
      <c r="GV10" s="42" t="s">
        <v>1105</v>
      </c>
      <c r="GW10" s="42" t="s">
        <v>1400</v>
      </c>
      <c r="GX10" s="42" t="s">
        <v>1401</v>
      </c>
      <c r="GY10" s="42" t="s">
        <v>1402</v>
      </c>
      <c r="GZ10" s="42" t="s">
        <v>1403</v>
      </c>
      <c r="HA10" s="42" t="s">
        <v>1397</v>
      </c>
      <c r="HB10" s="42" t="s">
        <v>1404</v>
      </c>
      <c r="HC10" s="42" t="s">
        <v>1405</v>
      </c>
      <c r="HD10" s="42" t="s">
        <v>1406</v>
      </c>
      <c r="HE10" s="42" t="s">
        <v>1407</v>
      </c>
      <c r="HF10" s="42" t="s">
        <v>1398</v>
      </c>
      <c r="HG10" s="42" t="s">
        <v>1408</v>
      </c>
      <c r="HH10" s="42" t="s">
        <v>1409</v>
      </c>
      <c r="HI10" s="42" t="s">
        <v>1410</v>
      </c>
      <c r="HJ10" s="42" t="s">
        <v>1411</v>
      </c>
      <c r="HK10" s="42" t="s">
        <v>1399</v>
      </c>
      <c r="HL10" s="34" t="s">
        <v>616</v>
      </c>
      <c r="HM10" s="34" t="s">
        <v>615</v>
      </c>
      <c r="HN10" s="34" t="s">
        <v>614</v>
      </c>
      <c r="HO10" s="34" t="s">
        <v>613</v>
      </c>
      <c r="HP10" s="34" t="s">
        <v>612</v>
      </c>
      <c r="HQ10" s="34" t="s">
        <v>611</v>
      </c>
      <c r="HR10" s="42" t="s">
        <v>610</v>
      </c>
      <c r="HS10" s="42" t="s">
        <v>609</v>
      </c>
      <c r="HT10" s="42" t="s">
        <v>608</v>
      </c>
      <c r="HU10" s="42" t="s">
        <v>607</v>
      </c>
      <c r="HV10" s="42" t="s">
        <v>606</v>
      </c>
      <c r="HW10" s="42" t="s">
        <v>1233</v>
      </c>
      <c r="HX10" s="42" t="s">
        <v>695</v>
      </c>
      <c r="HY10" s="42" t="s">
        <v>696</v>
      </c>
      <c r="HZ10" s="42" t="s">
        <v>697</v>
      </c>
      <c r="IA10" s="42" t="s">
        <v>698</v>
      </c>
      <c r="IB10" s="18" t="s">
        <v>725</v>
      </c>
      <c r="IC10" s="18" t="s">
        <v>701</v>
      </c>
      <c r="ID10" s="18" t="s">
        <v>702</v>
      </c>
      <c r="IE10" s="18" t="s">
        <v>703</v>
      </c>
      <c r="IF10" s="42" t="s">
        <v>605</v>
      </c>
      <c r="IG10" s="42" t="s">
        <v>604</v>
      </c>
      <c r="IH10" s="42" t="s">
        <v>656</v>
      </c>
      <c r="II10" s="42" t="s">
        <v>657</v>
      </c>
      <c r="IJ10" s="42" t="s">
        <v>603</v>
      </c>
      <c r="IK10" s="42" t="s">
        <v>602</v>
      </c>
      <c r="IL10" s="42" t="s">
        <v>601</v>
      </c>
      <c r="IM10" s="42" t="s">
        <v>600</v>
      </c>
      <c r="IN10" s="42" t="s">
        <v>599</v>
      </c>
      <c r="IO10" s="42" t="s">
        <v>598</v>
      </c>
      <c r="IP10" s="42" t="s">
        <v>597</v>
      </c>
      <c r="IQ10" s="42" t="s">
        <v>596</v>
      </c>
      <c r="IR10" s="42" t="s">
        <v>595</v>
      </c>
      <c r="IS10" s="42" t="s">
        <v>594</v>
      </c>
      <c r="IT10" s="50" t="s">
        <v>729</v>
      </c>
      <c r="IU10" s="50" t="s">
        <v>593</v>
      </c>
      <c r="IV10" s="50" t="s">
        <v>592</v>
      </c>
      <c r="IW10" s="50" t="s">
        <v>715</v>
      </c>
      <c r="IX10" s="50" t="s">
        <v>1738</v>
      </c>
      <c r="IY10" s="50" t="s">
        <v>590</v>
      </c>
      <c r="IZ10" s="50" t="s">
        <v>589</v>
      </c>
      <c r="JA10" s="50" t="s">
        <v>588</v>
      </c>
      <c r="JB10" s="50" t="s">
        <v>587</v>
      </c>
      <c r="JC10" s="50" t="s">
        <v>586</v>
      </c>
      <c r="JD10" s="50" t="s">
        <v>716</v>
      </c>
      <c r="JE10" s="50" t="s">
        <v>585</v>
      </c>
      <c r="JF10" s="50" t="s">
        <v>584</v>
      </c>
      <c r="JG10" s="50" t="s">
        <v>583</v>
      </c>
      <c r="JH10" s="44" t="s">
        <v>582</v>
      </c>
      <c r="JI10" s="44" t="s">
        <v>581</v>
      </c>
      <c r="JJ10" s="44" t="s">
        <v>580</v>
      </c>
      <c r="JK10" s="42" t="s">
        <v>579</v>
      </c>
      <c r="JL10" s="42" t="s">
        <v>1109</v>
      </c>
      <c r="JM10" s="42" t="s">
        <v>1110</v>
      </c>
      <c r="JN10" s="42" t="s">
        <v>578</v>
      </c>
      <c r="JO10" s="42" t="s">
        <v>577</v>
      </c>
      <c r="JP10" s="42" t="s">
        <v>576</v>
      </c>
      <c r="JQ10" s="42" t="s">
        <v>575</v>
      </c>
      <c r="JR10" s="42" t="s">
        <v>574</v>
      </c>
      <c r="JS10" s="42" t="s">
        <v>573</v>
      </c>
      <c r="JT10" s="42" t="s">
        <v>572</v>
      </c>
      <c r="JU10" s="42" t="s">
        <v>571</v>
      </c>
      <c r="JV10" s="42" t="s">
        <v>570</v>
      </c>
      <c r="JW10" s="42" t="s">
        <v>569</v>
      </c>
      <c r="JX10" s="42" t="s">
        <v>568</v>
      </c>
      <c r="JY10" s="42" t="s">
        <v>567</v>
      </c>
      <c r="JZ10" s="42" t="s">
        <v>566</v>
      </c>
      <c r="KA10" s="42" t="s">
        <v>565</v>
      </c>
      <c r="KB10" s="42" t="s">
        <v>564</v>
      </c>
      <c r="KC10" s="42" t="s">
        <v>748</v>
      </c>
      <c r="KD10" s="42" t="s">
        <v>749</v>
      </c>
      <c r="KE10" s="42" t="s">
        <v>563</v>
      </c>
      <c r="KF10" s="42" t="s">
        <v>562</v>
      </c>
      <c r="KG10" s="42" t="s">
        <v>561</v>
      </c>
      <c r="KH10" s="42" t="s">
        <v>560</v>
      </c>
      <c r="KI10" s="42" t="s">
        <v>559</v>
      </c>
      <c r="KJ10" s="42" t="s">
        <v>558</v>
      </c>
      <c r="KK10" s="42" t="s">
        <v>557</v>
      </c>
      <c r="KL10" s="42" t="s">
        <v>556</v>
      </c>
      <c r="KM10" s="42" t="s">
        <v>555</v>
      </c>
      <c r="KN10" s="42" t="s">
        <v>554</v>
      </c>
      <c r="KO10" s="42" t="s">
        <v>553</v>
      </c>
      <c r="KP10" s="42" t="s">
        <v>552</v>
      </c>
      <c r="KQ10" s="42" t="s">
        <v>551</v>
      </c>
      <c r="KR10" s="42" t="s">
        <v>550</v>
      </c>
      <c r="KS10" s="42" t="s">
        <v>549</v>
      </c>
      <c r="KT10" s="42" t="s">
        <v>548</v>
      </c>
      <c r="KU10" s="42" t="s">
        <v>1120</v>
      </c>
      <c r="KV10" s="42" t="s">
        <v>1117</v>
      </c>
      <c r="KW10" s="42" t="s">
        <v>1118</v>
      </c>
      <c r="KX10" s="42" t="s">
        <v>1119</v>
      </c>
      <c r="KY10" s="42" t="s">
        <v>546</v>
      </c>
      <c r="KZ10" s="42" t="s">
        <v>545</v>
      </c>
      <c r="LA10" s="42" t="s">
        <v>544</v>
      </c>
      <c r="LB10" s="42" t="s">
        <v>543</v>
      </c>
      <c r="LC10" s="42" t="s">
        <v>542</v>
      </c>
      <c r="LD10" s="42" t="s">
        <v>541</v>
      </c>
      <c r="LE10" s="42" t="s">
        <v>540</v>
      </c>
      <c r="LF10" s="42" t="s">
        <v>539</v>
      </c>
      <c r="LG10" s="42" t="s">
        <v>538</v>
      </c>
      <c r="LH10" s="42" t="s">
        <v>537</v>
      </c>
      <c r="LI10" s="42" t="s">
        <v>536</v>
      </c>
      <c r="LJ10" s="42" t="s">
        <v>535</v>
      </c>
      <c r="LK10" s="42" t="s">
        <v>534</v>
      </c>
      <c r="LL10" s="42" t="s">
        <v>1125</v>
      </c>
      <c r="LM10" s="42" t="s">
        <v>1126</v>
      </c>
      <c r="LN10" s="42" t="s">
        <v>533</v>
      </c>
      <c r="LO10" s="42" t="s">
        <v>532</v>
      </c>
      <c r="LP10" s="44" t="s">
        <v>531</v>
      </c>
      <c r="LQ10" s="44" t="s">
        <v>530</v>
      </c>
      <c r="LR10" s="44" t="s">
        <v>529</v>
      </c>
      <c r="LS10" s="44" t="s">
        <v>528</v>
      </c>
      <c r="LT10" s="44" t="s">
        <v>527</v>
      </c>
      <c r="LU10" s="44" t="s">
        <v>526</v>
      </c>
      <c r="LV10" s="44" t="s">
        <v>1099</v>
      </c>
      <c r="LW10" s="44" t="s">
        <v>1096</v>
      </c>
      <c r="LX10" s="44" t="s">
        <v>1097</v>
      </c>
      <c r="LY10" s="44" t="s">
        <v>1098</v>
      </c>
      <c r="LZ10" s="122" t="s">
        <v>524</v>
      </c>
      <c r="MA10" s="122" t="s">
        <v>523</v>
      </c>
      <c r="MB10" s="122" t="s">
        <v>522</v>
      </c>
      <c r="MC10" s="122" t="s">
        <v>521</v>
      </c>
      <c r="MD10" s="122" t="s">
        <v>520</v>
      </c>
      <c r="ME10" s="123" t="s">
        <v>1141</v>
      </c>
      <c r="MF10" s="123" t="s">
        <v>1149</v>
      </c>
      <c r="MG10" s="123" t="s">
        <v>1148</v>
      </c>
      <c r="MH10" s="123" t="s">
        <v>1147</v>
      </c>
      <c r="MI10" s="123" t="s">
        <v>1146</v>
      </c>
      <c r="MJ10" s="123" t="s">
        <v>1143</v>
      </c>
      <c r="MK10" s="123" t="s">
        <v>1144</v>
      </c>
      <c r="ML10" s="123" t="s">
        <v>1145</v>
      </c>
      <c r="MM10" s="107" t="s">
        <v>1726</v>
      </c>
      <c r="MN10" s="107" t="s">
        <v>1727</v>
      </c>
      <c r="MO10" s="107" t="s">
        <v>1728</v>
      </c>
      <c r="MP10" s="107" t="s">
        <v>1729</v>
      </c>
      <c r="MQ10" s="107" t="s">
        <v>1730</v>
      </c>
      <c r="MR10" s="42" t="s">
        <v>519</v>
      </c>
      <c r="MS10" s="43" t="s">
        <v>518</v>
      </c>
      <c r="MT10" s="51" t="s">
        <v>517</v>
      </c>
      <c r="MU10" s="51" t="s">
        <v>1221</v>
      </c>
      <c r="MV10" s="51" t="s">
        <v>516</v>
      </c>
      <c r="MW10" s="51" t="s">
        <v>515</v>
      </c>
      <c r="MX10" s="51" t="s">
        <v>514</v>
      </c>
      <c r="MY10" s="51" t="s">
        <v>513</v>
      </c>
      <c r="MZ10" s="51" t="s">
        <v>512</v>
      </c>
      <c r="NA10" s="51" t="s">
        <v>714</v>
      </c>
      <c r="NB10" s="51" t="s">
        <v>708</v>
      </c>
      <c r="NC10" s="42" t="s">
        <v>713</v>
      </c>
      <c r="ND10" s="42" t="s">
        <v>704</v>
      </c>
      <c r="NE10" s="42" t="s">
        <v>705</v>
      </c>
      <c r="NF10" s="42" t="s">
        <v>706</v>
      </c>
      <c r="NG10" s="42" t="s">
        <v>707</v>
      </c>
      <c r="NH10" s="42" t="s">
        <v>511</v>
      </c>
      <c r="NI10" s="42" t="s">
        <v>510</v>
      </c>
      <c r="NJ10" s="42" t="s">
        <v>509</v>
      </c>
      <c r="NK10" s="42" t="s">
        <v>508</v>
      </c>
      <c r="NL10" s="42" t="s">
        <v>507</v>
      </c>
      <c r="NM10" s="42" t="s">
        <v>506</v>
      </c>
      <c r="NN10" s="42" t="s">
        <v>505</v>
      </c>
      <c r="NO10" s="42" t="s">
        <v>504</v>
      </c>
      <c r="NP10" s="42" t="s">
        <v>503</v>
      </c>
      <c r="NQ10" s="42" t="s">
        <v>502</v>
      </c>
      <c r="NR10" s="42" t="s">
        <v>1192</v>
      </c>
      <c r="NS10" s="42" t="s">
        <v>1193</v>
      </c>
      <c r="NT10" s="42" t="s">
        <v>1194</v>
      </c>
      <c r="NU10" s="42" t="s">
        <v>1195</v>
      </c>
      <c r="NV10" s="42" t="s">
        <v>718</v>
      </c>
      <c r="NW10" s="42" t="s">
        <v>1222</v>
      </c>
      <c r="NX10" s="42" t="s">
        <v>1223</v>
      </c>
      <c r="NY10" s="42" t="s">
        <v>1224</v>
      </c>
      <c r="NZ10" s="42" t="s">
        <v>1225</v>
      </c>
      <c r="OA10" s="42" t="s">
        <v>1226</v>
      </c>
      <c r="OB10" s="42" t="s">
        <v>1227</v>
      </c>
      <c r="OC10" s="42" t="s">
        <v>1228</v>
      </c>
      <c r="OD10" s="42" t="s">
        <v>1229</v>
      </c>
      <c r="OE10" s="42" t="s">
        <v>1230</v>
      </c>
      <c r="OF10" s="42" t="s">
        <v>1231</v>
      </c>
      <c r="OG10" s="42" t="s">
        <v>501</v>
      </c>
      <c r="OH10" s="42" t="s">
        <v>500</v>
      </c>
      <c r="OI10" s="42" t="s">
        <v>499</v>
      </c>
      <c r="OJ10" s="42" t="s">
        <v>498</v>
      </c>
      <c r="OK10" s="42" t="s">
        <v>497</v>
      </c>
      <c r="OL10" s="42" t="s">
        <v>496</v>
      </c>
      <c r="OM10" s="42" t="s">
        <v>495</v>
      </c>
      <c r="ON10" s="80" t="s">
        <v>1173</v>
      </c>
      <c r="OO10" s="80" t="s">
        <v>1174</v>
      </c>
      <c r="OP10" s="81" t="s">
        <v>1180</v>
      </c>
      <c r="OQ10" s="81" t="s">
        <v>1175</v>
      </c>
      <c r="OR10" s="81" t="s">
        <v>1176</v>
      </c>
      <c r="OS10" s="81" t="s">
        <v>1179</v>
      </c>
      <c r="OT10" s="79" t="s">
        <v>1177</v>
      </c>
    </row>
    <row r="11" spans="1:410" ht="15.75" thickBot="1">
      <c r="A11" t="s">
        <v>248</v>
      </c>
      <c r="B11" t="s">
        <v>1889</v>
      </c>
      <c r="C11" t="s">
        <v>34</v>
      </c>
      <c r="D11" s="100" t="s">
        <v>31</v>
      </c>
      <c r="E11" s="90" t="s">
        <v>1676</v>
      </c>
      <c r="F11" s="100" t="s">
        <v>31</v>
      </c>
      <c r="G11" s="87" t="s">
        <v>2</v>
      </c>
      <c r="H11" s="87" t="s">
        <v>30</v>
      </c>
      <c r="I11">
        <v>-0.41666666699999999</v>
      </c>
      <c r="J11">
        <v>34.200000000000003</v>
      </c>
      <c r="K11" s="87" t="s">
        <v>29</v>
      </c>
      <c r="AV11" t="s">
        <v>1679</v>
      </c>
      <c r="AW11">
        <v>36</v>
      </c>
      <c r="AX11" t="s">
        <v>234</v>
      </c>
      <c r="AY11">
        <v>1</v>
      </c>
      <c r="AZ11" t="s">
        <v>1685</v>
      </c>
      <c r="BA11">
        <v>2007</v>
      </c>
      <c r="BB11">
        <v>2008</v>
      </c>
      <c r="BD11" t="s">
        <v>19</v>
      </c>
      <c r="BE11" t="s">
        <v>1657</v>
      </c>
      <c r="BF11" t="s">
        <v>39</v>
      </c>
      <c r="BH11" t="s">
        <v>23</v>
      </c>
      <c r="BI11" t="s">
        <v>1680</v>
      </c>
      <c r="BJ11" s="87" t="s">
        <v>22</v>
      </c>
      <c r="BK11">
        <v>44444</v>
      </c>
      <c r="IF11" t="s">
        <v>1657</v>
      </c>
      <c r="IG11" t="s">
        <v>19</v>
      </c>
      <c r="JH11" t="s">
        <v>1681</v>
      </c>
      <c r="JI11" t="s">
        <v>15</v>
      </c>
      <c r="JJ11" t="s">
        <v>14</v>
      </c>
      <c r="JK11" s="8" t="s">
        <v>1682</v>
      </c>
      <c r="JN11" t="s">
        <v>13</v>
      </c>
      <c r="JO11">
        <v>40</v>
      </c>
      <c r="JP11">
        <v>50</v>
      </c>
      <c r="KD11" t="s">
        <v>12</v>
      </c>
      <c r="MR11" t="s">
        <v>1658</v>
      </c>
      <c r="MS11">
        <v>36</v>
      </c>
      <c r="MT11" t="s">
        <v>1659</v>
      </c>
      <c r="MV11" t="s">
        <v>168</v>
      </c>
      <c r="NC11" t="s">
        <v>1695</v>
      </c>
      <c r="ND11" t="s">
        <v>1660</v>
      </c>
      <c r="NE11" t="s">
        <v>1688</v>
      </c>
      <c r="NF11" s="4" t="s">
        <v>266</v>
      </c>
      <c r="NG11" t="s">
        <v>265</v>
      </c>
      <c r="NO11" s="78" t="s">
        <v>735</v>
      </c>
      <c r="NP11" t="s">
        <v>6</v>
      </c>
      <c r="NQ11">
        <v>-126.7</v>
      </c>
      <c r="NR11" s="4" t="s">
        <v>4</v>
      </c>
      <c r="NS11">
        <v>19</v>
      </c>
      <c r="NV11">
        <v>4</v>
      </c>
      <c r="OG11" t="s">
        <v>1675</v>
      </c>
      <c r="OH11" s="87" t="s">
        <v>2</v>
      </c>
      <c r="OI11">
        <v>2007</v>
      </c>
      <c r="OL11" t="s">
        <v>1674</v>
      </c>
      <c r="ON11" t="s">
        <v>1178</v>
      </c>
      <c r="OO11" s="58">
        <v>46105</v>
      </c>
    </row>
    <row r="12" spans="1:410" ht="15.75" thickBot="1">
      <c r="A12" t="s">
        <v>248</v>
      </c>
      <c r="B12" t="s">
        <v>1889</v>
      </c>
      <c r="C12" t="s">
        <v>34</v>
      </c>
      <c r="D12" s="100" t="s">
        <v>31</v>
      </c>
      <c r="E12" s="90" t="s">
        <v>1676</v>
      </c>
      <c r="F12" s="100" t="s">
        <v>31</v>
      </c>
      <c r="G12" s="87" t="s">
        <v>2</v>
      </c>
      <c r="H12" s="87" t="s">
        <v>30</v>
      </c>
      <c r="I12">
        <v>-0.41666666699999999</v>
      </c>
      <c r="J12">
        <v>34.200000000000003</v>
      </c>
      <c r="K12" s="87" t="s">
        <v>29</v>
      </c>
      <c r="AV12" t="s">
        <v>1679</v>
      </c>
      <c r="AW12">
        <v>37</v>
      </c>
      <c r="AX12" t="s">
        <v>234</v>
      </c>
      <c r="AY12">
        <v>1</v>
      </c>
      <c r="AZ12" t="s">
        <v>1685</v>
      </c>
      <c r="BA12">
        <v>2007</v>
      </c>
      <c r="BB12">
        <v>2008</v>
      </c>
      <c r="BD12" t="s">
        <v>238</v>
      </c>
      <c r="BE12" t="s">
        <v>1661</v>
      </c>
      <c r="BF12" t="s">
        <v>64</v>
      </c>
      <c r="BH12" t="s">
        <v>23</v>
      </c>
      <c r="BI12" t="s">
        <v>1680</v>
      </c>
      <c r="BJ12" s="87" t="s">
        <v>22</v>
      </c>
      <c r="BK12">
        <v>44444</v>
      </c>
      <c r="BL12" t="s">
        <v>56</v>
      </c>
      <c r="BM12" t="s">
        <v>1677</v>
      </c>
      <c r="BN12" t="s">
        <v>1678</v>
      </c>
      <c r="BO12" s="87" t="s">
        <v>22</v>
      </c>
      <c r="BP12">
        <v>44444</v>
      </c>
      <c r="IF12" t="s">
        <v>1661</v>
      </c>
      <c r="IG12" s="84" t="s">
        <v>1453</v>
      </c>
      <c r="IH12" t="s">
        <v>660</v>
      </c>
      <c r="II12" t="s">
        <v>661</v>
      </c>
      <c r="IJ12" t="s">
        <v>838</v>
      </c>
      <c r="IK12" t="s">
        <v>838</v>
      </c>
      <c r="IL12" s="87" t="s">
        <v>29</v>
      </c>
      <c r="JH12" t="s">
        <v>1681</v>
      </c>
      <c r="JI12" t="s">
        <v>15</v>
      </c>
      <c r="JJ12" t="s">
        <v>14</v>
      </c>
      <c r="JK12" s="8" t="s">
        <v>1682</v>
      </c>
      <c r="JN12" t="s">
        <v>13</v>
      </c>
      <c r="JO12">
        <v>40</v>
      </c>
      <c r="JP12">
        <v>50</v>
      </c>
      <c r="KD12" t="s">
        <v>12</v>
      </c>
      <c r="MR12" t="s">
        <v>1658</v>
      </c>
      <c r="MS12">
        <v>36</v>
      </c>
      <c r="MT12" t="s">
        <v>1662</v>
      </c>
      <c r="MV12" t="s">
        <v>168</v>
      </c>
      <c r="MW12" t="s">
        <v>1689</v>
      </c>
      <c r="NC12" t="s">
        <v>1696</v>
      </c>
      <c r="ND12" t="s">
        <v>1660</v>
      </c>
      <c r="NE12" t="s">
        <v>1688</v>
      </c>
      <c r="NF12" s="4" t="s">
        <v>266</v>
      </c>
      <c r="NG12" t="s">
        <v>265</v>
      </c>
      <c r="NO12" s="78"/>
      <c r="NP12" t="s">
        <v>6</v>
      </c>
      <c r="NQ12">
        <v>129.30000000000001</v>
      </c>
      <c r="NR12" s="4" t="s">
        <v>4</v>
      </c>
      <c r="NS12">
        <v>49</v>
      </c>
      <c r="NV12">
        <v>4</v>
      </c>
      <c r="OG12" t="s">
        <v>1675</v>
      </c>
      <c r="OH12" s="87" t="s">
        <v>2</v>
      </c>
      <c r="OI12">
        <v>2007</v>
      </c>
      <c r="OL12" t="s">
        <v>1674</v>
      </c>
      <c r="ON12" t="s">
        <v>1178</v>
      </c>
      <c r="OO12" s="58">
        <v>46105</v>
      </c>
    </row>
    <row r="13" spans="1:410" ht="15.75" thickBot="1">
      <c r="A13" t="s">
        <v>248</v>
      </c>
      <c r="B13" t="s">
        <v>1889</v>
      </c>
      <c r="C13" t="s">
        <v>34</v>
      </c>
      <c r="D13" s="100" t="s">
        <v>31</v>
      </c>
      <c r="E13" s="90" t="s">
        <v>1676</v>
      </c>
      <c r="F13" s="100" t="s">
        <v>31</v>
      </c>
      <c r="G13" s="87" t="s">
        <v>2</v>
      </c>
      <c r="H13" s="87" t="s">
        <v>30</v>
      </c>
      <c r="I13">
        <v>-0.41666666699999999</v>
      </c>
      <c r="J13">
        <v>34.200000000000003</v>
      </c>
      <c r="K13" s="87" t="s">
        <v>29</v>
      </c>
      <c r="AV13" t="s">
        <v>1679</v>
      </c>
      <c r="AW13">
        <v>38</v>
      </c>
      <c r="AX13" t="s">
        <v>234</v>
      </c>
      <c r="AY13">
        <v>1</v>
      </c>
      <c r="AZ13" t="s">
        <v>1685</v>
      </c>
      <c r="BA13">
        <v>2007</v>
      </c>
      <c r="BB13">
        <v>2008</v>
      </c>
      <c r="BD13" t="s">
        <v>238</v>
      </c>
      <c r="BE13" t="s">
        <v>1663</v>
      </c>
      <c r="BF13" t="s">
        <v>57</v>
      </c>
      <c r="BH13" t="s">
        <v>23</v>
      </c>
      <c r="BI13" t="s">
        <v>1680</v>
      </c>
      <c r="BJ13" s="87" t="s">
        <v>22</v>
      </c>
      <c r="BK13">
        <v>44444</v>
      </c>
      <c r="BL13" t="s">
        <v>56</v>
      </c>
      <c r="BM13" t="s">
        <v>1664</v>
      </c>
      <c r="BN13" t="s">
        <v>234</v>
      </c>
      <c r="BO13" t="s">
        <v>234</v>
      </c>
      <c r="BP13" t="s">
        <v>234</v>
      </c>
      <c r="IF13" t="s">
        <v>1663</v>
      </c>
      <c r="IG13" s="84" t="s">
        <v>1683</v>
      </c>
      <c r="IH13" t="s">
        <v>660</v>
      </c>
      <c r="II13" t="s">
        <v>661</v>
      </c>
      <c r="IJ13" t="s">
        <v>838</v>
      </c>
      <c r="IK13" t="s">
        <v>838</v>
      </c>
      <c r="IL13" s="87" t="s">
        <v>29</v>
      </c>
      <c r="JH13" t="s">
        <v>1681</v>
      </c>
      <c r="JI13" t="s">
        <v>15</v>
      </c>
      <c r="JJ13" t="s">
        <v>14</v>
      </c>
      <c r="JK13" s="8" t="s">
        <v>1682</v>
      </c>
      <c r="JN13" t="s">
        <v>13</v>
      </c>
      <c r="JO13">
        <v>40</v>
      </c>
      <c r="JP13">
        <v>50</v>
      </c>
      <c r="KD13" t="s">
        <v>12</v>
      </c>
      <c r="MR13" t="s">
        <v>1658</v>
      </c>
      <c r="MS13">
        <v>36</v>
      </c>
      <c r="MT13" t="s">
        <v>1665</v>
      </c>
      <c r="MV13" t="s">
        <v>168</v>
      </c>
      <c r="MW13" t="s">
        <v>1691</v>
      </c>
      <c r="MX13" t="s">
        <v>1692</v>
      </c>
      <c r="NC13" t="s">
        <v>1696</v>
      </c>
      <c r="ND13" t="s">
        <v>1660</v>
      </c>
      <c r="NE13" t="s">
        <v>1688</v>
      </c>
      <c r="NF13" s="4" t="s">
        <v>266</v>
      </c>
      <c r="NG13" t="s">
        <v>265</v>
      </c>
      <c r="NO13" s="78"/>
      <c r="NP13" t="s">
        <v>6</v>
      </c>
      <c r="NQ13">
        <v>730.3</v>
      </c>
      <c r="NR13" s="4" t="s">
        <v>4</v>
      </c>
      <c r="NS13">
        <v>38</v>
      </c>
      <c r="NV13">
        <v>4</v>
      </c>
      <c r="OG13" t="s">
        <v>1675</v>
      </c>
      <c r="OH13" s="87" t="s">
        <v>2</v>
      </c>
      <c r="OI13">
        <v>2007</v>
      </c>
      <c r="OL13" t="s">
        <v>1674</v>
      </c>
      <c r="ON13" t="s">
        <v>1178</v>
      </c>
      <c r="OO13" s="58">
        <v>46105</v>
      </c>
    </row>
    <row r="14" spans="1:410" ht="15.75" thickBot="1">
      <c r="A14" t="s">
        <v>248</v>
      </c>
      <c r="B14" t="s">
        <v>1889</v>
      </c>
      <c r="C14" t="s">
        <v>34</v>
      </c>
      <c r="D14" s="100" t="s">
        <v>31</v>
      </c>
      <c r="E14" s="90" t="s">
        <v>1676</v>
      </c>
      <c r="F14" s="100" t="s">
        <v>31</v>
      </c>
      <c r="G14" s="87" t="s">
        <v>2</v>
      </c>
      <c r="H14" s="87" t="s">
        <v>30</v>
      </c>
      <c r="I14">
        <v>-0.41666666699999999</v>
      </c>
      <c r="J14">
        <v>34.200000000000003</v>
      </c>
      <c r="K14" s="87" t="s">
        <v>29</v>
      </c>
      <c r="AV14" t="s">
        <v>1679</v>
      </c>
      <c r="AW14">
        <v>39</v>
      </c>
      <c r="AX14" t="s">
        <v>234</v>
      </c>
      <c r="AY14">
        <v>1</v>
      </c>
      <c r="AZ14" t="s">
        <v>1685</v>
      </c>
      <c r="BA14">
        <v>2007</v>
      </c>
      <c r="BB14">
        <v>2008</v>
      </c>
      <c r="BD14" t="s">
        <v>238</v>
      </c>
      <c r="BE14" t="s">
        <v>1666</v>
      </c>
      <c r="BF14" t="s">
        <v>48</v>
      </c>
      <c r="BH14" t="s">
        <v>23</v>
      </c>
      <c r="BI14" t="s">
        <v>1680</v>
      </c>
      <c r="BJ14" s="87" t="s">
        <v>22</v>
      </c>
      <c r="BK14">
        <v>44444</v>
      </c>
      <c r="BL14" t="s">
        <v>56</v>
      </c>
      <c r="BM14" t="s">
        <v>1677</v>
      </c>
      <c r="BN14" t="s">
        <v>1678</v>
      </c>
      <c r="BO14" s="87" t="s">
        <v>22</v>
      </c>
      <c r="BP14">
        <v>44444</v>
      </c>
      <c r="BQ14" t="s">
        <v>56</v>
      </c>
      <c r="BR14" t="s">
        <v>1664</v>
      </c>
      <c r="BS14" t="s">
        <v>234</v>
      </c>
      <c r="BT14" t="s">
        <v>234</v>
      </c>
      <c r="BU14" t="s">
        <v>234</v>
      </c>
      <c r="IF14" t="s">
        <v>1666</v>
      </c>
      <c r="IG14" s="84" t="s">
        <v>1683</v>
      </c>
      <c r="IH14" t="s">
        <v>660</v>
      </c>
      <c r="II14" t="s">
        <v>661</v>
      </c>
      <c r="IJ14" t="s">
        <v>838</v>
      </c>
      <c r="IK14" t="s">
        <v>838</v>
      </c>
      <c r="IL14" s="87" t="s">
        <v>29</v>
      </c>
      <c r="JH14" t="s">
        <v>1681</v>
      </c>
      <c r="JI14" t="s">
        <v>15</v>
      </c>
      <c r="JJ14" t="s">
        <v>14</v>
      </c>
      <c r="JK14" s="8" t="s">
        <v>1682</v>
      </c>
      <c r="JN14" t="s">
        <v>13</v>
      </c>
      <c r="JO14">
        <v>40</v>
      </c>
      <c r="JP14">
        <v>50</v>
      </c>
      <c r="KD14" t="s">
        <v>12</v>
      </c>
      <c r="MR14" t="s">
        <v>1658</v>
      </c>
      <c r="MS14">
        <v>36</v>
      </c>
      <c r="MT14" t="s">
        <v>1667</v>
      </c>
      <c r="MV14" t="s">
        <v>168</v>
      </c>
      <c r="MW14" t="s">
        <v>1689</v>
      </c>
      <c r="MX14" t="s">
        <v>1691</v>
      </c>
      <c r="MY14" t="s">
        <v>1692</v>
      </c>
      <c r="NC14" t="s">
        <v>1696</v>
      </c>
      <c r="ND14" t="s">
        <v>1660</v>
      </c>
      <c r="NE14" t="s">
        <v>1688</v>
      </c>
      <c r="NF14" s="4" t="s">
        <v>266</v>
      </c>
      <c r="NG14" t="s">
        <v>265</v>
      </c>
      <c r="NO14" s="78"/>
      <c r="NP14" t="s">
        <v>6</v>
      </c>
      <c r="NQ14">
        <v>629.79999999999995</v>
      </c>
      <c r="NR14" s="4" t="s">
        <v>4</v>
      </c>
      <c r="NS14">
        <v>30</v>
      </c>
      <c r="NV14">
        <v>4</v>
      </c>
      <c r="OG14" t="s">
        <v>1675</v>
      </c>
      <c r="OH14" s="87" t="s">
        <v>2</v>
      </c>
      <c r="OI14">
        <v>2007</v>
      </c>
      <c r="OL14" t="s">
        <v>1674</v>
      </c>
      <c r="ON14" t="s">
        <v>1178</v>
      </c>
      <c r="OO14" s="58">
        <v>46105</v>
      </c>
    </row>
    <row r="15" spans="1:410" ht="15.75" thickBot="1">
      <c r="A15" t="s">
        <v>248</v>
      </c>
      <c r="B15" t="s">
        <v>1889</v>
      </c>
      <c r="C15" t="s">
        <v>34</v>
      </c>
      <c r="D15" s="100" t="s">
        <v>31</v>
      </c>
      <c r="E15" s="90" t="s">
        <v>1676</v>
      </c>
      <c r="F15" s="100" t="s">
        <v>31</v>
      </c>
      <c r="G15" s="87" t="s">
        <v>2</v>
      </c>
      <c r="H15" s="87" t="s">
        <v>30</v>
      </c>
      <c r="I15">
        <v>-0.41666666699999999</v>
      </c>
      <c r="J15">
        <v>34.200000000000003</v>
      </c>
      <c r="K15" s="87" t="s">
        <v>29</v>
      </c>
      <c r="N15" t="s">
        <v>2101</v>
      </c>
      <c r="O15" t="s">
        <v>2102</v>
      </c>
      <c r="P15" t="s">
        <v>2103</v>
      </c>
      <c r="Q15" t="s">
        <v>2104</v>
      </c>
      <c r="R15" t="s">
        <v>2105</v>
      </c>
      <c r="S15" t="s">
        <v>2106</v>
      </c>
      <c r="T15" t="s">
        <v>2107</v>
      </c>
      <c r="U15" t="s">
        <v>2108</v>
      </c>
      <c r="V15" t="s">
        <v>2109</v>
      </c>
      <c r="AV15" t="s">
        <v>1679</v>
      </c>
      <c r="AW15">
        <v>40</v>
      </c>
      <c r="AX15" t="s">
        <v>234</v>
      </c>
      <c r="AY15">
        <v>1</v>
      </c>
      <c r="AZ15" t="s">
        <v>1685</v>
      </c>
      <c r="BA15">
        <v>2007</v>
      </c>
      <c r="BB15">
        <v>2008</v>
      </c>
      <c r="BD15" t="s">
        <v>238</v>
      </c>
      <c r="BE15" t="s">
        <v>1690</v>
      </c>
      <c r="BF15" t="s">
        <v>43</v>
      </c>
      <c r="BH15" t="s">
        <v>23</v>
      </c>
      <c r="BI15" t="s">
        <v>1680</v>
      </c>
      <c r="BJ15" s="87" t="s">
        <v>22</v>
      </c>
      <c r="BK15">
        <v>44444</v>
      </c>
      <c r="BL15" t="s">
        <v>56</v>
      </c>
      <c r="BM15" t="s">
        <v>1677</v>
      </c>
      <c r="BN15" t="s">
        <v>1678</v>
      </c>
      <c r="BO15" s="87" t="s">
        <v>22</v>
      </c>
      <c r="BP15">
        <v>44444</v>
      </c>
      <c r="BQ15" t="s">
        <v>56</v>
      </c>
      <c r="BR15" t="s">
        <v>1664</v>
      </c>
      <c r="BS15" t="s">
        <v>234</v>
      </c>
      <c r="BT15" t="s">
        <v>234</v>
      </c>
      <c r="BU15" t="s">
        <v>234</v>
      </c>
      <c r="IF15" t="s">
        <v>1668</v>
      </c>
      <c r="IG15" s="84" t="s">
        <v>1683</v>
      </c>
      <c r="IH15" t="s">
        <v>660</v>
      </c>
      <c r="II15" t="s">
        <v>661</v>
      </c>
      <c r="IJ15" t="s">
        <v>838</v>
      </c>
      <c r="IK15" t="s">
        <v>838</v>
      </c>
      <c r="IL15" s="87" t="s">
        <v>29</v>
      </c>
      <c r="JH15" t="s">
        <v>1681</v>
      </c>
      <c r="JI15" t="s">
        <v>15</v>
      </c>
      <c r="JJ15" t="s">
        <v>14</v>
      </c>
      <c r="JK15" s="8" t="s">
        <v>1682</v>
      </c>
      <c r="JN15" t="s">
        <v>13</v>
      </c>
      <c r="JO15">
        <v>40</v>
      </c>
      <c r="JP15">
        <v>50</v>
      </c>
      <c r="KD15" t="s">
        <v>12</v>
      </c>
      <c r="MR15" t="s">
        <v>1658</v>
      </c>
      <c r="MS15">
        <v>36</v>
      </c>
      <c r="MT15" t="s">
        <v>1667</v>
      </c>
      <c r="MV15" t="s">
        <v>168</v>
      </c>
      <c r="MW15" t="s">
        <v>1689</v>
      </c>
      <c r="MX15" t="s">
        <v>1691</v>
      </c>
      <c r="MY15" t="s">
        <v>1692</v>
      </c>
      <c r="NC15" t="s">
        <v>1696</v>
      </c>
      <c r="ND15" t="s">
        <v>1660</v>
      </c>
      <c r="NE15" t="s">
        <v>1688</v>
      </c>
      <c r="NF15" s="4" t="s">
        <v>266</v>
      </c>
      <c r="NG15" t="s">
        <v>265</v>
      </c>
      <c r="NO15" s="78"/>
      <c r="NP15" t="s">
        <v>6</v>
      </c>
      <c r="NQ15">
        <v>908</v>
      </c>
      <c r="NR15" s="4" t="s">
        <v>4</v>
      </c>
      <c r="NS15">
        <v>72</v>
      </c>
      <c r="NV15">
        <v>4</v>
      </c>
      <c r="OG15" t="s">
        <v>1675</v>
      </c>
      <c r="OH15" s="87" t="s">
        <v>2</v>
      </c>
      <c r="OI15">
        <v>2007</v>
      </c>
      <c r="OL15" t="s">
        <v>1674</v>
      </c>
      <c r="ON15" t="s">
        <v>1178</v>
      </c>
      <c r="OO15" s="58">
        <v>46105</v>
      </c>
    </row>
    <row r="16" spans="1:410" ht="15.75" thickBot="1">
      <c r="A16" t="s">
        <v>248</v>
      </c>
      <c r="B16" t="s">
        <v>1889</v>
      </c>
      <c r="C16" t="s">
        <v>34</v>
      </c>
      <c r="D16" s="100" t="s">
        <v>31</v>
      </c>
      <c r="E16" s="90" t="s">
        <v>1676</v>
      </c>
      <c r="F16" s="100" t="s">
        <v>31</v>
      </c>
      <c r="G16" s="87" t="s">
        <v>2</v>
      </c>
      <c r="H16" s="87" t="s">
        <v>30</v>
      </c>
      <c r="I16">
        <v>-0.41666666699999999</v>
      </c>
      <c r="J16">
        <v>34.200000000000003</v>
      </c>
      <c r="K16" s="87" t="s">
        <v>29</v>
      </c>
      <c r="N16" t="s">
        <v>2110</v>
      </c>
      <c r="O16" t="s">
        <v>2111</v>
      </c>
      <c r="P16" s="9">
        <v>2600</v>
      </c>
      <c r="Q16" s="9">
        <v>1380</v>
      </c>
      <c r="R16">
        <v>10.3622</v>
      </c>
      <c r="S16">
        <v>76.980199999999996</v>
      </c>
      <c r="T16" s="9">
        <v>3000</v>
      </c>
      <c r="U16" t="s">
        <v>2112</v>
      </c>
      <c r="V16" t="s">
        <v>2113</v>
      </c>
      <c r="AV16" t="s">
        <v>1679</v>
      </c>
      <c r="AW16">
        <v>41</v>
      </c>
      <c r="AX16" t="s">
        <v>234</v>
      </c>
      <c r="AY16">
        <v>1</v>
      </c>
      <c r="AZ16" t="s">
        <v>1686</v>
      </c>
      <c r="BA16">
        <v>2007</v>
      </c>
      <c r="BB16">
        <v>2008</v>
      </c>
      <c r="BD16" t="s">
        <v>19</v>
      </c>
      <c r="BE16" t="s">
        <v>1657</v>
      </c>
      <c r="BF16" t="s">
        <v>39</v>
      </c>
      <c r="BH16" t="s">
        <v>23</v>
      </c>
      <c r="BI16" t="s">
        <v>1680</v>
      </c>
      <c r="BJ16" s="87" t="s">
        <v>22</v>
      </c>
      <c r="BK16">
        <v>44444</v>
      </c>
      <c r="IF16" t="s">
        <v>1657</v>
      </c>
      <c r="IG16" t="s">
        <v>19</v>
      </c>
      <c r="JH16" t="s">
        <v>1681</v>
      </c>
      <c r="JI16" t="s">
        <v>15</v>
      </c>
      <c r="JJ16" t="s">
        <v>14</v>
      </c>
      <c r="JK16" s="8" t="s">
        <v>1682</v>
      </c>
      <c r="JN16" t="s">
        <v>13</v>
      </c>
      <c r="JO16">
        <v>40</v>
      </c>
      <c r="JP16">
        <v>50</v>
      </c>
      <c r="KD16" t="s">
        <v>12</v>
      </c>
      <c r="MR16" t="s">
        <v>1658</v>
      </c>
      <c r="MS16">
        <v>36</v>
      </c>
      <c r="MT16" t="s">
        <v>1659</v>
      </c>
      <c r="MV16" t="s">
        <v>168</v>
      </c>
      <c r="NC16" t="s">
        <v>1695</v>
      </c>
      <c r="ND16" t="s">
        <v>1660</v>
      </c>
      <c r="NE16" t="s">
        <v>1688</v>
      </c>
      <c r="NF16" s="4" t="s">
        <v>266</v>
      </c>
      <c r="NG16" t="s">
        <v>265</v>
      </c>
      <c r="NO16" s="78" t="s">
        <v>735</v>
      </c>
      <c r="NP16" t="s">
        <v>6</v>
      </c>
      <c r="NQ16">
        <v>-176.1</v>
      </c>
      <c r="NR16" s="4" t="s">
        <v>4</v>
      </c>
      <c r="NS16">
        <v>73</v>
      </c>
      <c r="NV16">
        <v>4</v>
      </c>
      <c r="OG16" t="s">
        <v>1675</v>
      </c>
      <c r="OH16" s="87" t="s">
        <v>2</v>
      </c>
      <c r="OI16">
        <v>2008</v>
      </c>
      <c r="OL16" t="s">
        <v>1684</v>
      </c>
      <c r="ON16" t="s">
        <v>1178</v>
      </c>
      <c r="OO16" s="58">
        <v>46105</v>
      </c>
    </row>
    <row r="17" spans="1:405" ht="15.75" thickBot="1">
      <c r="A17" t="s">
        <v>248</v>
      </c>
      <c r="B17" t="s">
        <v>1889</v>
      </c>
      <c r="C17" t="s">
        <v>34</v>
      </c>
      <c r="D17" s="100" t="s">
        <v>31</v>
      </c>
      <c r="E17" s="90" t="s">
        <v>1676</v>
      </c>
      <c r="F17" s="100" t="s">
        <v>31</v>
      </c>
      <c r="G17" s="87" t="s">
        <v>2</v>
      </c>
      <c r="H17" s="87" t="s">
        <v>30</v>
      </c>
      <c r="I17">
        <v>-0.41666666699999999</v>
      </c>
      <c r="J17">
        <v>34.200000000000003</v>
      </c>
      <c r="K17" s="87" t="s">
        <v>29</v>
      </c>
      <c r="N17" t="s">
        <v>2114</v>
      </c>
      <c r="O17" t="s">
        <v>2115</v>
      </c>
      <c r="P17">
        <v>185</v>
      </c>
      <c r="Q17" s="9">
        <v>1270</v>
      </c>
      <c r="R17">
        <v>10.385</v>
      </c>
      <c r="S17">
        <v>76.95</v>
      </c>
      <c r="T17" s="9">
        <v>1000</v>
      </c>
      <c r="U17" t="s">
        <v>2116</v>
      </c>
      <c r="V17" t="s">
        <v>2117</v>
      </c>
      <c r="AV17" t="s">
        <v>1679</v>
      </c>
      <c r="AW17">
        <v>42</v>
      </c>
      <c r="AX17" t="s">
        <v>234</v>
      </c>
      <c r="AY17">
        <v>1</v>
      </c>
      <c r="AZ17" t="s">
        <v>1686</v>
      </c>
      <c r="BA17">
        <v>2007</v>
      </c>
      <c r="BB17">
        <v>2008</v>
      </c>
      <c r="BD17" t="s">
        <v>238</v>
      </c>
      <c r="BE17" t="s">
        <v>1661</v>
      </c>
      <c r="BF17" t="s">
        <v>64</v>
      </c>
      <c r="BH17" t="s">
        <v>23</v>
      </c>
      <c r="BI17" t="s">
        <v>1680</v>
      </c>
      <c r="BJ17" s="87" t="s">
        <v>22</v>
      </c>
      <c r="BK17">
        <v>44444</v>
      </c>
      <c r="BL17" t="s">
        <v>56</v>
      </c>
      <c r="BM17" t="s">
        <v>1677</v>
      </c>
      <c r="BN17" t="s">
        <v>1678</v>
      </c>
      <c r="BO17" s="87" t="s">
        <v>22</v>
      </c>
      <c r="BP17">
        <v>44444</v>
      </c>
      <c r="IF17" t="s">
        <v>1661</v>
      </c>
      <c r="IG17" s="84" t="s">
        <v>1453</v>
      </c>
      <c r="IH17" t="s">
        <v>660</v>
      </c>
      <c r="II17" t="s">
        <v>661</v>
      </c>
      <c r="IJ17" t="s">
        <v>838</v>
      </c>
      <c r="IK17" t="s">
        <v>838</v>
      </c>
      <c r="IL17" s="87" t="s">
        <v>29</v>
      </c>
      <c r="JH17" t="s">
        <v>1681</v>
      </c>
      <c r="JI17" t="s">
        <v>15</v>
      </c>
      <c r="JJ17" t="s">
        <v>14</v>
      </c>
      <c r="JK17" s="8" t="s">
        <v>1682</v>
      </c>
      <c r="JN17" t="s">
        <v>13</v>
      </c>
      <c r="JO17">
        <v>40</v>
      </c>
      <c r="JP17">
        <v>50</v>
      </c>
      <c r="KD17" t="s">
        <v>12</v>
      </c>
      <c r="MR17" t="s">
        <v>1658</v>
      </c>
      <c r="MS17">
        <v>36</v>
      </c>
      <c r="MT17" t="s">
        <v>1662</v>
      </c>
      <c r="MV17" t="s">
        <v>168</v>
      </c>
      <c r="MW17" t="s">
        <v>1689</v>
      </c>
      <c r="NC17" t="s">
        <v>1696</v>
      </c>
      <c r="ND17" t="s">
        <v>1660</v>
      </c>
      <c r="NE17" t="s">
        <v>1688</v>
      </c>
      <c r="NF17" s="4" t="s">
        <v>266</v>
      </c>
      <c r="NG17" t="s">
        <v>265</v>
      </c>
      <c r="NO17" s="78"/>
      <c r="NP17" t="s">
        <v>6</v>
      </c>
      <c r="NQ17">
        <v>45.3</v>
      </c>
      <c r="NR17" s="4" t="s">
        <v>4</v>
      </c>
      <c r="NS17">
        <v>116</v>
      </c>
      <c r="NV17">
        <v>4</v>
      </c>
      <c r="OG17" t="s">
        <v>1675</v>
      </c>
      <c r="OH17" s="87" t="s">
        <v>2</v>
      </c>
      <c r="OI17">
        <v>2008</v>
      </c>
      <c r="OL17" t="s">
        <v>1684</v>
      </c>
      <c r="ON17" t="s">
        <v>1178</v>
      </c>
      <c r="OO17" s="58">
        <v>46105</v>
      </c>
    </row>
    <row r="18" spans="1:405" ht="15.75" thickBot="1">
      <c r="A18" t="s">
        <v>248</v>
      </c>
      <c r="B18" t="s">
        <v>1889</v>
      </c>
      <c r="C18" t="s">
        <v>34</v>
      </c>
      <c r="D18" s="100" t="s">
        <v>31</v>
      </c>
      <c r="E18" s="90" t="s">
        <v>1676</v>
      </c>
      <c r="F18" s="100" t="s">
        <v>31</v>
      </c>
      <c r="G18" s="87" t="s">
        <v>2</v>
      </c>
      <c r="H18" s="87" t="s">
        <v>30</v>
      </c>
      <c r="I18">
        <v>-0.41666666699999999</v>
      </c>
      <c r="J18">
        <v>34.200000000000003</v>
      </c>
      <c r="K18" s="87" t="s">
        <v>29</v>
      </c>
      <c r="N18" t="s">
        <v>2118</v>
      </c>
      <c r="O18" t="s">
        <v>2119</v>
      </c>
      <c r="P18">
        <v>200</v>
      </c>
      <c r="Q18">
        <v>785</v>
      </c>
      <c r="R18">
        <v>10.234999999999999</v>
      </c>
      <c r="S18">
        <v>76.89</v>
      </c>
      <c r="T18" s="9">
        <v>1500</v>
      </c>
      <c r="U18" t="s">
        <v>2120</v>
      </c>
      <c r="V18" t="s">
        <v>2121</v>
      </c>
      <c r="AV18" t="s">
        <v>1679</v>
      </c>
      <c r="AW18">
        <v>43</v>
      </c>
      <c r="AX18" t="s">
        <v>234</v>
      </c>
      <c r="AY18">
        <v>1</v>
      </c>
      <c r="AZ18" t="s">
        <v>1686</v>
      </c>
      <c r="BA18">
        <v>2007</v>
      </c>
      <c r="BB18">
        <v>2008</v>
      </c>
      <c r="BD18" t="s">
        <v>238</v>
      </c>
      <c r="BE18" t="s">
        <v>1663</v>
      </c>
      <c r="BF18" t="s">
        <v>57</v>
      </c>
      <c r="BH18" t="s">
        <v>23</v>
      </c>
      <c r="BI18" t="s">
        <v>1680</v>
      </c>
      <c r="BJ18" s="87" t="s">
        <v>22</v>
      </c>
      <c r="BK18">
        <v>44444</v>
      </c>
      <c r="BL18" t="s">
        <v>56</v>
      </c>
      <c r="BM18" t="s">
        <v>1664</v>
      </c>
      <c r="BN18" t="s">
        <v>234</v>
      </c>
      <c r="BO18" t="s">
        <v>234</v>
      </c>
      <c r="BP18" t="s">
        <v>234</v>
      </c>
      <c r="IF18" t="s">
        <v>1663</v>
      </c>
      <c r="IG18" s="84" t="s">
        <v>1683</v>
      </c>
      <c r="IH18" t="s">
        <v>660</v>
      </c>
      <c r="II18" t="s">
        <v>661</v>
      </c>
      <c r="IJ18" t="s">
        <v>838</v>
      </c>
      <c r="IK18" t="s">
        <v>838</v>
      </c>
      <c r="IL18" s="87" t="s">
        <v>29</v>
      </c>
      <c r="JH18" t="s">
        <v>1681</v>
      </c>
      <c r="JI18" t="s">
        <v>15</v>
      </c>
      <c r="JJ18" t="s">
        <v>14</v>
      </c>
      <c r="JK18" s="8" t="s">
        <v>1682</v>
      </c>
      <c r="JN18" t="s">
        <v>13</v>
      </c>
      <c r="JO18">
        <v>40</v>
      </c>
      <c r="JP18">
        <v>50</v>
      </c>
      <c r="KD18" t="s">
        <v>12</v>
      </c>
      <c r="MR18" t="s">
        <v>1658</v>
      </c>
      <c r="MS18">
        <v>36</v>
      </c>
      <c r="MT18" t="s">
        <v>1665</v>
      </c>
      <c r="MV18" t="s">
        <v>168</v>
      </c>
      <c r="MW18" t="s">
        <v>1691</v>
      </c>
      <c r="MX18" t="s">
        <v>1692</v>
      </c>
      <c r="NC18" t="s">
        <v>1696</v>
      </c>
      <c r="ND18" t="s">
        <v>1660</v>
      </c>
      <c r="NE18" t="s">
        <v>1688</v>
      </c>
      <c r="NF18" s="4" t="s">
        <v>266</v>
      </c>
      <c r="NG18" t="s">
        <v>265</v>
      </c>
      <c r="NO18" s="78"/>
      <c r="NP18" t="s">
        <v>6</v>
      </c>
      <c r="NQ18">
        <v>940.4</v>
      </c>
      <c r="NR18" s="4" t="s">
        <v>4</v>
      </c>
      <c r="NS18">
        <v>56</v>
      </c>
      <c r="NV18">
        <v>4</v>
      </c>
      <c r="OG18" t="s">
        <v>1675</v>
      </c>
      <c r="OH18" s="87" t="s">
        <v>2</v>
      </c>
      <c r="OI18">
        <v>2008</v>
      </c>
      <c r="OL18" t="s">
        <v>1684</v>
      </c>
      <c r="ON18" t="s">
        <v>1178</v>
      </c>
      <c r="OO18" s="58">
        <v>46105</v>
      </c>
    </row>
    <row r="19" spans="1:405" ht="15.75" thickBot="1">
      <c r="A19" t="s">
        <v>248</v>
      </c>
      <c r="B19" t="s">
        <v>1889</v>
      </c>
      <c r="C19" t="s">
        <v>34</v>
      </c>
      <c r="D19" s="100" t="s">
        <v>31</v>
      </c>
      <c r="E19" s="90" t="s">
        <v>1676</v>
      </c>
      <c r="F19" s="100" t="s">
        <v>31</v>
      </c>
      <c r="G19" s="87" t="s">
        <v>2</v>
      </c>
      <c r="H19" s="87" t="s">
        <v>30</v>
      </c>
      <c r="I19">
        <v>-0.41666666699999999</v>
      </c>
      <c r="J19">
        <v>34.200000000000003</v>
      </c>
      <c r="K19" s="87" t="s">
        <v>29</v>
      </c>
      <c r="N19" t="s">
        <v>2122</v>
      </c>
      <c r="O19" t="s">
        <v>2123</v>
      </c>
      <c r="P19">
        <v>100</v>
      </c>
      <c r="Q19" s="9">
        <v>1400</v>
      </c>
      <c r="R19">
        <v>10.37</v>
      </c>
      <c r="S19">
        <v>76.984999999999999</v>
      </c>
      <c r="T19">
        <v>500</v>
      </c>
      <c r="U19" t="s">
        <v>2112</v>
      </c>
      <c r="V19" t="s">
        <v>2124</v>
      </c>
      <c r="AV19" t="s">
        <v>1679</v>
      </c>
      <c r="AW19">
        <v>44</v>
      </c>
      <c r="AX19" t="s">
        <v>234</v>
      </c>
      <c r="AY19">
        <v>1</v>
      </c>
      <c r="AZ19" t="s">
        <v>1686</v>
      </c>
      <c r="BA19">
        <v>2007</v>
      </c>
      <c r="BB19">
        <v>2008</v>
      </c>
      <c r="BD19" t="s">
        <v>238</v>
      </c>
      <c r="BE19" t="s">
        <v>1666</v>
      </c>
      <c r="BF19" t="s">
        <v>48</v>
      </c>
      <c r="BH19" t="s">
        <v>23</v>
      </c>
      <c r="BI19" t="s">
        <v>1680</v>
      </c>
      <c r="BJ19" s="87" t="s">
        <v>22</v>
      </c>
      <c r="BK19">
        <v>44444</v>
      </c>
      <c r="BL19" t="s">
        <v>56</v>
      </c>
      <c r="BM19" t="s">
        <v>1677</v>
      </c>
      <c r="BN19" t="s">
        <v>1678</v>
      </c>
      <c r="BO19" s="87" t="s">
        <v>22</v>
      </c>
      <c r="BP19">
        <v>44444</v>
      </c>
      <c r="BQ19" t="s">
        <v>56</v>
      </c>
      <c r="BR19" t="s">
        <v>1664</v>
      </c>
      <c r="BS19" t="s">
        <v>234</v>
      </c>
      <c r="BT19" t="s">
        <v>234</v>
      </c>
      <c r="BU19" t="s">
        <v>234</v>
      </c>
      <c r="IF19" t="s">
        <v>1666</v>
      </c>
      <c r="IG19" s="84" t="s">
        <v>1683</v>
      </c>
      <c r="IH19" t="s">
        <v>660</v>
      </c>
      <c r="II19" t="s">
        <v>661</v>
      </c>
      <c r="IJ19" t="s">
        <v>838</v>
      </c>
      <c r="IK19" t="s">
        <v>838</v>
      </c>
      <c r="IL19" s="87" t="s">
        <v>29</v>
      </c>
      <c r="JH19" t="s">
        <v>1681</v>
      </c>
      <c r="JI19" t="s">
        <v>15</v>
      </c>
      <c r="JJ19" t="s">
        <v>14</v>
      </c>
      <c r="JK19" s="8" t="s">
        <v>1682</v>
      </c>
      <c r="JN19" t="s">
        <v>13</v>
      </c>
      <c r="JO19">
        <v>40</v>
      </c>
      <c r="JP19">
        <v>50</v>
      </c>
      <c r="KD19" t="s">
        <v>12</v>
      </c>
      <c r="MR19" t="s">
        <v>1658</v>
      </c>
      <c r="MS19">
        <v>36</v>
      </c>
      <c r="MT19" t="s">
        <v>1667</v>
      </c>
      <c r="MV19" t="s">
        <v>168</v>
      </c>
      <c r="MW19" t="s">
        <v>1689</v>
      </c>
      <c r="MX19" t="s">
        <v>1691</v>
      </c>
      <c r="MY19" t="s">
        <v>1692</v>
      </c>
      <c r="NC19" t="s">
        <v>1696</v>
      </c>
      <c r="ND19" t="s">
        <v>1660</v>
      </c>
      <c r="NE19" t="s">
        <v>1688</v>
      </c>
      <c r="NF19" s="4" t="s">
        <v>266</v>
      </c>
      <c r="NG19" t="s">
        <v>265</v>
      </c>
      <c r="NO19" s="78"/>
      <c r="NP19" t="s">
        <v>6</v>
      </c>
      <c r="NQ19">
        <v>934.9</v>
      </c>
      <c r="NR19" s="4" t="s">
        <v>4</v>
      </c>
      <c r="NS19">
        <v>58</v>
      </c>
      <c r="NV19">
        <v>4</v>
      </c>
      <c r="OG19" t="s">
        <v>1675</v>
      </c>
      <c r="OH19" s="87" t="s">
        <v>2</v>
      </c>
      <c r="OI19">
        <v>2008</v>
      </c>
      <c r="OL19" t="s">
        <v>1684</v>
      </c>
      <c r="ON19" t="s">
        <v>1178</v>
      </c>
      <c r="OO19" s="58">
        <v>46105</v>
      </c>
    </row>
    <row r="20" spans="1:405" ht="15.75" thickBot="1">
      <c r="A20" t="s">
        <v>248</v>
      </c>
      <c r="B20" t="s">
        <v>1889</v>
      </c>
      <c r="C20" t="s">
        <v>34</v>
      </c>
      <c r="D20" s="100" t="s">
        <v>31</v>
      </c>
      <c r="E20" s="90" t="s">
        <v>1676</v>
      </c>
      <c r="F20" s="100" t="s">
        <v>31</v>
      </c>
      <c r="G20" s="87" t="s">
        <v>2</v>
      </c>
      <c r="H20" s="87" t="s">
        <v>30</v>
      </c>
      <c r="I20">
        <v>-0.41666666699999999</v>
      </c>
      <c r="J20">
        <v>34.200000000000003</v>
      </c>
      <c r="K20" s="87" t="s">
        <v>29</v>
      </c>
      <c r="N20" t="s">
        <v>2125</v>
      </c>
      <c r="O20" t="s">
        <v>2126</v>
      </c>
      <c r="P20">
        <v>92</v>
      </c>
      <c r="Q20" s="9">
        <v>1120</v>
      </c>
      <c r="R20">
        <v>10.33</v>
      </c>
      <c r="S20">
        <v>76.965000000000003</v>
      </c>
      <c r="T20">
        <v>500</v>
      </c>
      <c r="U20" t="s">
        <v>2112</v>
      </c>
      <c r="V20" t="s">
        <v>2127</v>
      </c>
      <c r="AV20" t="s">
        <v>1679</v>
      </c>
      <c r="AW20">
        <v>45</v>
      </c>
      <c r="AX20" t="s">
        <v>234</v>
      </c>
      <c r="AY20">
        <v>1</v>
      </c>
      <c r="AZ20" t="s">
        <v>1686</v>
      </c>
      <c r="BA20">
        <v>2007</v>
      </c>
      <c r="BB20">
        <v>2008</v>
      </c>
      <c r="BD20" t="s">
        <v>238</v>
      </c>
      <c r="BE20" t="s">
        <v>1668</v>
      </c>
      <c r="BF20" t="s">
        <v>43</v>
      </c>
      <c r="BH20" t="s">
        <v>23</v>
      </c>
      <c r="BI20" t="s">
        <v>1680</v>
      </c>
      <c r="BJ20" s="87" t="s">
        <v>22</v>
      </c>
      <c r="BK20">
        <v>44444</v>
      </c>
      <c r="BL20" t="s">
        <v>56</v>
      </c>
      <c r="BM20" t="s">
        <v>1677</v>
      </c>
      <c r="BN20" t="s">
        <v>1678</v>
      </c>
      <c r="BO20" s="87" t="s">
        <v>22</v>
      </c>
      <c r="BP20">
        <v>44444</v>
      </c>
      <c r="BQ20" t="s">
        <v>56</v>
      </c>
      <c r="BR20" t="s">
        <v>1664</v>
      </c>
      <c r="BS20" t="s">
        <v>234</v>
      </c>
      <c r="BT20" t="s">
        <v>234</v>
      </c>
      <c r="BU20" t="s">
        <v>234</v>
      </c>
      <c r="IF20" t="s">
        <v>1668</v>
      </c>
      <c r="IG20" s="84" t="s">
        <v>1683</v>
      </c>
      <c r="IH20" t="s">
        <v>660</v>
      </c>
      <c r="II20" t="s">
        <v>661</v>
      </c>
      <c r="IJ20" t="s">
        <v>838</v>
      </c>
      <c r="IK20" t="s">
        <v>838</v>
      </c>
      <c r="IL20" s="87" t="s">
        <v>29</v>
      </c>
      <c r="JH20" t="s">
        <v>1681</v>
      </c>
      <c r="JI20" t="s">
        <v>15</v>
      </c>
      <c r="JJ20" t="s">
        <v>14</v>
      </c>
      <c r="JK20" s="8" t="s">
        <v>1682</v>
      </c>
      <c r="JN20" t="s">
        <v>13</v>
      </c>
      <c r="JO20">
        <v>40</v>
      </c>
      <c r="JP20">
        <v>50</v>
      </c>
      <c r="KD20" t="s">
        <v>12</v>
      </c>
      <c r="MR20" t="s">
        <v>1658</v>
      </c>
      <c r="MS20">
        <v>36</v>
      </c>
      <c r="MT20" t="s">
        <v>1667</v>
      </c>
      <c r="MV20" t="s">
        <v>168</v>
      </c>
      <c r="MW20" t="s">
        <v>1689</v>
      </c>
      <c r="MX20" t="s">
        <v>1691</v>
      </c>
      <c r="MY20" t="s">
        <v>1692</v>
      </c>
      <c r="NC20" t="s">
        <v>1696</v>
      </c>
      <c r="ND20" t="s">
        <v>1660</v>
      </c>
      <c r="NE20" t="s">
        <v>1688</v>
      </c>
      <c r="NF20" s="4" t="s">
        <v>266</v>
      </c>
      <c r="NG20" t="s">
        <v>265</v>
      </c>
      <c r="NO20" s="78"/>
      <c r="NP20" t="s">
        <v>6</v>
      </c>
      <c r="NQ20">
        <v>1032</v>
      </c>
      <c r="NR20" s="4" t="s">
        <v>4</v>
      </c>
      <c r="NS20">
        <v>109</v>
      </c>
      <c r="NV20">
        <v>4</v>
      </c>
      <c r="OG20" t="s">
        <v>1675</v>
      </c>
      <c r="OH20" s="87" t="s">
        <v>2</v>
      </c>
      <c r="OI20">
        <v>2008</v>
      </c>
      <c r="OL20" t="s">
        <v>1684</v>
      </c>
      <c r="ON20" t="s">
        <v>1178</v>
      </c>
      <c r="OO20" s="58">
        <v>46105</v>
      </c>
    </row>
    <row r="21" spans="1:405" ht="15.75" thickBot="1">
      <c r="A21" t="s">
        <v>248</v>
      </c>
      <c r="B21" t="s">
        <v>1889</v>
      </c>
      <c r="C21" t="s">
        <v>34</v>
      </c>
      <c r="D21" s="100" t="s">
        <v>31</v>
      </c>
      <c r="E21" s="90" t="s">
        <v>1676</v>
      </c>
      <c r="F21" s="100" t="s">
        <v>31</v>
      </c>
      <c r="G21" s="87" t="s">
        <v>2</v>
      </c>
      <c r="H21" s="87" t="s">
        <v>30</v>
      </c>
      <c r="I21">
        <v>-0.41666666699999999</v>
      </c>
      <c r="J21">
        <v>34.200000000000003</v>
      </c>
      <c r="K21" s="87" t="s">
        <v>29</v>
      </c>
      <c r="N21" t="s">
        <v>2128</v>
      </c>
      <c r="O21" t="s">
        <v>2129</v>
      </c>
      <c r="P21">
        <v>56</v>
      </c>
      <c r="Q21">
        <v>995</v>
      </c>
      <c r="R21">
        <v>10.308299999999999</v>
      </c>
      <c r="S21">
        <v>76.899900000000002</v>
      </c>
      <c r="T21">
        <v>500</v>
      </c>
      <c r="U21" t="s">
        <v>2112</v>
      </c>
      <c r="V21" t="s">
        <v>2130</v>
      </c>
      <c r="AV21" t="s">
        <v>1679</v>
      </c>
      <c r="AW21">
        <v>46</v>
      </c>
      <c r="AX21" t="s">
        <v>234</v>
      </c>
      <c r="AY21">
        <v>1</v>
      </c>
      <c r="AZ21" t="s">
        <v>1687</v>
      </c>
      <c r="BA21">
        <v>2007</v>
      </c>
      <c r="BB21">
        <v>2008</v>
      </c>
      <c r="BD21" t="s">
        <v>19</v>
      </c>
      <c r="BE21" t="s">
        <v>1669</v>
      </c>
      <c r="BF21" t="s">
        <v>24</v>
      </c>
      <c r="BH21" t="s">
        <v>23</v>
      </c>
      <c r="BI21" t="s">
        <v>1680</v>
      </c>
      <c r="BJ21" s="87" t="s">
        <v>22</v>
      </c>
      <c r="BK21">
        <v>44444</v>
      </c>
      <c r="IF21" t="s">
        <v>1669</v>
      </c>
      <c r="IG21" t="s">
        <v>19</v>
      </c>
      <c r="JH21" t="s">
        <v>1681</v>
      </c>
      <c r="JI21" t="s">
        <v>15</v>
      </c>
      <c r="JJ21" t="s">
        <v>14</v>
      </c>
      <c r="JK21" s="8" t="s">
        <v>1682</v>
      </c>
      <c r="JN21" t="s">
        <v>13</v>
      </c>
      <c r="JO21">
        <v>40</v>
      </c>
      <c r="JP21">
        <v>50</v>
      </c>
      <c r="KD21" t="s">
        <v>12</v>
      </c>
      <c r="MR21" t="s">
        <v>1658</v>
      </c>
      <c r="MS21">
        <v>36</v>
      </c>
      <c r="MT21" t="s">
        <v>1659</v>
      </c>
      <c r="MV21" t="s">
        <v>168</v>
      </c>
      <c r="NC21" t="s">
        <v>1695</v>
      </c>
      <c r="ND21" t="s">
        <v>1660</v>
      </c>
      <c r="NE21" t="s">
        <v>1688</v>
      </c>
      <c r="NF21" s="4" t="s">
        <v>266</v>
      </c>
      <c r="NG21" t="s">
        <v>265</v>
      </c>
      <c r="NO21" s="78" t="s">
        <v>743</v>
      </c>
      <c r="NP21" t="s">
        <v>6</v>
      </c>
      <c r="NQ21">
        <v>91.2</v>
      </c>
      <c r="NR21" s="4" t="s">
        <v>4</v>
      </c>
      <c r="NS21">
        <v>19</v>
      </c>
      <c r="NV21">
        <v>4</v>
      </c>
      <c r="OG21" t="s">
        <v>1701</v>
      </c>
      <c r="OH21" s="87" t="s">
        <v>2</v>
      </c>
      <c r="OI21">
        <v>2007</v>
      </c>
      <c r="OL21" t="s">
        <v>1684</v>
      </c>
      <c r="ON21" t="s">
        <v>1178</v>
      </c>
      <c r="OO21" s="58">
        <v>46105</v>
      </c>
    </row>
    <row r="22" spans="1:405" ht="15.75" thickBot="1">
      <c r="A22" t="s">
        <v>248</v>
      </c>
      <c r="B22" t="s">
        <v>1889</v>
      </c>
      <c r="C22" t="s">
        <v>34</v>
      </c>
      <c r="D22" s="100" t="s">
        <v>31</v>
      </c>
      <c r="E22" s="90" t="s">
        <v>1676</v>
      </c>
      <c r="F22" s="100" t="s">
        <v>31</v>
      </c>
      <c r="G22" s="87" t="s">
        <v>2</v>
      </c>
      <c r="H22" s="87" t="s">
        <v>30</v>
      </c>
      <c r="I22">
        <v>-0.41666666699999999</v>
      </c>
      <c r="J22">
        <v>34.200000000000003</v>
      </c>
      <c r="K22" s="87" t="s">
        <v>29</v>
      </c>
      <c r="N22" t="s">
        <v>2131</v>
      </c>
      <c r="O22" t="s">
        <v>2132</v>
      </c>
      <c r="P22">
        <v>19.100000000000001</v>
      </c>
      <c r="Q22">
        <v>992</v>
      </c>
      <c r="R22">
        <v>10.31</v>
      </c>
      <c r="S22">
        <v>76.94</v>
      </c>
      <c r="T22">
        <v>300</v>
      </c>
      <c r="U22" t="s">
        <v>2116</v>
      </c>
      <c r="V22" t="s">
        <v>2133</v>
      </c>
      <c r="AV22" t="s">
        <v>1679</v>
      </c>
      <c r="AW22">
        <v>47</v>
      </c>
      <c r="AX22" t="s">
        <v>234</v>
      </c>
      <c r="AY22">
        <v>1</v>
      </c>
      <c r="AZ22" t="s">
        <v>1687</v>
      </c>
      <c r="BA22">
        <v>2007</v>
      </c>
      <c r="BB22">
        <v>2008</v>
      </c>
      <c r="BD22" t="s">
        <v>238</v>
      </c>
      <c r="BE22" t="s">
        <v>1670</v>
      </c>
      <c r="BF22" t="s">
        <v>252</v>
      </c>
      <c r="BH22" t="s">
        <v>23</v>
      </c>
      <c r="BI22" t="s">
        <v>1680</v>
      </c>
      <c r="BJ22" s="87" t="s">
        <v>22</v>
      </c>
      <c r="BK22">
        <v>44444</v>
      </c>
      <c r="BL22" t="s">
        <v>56</v>
      </c>
      <c r="BM22" t="s">
        <v>1677</v>
      </c>
      <c r="BN22" t="s">
        <v>1678</v>
      </c>
      <c r="BO22" s="87" t="s">
        <v>22</v>
      </c>
      <c r="BP22">
        <v>44444</v>
      </c>
      <c r="IF22" t="s">
        <v>1670</v>
      </c>
      <c r="IG22" s="84" t="s">
        <v>1453</v>
      </c>
      <c r="IH22" t="s">
        <v>660</v>
      </c>
      <c r="II22" t="s">
        <v>661</v>
      </c>
      <c r="IJ22" t="s">
        <v>838</v>
      </c>
      <c r="IK22" t="s">
        <v>838</v>
      </c>
      <c r="IL22" s="87" t="s">
        <v>29</v>
      </c>
      <c r="JH22" t="s">
        <v>1681</v>
      </c>
      <c r="JI22" t="s">
        <v>15</v>
      </c>
      <c r="JJ22" t="s">
        <v>14</v>
      </c>
      <c r="JK22" s="8" t="s">
        <v>1682</v>
      </c>
      <c r="JN22" t="s">
        <v>13</v>
      </c>
      <c r="JO22">
        <v>40</v>
      </c>
      <c r="JP22">
        <v>50</v>
      </c>
      <c r="KD22" t="s">
        <v>12</v>
      </c>
      <c r="MR22" t="s">
        <v>1658</v>
      </c>
      <c r="MS22">
        <v>36</v>
      </c>
      <c r="MT22" t="s">
        <v>1662</v>
      </c>
      <c r="MV22" t="s">
        <v>168</v>
      </c>
      <c r="MW22" t="s">
        <v>1689</v>
      </c>
      <c r="NC22" t="s">
        <v>1696</v>
      </c>
      <c r="ND22" t="s">
        <v>1660</v>
      </c>
      <c r="NE22" t="s">
        <v>1688</v>
      </c>
      <c r="NF22" s="4" t="s">
        <v>266</v>
      </c>
      <c r="NG22" t="s">
        <v>265</v>
      </c>
      <c r="NO22" s="78"/>
      <c r="NP22" t="s">
        <v>6</v>
      </c>
      <c r="NQ22">
        <v>123.4</v>
      </c>
      <c r="NR22" s="4" t="s">
        <v>4</v>
      </c>
      <c r="NS22">
        <v>49</v>
      </c>
      <c r="NV22">
        <v>4</v>
      </c>
      <c r="OG22" t="s">
        <v>1701</v>
      </c>
      <c r="OH22" s="87" t="s">
        <v>2</v>
      </c>
      <c r="OI22">
        <v>2007</v>
      </c>
      <c r="OL22" t="s">
        <v>1684</v>
      </c>
      <c r="ON22" t="s">
        <v>1178</v>
      </c>
      <c r="OO22" s="58">
        <v>46105</v>
      </c>
    </row>
    <row r="23" spans="1:405" ht="15.75" thickBot="1">
      <c r="A23" t="s">
        <v>248</v>
      </c>
      <c r="B23" t="s">
        <v>1889</v>
      </c>
      <c r="C23" t="s">
        <v>34</v>
      </c>
      <c r="D23" s="100" t="s">
        <v>31</v>
      </c>
      <c r="E23" s="90" t="s">
        <v>1676</v>
      </c>
      <c r="F23" s="100" t="s">
        <v>31</v>
      </c>
      <c r="G23" s="87" t="s">
        <v>2</v>
      </c>
      <c r="H23" s="87" t="s">
        <v>30</v>
      </c>
      <c r="I23">
        <v>-0.41666666699999999</v>
      </c>
      <c r="J23">
        <v>34.200000000000003</v>
      </c>
      <c r="K23" s="87" t="s">
        <v>29</v>
      </c>
      <c r="N23" t="s">
        <v>2134</v>
      </c>
      <c r="O23" t="s">
        <v>2135</v>
      </c>
      <c r="P23">
        <v>32.6</v>
      </c>
      <c r="Q23">
        <v>980</v>
      </c>
      <c r="R23">
        <v>10.3512</v>
      </c>
      <c r="S23">
        <v>76.938400000000001</v>
      </c>
      <c r="T23">
        <v>400</v>
      </c>
      <c r="U23" t="s">
        <v>2112</v>
      </c>
      <c r="V23" t="s">
        <v>2136</v>
      </c>
      <c r="AV23" t="s">
        <v>1679</v>
      </c>
      <c r="AW23">
        <v>48</v>
      </c>
      <c r="AX23" t="s">
        <v>234</v>
      </c>
      <c r="AY23">
        <v>1</v>
      </c>
      <c r="AZ23" t="s">
        <v>1687</v>
      </c>
      <c r="BA23">
        <v>2007</v>
      </c>
      <c r="BB23">
        <v>2008</v>
      </c>
      <c r="BD23" t="s">
        <v>238</v>
      </c>
      <c r="BE23" t="s">
        <v>1671</v>
      </c>
      <c r="BF23" t="s">
        <v>236</v>
      </c>
      <c r="BH23" t="s">
        <v>23</v>
      </c>
      <c r="BI23" t="s">
        <v>1680</v>
      </c>
      <c r="BJ23" s="87" t="s">
        <v>22</v>
      </c>
      <c r="BK23">
        <v>44444</v>
      </c>
      <c r="BL23" t="s">
        <v>56</v>
      </c>
      <c r="BM23" t="s">
        <v>1664</v>
      </c>
      <c r="BN23" t="s">
        <v>234</v>
      </c>
      <c r="BO23" t="s">
        <v>234</v>
      </c>
      <c r="BP23" t="s">
        <v>234</v>
      </c>
      <c r="IF23" t="s">
        <v>1671</v>
      </c>
      <c r="IG23" s="84" t="s">
        <v>1683</v>
      </c>
      <c r="IH23" t="s">
        <v>660</v>
      </c>
      <c r="II23" t="s">
        <v>661</v>
      </c>
      <c r="IJ23" t="s">
        <v>838</v>
      </c>
      <c r="IK23" t="s">
        <v>838</v>
      </c>
      <c r="IL23" s="87" t="s">
        <v>29</v>
      </c>
      <c r="JH23" t="s">
        <v>1681</v>
      </c>
      <c r="JI23" t="s">
        <v>15</v>
      </c>
      <c r="JJ23" t="s">
        <v>14</v>
      </c>
      <c r="JK23" s="8" t="s">
        <v>1682</v>
      </c>
      <c r="JN23" t="s">
        <v>13</v>
      </c>
      <c r="JO23">
        <v>40</v>
      </c>
      <c r="JP23">
        <v>50</v>
      </c>
      <c r="KD23" t="s">
        <v>12</v>
      </c>
      <c r="MR23" t="s">
        <v>1658</v>
      </c>
      <c r="MS23">
        <v>36</v>
      </c>
      <c r="MT23" t="s">
        <v>1665</v>
      </c>
      <c r="MV23" t="s">
        <v>168</v>
      </c>
      <c r="MW23" t="s">
        <v>1691</v>
      </c>
      <c r="MX23" t="s">
        <v>1692</v>
      </c>
      <c r="NC23" t="s">
        <v>1696</v>
      </c>
      <c r="ND23" t="s">
        <v>1660</v>
      </c>
      <c r="NE23" t="s">
        <v>1688</v>
      </c>
      <c r="NF23" s="4" t="s">
        <v>266</v>
      </c>
      <c r="NG23" t="s">
        <v>265</v>
      </c>
      <c r="NO23" s="78"/>
      <c r="NP23" t="s">
        <v>6</v>
      </c>
      <c r="NQ23">
        <v>1272.8</v>
      </c>
      <c r="NR23" s="4" t="s">
        <v>4</v>
      </c>
      <c r="NS23">
        <v>58</v>
      </c>
      <c r="NV23">
        <v>4</v>
      </c>
      <c r="OG23" t="s">
        <v>1701</v>
      </c>
      <c r="OH23" s="87" t="s">
        <v>2</v>
      </c>
      <c r="OI23">
        <v>2007</v>
      </c>
      <c r="OL23" t="s">
        <v>1684</v>
      </c>
      <c r="ON23" t="s">
        <v>1178</v>
      </c>
      <c r="OO23" s="58">
        <v>46105</v>
      </c>
    </row>
    <row r="24" spans="1:405" ht="15.75" thickBot="1">
      <c r="A24" t="s">
        <v>248</v>
      </c>
      <c r="B24" t="s">
        <v>1889</v>
      </c>
      <c r="C24" t="s">
        <v>34</v>
      </c>
      <c r="D24" s="100" t="s">
        <v>31</v>
      </c>
      <c r="E24" s="90" t="s">
        <v>1676</v>
      </c>
      <c r="F24" s="100" t="s">
        <v>31</v>
      </c>
      <c r="G24" s="87" t="s">
        <v>2</v>
      </c>
      <c r="H24" s="87" t="s">
        <v>30</v>
      </c>
      <c r="I24">
        <v>-0.41666666699999999</v>
      </c>
      <c r="J24">
        <v>34.200000000000003</v>
      </c>
      <c r="K24" s="87" t="s">
        <v>29</v>
      </c>
      <c r="N24" t="s">
        <v>2137</v>
      </c>
      <c r="O24" t="s">
        <v>2138</v>
      </c>
      <c r="P24">
        <v>88</v>
      </c>
      <c r="Q24" s="9">
        <v>1032</v>
      </c>
      <c r="R24">
        <v>10.279</v>
      </c>
      <c r="S24">
        <v>76.8874</v>
      </c>
      <c r="T24">
        <v>500</v>
      </c>
      <c r="U24" t="s">
        <v>2112</v>
      </c>
      <c r="V24" t="s">
        <v>2139</v>
      </c>
      <c r="AV24" t="s">
        <v>1679</v>
      </c>
      <c r="AW24">
        <v>49</v>
      </c>
      <c r="AX24" t="s">
        <v>234</v>
      </c>
      <c r="AY24">
        <v>1</v>
      </c>
      <c r="AZ24" t="s">
        <v>1687</v>
      </c>
      <c r="BA24">
        <v>2007</v>
      </c>
      <c r="BB24">
        <v>2008</v>
      </c>
      <c r="BD24" t="s">
        <v>238</v>
      </c>
      <c r="BE24" t="s">
        <v>1672</v>
      </c>
      <c r="BF24" t="s">
        <v>284</v>
      </c>
      <c r="BH24" t="s">
        <v>23</v>
      </c>
      <c r="BI24" t="s">
        <v>1680</v>
      </c>
      <c r="BJ24" s="87" t="s">
        <v>22</v>
      </c>
      <c r="BK24">
        <v>44444</v>
      </c>
      <c r="BL24" t="s">
        <v>56</v>
      </c>
      <c r="BM24" t="s">
        <v>1677</v>
      </c>
      <c r="BN24" t="s">
        <v>1678</v>
      </c>
      <c r="BO24" s="87" t="s">
        <v>22</v>
      </c>
      <c r="BP24">
        <v>44444</v>
      </c>
      <c r="BQ24" t="s">
        <v>56</v>
      </c>
      <c r="BR24" t="s">
        <v>1664</v>
      </c>
      <c r="BS24" t="s">
        <v>234</v>
      </c>
      <c r="BT24" t="s">
        <v>234</v>
      </c>
      <c r="BU24" t="s">
        <v>234</v>
      </c>
      <c r="IF24" t="s">
        <v>1672</v>
      </c>
      <c r="IG24" s="84" t="s">
        <v>1683</v>
      </c>
      <c r="IH24" t="s">
        <v>660</v>
      </c>
      <c r="II24" t="s">
        <v>661</v>
      </c>
      <c r="IJ24" t="s">
        <v>838</v>
      </c>
      <c r="IK24" t="s">
        <v>838</v>
      </c>
      <c r="IL24" s="87" t="s">
        <v>29</v>
      </c>
      <c r="JH24" t="s">
        <v>1681</v>
      </c>
      <c r="JI24" t="s">
        <v>15</v>
      </c>
      <c r="JJ24" t="s">
        <v>14</v>
      </c>
      <c r="JK24" s="8" t="s">
        <v>1682</v>
      </c>
      <c r="JN24" t="s">
        <v>13</v>
      </c>
      <c r="JO24">
        <v>40</v>
      </c>
      <c r="JP24">
        <v>50</v>
      </c>
      <c r="KD24" t="s">
        <v>12</v>
      </c>
      <c r="MR24" t="s">
        <v>1658</v>
      </c>
      <c r="MS24">
        <v>36</v>
      </c>
      <c r="MT24" t="s">
        <v>1667</v>
      </c>
      <c r="MV24" t="s">
        <v>168</v>
      </c>
      <c r="MW24" t="s">
        <v>1689</v>
      </c>
      <c r="MX24" t="s">
        <v>1691</v>
      </c>
      <c r="MY24" t="s">
        <v>1692</v>
      </c>
      <c r="NC24" t="s">
        <v>1696</v>
      </c>
      <c r="ND24" t="s">
        <v>1660</v>
      </c>
      <c r="NE24" t="s">
        <v>1688</v>
      </c>
      <c r="NF24" s="4" t="s">
        <v>266</v>
      </c>
      <c r="NG24" t="s">
        <v>265</v>
      </c>
      <c r="NO24" s="78"/>
      <c r="NP24" t="s">
        <v>6</v>
      </c>
      <c r="NQ24">
        <v>1265.2</v>
      </c>
      <c r="NR24" s="4" t="s">
        <v>4</v>
      </c>
      <c r="NS24">
        <v>14</v>
      </c>
      <c r="NV24">
        <v>4</v>
      </c>
      <c r="OG24" t="s">
        <v>1701</v>
      </c>
      <c r="OH24" s="87" t="s">
        <v>2</v>
      </c>
      <c r="OI24">
        <v>2007</v>
      </c>
      <c r="OL24" t="s">
        <v>1684</v>
      </c>
      <c r="ON24" t="s">
        <v>1178</v>
      </c>
      <c r="OO24" s="58">
        <v>46105</v>
      </c>
    </row>
    <row r="25" spans="1:405" ht="15.75" thickBot="1">
      <c r="A25" t="s">
        <v>248</v>
      </c>
      <c r="B25" t="s">
        <v>1889</v>
      </c>
      <c r="C25" t="s">
        <v>34</v>
      </c>
      <c r="D25" s="100" t="s">
        <v>31</v>
      </c>
      <c r="E25" s="90" t="s">
        <v>1676</v>
      </c>
      <c r="F25" s="100" t="s">
        <v>31</v>
      </c>
      <c r="G25" s="87" t="s">
        <v>2</v>
      </c>
      <c r="H25" s="87" t="s">
        <v>30</v>
      </c>
      <c r="I25">
        <v>-0.41666666699999999</v>
      </c>
      <c r="J25">
        <v>34.200000000000003</v>
      </c>
      <c r="K25" s="87" t="s">
        <v>29</v>
      </c>
      <c r="N25" t="s">
        <v>2140</v>
      </c>
      <c r="O25" t="s">
        <v>2141</v>
      </c>
      <c r="P25">
        <v>11</v>
      </c>
      <c r="Q25">
        <v>975</v>
      </c>
      <c r="R25">
        <v>10.345000000000001</v>
      </c>
      <c r="S25">
        <v>76.924999999999997</v>
      </c>
      <c r="T25">
        <v>300</v>
      </c>
      <c r="U25" t="s">
        <v>2116</v>
      </c>
      <c r="V25" t="s">
        <v>2142</v>
      </c>
      <c r="AV25" t="s">
        <v>1679</v>
      </c>
      <c r="AW25">
        <v>50</v>
      </c>
      <c r="AX25" t="s">
        <v>234</v>
      </c>
      <c r="AY25">
        <v>1</v>
      </c>
      <c r="AZ25" t="s">
        <v>1687</v>
      </c>
      <c r="BA25">
        <v>2007</v>
      </c>
      <c r="BB25">
        <v>2008</v>
      </c>
      <c r="BD25" t="s">
        <v>238</v>
      </c>
      <c r="BE25" t="s">
        <v>1673</v>
      </c>
      <c r="BF25" t="s">
        <v>277</v>
      </c>
      <c r="BH25" t="s">
        <v>23</v>
      </c>
      <c r="BI25" t="s">
        <v>1680</v>
      </c>
      <c r="BJ25" s="87" t="s">
        <v>22</v>
      </c>
      <c r="BK25">
        <v>44444</v>
      </c>
      <c r="BL25" t="s">
        <v>56</v>
      </c>
      <c r="BM25" t="s">
        <v>1677</v>
      </c>
      <c r="BN25" t="s">
        <v>1678</v>
      </c>
      <c r="BO25" s="87" t="s">
        <v>22</v>
      </c>
      <c r="BP25">
        <v>44444</v>
      </c>
      <c r="BQ25" t="s">
        <v>56</v>
      </c>
      <c r="BR25" t="s">
        <v>1664</v>
      </c>
      <c r="BS25" t="s">
        <v>234</v>
      </c>
      <c r="BT25" t="s">
        <v>234</v>
      </c>
      <c r="BU25" t="s">
        <v>234</v>
      </c>
      <c r="IF25" t="s">
        <v>1673</v>
      </c>
      <c r="IG25" s="84" t="s">
        <v>1683</v>
      </c>
      <c r="IH25" t="s">
        <v>660</v>
      </c>
      <c r="II25" t="s">
        <v>661</v>
      </c>
      <c r="IJ25" t="s">
        <v>838</v>
      </c>
      <c r="IK25" t="s">
        <v>838</v>
      </c>
      <c r="IL25" s="87" t="s">
        <v>29</v>
      </c>
      <c r="JH25" t="s">
        <v>1681</v>
      </c>
      <c r="JI25" t="s">
        <v>15</v>
      </c>
      <c r="JJ25" t="s">
        <v>14</v>
      </c>
      <c r="JK25" s="8" t="s">
        <v>1682</v>
      </c>
      <c r="JN25" t="s">
        <v>13</v>
      </c>
      <c r="JO25">
        <v>40</v>
      </c>
      <c r="JP25">
        <v>50</v>
      </c>
      <c r="KD25" t="s">
        <v>12</v>
      </c>
      <c r="MR25" t="s">
        <v>1658</v>
      </c>
      <c r="MS25">
        <v>36</v>
      </c>
      <c r="MT25" t="s">
        <v>1667</v>
      </c>
      <c r="MV25" t="s">
        <v>168</v>
      </c>
      <c r="MW25" t="s">
        <v>1689</v>
      </c>
      <c r="MX25" t="s">
        <v>1691</v>
      </c>
      <c r="MY25" t="s">
        <v>1692</v>
      </c>
      <c r="NC25" t="s">
        <v>1696</v>
      </c>
      <c r="ND25" t="s">
        <v>1660</v>
      </c>
      <c r="NE25" t="s">
        <v>1688</v>
      </c>
      <c r="NF25" s="4" t="s">
        <v>266</v>
      </c>
      <c r="NG25" t="s">
        <v>265</v>
      </c>
      <c r="NO25" s="78"/>
      <c r="NP25" t="s">
        <v>6</v>
      </c>
      <c r="NQ25">
        <v>1212.3</v>
      </c>
      <c r="NR25" s="4" t="s">
        <v>4</v>
      </c>
      <c r="NS25">
        <v>31</v>
      </c>
      <c r="NV25">
        <v>4</v>
      </c>
      <c r="OG25" t="s">
        <v>1701</v>
      </c>
      <c r="OH25" s="87" t="s">
        <v>2</v>
      </c>
      <c r="OI25">
        <v>2007</v>
      </c>
      <c r="OL25" t="s">
        <v>1684</v>
      </c>
      <c r="ON25" t="s">
        <v>1178</v>
      </c>
      <c r="OO25" s="58">
        <v>46105</v>
      </c>
    </row>
    <row r="26" spans="1:405" ht="15.75" thickBot="1">
      <c r="A26" t="s">
        <v>248</v>
      </c>
      <c r="B26" t="s">
        <v>1889</v>
      </c>
      <c r="C26" t="s">
        <v>34</v>
      </c>
      <c r="D26" s="100" t="s">
        <v>31</v>
      </c>
      <c r="E26" s="90" t="s">
        <v>1676</v>
      </c>
      <c r="F26" s="100" t="s">
        <v>31</v>
      </c>
      <c r="G26" s="87" t="s">
        <v>2</v>
      </c>
      <c r="H26" s="87" t="s">
        <v>30</v>
      </c>
      <c r="I26">
        <v>-0.41666666699999999</v>
      </c>
      <c r="J26">
        <v>34.200000000000003</v>
      </c>
      <c r="K26" s="87" t="s">
        <v>29</v>
      </c>
      <c r="N26" t="s">
        <v>2143</v>
      </c>
      <c r="O26" t="s">
        <v>2144</v>
      </c>
      <c r="P26">
        <v>83.8</v>
      </c>
      <c r="Q26" s="9">
        <v>1000</v>
      </c>
      <c r="R26">
        <v>10.29</v>
      </c>
      <c r="S26">
        <v>76.875</v>
      </c>
      <c r="T26">
        <v>600</v>
      </c>
      <c r="U26" t="s">
        <v>2116</v>
      </c>
      <c r="V26" t="s">
        <v>2145</v>
      </c>
      <c r="AV26" t="s">
        <v>1679</v>
      </c>
      <c r="AW26">
        <v>51</v>
      </c>
      <c r="AX26" t="s">
        <v>234</v>
      </c>
      <c r="AY26">
        <v>1</v>
      </c>
      <c r="AZ26" t="s">
        <v>1685</v>
      </c>
      <c r="BA26">
        <v>2007</v>
      </c>
      <c r="BB26">
        <v>2008</v>
      </c>
      <c r="BD26" t="s">
        <v>19</v>
      </c>
      <c r="BE26" t="s">
        <v>1669</v>
      </c>
      <c r="BF26" t="s">
        <v>24</v>
      </c>
      <c r="BH26" t="s">
        <v>23</v>
      </c>
      <c r="BI26" t="s">
        <v>1680</v>
      </c>
      <c r="BJ26" s="87" t="s">
        <v>22</v>
      </c>
      <c r="BK26">
        <v>44444</v>
      </c>
      <c r="IF26" t="s">
        <v>1669</v>
      </c>
      <c r="IG26" t="s">
        <v>19</v>
      </c>
      <c r="JH26" t="s">
        <v>1681</v>
      </c>
      <c r="JI26" t="s">
        <v>15</v>
      </c>
      <c r="JJ26" t="s">
        <v>14</v>
      </c>
      <c r="JK26" s="8" t="s">
        <v>1682</v>
      </c>
      <c r="JN26" t="s">
        <v>13</v>
      </c>
      <c r="JO26">
        <v>40</v>
      </c>
      <c r="JP26">
        <v>50</v>
      </c>
      <c r="KD26" t="s">
        <v>12</v>
      </c>
      <c r="MR26" t="s">
        <v>1658</v>
      </c>
      <c r="MS26">
        <v>36</v>
      </c>
      <c r="MT26" t="s">
        <v>1659</v>
      </c>
      <c r="MV26" t="s">
        <v>168</v>
      </c>
      <c r="NC26" t="s">
        <v>1695</v>
      </c>
      <c r="ND26" t="s">
        <v>1660</v>
      </c>
      <c r="NE26" t="s">
        <v>1688</v>
      </c>
      <c r="NF26" s="4" t="s">
        <v>266</v>
      </c>
      <c r="NG26" t="s">
        <v>265</v>
      </c>
      <c r="NO26" s="78" t="s">
        <v>743</v>
      </c>
      <c r="NP26" t="s">
        <v>6</v>
      </c>
      <c r="NQ26">
        <v>49.9</v>
      </c>
      <c r="NR26" s="4" t="s">
        <v>4</v>
      </c>
      <c r="NS26">
        <v>20</v>
      </c>
      <c r="NV26">
        <v>4</v>
      </c>
      <c r="OG26" t="s">
        <v>1700</v>
      </c>
      <c r="OH26" s="87" t="s">
        <v>2</v>
      </c>
      <c r="OI26">
        <v>2007</v>
      </c>
      <c r="OL26" t="s">
        <v>1674</v>
      </c>
      <c r="ON26" t="s">
        <v>1178</v>
      </c>
      <c r="OO26" s="58">
        <v>46105</v>
      </c>
    </row>
    <row r="27" spans="1:405" ht="15.75" thickBot="1">
      <c r="A27" t="s">
        <v>248</v>
      </c>
      <c r="B27" t="s">
        <v>1889</v>
      </c>
      <c r="C27" t="s">
        <v>34</v>
      </c>
      <c r="D27" s="100" t="s">
        <v>31</v>
      </c>
      <c r="E27" s="90" t="s">
        <v>1676</v>
      </c>
      <c r="F27" s="100" t="s">
        <v>31</v>
      </c>
      <c r="G27" s="87" t="s">
        <v>2</v>
      </c>
      <c r="H27" s="87" t="s">
        <v>30</v>
      </c>
      <c r="I27">
        <v>-0.41666666699999999</v>
      </c>
      <c r="J27">
        <v>34.200000000000003</v>
      </c>
      <c r="K27" s="87" t="s">
        <v>29</v>
      </c>
      <c r="N27" t="s">
        <v>2146</v>
      </c>
      <c r="O27" t="s">
        <v>2147</v>
      </c>
      <c r="P27">
        <v>100</v>
      </c>
      <c r="Q27">
        <v>980</v>
      </c>
      <c r="R27">
        <v>10.348000000000001</v>
      </c>
      <c r="S27">
        <v>76.935000000000002</v>
      </c>
      <c r="T27">
        <v>600</v>
      </c>
      <c r="U27" t="s">
        <v>2120</v>
      </c>
      <c r="V27" t="s">
        <v>2148</v>
      </c>
      <c r="AV27" t="s">
        <v>1679</v>
      </c>
      <c r="AW27">
        <v>52</v>
      </c>
      <c r="AX27" t="s">
        <v>234</v>
      </c>
      <c r="AY27">
        <v>1</v>
      </c>
      <c r="AZ27" t="s">
        <v>1685</v>
      </c>
      <c r="BA27">
        <v>2007</v>
      </c>
      <c r="BB27">
        <v>2008</v>
      </c>
      <c r="BD27" t="s">
        <v>238</v>
      </c>
      <c r="BE27" t="s">
        <v>1670</v>
      </c>
      <c r="BF27" t="s">
        <v>252</v>
      </c>
      <c r="BH27" t="s">
        <v>23</v>
      </c>
      <c r="BI27" t="s">
        <v>1680</v>
      </c>
      <c r="BJ27" s="87" t="s">
        <v>22</v>
      </c>
      <c r="BK27">
        <v>44444</v>
      </c>
      <c r="BL27" t="s">
        <v>56</v>
      </c>
      <c r="BM27" t="s">
        <v>1677</v>
      </c>
      <c r="BN27" t="s">
        <v>1678</v>
      </c>
      <c r="BO27" s="87" t="s">
        <v>22</v>
      </c>
      <c r="BP27">
        <v>44444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8"/>
      <c r="IF27" t="s">
        <v>1670</v>
      </c>
      <c r="IG27" s="84" t="s">
        <v>1453</v>
      </c>
      <c r="IH27" t="s">
        <v>660</v>
      </c>
      <c r="II27" t="s">
        <v>661</v>
      </c>
      <c r="IJ27" t="s">
        <v>838</v>
      </c>
      <c r="IK27" t="s">
        <v>838</v>
      </c>
      <c r="IL27" s="87" t="s">
        <v>29</v>
      </c>
      <c r="JH27" t="s">
        <v>1681</v>
      </c>
      <c r="JI27" t="s">
        <v>15</v>
      </c>
      <c r="JJ27" t="s">
        <v>14</v>
      </c>
      <c r="JK27" s="8" t="s">
        <v>1682</v>
      </c>
      <c r="JN27" t="s">
        <v>13</v>
      </c>
      <c r="JO27">
        <v>40</v>
      </c>
      <c r="JP27">
        <v>50</v>
      </c>
      <c r="KD27" t="s">
        <v>12</v>
      </c>
      <c r="MR27" t="s">
        <v>1658</v>
      </c>
      <c r="MS27">
        <v>36</v>
      </c>
      <c r="MT27" t="s">
        <v>1662</v>
      </c>
      <c r="MV27" t="s">
        <v>168</v>
      </c>
      <c r="MW27" t="s">
        <v>1689</v>
      </c>
      <c r="NC27" t="s">
        <v>1696</v>
      </c>
      <c r="ND27" t="s">
        <v>1660</v>
      </c>
      <c r="NE27" t="s">
        <v>1688</v>
      </c>
      <c r="NF27" s="4" t="s">
        <v>266</v>
      </c>
      <c r="NG27" t="s">
        <v>265</v>
      </c>
      <c r="NO27" s="78"/>
      <c r="NP27" t="s">
        <v>6</v>
      </c>
      <c r="NQ27">
        <v>75.099999999999994</v>
      </c>
      <c r="NR27" s="4" t="s">
        <v>4</v>
      </c>
      <c r="NS27">
        <v>49</v>
      </c>
      <c r="NV27">
        <v>4</v>
      </c>
      <c r="OG27" t="s">
        <v>1700</v>
      </c>
      <c r="OH27" s="87" t="s">
        <v>2</v>
      </c>
      <c r="OI27">
        <v>2007</v>
      </c>
      <c r="OL27" t="s">
        <v>1674</v>
      </c>
      <c r="ON27" t="s">
        <v>1178</v>
      </c>
      <c r="OO27" s="58">
        <v>46105</v>
      </c>
    </row>
    <row r="28" spans="1:405" ht="15.75" thickBot="1">
      <c r="A28" t="s">
        <v>248</v>
      </c>
      <c r="B28" t="s">
        <v>1889</v>
      </c>
      <c r="C28" t="s">
        <v>34</v>
      </c>
      <c r="D28" s="100" t="s">
        <v>31</v>
      </c>
      <c r="E28" s="90" t="s">
        <v>1676</v>
      </c>
      <c r="F28" s="100" t="s">
        <v>31</v>
      </c>
      <c r="G28" s="87" t="s">
        <v>2</v>
      </c>
      <c r="H28" s="87" t="s">
        <v>30</v>
      </c>
      <c r="I28">
        <v>-0.41666666699999999</v>
      </c>
      <c r="J28">
        <v>34.200000000000003</v>
      </c>
      <c r="K28" s="87" t="s">
        <v>29</v>
      </c>
      <c r="AV28" t="s">
        <v>1679</v>
      </c>
      <c r="AW28">
        <v>53</v>
      </c>
      <c r="AX28" t="s">
        <v>234</v>
      </c>
      <c r="AY28">
        <v>1</v>
      </c>
      <c r="AZ28" t="s">
        <v>1685</v>
      </c>
      <c r="BA28">
        <v>2007</v>
      </c>
      <c r="BB28">
        <v>2008</v>
      </c>
      <c r="BD28" t="s">
        <v>238</v>
      </c>
      <c r="BE28" t="s">
        <v>1671</v>
      </c>
      <c r="BF28" t="s">
        <v>236</v>
      </c>
      <c r="BH28" t="s">
        <v>23</v>
      </c>
      <c r="BI28" t="s">
        <v>1680</v>
      </c>
      <c r="BJ28" s="87" t="s">
        <v>22</v>
      </c>
      <c r="BK28">
        <v>44444</v>
      </c>
      <c r="BL28" t="s">
        <v>56</v>
      </c>
      <c r="BM28" t="s">
        <v>1664</v>
      </c>
      <c r="BN28" t="s">
        <v>234</v>
      </c>
      <c r="BO28" t="s">
        <v>234</v>
      </c>
      <c r="BP28" t="s">
        <v>234</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8"/>
      <c r="IF28" t="s">
        <v>1671</v>
      </c>
      <c r="IG28" s="84" t="s">
        <v>1683</v>
      </c>
      <c r="IH28" t="s">
        <v>660</v>
      </c>
      <c r="II28" t="s">
        <v>661</v>
      </c>
      <c r="IJ28" t="s">
        <v>838</v>
      </c>
      <c r="IK28" t="s">
        <v>838</v>
      </c>
      <c r="IL28" s="87" t="s">
        <v>29</v>
      </c>
      <c r="JH28" t="s">
        <v>1681</v>
      </c>
      <c r="JI28" t="s">
        <v>15</v>
      </c>
      <c r="JJ28" t="s">
        <v>14</v>
      </c>
      <c r="JK28" s="8" t="s">
        <v>1682</v>
      </c>
      <c r="JN28" t="s">
        <v>13</v>
      </c>
      <c r="JO28">
        <v>40</v>
      </c>
      <c r="JP28">
        <v>50</v>
      </c>
      <c r="KD28" t="s">
        <v>12</v>
      </c>
      <c r="MR28" t="s">
        <v>1658</v>
      </c>
      <c r="MS28">
        <v>36</v>
      </c>
      <c r="MT28" t="s">
        <v>1665</v>
      </c>
      <c r="MV28" t="s">
        <v>168</v>
      </c>
      <c r="MW28" t="s">
        <v>1691</v>
      </c>
      <c r="MX28" t="s">
        <v>1692</v>
      </c>
      <c r="NC28" t="s">
        <v>1696</v>
      </c>
      <c r="ND28" t="s">
        <v>1660</v>
      </c>
      <c r="NE28" t="s">
        <v>1688</v>
      </c>
      <c r="NF28" s="4" t="s">
        <v>266</v>
      </c>
      <c r="NG28" t="s">
        <v>265</v>
      </c>
      <c r="NO28" s="78"/>
      <c r="NP28" t="s">
        <v>6</v>
      </c>
      <c r="NQ28">
        <v>1431.9</v>
      </c>
      <c r="NR28" s="4" t="s">
        <v>4</v>
      </c>
      <c r="NS28">
        <v>79</v>
      </c>
      <c r="NV28">
        <v>4</v>
      </c>
      <c r="OG28" t="s">
        <v>1700</v>
      </c>
      <c r="OH28" s="87" t="s">
        <v>2</v>
      </c>
      <c r="OI28">
        <v>2007</v>
      </c>
      <c r="OL28" t="s">
        <v>1674</v>
      </c>
      <c r="ON28" t="s">
        <v>1178</v>
      </c>
      <c r="OO28" s="58">
        <v>46105</v>
      </c>
    </row>
    <row r="29" spans="1:405" ht="15.75" thickBot="1">
      <c r="A29" t="s">
        <v>248</v>
      </c>
      <c r="B29" t="s">
        <v>1889</v>
      </c>
      <c r="C29" t="s">
        <v>34</v>
      </c>
      <c r="D29" s="100" t="s">
        <v>31</v>
      </c>
      <c r="E29" s="90" t="s">
        <v>1676</v>
      </c>
      <c r="F29" s="100" t="s">
        <v>31</v>
      </c>
      <c r="G29" s="87" t="s">
        <v>2</v>
      </c>
      <c r="H29" s="87" t="s">
        <v>30</v>
      </c>
      <c r="I29">
        <v>-0.41666666699999999</v>
      </c>
      <c r="J29">
        <v>34.200000000000003</v>
      </c>
      <c r="K29" s="87" t="s">
        <v>29</v>
      </c>
      <c r="AV29" t="s">
        <v>1679</v>
      </c>
      <c r="AW29">
        <v>54</v>
      </c>
      <c r="AX29" t="s">
        <v>234</v>
      </c>
      <c r="AY29">
        <v>1</v>
      </c>
      <c r="AZ29" t="s">
        <v>1685</v>
      </c>
      <c r="BA29">
        <v>2007</v>
      </c>
      <c r="BB29">
        <v>2008</v>
      </c>
      <c r="BD29" t="s">
        <v>238</v>
      </c>
      <c r="BE29" t="s">
        <v>1672</v>
      </c>
      <c r="BF29" t="s">
        <v>284</v>
      </c>
      <c r="BH29" t="s">
        <v>23</v>
      </c>
      <c r="BI29" t="s">
        <v>1680</v>
      </c>
      <c r="BJ29" s="87" t="s">
        <v>22</v>
      </c>
      <c r="BK29">
        <v>44444</v>
      </c>
      <c r="BL29" t="s">
        <v>56</v>
      </c>
      <c r="BM29" t="s">
        <v>1677</v>
      </c>
      <c r="BN29" t="s">
        <v>1678</v>
      </c>
      <c r="BO29" s="87" t="s">
        <v>22</v>
      </c>
      <c r="BP29">
        <v>44444</v>
      </c>
      <c r="BQ29" t="s">
        <v>56</v>
      </c>
      <c r="BR29" t="s">
        <v>1664</v>
      </c>
      <c r="BS29" t="s">
        <v>234</v>
      </c>
      <c r="BT29" t="s">
        <v>234</v>
      </c>
      <c r="BU29" t="s">
        <v>234</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8"/>
      <c r="IF29" t="s">
        <v>1672</v>
      </c>
      <c r="IG29" s="84" t="s">
        <v>1683</v>
      </c>
      <c r="IH29" t="s">
        <v>660</v>
      </c>
      <c r="II29" t="s">
        <v>661</v>
      </c>
      <c r="IJ29" t="s">
        <v>838</v>
      </c>
      <c r="IK29" t="s">
        <v>838</v>
      </c>
      <c r="IL29" s="87" t="s">
        <v>29</v>
      </c>
      <c r="JH29" t="s">
        <v>1681</v>
      </c>
      <c r="JI29" t="s">
        <v>15</v>
      </c>
      <c r="JJ29" t="s">
        <v>14</v>
      </c>
      <c r="JK29" s="8" t="s">
        <v>1682</v>
      </c>
      <c r="JN29" t="s">
        <v>13</v>
      </c>
      <c r="JO29">
        <v>40</v>
      </c>
      <c r="JP29">
        <v>50</v>
      </c>
      <c r="KD29" t="s">
        <v>12</v>
      </c>
      <c r="MR29" t="s">
        <v>1658</v>
      </c>
      <c r="MS29">
        <v>36</v>
      </c>
      <c r="MT29" t="s">
        <v>1667</v>
      </c>
      <c r="MV29" t="s">
        <v>168</v>
      </c>
      <c r="MW29" t="s">
        <v>1689</v>
      </c>
      <c r="MX29" t="s">
        <v>1691</v>
      </c>
      <c r="MY29" t="s">
        <v>1692</v>
      </c>
      <c r="NC29" t="s">
        <v>1696</v>
      </c>
      <c r="ND29" t="s">
        <v>1660</v>
      </c>
      <c r="NE29" t="s">
        <v>1688</v>
      </c>
      <c r="NF29" s="4" t="s">
        <v>266</v>
      </c>
      <c r="NG29" t="s">
        <v>265</v>
      </c>
      <c r="NO29" s="78"/>
      <c r="NP29" t="s">
        <v>6</v>
      </c>
      <c r="NQ29">
        <v>1454</v>
      </c>
      <c r="NR29" s="4" t="s">
        <v>4</v>
      </c>
      <c r="NS29">
        <v>59</v>
      </c>
      <c r="NV29">
        <v>4</v>
      </c>
      <c r="OG29" t="s">
        <v>1700</v>
      </c>
      <c r="OH29" s="87" t="s">
        <v>2</v>
      </c>
      <c r="OI29">
        <v>2007</v>
      </c>
      <c r="OL29" t="s">
        <v>1674</v>
      </c>
      <c r="ON29" t="s">
        <v>1178</v>
      </c>
      <c r="OO29" s="58">
        <v>46105</v>
      </c>
    </row>
    <row r="30" spans="1:405" ht="15.75" thickBot="1">
      <c r="A30" t="s">
        <v>248</v>
      </c>
      <c r="B30" t="s">
        <v>1889</v>
      </c>
      <c r="C30" t="s">
        <v>34</v>
      </c>
      <c r="D30" s="100" t="s">
        <v>31</v>
      </c>
      <c r="E30" s="90" t="s">
        <v>1676</v>
      </c>
      <c r="F30" s="100" t="s">
        <v>31</v>
      </c>
      <c r="G30" s="87" t="s">
        <v>2</v>
      </c>
      <c r="H30" s="87" t="s">
        <v>30</v>
      </c>
      <c r="I30">
        <v>-0.41666666699999999</v>
      </c>
      <c r="J30">
        <v>34.200000000000003</v>
      </c>
      <c r="K30" s="87" t="s">
        <v>29</v>
      </c>
      <c r="AV30" t="s">
        <v>1679</v>
      </c>
      <c r="AW30">
        <v>55</v>
      </c>
      <c r="AX30" t="s">
        <v>234</v>
      </c>
      <c r="AY30">
        <v>1</v>
      </c>
      <c r="AZ30" t="s">
        <v>1685</v>
      </c>
      <c r="BA30">
        <v>2007</v>
      </c>
      <c r="BB30">
        <v>2008</v>
      </c>
      <c r="BD30" t="s">
        <v>238</v>
      </c>
      <c r="BE30" t="s">
        <v>1673</v>
      </c>
      <c r="BF30" t="s">
        <v>277</v>
      </c>
      <c r="BH30" t="s">
        <v>23</v>
      </c>
      <c r="BI30" t="s">
        <v>1680</v>
      </c>
      <c r="BJ30" s="87" t="s">
        <v>22</v>
      </c>
      <c r="BK30">
        <v>44444</v>
      </c>
      <c r="BL30" t="s">
        <v>56</v>
      </c>
      <c r="BM30" t="s">
        <v>1677</v>
      </c>
      <c r="BN30" t="s">
        <v>1678</v>
      </c>
      <c r="BO30" s="87" t="s">
        <v>22</v>
      </c>
      <c r="BP30">
        <v>44444</v>
      </c>
      <c r="BQ30" t="s">
        <v>56</v>
      </c>
      <c r="BR30" t="s">
        <v>1664</v>
      </c>
      <c r="BS30" t="s">
        <v>234</v>
      </c>
      <c r="BT30" t="s">
        <v>234</v>
      </c>
      <c r="BU30" t="s">
        <v>234</v>
      </c>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K30" s="9"/>
      <c r="HW30" s="58"/>
      <c r="IF30" t="s">
        <v>1673</v>
      </c>
      <c r="IG30" s="84" t="s">
        <v>1683</v>
      </c>
      <c r="IH30" t="s">
        <v>660</v>
      </c>
      <c r="II30" t="s">
        <v>661</v>
      </c>
      <c r="IJ30" t="s">
        <v>838</v>
      </c>
      <c r="IK30" t="s">
        <v>838</v>
      </c>
      <c r="IL30" s="87" t="s">
        <v>29</v>
      </c>
      <c r="JH30" t="s">
        <v>1681</v>
      </c>
      <c r="JI30" t="s">
        <v>15</v>
      </c>
      <c r="JJ30" t="s">
        <v>14</v>
      </c>
      <c r="JK30" s="8" t="s">
        <v>1682</v>
      </c>
      <c r="JN30" t="s">
        <v>13</v>
      </c>
      <c r="JO30">
        <v>40</v>
      </c>
      <c r="JP30">
        <v>50</v>
      </c>
      <c r="KD30" t="s">
        <v>12</v>
      </c>
      <c r="MR30" t="s">
        <v>1658</v>
      </c>
      <c r="MS30">
        <v>36</v>
      </c>
      <c r="MT30" t="s">
        <v>1667</v>
      </c>
      <c r="MV30" t="s">
        <v>168</v>
      </c>
      <c r="MW30" t="s">
        <v>1689</v>
      </c>
      <c r="MX30" t="s">
        <v>1691</v>
      </c>
      <c r="MY30" t="s">
        <v>1692</v>
      </c>
      <c r="NC30" t="s">
        <v>1696</v>
      </c>
      <c r="ND30" t="s">
        <v>1660</v>
      </c>
      <c r="NE30" t="s">
        <v>1688</v>
      </c>
      <c r="NF30" s="4" t="s">
        <v>266</v>
      </c>
      <c r="NG30" t="s">
        <v>265</v>
      </c>
      <c r="NO30" s="78"/>
      <c r="NP30" t="s">
        <v>6</v>
      </c>
      <c r="NQ30">
        <v>1532</v>
      </c>
      <c r="NR30" s="4" t="s">
        <v>4</v>
      </c>
      <c r="NS30">
        <v>49</v>
      </c>
      <c r="NV30">
        <v>4</v>
      </c>
      <c r="OG30" t="s">
        <v>1700</v>
      </c>
      <c r="OH30" s="87" t="s">
        <v>2</v>
      </c>
      <c r="OI30">
        <v>2007</v>
      </c>
      <c r="OL30" t="s">
        <v>1674</v>
      </c>
      <c r="ON30" t="s">
        <v>1178</v>
      </c>
      <c r="OO30" s="58">
        <v>46105</v>
      </c>
    </row>
    <row r="31" spans="1:405" ht="15.75" thickBot="1">
      <c r="A31" t="s">
        <v>248</v>
      </c>
      <c r="B31" t="s">
        <v>1889</v>
      </c>
      <c r="C31" t="s">
        <v>34</v>
      </c>
      <c r="D31" s="100" t="s">
        <v>31</v>
      </c>
      <c r="E31" s="90" t="s">
        <v>1676</v>
      </c>
      <c r="F31" s="100" t="s">
        <v>31</v>
      </c>
      <c r="G31" s="87" t="s">
        <v>2</v>
      </c>
      <c r="H31" s="87" t="s">
        <v>30</v>
      </c>
      <c r="I31">
        <v>-0.41666666699999999</v>
      </c>
      <c r="J31">
        <v>34.200000000000003</v>
      </c>
      <c r="K31" s="87" t="s">
        <v>29</v>
      </c>
      <c r="AV31" t="s">
        <v>1679</v>
      </c>
      <c r="AW31">
        <v>36</v>
      </c>
      <c r="AX31" t="s">
        <v>234</v>
      </c>
      <c r="AY31">
        <v>1</v>
      </c>
      <c r="AZ31" t="s">
        <v>1685</v>
      </c>
      <c r="BA31">
        <v>2007</v>
      </c>
      <c r="BB31">
        <v>2008</v>
      </c>
      <c r="BD31" t="s">
        <v>19</v>
      </c>
      <c r="BE31" t="s">
        <v>1657</v>
      </c>
      <c r="BF31" t="s">
        <v>39</v>
      </c>
      <c r="BH31" t="s">
        <v>23</v>
      </c>
      <c r="BI31" t="s">
        <v>1680</v>
      </c>
      <c r="BJ31" s="87" t="s">
        <v>22</v>
      </c>
      <c r="BK31">
        <v>44444</v>
      </c>
      <c r="IF31" t="s">
        <v>1657</v>
      </c>
      <c r="IG31" t="s">
        <v>19</v>
      </c>
      <c r="JH31" t="s">
        <v>1681</v>
      </c>
      <c r="JI31" t="s">
        <v>15</v>
      </c>
      <c r="JJ31" t="s">
        <v>14</v>
      </c>
      <c r="JK31" s="8" t="s">
        <v>1682</v>
      </c>
      <c r="JN31" t="s">
        <v>13</v>
      </c>
      <c r="JO31">
        <v>40</v>
      </c>
      <c r="JP31">
        <v>50</v>
      </c>
      <c r="KD31" t="s">
        <v>12</v>
      </c>
      <c r="MR31" t="s">
        <v>1658</v>
      </c>
      <c r="MS31">
        <v>36</v>
      </c>
      <c r="MT31" t="s">
        <v>1659</v>
      </c>
      <c r="MV31" t="s">
        <v>168</v>
      </c>
      <c r="ND31" t="s">
        <v>1697</v>
      </c>
      <c r="NE31" t="s">
        <v>1698</v>
      </c>
      <c r="NF31" t="s">
        <v>1531</v>
      </c>
      <c r="NG31" t="s">
        <v>265</v>
      </c>
      <c r="NP31" t="s">
        <v>6</v>
      </c>
      <c r="NQ31">
        <v>672.8</v>
      </c>
      <c r="NR31" s="4" t="s">
        <v>4</v>
      </c>
      <c r="NS31">
        <v>11</v>
      </c>
      <c r="NV31">
        <v>4</v>
      </c>
      <c r="OG31" t="s">
        <v>1675</v>
      </c>
      <c r="OH31" s="87" t="s">
        <v>2</v>
      </c>
      <c r="OI31">
        <v>2007</v>
      </c>
      <c r="OL31" t="s">
        <v>1674</v>
      </c>
      <c r="ON31" t="s">
        <v>1178</v>
      </c>
      <c r="OO31" s="58">
        <v>46105</v>
      </c>
    </row>
    <row r="32" spans="1:405" ht="15.75" thickBot="1">
      <c r="A32" t="s">
        <v>248</v>
      </c>
      <c r="B32" t="s">
        <v>1889</v>
      </c>
      <c r="C32" t="s">
        <v>34</v>
      </c>
      <c r="D32" s="100" t="s">
        <v>31</v>
      </c>
      <c r="E32" s="90" t="s">
        <v>1676</v>
      </c>
      <c r="F32" s="100" t="s">
        <v>31</v>
      </c>
      <c r="G32" s="87" t="s">
        <v>2</v>
      </c>
      <c r="H32" s="87" t="s">
        <v>30</v>
      </c>
      <c r="I32">
        <v>-0.41666666699999999</v>
      </c>
      <c r="J32">
        <v>34.200000000000003</v>
      </c>
      <c r="K32" s="87" t="s">
        <v>29</v>
      </c>
      <c r="AV32" t="s">
        <v>1679</v>
      </c>
      <c r="AW32">
        <v>37</v>
      </c>
      <c r="AX32" t="s">
        <v>234</v>
      </c>
      <c r="AY32">
        <v>1</v>
      </c>
      <c r="AZ32" t="s">
        <v>1685</v>
      </c>
      <c r="BA32">
        <v>2007</v>
      </c>
      <c r="BB32">
        <v>2008</v>
      </c>
      <c r="BD32" t="s">
        <v>238</v>
      </c>
      <c r="BE32" t="s">
        <v>1661</v>
      </c>
      <c r="BF32" t="s">
        <v>64</v>
      </c>
      <c r="BH32" t="s">
        <v>23</v>
      </c>
      <c r="BI32" t="s">
        <v>1680</v>
      </c>
      <c r="BJ32" s="87" t="s">
        <v>22</v>
      </c>
      <c r="BK32">
        <v>44444</v>
      </c>
      <c r="BL32" t="s">
        <v>56</v>
      </c>
      <c r="BM32" t="s">
        <v>1677</v>
      </c>
      <c r="BN32" t="s">
        <v>1678</v>
      </c>
      <c r="BO32" s="87" t="s">
        <v>22</v>
      </c>
      <c r="BP32">
        <v>44444</v>
      </c>
      <c r="IF32" t="s">
        <v>1661</v>
      </c>
      <c r="IG32" s="84" t="s">
        <v>1453</v>
      </c>
      <c r="IH32" t="s">
        <v>660</v>
      </c>
      <c r="II32" t="s">
        <v>661</v>
      </c>
      <c r="IJ32" t="s">
        <v>838</v>
      </c>
      <c r="IK32" t="s">
        <v>838</v>
      </c>
      <c r="IL32" s="87" t="s">
        <v>29</v>
      </c>
      <c r="JH32" t="s">
        <v>1681</v>
      </c>
      <c r="JI32" t="s">
        <v>15</v>
      </c>
      <c r="JJ32" t="s">
        <v>14</v>
      </c>
      <c r="JK32" s="8" t="s">
        <v>1682</v>
      </c>
      <c r="JN32" t="s">
        <v>13</v>
      </c>
      <c r="JO32">
        <v>40</v>
      </c>
      <c r="JP32">
        <v>50</v>
      </c>
      <c r="KD32" t="s">
        <v>12</v>
      </c>
      <c r="MR32" t="s">
        <v>1658</v>
      </c>
      <c r="MS32">
        <v>36</v>
      </c>
      <c r="MT32" t="s">
        <v>1662</v>
      </c>
      <c r="MV32" t="s">
        <v>168</v>
      </c>
      <c r="MW32" t="s">
        <v>1689</v>
      </c>
      <c r="ND32" t="s">
        <v>1697</v>
      </c>
      <c r="NE32" t="s">
        <v>1698</v>
      </c>
      <c r="NF32" t="s">
        <v>1531</v>
      </c>
      <c r="NG32" t="s">
        <v>265</v>
      </c>
      <c r="NP32" t="s">
        <v>6</v>
      </c>
      <c r="NQ32">
        <v>1089.3</v>
      </c>
      <c r="NR32" s="4" t="s">
        <v>4</v>
      </c>
      <c r="NS32">
        <v>41</v>
      </c>
      <c r="NV32">
        <v>4</v>
      </c>
      <c r="OG32" t="s">
        <v>1675</v>
      </c>
      <c r="OH32" s="87" t="s">
        <v>2</v>
      </c>
      <c r="OI32">
        <v>2007</v>
      </c>
      <c r="OL32" t="s">
        <v>1674</v>
      </c>
      <c r="ON32" t="s">
        <v>1178</v>
      </c>
      <c r="OO32" s="58">
        <v>46105</v>
      </c>
    </row>
    <row r="33" spans="1:405" ht="15.75" thickBot="1">
      <c r="A33" t="s">
        <v>248</v>
      </c>
      <c r="B33" t="s">
        <v>1889</v>
      </c>
      <c r="C33" t="s">
        <v>34</v>
      </c>
      <c r="D33" s="100" t="s">
        <v>31</v>
      </c>
      <c r="E33" s="90" t="s">
        <v>1676</v>
      </c>
      <c r="F33" s="100" t="s">
        <v>31</v>
      </c>
      <c r="G33" s="87" t="s">
        <v>2</v>
      </c>
      <c r="H33" s="87" t="s">
        <v>30</v>
      </c>
      <c r="I33">
        <v>-0.41666666699999999</v>
      </c>
      <c r="J33">
        <v>34.200000000000003</v>
      </c>
      <c r="K33" s="87" t="s">
        <v>29</v>
      </c>
      <c r="AV33" t="s">
        <v>1679</v>
      </c>
      <c r="AW33">
        <v>38</v>
      </c>
      <c r="AX33" t="s">
        <v>234</v>
      </c>
      <c r="AY33">
        <v>1</v>
      </c>
      <c r="AZ33" t="s">
        <v>1685</v>
      </c>
      <c r="BA33">
        <v>2007</v>
      </c>
      <c r="BB33">
        <v>2008</v>
      </c>
      <c r="BD33" t="s">
        <v>238</v>
      </c>
      <c r="BE33" t="s">
        <v>1663</v>
      </c>
      <c r="BF33" t="s">
        <v>57</v>
      </c>
      <c r="BH33" t="s">
        <v>23</v>
      </c>
      <c r="BI33" t="s">
        <v>1680</v>
      </c>
      <c r="BJ33" s="87" t="s">
        <v>22</v>
      </c>
      <c r="BK33">
        <v>44444</v>
      </c>
      <c r="BL33" t="s">
        <v>56</v>
      </c>
      <c r="BM33" t="s">
        <v>1664</v>
      </c>
      <c r="BN33" t="s">
        <v>234</v>
      </c>
      <c r="BO33" t="s">
        <v>234</v>
      </c>
      <c r="BP33" t="s">
        <v>234</v>
      </c>
      <c r="IF33" t="s">
        <v>1663</v>
      </c>
      <c r="IG33" s="84" t="s">
        <v>1683</v>
      </c>
      <c r="IH33" t="s">
        <v>660</v>
      </c>
      <c r="II33" t="s">
        <v>661</v>
      </c>
      <c r="IJ33" t="s">
        <v>838</v>
      </c>
      <c r="IK33" t="s">
        <v>838</v>
      </c>
      <c r="IL33" s="87" t="s">
        <v>29</v>
      </c>
      <c r="JH33" t="s">
        <v>1681</v>
      </c>
      <c r="JI33" t="s">
        <v>15</v>
      </c>
      <c r="JJ33" t="s">
        <v>14</v>
      </c>
      <c r="JK33" s="8" t="s">
        <v>1682</v>
      </c>
      <c r="JN33" t="s">
        <v>13</v>
      </c>
      <c r="JO33">
        <v>40</v>
      </c>
      <c r="JP33">
        <v>50</v>
      </c>
      <c r="KD33" t="s">
        <v>12</v>
      </c>
      <c r="MR33" t="s">
        <v>1658</v>
      </c>
      <c r="MS33">
        <v>36</v>
      </c>
      <c r="MT33" t="s">
        <v>1665</v>
      </c>
      <c r="MV33" t="s">
        <v>168</v>
      </c>
      <c r="MW33" t="s">
        <v>1691</v>
      </c>
      <c r="MX33" t="s">
        <v>1692</v>
      </c>
      <c r="ND33" t="s">
        <v>1697</v>
      </c>
      <c r="NE33" t="s">
        <v>1698</v>
      </c>
      <c r="NF33" t="s">
        <v>1531</v>
      </c>
      <c r="NG33" t="s">
        <v>265</v>
      </c>
      <c r="NP33" t="s">
        <v>6</v>
      </c>
      <c r="NQ33">
        <v>1736.2</v>
      </c>
      <c r="NR33" s="4" t="s">
        <v>4</v>
      </c>
      <c r="NS33">
        <v>44</v>
      </c>
      <c r="NV33">
        <v>4</v>
      </c>
      <c r="OG33" t="s">
        <v>1675</v>
      </c>
      <c r="OH33" s="87" t="s">
        <v>2</v>
      </c>
      <c r="OI33">
        <v>2007</v>
      </c>
      <c r="OL33" t="s">
        <v>1674</v>
      </c>
      <c r="ON33" t="s">
        <v>1178</v>
      </c>
      <c r="OO33" s="58">
        <v>46105</v>
      </c>
    </row>
    <row r="34" spans="1:405" ht="15.75" thickBot="1">
      <c r="A34" t="s">
        <v>248</v>
      </c>
      <c r="B34" t="s">
        <v>1889</v>
      </c>
      <c r="C34" t="s">
        <v>34</v>
      </c>
      <c r="D34" s="100" t="s">
        <v>31</v>
      </c>
      <c r="E34" s="90" t="s">
        <v>1676</v>
      </c>
      <c r="F34" s="100" t="s">
        <v>31</v>
      </c>
      <c r="G34" s="87" t="s">
        <v>2</v>
      </c>
      <c r="H34" s="87" t="s">
        <v>30</v>
      </c>
      <c r="I34">
        <v>-0.41666666699999999</v>
      </c>
      <c r="J34">
        <v>34.200000000000003</v>
      </c>
      <c r="K34" s="87" t="s">
        <v>29</v>
      </c>
      <c r="AV34" t="s">
        <v>1679</v>
      </c>
      <c r="AW34">
        <v>39</v>
      </c>
      <c r="AX34" t="s">
        <v>234</v>
      </c>
      <c r="AY34">
        <v>1</v>
      </c>
      <c r="AZ34" t="s">
        <v>1685</v>
      </c>
      <c r="BA34">
        <v>2007</v>
      </c>
      <c r="BB34">
        <v>2008</v>
      </c>
      <c r="BD34" t="s">
        <v>238</v>
      </c>
      <c r="BE34" t="s">
        <v>1666</v>
      </c>
      <c r="BF34" t="s">
        <v>48</v>
      </c>
      <c r="BH34" t="s">
        <v>23</v>
      </c>
      <c r="BI34" t="s">
        <v>1680</v>
      </c>
      <c r="BJ34" s="87" t="s">
        <v>22</v>
      </c>
      <c r="BK34">
        <v>44444</v>
      </c>
      <c r="BL34" t="s">
        <v>56</v>
      </c>
      <c r="BM34" t="s">
        <v>1677</v>
      </c>
      <c r="BN34" t="s">
        <v>1678</v>
      </c>
      <c r="BO34" s="87" t="s">
        <v>22</v>
      </c>
      <c r="BP34">
        <v>44444</v>
      </c>
      <c r="BQ34" t="s">
        <v>56</v>
      </c>
      <c r="BR34" t="s">
        <v>1664</v>
      </c>
      <c r="BS34" t="s">
        <v>234</v>
      </c>
      <c r="BT34" t="s">
        <v>234</v>
      </c>
      <c r="BU34" t="s">
        <v>234</v>
      </c>
      <c r="IF34" t="s">
        <v>1666</v>
      </c>
      <c r="IG34" s="84" t="s">
        <v>1683</v>
      </c>
      <c r="IH34" t="s">
        <v>660</v>
      </c>
      <c r="II34" t="s">
        <v>661</v>
      </c>
      <c r="IJ34" t="s">
        <v>838</v>
      </c>
      <c r="IK34" t="s">
        <v>838</v>
      </c>
      <c r="IL34" s="87" t="s">
        <v>29</v>
      </c>
      <c r="JH34" t="s">
        <v>1681</v>
      </c>
      <c r="JI34" t="s">
        <v>15</v>
      </c>
      <c r="JJ34" t="s">
        <v>14</v>
      </c>
      <c r="JK34" s="8" t="s">
        <v>1682</v>
      </c>
      <c r="JN34" t="s">
        <v>13</v>
      </c>
      <c r="JO34">
        <v>40</v>
      </c>
      <c r="JP34">
        <v>50</v>
      </c>
      <c r="KD34" t="s">
        <v>12</v>
      </c>
      <c r="MR34" t="s">
        <v>1658</v>
      </c>
      <c r="MS34">
        <v>36</v>
      </c>
      <c r="MT34" t="s">
        <v>1667</v>
      </c>
      <c r="MV34" t="s">
        <v>168</v>
      </c>
      <c r="MW34" t="s">
        <v>1689</v>
      </c>
      <c r="MX34" t="s">
        <v>1691</v>
      </c>
      <c r="MY34" t="s">
        <v>1692</v>
      </c>
      <c r="ND34" t="s">
        <v>1697</v>
      </c>
      <c r="NE34" t="s">
        <v>1698</v>
      </c>
      <c r="NF34" t="s">
        <v>1531</v>
      </c>
      <c r="NG34" t="s">
        <v>265</v>
      </c>
      <c r="NP34" t="s">
        <v>6</v>
      </c>
      <c r="NQ34">
        <v>1739.7</v>
      </c>
      <c r="NR34" s="4" t="s">
        <v>4</v>
      </c>
      <c r="NS34">
        <v>28</v>
      </c>
      <c r="NV34">
        <v>4</v>
      </c>
      <c r="OG34" t="s">
        <v>1675</v>
      </c>
      <c r="OH34" s="87" t="s">
        <v>2</v>
      </c>
      <c r="OI34">
        <v>2007</v>
      </c>
      <c r="OL34" t="s">
        <v>1674</v>
      </c>
      <c r="ON34" t="s">
        <v>1178</v>
      </c>
      <c r="OO34" s="58">
        <v>46105</v>
      </c>
    </row>
    <row r="35" spans="1:405" ht="15.75" thickBot="1">
      <c r="A35" t="s">
        <v>248</v>
      </c>
      <c r="B35" t="s">
        <v>1889</v>
      </c>
      <c r="C35" t="s">
        <v>34</v>
      </c>
      <c r="D35" s="100" t="s">
        <v>31</v>
      </c>
      <c r="E35" s="90" t="s">
        <v>1676</v>
      </c>
      <c r="F35" s="100" t="s">
        <v>31</v>
      </c>
      <c r="G35" s="87" t="s">
        <v>2</v>
      </c>
      <c r="H35" s="87" t="s">
        <v>30</v>
      </c>
      <c r="I35">
        <v>-0.41666666699999999</v>
      </c>
      <c r="J35">
        <v>34.200000000000003</v>
      </c>
      <c r="K35" s="87" t="s">
        <v>29</v>
      </c>
      <c r="AV35" t="s">
        <v>1679</v>
      </c>
      <c r="AW35">
        <v>40</v>
      </c>
      <c r="AX35" t="s">
        <v>234</v>
      </c>
      <c r="AY35">
        <v>1</v>
      </c>
      <c r="AZ35" t="s">
        <v>1685</v>
      </c>
      <c r="BA35">
        <v>2007</v>
      </c>
      <c r="BB35">
        <v>2008</v>
      </c>
      <c r="BD35" t="s">
        <v>238</v>
      </c>
      <c r="BE35" t="s">
        <v>1690</v>
      </c>
      <c r="BF35" t="s">
        <v>43</v>
      </c>
      <c r="BH35" t="s">
        <v>23</v>
      </c>
      <c r="BI35" t="s">
        <v>1680</v>
      </c>
      <c r="BJ35" s="87" t="s">
        <v>22</v>
      </c>
      <c r="BK35">
        <v>44444</v>
      </c>
      <c r="BL35" t="s">
        <v>56</v>
      </c>
      <c r="BM35" t="s">
        <v>1677</v>
      </c>
      <c r="BN35" t="s">
        <v>1678</v>
      </c>
      <c r="BO35" s="87" t="s">
        <v>22</v>
      </c>
      <c r="BP35">
        <v>44444</v>
      </c>
      <c r="BQ35" t="s">
        <v>56</v>
      </c>
      <c r="BR35" t="s">
        <v>1664</v>
      </c>
      <c r="BS35" t="s">
        <v>234</v>
      </c>
      <c r="BT35" t="s">
        <v>234</v>
      </c>
      <c r="BU35" t="s">
        <v>234</v>
      </c>
      <c r="IF35" t="s">
        <v>1668</v>
      </c>
      <c r="IG35" s="84" t="s">
        <v>1683</v>
      </c>
      <c r="IH35" t="s">
        <v>660</v>
      </c>
      <c r="II35" t="s">
        <v>661</v>
      </c>
      <c r="IJ35" t="s">
        <v>838</v>
      </c>
      <c r="IK35" t="s">
        <v>838</v>
      </c>
      <c r="IL35" s="87" t="s">
        <v>29</v>
      </c>
      <c r="JH35" t="s">
        <v>1681</v>
      </c>
      <c r="JI35" t="s">
        <v>15</v>
      </c>
      <c r="JJ35" t="s">
        <v>14</v>
      </c>
      <c r="JK35" s="8" t="s">
        <v>1682</v>
      </c>
      <c r="JN35" t="s">
        <v>13</v>
      </c>
      <c r="JO35">
        <v>40</v>
      </c>
      <c r="JP35">
        <v>50</v>
      </c>
      <c r="KD35" t="s">
        <v>12</v>
      </c>
      <c r="MR35" t="s">
        <v>1658</v>
      </c>
      <c r="MS35">
        <v>36</v>
      </c>
      <c r="MT35" t="s">
        <v>1667</v>
      </c>
      <c r="MV35" t="s">
        <v>168</v>
      </c>
      <c r="MW35" t="s">
        <v>1689</v>
      </c>
      <c r="MX35" t="s">
        <v>1691</v>
      </c>
      <c r="MY35" t="s">
        <v>1692</v>
      </c>
      <c r="ND35" t="s">
        <v>1697</v>
      </c>
      <c r="NE35" t="s">
        <v>1698</v>
      </c>
      <c r="NF35" t="s">
        <v>1531</v>
      </c>
      <c r="NG35" t="s">
        <v>265</v>
      </c>
      <c r="NP35" t="s">
        <v>6</v>
      </c>
      <c r="NQ35">
        <v>2056.6999999999998</v>
      </c>
      <c r="NR35" s="4" t="s">
        <v>4</v>
      </c>
      <c r="NS35">
        <v>68</v>
      </c>
      <c r="NV35">
        <v>4</v>
      </c>
      <c r="OG35" t="s">
        <v>1675</v>
      </c>
      <c r="OH35" s="87" t="s">
        <v>2</v>
      </c>
      <c r="OI35">
        <v>2007</v>
      </c>
      <c r="OL35" t="s">
        <v>1674</v>
      </c>
      <c r="ON35" t="s">
        <v>1178</v>
      </c>
      <c r="OO35" s="58">
        <v>46105</v>
      </c>
    </row>
    <row r="36" spans="1:405" ht="15.75" thickBot="1">
      <c r="A36" t="s">
        <v>248</v>
      </c>
      <c r="B36" t="s">
        <v>1889</v>
      </c>
      <c r="C36" t="s">
        <v>34</v>
      </c>
      <c r="D36" s="100" t="s">
        <v>31</v>
      </c>
      <c r="E36" s="90" t="s">
        <v>1676</v>
      </c>
      <c r="F36" s="100" t="s">
        <v>31</v>
      </c>
      <c r="G36" s="87" t="s">
        <v>2</v>
      </c>
      <c r="H36" s="87" t="s">
        <v>30</v>
      </c>
      <c r="I36">
        <v>-0.41666666699999999</v>
      </c>
      <c r="J36">
        <v>34.200000000000003</v>
      </c>
      <c r="K36" s="87" t="s">
        <v>29</v>
      </c>
      <c r="AV36" t="s">
        <v>1679</v>
      </c>
      <c r="AW36">
        <v>41</v>
      </c>
      <c r="AX36" t="s">
        <v>234</v>
      </c>
      <c r="AY36">
        <v>1</v>
      </c>
      <c r="AZ36" t="s">
        <v>1686</v>
      </c>
      <c r="BA36">
        <v>2007</v>
      </c>
      <c r="BB36">
        <v>2008</v>
      </c>
      <c r="BD36" t="s">
        <v>19</v>
      </c>
      <c r="BE36" t="s">
        <v>1657</v>
      </c>
      <c r="BF36" t="s">
        <v>39</v>
      </c>
      <c r="BH36" t="s">
        <v>23</v>
      </c>
      <c r="BI36" t="s">
        <v>1680</v>
      </c>
      <c r="BJ36" s="87" t="s">
        <v>22</v>
      </c>
      <c r="BK36">
        <v>44444</v>
      </c>
      <c r="IF36" t="s">
        <v>1657</v>
      </c>
      <c r="IG36" t="s">
        <v>19</v>
      </c>
      <c r="JH36" t="s">
        <v>1681</v>
      </c>
      <c r="JI36" t="s">
        <v>15</v>
      </c>
      <c r="JJ36" t="s">
        <v>14</v>
      </c>
      <c r="JK36" s="8" t="s">
        <v>1682</v>
      </c>
      <c r="JN36" t="s">
        <v>13</v>
      </c>
      <c r="JO36">
        <v>40</v>
      </c>
      <c r="JP36">
        <v>50</v>
      </c>
      <c r="KD36" t="s">
        <v>12</v>
      </c>
      <c r="MR36" t="s">
        <v>1658</v>
      </c>
      <c r="MS36">
        <v>36</v>
      </c>
      <c r="MT36" t="s">
        <v>1659</v>
      </c>
      <c r="MV36" t="s">
        <v>168</v>
      </c>
      <c r="ND36" t="s">
        <v>1697</v>
      </c>
      <c r="NE36" t="s">
        <v>1698</v>
      </c>
      <c r="NF36" t="s">
        <v>1531</v>
      </c>
      <c r="NG36" t="s">
        <v>265</v>
      </c>
      <c r="NP36" t="s">
        <v>6</v>
      </c>
      <c r="NQ36">
        <v>667.7</v>
      </c>
      <c r="NR36" s="4" t="s">
        <v>4</v>
      </c>
      <c r="NS36">
        <v>77</v>
      </c>
      <c r="NV36">
        <v>4</v>
      </c>
      <c r="OG36" t="s">
        <v>1675</v>
      </c>
      <c r="OH36" s="87" t="s">
        <v>2</v>
      </c>
      <c r="OI36">
        <v>2008</v>
      </c>
      <c r="OL36" t="s">
        <v>1684</v>
      </c>
      <c r="ON36" t="s">
        <v>1178</v>
      </c>
      <c r="OO36" s="58">
        <v>46105</v>
      </c>
    </row>
    <row r="37" spans="1:405" ht="15.75" thickBot="1">
      <c r="A37" t="s">
        <v>248</v>
      </c>
      <c r="B37" t="s">
        <v>1889</v>
      </c>
      <c r="C37" t="s">
        <v>34</v>
      </c>
      <c r="D37" s="100" t="s">
        <v>31</v>
      </c>
      <c r="E37" s="90" t="s">
        <v>1676</v>
      </c>
      <c r="F37" s="100" t="s">
        <v>31</v>
      </c>
      <c r="G37" s="87" t="s">
        <v>2</v>
      </c>
      <c r="H37" s="87" t="s">
        <v>30</v>
      </c>
      <c r="I37">
        <v>-0.41666666699999999</v>
      </c>
      <c r="J37">
        <v>34.200000000000003</v>
      </c>
      <c r="K37" s="87" t="s">
        <v>29</v>
      </c>
      <c r="AV37" t="s">
        <v>1679</v>
      </c>
      <c r="AW37">
        <v>42</v>
      </c>
      <c r="AX37" t="s">
        <v>234</v>
      </c>
      <c r="AY37">
        <v>1</v>
      </c>
      <c r="AZ37" t="s">
        <v>1686</v>
      </c>
      <c r="BA37">
        <v>2007</v>
      </c>
      <c r="BB37">
        <v>2008</v>
      </c>
      <c r="BD37" t="s">
        <v>238</v>
      </c>
      <c r="BE37" t="s">
        <v>1661</v>
      </c>
      <c r="BF37" t="s">
        <v>64</v>
      </c>
      <c r="BH37" t="s">
        <v>23</v>
      </c>
      <c r="BI37" t="s">
        <v>1680</v>
      </c>
      <c r="BJ37" s="87" t="s">
        <v>22</v>
      </c>
      <c r="BK37">
        <v>44444</v>
      </c>
      <c r="BL37" t="s">
        <v>56</v>
      </c>
      <c r="BM37" t="s">
        <v>1677</v>
      </c>
      <c r="BN37" t="s">
        <v>1678</v>
      </c>
      <c r="BO37" s="87" t="s">
        <v>22</v>
      </c>
      <c r="BP37">
        <v>44444</v>
      </c>
      <c r="IF37" t="s">
        <v>1661</v>
      </c>
      <c r="IG37" s="84" t="s">
        <v>1453</v>
      </c>
      <c r="IH37" t="s">
        <v>660</v>
      </c>
      <c r="II37" t="s">
        <v>661</v>
      </c>
      <c r="IJ37" t="s">
        <v>838</v>
      </c>
      <c r="IK37" t="s">
        <v>838</v>
      </c>
      <c r="IL37" s="87" t="s">
        <v>29</v>
      </c>
      <c r="JH37" t="s">
        <v>1681</v>
      </c>
      <c r="JI37" t="s">
        <v>15</v>
      </c>
      <c r="JJ37" t="s">
        <v>14</v>
      </c>
      <c r="JK37" s="8" t="s">
        <v>1682</v>
      </c>
      <c r="JN37" t="s">
        <v>13</v>
      </c>
      <c r="JO37">
        <v>40</v>
      </c>
      <c r="JP37">
        <v>50</v>
      </c>
      <c r="KD37" t="s">
        <v>12</v>
      </c>
      <c r="MR37" t="s">
        <v>1658</v>
      </c>
      <c r="MS37">
        <v>36</v>
      </c>
      <c r="MT37" t="s">
        <v>1662</v>
      </c>
      <c r="MV37" t="s">
        <v>168</v>
      </c>
      <c r="MW37" t="s">
        <v>1689</v>
      </c>
      <c r="ND37" t="s">
        <v>1697</v>
      </c>
      <c r="NE37" t="s">
        <v>1698</v>
      </c>
      <c r="NF37" t="s">
        <v>1531</v>
      </c>
      <c r="NG37" t="s">
        <v>265</v>
      </c>
      <c r="NP37" t="s">
        <v>6</v>
      </c>
      <c r="NQ37">
        <v>990.6</v>
      </c>
      <c r="NR37" s="4" t="s">
        <v>4</v>
      </c>
      <c r="NS37">
        <v>103</v>
      </c>
      <c r="NV37">
        <v>4</v>
      </c>
      <c r="OG37" t="s">
        <v>1675</v>
      </c>
      <c r="OH37" s="87" t="s">
        <v>2</v>
      </c>
      <c r="OI37">
        <v>2008</v>
      </c>
      <c r="OL37" t="s">
        <v>1684</v>
      </c>
      <c r="ON37" t="s">
        <v>1178</v>
      </c>
      <c r="OO37" s="58">
        <v>46105</v>
      </c>
    </row>
    <row r="38" spans="1:405" ht="15.75" thickBot="1">
      <c r="A38" t="s">
        <v>248</v>
      </c>
      <c r="B38" t="s">
        <v>1889</v>
      </c>
      <c r="C38" t="s">
        <v>34</v>
      </c>
      <c r="D38" s="100" t="s">
        <v>31</v>
      </c>
      <c r="E38" s="90" t="s">
        <v>1676</v>
      </c>
      <c r="F38" s="100" t="s">
        <v>31</v>
      </c>
      <c r="G38" s="87" t="s">
        <v>2</v>
      </c>
      <c r="H38" s="87" t="s">
        <v>30</v>
      </c>
      <c r="I38">
        <v>-0.41666666699999999</v>
      </c>
      <c r="J38">
        <v>34.200000000000003</v>
      </c>
      <c r="K38" s="87" t="s">
        <v>29</v>
      </c>
      <c r="AV38" t="s">
        <v>1679</v>
      </c>
      <c r="AW38">
        <v>43</v>
      </c>
      <c r="AX38" t="s">
        <v>234</v>
      </c>
      <c r="AY38">
        <v>1</v>
      </c>
      <c r="AZ38" t="s">
        <v>1686</v>
      </c>
      <c r="BA38">
        <v>2007</v>
      </c>
      <c r="BB38">
        <v>2008</v>
      </c>
      <c r="BD38" t="s">
        <v>238</v>
      </c>
      <c r="BE38" t="s">
        <v>1663</v>
      </c>
      <c r="BF38" t="s">
        <v>57</v>
      </c>
      <c r="BH38" t="s">
        <v>23</v>
      </c>
      <c r="BI38" t="s">
        <v>1680</v>
      </c>
      <c r="BJ38" s="87" t="s">
        <v>22</v>
      </c>
      <c r="BK38">
        <v>44444</v>
      </c>
      <c r="BL38" t="s">
        <v>56</v>
      </c>
      <c r="BM38" t="s">
        <v>1664</v>
      </c>
      <c r="BN38" t="s">
        <v>234</v>
      </c>
      <c r="BO38" t="s">
        <v>234</v>
      </c>
      <c r="BP38" t="s">
        <v>234</v>
      </c>
      <c r="IF38" t="s">
        <v>1663</v>
      </c>
      <c r="IG38" s="84" t="s">
        <v>1683</v>
      </c>
      <c r="IH38" t="s">
        <v>660</v>
      </c>
      <c r="II38" t="s">
        <v>661</v>
      </c>
      <c r="IJ38" t="s">
        <v>838</v>
      </c>
      <c r="IK38" t="s">
        <v>838</v>
      </c>
      <c r="IL38" s="87" t="s">
        <v>29</v>
      </c>
      <c r="JH38" t="s">
        <v>1681</v>
      </c>
      <c r="JI38" t="s">
        <v>15</v>
      </c>
      <c r="JJ38" t="s">
        <v>14</v>
      </c>
      <c r="JK38" s="8" t="s">
        <v>1682</v>
      </c>
      <c r="JN38" t="s">
        <v>13</v>
      </c>
      <c r="JO38">
        <v>40</v>
      </c>
      <c r="JP38">
        <v>50</v>
      </c>
      <c r="KD38" t="s">
        <v>12</v>
      </c>
      <c r="MR38" t="s">
        <v>1658</v>
      </c>
      <c r="MS38">
        <v>36</v>
      </c>
      <c r="MT38" t="s">
        <v>1665</v>
      </c>
      <c r="MV38" t="s">
        <v>168</v>
      </c>
      <c r="MW38" t="s">
        <v>1691</v>
      </c>
      <c r="MX38" t="s">
        <v>1692</v>
      </c>
      <c r="ND38" t="s">
        <v>1697</v>
      </c>
      <c r="NE38" t="s">
        <v>1698</v>
      </c>
      <c r="NF38" t="s">
        <v>1531</v>
      </c>
      <c r="NG38" t="s">
        <v>265</v>
      </c>
      <c r="NP38" t="s">
        <v>6</v>
      </c>
      <c r="NQ38">
        <v>1967.3</v>
      </c>
      <c r="NR38" s="4" t="s">
        <v>4</v>
      </c>
      <c r="NS38">
        <v>54</v>
      </c>
      <c r="NV38">
        <v>4</v>
      </c>
      <c r="OG38" t="s">
        <v>1675</v>
      </c>
      <c r="OH38" s="87" t="s">
        <v>2</v>
      </c>
      <c r="OI38">
        <v>2008</v>
      </c>
      <c r="OL38" t="s">
        <v>1684</v>
      </c>
      <c r="ON38" t="s">
        <v>1178</v>
      </c>
      <c r="OO38" s="58">
        <v>46105</v>
      </c>
    </row>
    <row r="39" spans="1:405" ht="15.75" thickBot="1">
      <c r="A39" t="s">
        <v>248</v>
      </c>
      <c r="B39" t="s">
        <v>1889</v>
      </c>
      <c r="C39" t="s">
        <v>34</v>
      </c>
      <c r="D39" s="100" t="s">
        <v>31</v>
      </c>
      <c r="E39" s="90" t="s">
        <v>1676</v>
      </c>
      <c r="F39" s="100" t="s">
        <v>31</v>
      </c>
      <c r="G39" s="87" t="s">
        <v>2</v>
      </c>
      <c r="H39" s="87" t="s">
        <v>30</v>
      </c>
      <c r="I39">
        <v>-0.41666666699999999</v>
      </c>
      <c r="J39">
        <v>34.200000000000003</v>
      </c>
      <c r="K39" s="87" t="s">
        <v>29</v>
      </c>
      <c r="AV39" t="s">
        <v>1679</v>
      </c>
      <c r="AW39">
        <v>44</v>
      </c>
      <c r="AX39" t="s">
        <v>234</v>
      </c>
      <c r="AY39">
        <v>1</v>
      </c>
      <c r="AZ39" t="s">
        <v>1686</v>
      </c>
      <c r="BA39">
        <v>2007</v>
      </c>
      <c r="BB39">
        <v>2008</v>
      </c>
      <c r="BD39" t="s">
        <v>238</v>
      </c>
      <c r="BE39" t="s">
        <v>1666</v>
      </c>
      <c r="BF39" t="s">
        <v>48</v>
      </c>
      <c r="BH39" t="s">
        <v>23</v>
      </c>
      <c r="BI39" t="s">
        <v>1680</v>
      </c>
      <c r="BJ39" s="87" t="s">
        <v>22</v>
      </c>
      <c r="BK39">
        <v>44444</v>
      </c>
      <c r="BL39" t="s">
        <v>56</v>
      </c>
      <c r="BM39" t="s">
        <v>1677</v>
      </c>
      <c r="BN39" t="s">
        <v>1678</v>
      </c>
      <c r="BO39" s="87" t="s">
        <v>22</v>
      </c>
      <c r="BP39">
        <v>44444</v>
      </c>
      <c r="BQ39" t="s">
        <v>56</v>
      </c>
      <c r="BR39" t="s">
        <v>1664</v>
      </c>
      <c r="BS39" t="s">
        <v>234</v>
      </c>
      <c r="BT39" t="s">
        <v>234</v>
      </c>
      <c r="BU39" t="s">
        <v>234</v>
      </c>
      <c r="IF39" t="s">
        <v>1666</v>
      </c>
      <c r="IG39" s="84" t="s">
        <v>1683</v>
      </c>
      <c r="IH39" t="s">
        <v>660</v>
      </c>
      <c r="II39" t="s">
        <v>661</v>
      </c>
      <c r="IJ39" t="s">
        <v>838</v>
      </c>
      <c r="IK39" t="s">
        <v>838</v>
      </c>
      <c r="IL39" s="87" t="s">
        <v>29</v>
      </c>
      <c r="JH39" t="s">
        <v>1681</v>
      </c>
      <c r="JI39" t="s">
        <v>15</v>
      </c>
      <c r="JJ39" t="s">
        <v>14</v>
      </c>
      <c r="JK39" s="8" t="s">
        <v>1682</v>
      </c>
      <c r="JN39" t="s">
        <v>13</v>
      </c>
      <c r="JO39">
        <v>40</v>
      </c>
      <c r="JP39">
        <v>50</v>
      </c>
      <c r="KD39" t="s">
        <v>12</v>
      </c>
      <c r="MR39" t="s">
        <v>1658</v>
      </c>
      <c r="MS39">
        <v>36</v>
      </c>
      <c r="MT39" t="s">
        <v>1667</v>
      </c>
      <c r="MV39" t="s">
        <v>168</v>
      </c>
      <c r="MW39" t="s">
        <v>1689</v>
      </c>
      <c r="MX39" t="s">
        <v>1691</v>
      </c>
      <c r="MY39" t="s">
        <v>1692</v>
      </c>
      <c r="ND39" t="s">
        <v>1697</v>
      </c>
      <c r="NE39" t="s">
        <v>1698</v>
      </c>
      <c r="NF39" t="s">
        <v>1531</v>
      </c>
      <c r="NG39" t="s">
        <v>265</v>
      </c>
      <c r="NP39" t="s">
        <v>6</v>
      </c>
      <c r="NQ39">
        <v>2035.7</v>
      </c>
      <c r="NR39" s="4" t="s">
        <v>4</v>
      </c>
      <c r="NS39">
        <v>53</v>
      </c>
      <c r="NV39">
        <v>4</v>
      </c>
      <c r="OG39" t="s">
        <v>1675</v>
      </c>
      <c r="OH39" s="87" t="s">
        <v>2</v>
      </c>
      <c r="OI39">
        <v>2008</v>
      </c>
      <c r="OL39" t="s">
        <v>1684</v>
      </c>
      <c r="ON39" t="s">
        <v>1178</v>
      </c>
      <c r="OO39" s="58">
        <v>46105</v>
      </c>
    </row>
    <row r="40" spans="1:405" ht="15.75" thickBot="1">
      <c r="A40" t="s">
        <v>248</v>
      </c>
      <c r="B40" t="s">
        <v>1889</v>
      </c>
      <c r="C40" t="s">
        <v>34</v>
      </c>
      <c r="D40" s="100" t="s">
        <v>31</v>
      </c>
      <c r="E40" s="90" t="s">
        <v>1676</v>
      </c>
      <c r="F40" s="100" t="s">
        <v>31</v>
      </c>
      <c r="G40" s="87" t="s">
        <v>2</v>
      </c>
      <c r="H40" s="87" t="s">
        <v>30</v>
      </c>
      <c r="I40">
        <v>-0.41666666699999999</v>
      </c>
      <c r="J40">
        <v>34.200000000000003</v>
      </c>
      <c r="K40" s="87" t="s">
        <v>29</v>
      </c>
      <c r="AV40" t="s">
        <v>1679</v>
      </c>
      <c r="AW40">
        <v>45</v>
      </c>
      <c r="AX40" t="s">
        <v>234</v>
      </c>
      <c r="AY40">
        <v>1</v>
      </c>
      <c r="AZ40" t="s">
        <v>1686</v>
      </c>
      <c r="BA40">
        <v>2007</v>
      </c>
      <c r="BB40">
        <v>2008</v>
      </c>
      <c r="BD40" t="s">
        <v>238</v>
      </c>
      <c r="BE40" t="s">
        <v>1668</v>
      </c>
      <c r="BF40" t="s">
        <v>43</v>
      </c>
      <c r="BH40" t="s">
        <v>23</v>
      </c>
      <c r="BI40" t="s">
        <v>1680</v>
      </c>
      <c r="BJ40" s="87" t="s">
        <v>22</v>
      </c>
      <c r="BK40">
        <v>44444</v>
      </c>
      <c r="BL40" t="s">
        <v>56</v>
      </c>
      <c r="BM40" t="s">
        <v>1677</v>
      </c>
      <c r="BN40" t="s">
        <v>1678</v>
      </c>
      <c r="BO40" s="87" t="s">
        <v>22</v>
      </c>
      <c r="BP40">
        <v>44444</v>
      </c>
      <c r="BQ40" t="s">
        <v>56</v>
      </c>
      <c r="BR40" t="s">
        <v>1664</v>
      </c>
      <c r="BS40" t="s">
        <v>234</v>
      </c>
      <c r="BT40" t="s">
        <v>234</v>
      </c>
      <c r="BU40" t="s">
        <v>234</v>
      </c>
      <c r="IF40" t="s">
        <v>1668</v>
      </c>
      <c r="IG40" s="84" t="s">
        <v>1683</v>
      </c>
      <c r="IH40" t="s">
        <v>660</v>
      </c>
      <c r="II40" t="s">
        <v>661</v>
      </c>
      <c r="IJ40" t="s">
        <v>838</v>
      </c>
      <c r="IK40" t="s">
        <v>838</v>
      </c>
      <c r="IL40" s="87" t="s">
        <v>29</v>
      </c>
      <c r="JH40" t="s">
        <v>1681</v>
      </c>
      <c r="JI40" t="s">
        <v>15</v>
      </c>
      <c r="JJ40" t="s">
        <v>14</v>
      </c>
      <c r="JK40" s="8" t="s">
        <v>1682</v>
      </c>
      <c r="JN40" t="s">
        <v>13</v>
      </c>
      <c r="JO40">
        <v>40</v>
      </c>
      <c r="JP40">
        <v>50</v>
      </c>
      <c r="KD40" t="s">
        <v>12</v>
      </c>
      <c r="MR40" t="s">
        <v>1658</v>
      </c>
      <c r="MS40">
        <v>36</v>
      </c>
      <c r="MT40" t="s">
        <v>1667</v>
      </c>
      <c r="MV40" t="s">
        <v>168</v>
      </c>
      <c r="MW40" t="s">
        <v>1689</v>
      </c>
      <c r="MX40" t="s">
        <v>1691</v>
      </c>
      <c r="MY40" t="s">
        <v>1692</v>
      </c>
      <c r="ND40" t="s">
        <v>1697</v>
      </c>
      <c r="NE40" t="s">
        <v>1698</v>
      </c>
      <c r="NF40" t="s">
        <v>1531</v>
      </c>
      <c r="NG40" t="s">
        <v>265</v>
      </c>
      <c r="NP40" t="s">
        <v>6</v>
      </c>
      <c r="NQ40">
        <v>2193.9</v>
      </c>
      <c r="NR40" s="4" t="s">
        <v>4</v>
      </c>
      <c r="NS40">
        <v>107</v>
      </c>
      <c r="NV40">
        <v>4</v>
      </c>
      <c r="OG40" t="s">
        <v>1675</v>
      </c>
      <c r="OH40" s="87" t="s">
        <v>2</v>
      </c>
      <c r="OI40">
        <v>2008</v>
      </c>
      <c r="OL40" t="s">
        <v>1684</v>
      </c>
      <c r="ON40" t="s">
        <v>1178</v>
      </c>
      <c r="OO40" s="58">
        <v>46105</v>
      </c>
    </row>
    <row r="41" spans="1:405" ht="15.75" thickBot="1">
      <c r="A41" t="s">
        <v>248</v>
      </c>
      <c r="B41" t="s">
        <v>1889</v>
      </c>
      <c r="C41" t="s">
        <v>34</v>
      </c>
      <c r="D41" s="100" t="s">
        <v>31</v>
      </c>
      <c r="E41" s="90" t="s">
        <v>1676</v>
      </c>
      <c r="F41" s="100" t="s">
        <v>31</v>
      </c>
      <c r="G41" s="87" t="s">
        <v>2</v>
      </c>
      <c r="H41" s="87" t="s">
        <v>30</v>
      </c>
      <c r="I41">
        <v>-0.41666666699999999</v>
      </c>
      <c r="J41">
        <v>34.200000000000003</v>
      </c>
      <c r="K41" s="87" t="s">
        <v>29</v>
      </c>
      <c r="AV41" t="s">
        <v>1679</v>
      </c>
      <c r="AW41">
        <v>46</v>
      </c>
      <c r="AX41" t="s">
        <v>234</v>
      </c>
      <c r="AY41">
        <v>1</v>
      </c>
      <c r="AZ41" t="s">
        <v>1687</v>
      </c>
      <c r="BA41">
        <v>2007</v>
      </c>
      <c r="BB41">
        <v>2008</v>
      </c>
      <c r="BD41" t="s">
        <v>19</v>
      </c>
      <c r="BE41" t="s">
        <v>1669</v>
      </c>
      <c r="BF41" t="s">
        <v>24</v>
      </c>
      <c r="BH41" t="s">
        <v>23</v>
      </c>
      <c r="BI41" t="s">
        <v>1680</v>
      </c>
      <c r="BJ41" s="87" t="s">
        <v>22</v>
      </c>
      <c r="BK41">
        <v>44444</v>
      </c>
      <c r="IF41" t="s">
        <v>1669</v>
      </c>
      <c r="IG41" t="s">
        <v>19</v>
      </c>
      <c r="JH41" t="s">
        <v>1681</v>
      </c>
      <c r="JI41" t="s">
        <v>15</v>
      </c>
      <c r="JJ41" t="s">
        <v>14</v>
      </c>
      <c r="JK41" s="8" t="s">
        <v>1682</v>
      </c>
      <c r="JN41" t="s">
        <v>13</v>
      </c>
      <c r="JO41">
        <v>40</v>
      </c>
      <c r="JP41">
        <v>50</v>
      </c>
      <c r="KD41" t="s">
        <v>12</v>
      </c>
      <c r="MR41" t="s">
        <v>1658</v>
      </c>
      <c r="MS41">
        <v>36</v>
      </c>
      <c r="MT41" t="s">
        <v>1659</v>
      </c>
      <c r="MV41" t="s">
        <v>168</v>
      </c>
      <c r="ND41" t="s">
        <v>1697</v>
      </c>
      <c r="NE41" t="s">
        <v>1698</v>
      </c>
      <c r="NF41" t="s">
        <v>1531</v>
      </c>
      <c r="NG41" t="s">
        <v>265</v>
      </c>
      <c r="NP41" t="s">
        <v>6</v>
      </c>
      <c r="NQ41">
        <v>847.2</v>
      </c>
      <c r="NR41" s="4" t="s">
        <v>4</v>
      </c>
      <c r="NS41">
        <v>19</v>
      </c>
      <c r="NV41">
        <v>4</v>
      </c>
      <c r="OG41" t="s">
        <v>1701</v>
      </c>
      <c r="OH41" s="87" t="s">
        <v>2</v>
      </c>
      <c r="OI41">
        <v>2007</v>
      </c>
      <c r="OL41" t="s">
        <v>1684</v>
      </c>
      <c r="ON41" t="s">
        <v>1178</v>
      </c>
      <c r="OO41" s="58">
        <v>46105</v>
      </c>
    </row>
    <row r="42" spans="1:405" ht="15.75" thickBot="1">
      <c r="A42" t="s">
        <v>248</v>
      </c>
      <c r="B42" t="s">
        <v>1889</v>
      </c>
      <c r="C42" t="s">
        <v>34</v>
      </c>
      <c r="D42" s="100" t="s">
        <v>31</v>
      </c>
      <c r="E42" s="90" t="s">
        <v>1676</v>
      </c>
      <c r="F42" s="100" t="s">
        <v>31</v>
      </c>
      <c r="G42" s="87" t="s">
        <v>2</v>
      </c>
      <c r="H42" s="87" t="s">
        <v>30</v>
      </c>
      <c r="I42">
        <v>-0.41666666699999999</v>
      </c>
      <c r="J42">
        <v>34.200000000000003</v>
      </c>
      <c r="K42" s="87" t="s">
        <v>29</v>
      </c>
      <c r="AV42" t="s">
        <v>1679</v>
      </c>
      <c r="AW42">
        <v>47</v>
      </c>
      <c r="AX42" t="s">
        <v>234</v>
      </c>
      <c r="AY42">
        <v>1</v>
      </c>
      <c r="AZ42" t="s">
        <v>1687</v>
      </c>
      <c r="BA42">
        <v>2007</v>
      </c>
      <c r="BB42">
        <v>2008</v>
      </c>
      <c r="BD42" t="s">
        <v>238</v>
      </c>
      <c r="BE42" t="s">
        <v>1670</v>
      </c>
      <c r="BF42" t="s">
        <v>252</v>
      </c>
      <c r="BH42" t="s">
        <v>23</v>
      </c>
      <c r="BI42" t="s">
        <v>1680</v>
      </c>
      <c r="BJ42" s="87" t="s">
        <v>22</v>
      </c>
      <c r="BK42">
        <v>44444</v>
      </c>
      <c r="BL42" t="s">
        <v>56</v>
      </c>
      <c r="BM42" t="s">
        <v>1677</v>
      </c>
      <c r="BN42" t="s">
        <v>1678</v>
      </c>
      <c r="BO42" s="87" t="s">
        <v>22</v>
      </c>
      <c r="BP42">
        <v>44444</v>
      </c>
      <c r="IF42" t="s">
        <v>1670</v>
      </c>
      <c r="IG42" s="84" t="s">
        <v>1453</v>
      </c>
      <c r="IH42" t="s">
        <v>660</v>
      </c>
      <c r="II42" t="s">
        <v>661</v>
      </c>
      <c r="IJ42" t="s">
        <v>838</v>
      </c>
      <c r="IK42" t="s">
        <v>838</v>
      </c>
      <c r="IL42" s="87" t="s">
        <v>29</v>
      </c>
      <c r="JH42" t="s">
        <v>1681</v>
      </c>
      <c r="JI42" t="s">
        <v>15</v>
      </c>
      <c r="JJ42" t="s">
        <v>14</v>
      </c>
      <c r="JK42" s="8" t="s">
        <v>1682</v>
      </c>
      <c r="JN42" t="s">
        <v>13</v>
      </c>
      <c r="JO42">
        <v>40</v>
      </c>
      <c r="JP42">
        <v>50</v>
      </c>
      <c r="KD42" t="s">
        <v>12</v>
      </c>
      <c r="MR42" t="s">
        <v>1658</v>
      </c>
      <c r="MS42">
        <v>36</v>
      </c>
      <c r="MT42" t="s">
        <v>1662</v>
      </c>
      <c r="MV42" t="s">
        <v>168</v>
      </c>
      <c r="MW42" t="s">
        <v>1689</v>
      </c>
      <c r="ND42" t="s">
        <v>1697</v>
      </c>
      <c r="NE42" t="s">
        <v>1698</v>
      </c>
      <c r="NF42" t="s">
        <v>1531</v>
      </c>
      <c r="NG42" t="s">
        <v>265</v>
      </c>
      <c r="NP42" t="s">
        <v>6</v>
      </c>
      <c r="NQ42">
        <v>1047.0999999999999</v>
      </c>
      <c r="NR42" s="4" t="s">
        <v>4</v>
      </c>
      <c r="NS42">
        <v>44</v>
      </c>
      <c r="NV42">
        <v>4</v>
      </c>
      <c r="OG42" t="s">
        <v>1701</v>
      </c>
      <c r="OH42" s="87" t="s">
        <v>2</v>
      </c>
      <c r="OI42">
        <v>2007</v>
      </c>
      <c r="OL42" t="s">
        <v>1684</v>
      </c>
      <c r="ON42" t="s">
        <v>1178</v>
      </c>
      <c r="OO42" s="58">
        <v>46105</v>
      </c>
    </row>
    <row r="43" spans="1:405" ht="15.75" thickBot="1">
      <c r="A43" t="s">
        <v>248</v>
      </c>
      <c r="B43" t="s">
        <v>1889</v>
      </c>
      <c r="C43" t="s">
        <v>34</v>
      </c>
      <c r="D43" s="100" t="s">
        <v>31</v>
      </c>
      <c r="E43" s="90" t="s">
        <v>1676</v>
      </c>
      <c r="F43" s="100" t="s">
        <v>31</v>
      </c>
      <c r="G43" s="87" t="s">
        <v>2</v>
      </c>
      <c r="H43" s="87" t="s">
        <v>30</v>
      </c>
      <c r="I43">
        <v>-0.41666666699999999</v>
      </c>
      <c r="J43">
        <v>34.200000000000003</v>
      </c>
      <c r="K43" s="87" t="s">
        <v>29</v>
      </c>
      <c r="AV43" t="s">
        <v>1679</v>
      </c>
      <c r="AW43">
        <v>48</v>
      </c>
      <c r="AX43" t="s">
        <v>234</v>
      </c>
      <c r="AY43">
        <v>1</v>
      </c>
      <c r="AZ43" t="s">
        <v>1687</v>
      </c>
      <c r="BA43">
        <v>2007</v>
      </c>
      <c r="BB43">
        <v>2008</v>
      </c>
      <c r="BD43" t="s">
        <v>238</v>
      </c>
      <c r="BE43" t="s">
        <v>1671</v>
      </c>
      <c r="BF43" t="s">
        <v>236</v>
      </c>
      <c r="BH43" t="s">
        <v>23</v>
      </c>
      <c r="BI43" t="s">
        <v>1680</v>
      </c>
      <c r="BJ43" s="87" t="s">
        <v>22</v>
      </c>
      <c r="BK43">
        <v>44444</v>
      </c>
      <c r="BL43" t="s">
        <v>56</v>
      </c>
      <c r="BM43" t="s">
        <v>1664</v>
      </c>
      <c r="BN43" t="s">
        <v>234</v>
      </c>
      <c r="BO43" t="s">
        <v>234</v>
      </c>
      <c r="BP43" t="s">
        <v>234</v>
      </c>
      <c r="IF43" t="s">
        <v>1671</v>
      </c>
      <c r="IG43" s="84" t="s">
        <v>1683</v>
      </c>
      <c r="IH43" t="s">
        <v>660</v>
      </c>
      <c r="II43" t="s">
        <v>661</v>
      </c>
      <c r="IJ43" t="s">
        <v>838</v>
      </c>
      <c r="IK43" t="s">
        <v>838</v>
      </c>
      <c r="IL43" s="87" t="s">
        <v>29</v>
      </c>
      <c r="JH43" t="s">
        <v>1681</v>
      </c>
      <c r="JI43" t="s">
        <v>15</v>
      </c>
      <c r="JJ43" t="s">
        <v>14</v>
      </c>
      <c r="JK43" s="8" t="s">
        <v>1682</v>
      </c>
      <c r="JN43" t="s">
        <v>13</v>
      </c>
      <c r="JO43">
        <v>40</v>
      </c>
      <c r="JP43">
        <v>50</v>
      </c>
      <c r="KD43" t="s">
        <v>12</v>
      </c>
      <c r="MR43" t="s">
        <v>1658</v>
      </c>
      <c r="MS43">
        <v>36</v>
      </c>
      <c r="MT43" t="s">
        <v>1665</v>
      </c>
      <c r="MV43" t="s">
        <v>168</v>
      </c>
      <c r="MW43" t="s">
        <v>1691</v>
      </c>
      <c r="MX43" t="s">
        <v>1692</v>
      </c>
      <c r="ND43" t="s">
        <v>1697</v>
      </c>
      <c r="NE43" t="s">
        <v>1698</v>
      </c>
      <c r="NF43" t="s">
        <v>1531</v>
      </c>
      <c r="NG43" t="s">
        <v>265</v>
      </c>
      <c r="NP43" t="s">
        <v>6</v>
      </c>
      <c r="NQ43">
        <v>2296.9</v>
      </c>
      <c r="NR43" s="4" t="s">
        <v>4</v>
      </c>
      <c r="NS43">
        <v>55</v>
      </c>
      <c r="NV43">
        <v>4</v>
      </c>
      <c r="OG43" t="s">
        <v>1701</v>
      </c>
      <c r="OH43" s="87" t="s">
        <v>2</v>
      </c>
      <c r="OI43">
        <v>2007</v>
      </c>
      <c r="OL43" t="s">
        <v>1684</v>
      </c>
      <c r="ON43" t="s">
        <v>1178</v>
      </c>
      <c r="OO43" s="58">
        <v>46105</v>
      </c>
    </row>
    <row r="44" spans="1:405" ht="15.75" thickBot="1">
      <c r="A44" t="s">
        <v>248</v>
      </c>
      <c r="B44" t="s">
        <v>1889</v>
      </c>
      <c r="C44" t="s">
        <v>34</v>
      </c>
      <c r="D44" s="100" t="s">
        <v>31</v>
      </c>
      <c r="E44" s="90" t="s">
        <v>1676</v>
      </c>
      <c r="F44" s="100" t="s">
        <v>31</v>
      </c>
      <c r="G44" s="87" t="s">
        <v>2</v>
      </c>
      <c r="H44" s="87" t="s">
        <v>30</v>
      </c>
      <c r="I44">
        <v>-0.41666666699999999</v>
      </c>
      <c r="J44">
        <v>34.200000000000003</v>
      </c>
      <c r="K44" s="87" t="s">
        <v>29</v>
      </c>
      <c r="AV44" t="s">
        <v>1679</v>
      </c>
      <c r="AW44">
        <v>49</v>
      </c>
      <c r="AX44" t="s">
        <v>234</v>
      </c>
      <c r="AY44">
        <v>1</v>
      </c>
      <c r="AZ44" t="s">
        <v>1687</v>
      </c>
      <c r="BA44">
        <v>2007</v>
      </c>
      <c r="BB44">
        <v>2008</v>
      </c>
      <c r="BD44" t="s">
        <v>238</v>
      </c>
      <c r="BE44" t="s">
        <v>1672</v>
      </c>
      <c r="BF44" t="s">
        <v>284</v>
      </c>
      <c r="BH44" t="s">
        <v>23</v>
      </c>
      <c r="BI44" t="s">
        <v>1680</v>
      </c>
      <c r="BJ44" s="87" t="s">
        <v>22</v>
      </c>
      <c r="BK44">
        <v>44444</v>
      </c>
      <c r="BL44" t="s">
        <v>56</v>
      </c>
      <c r="BM44" t="s">
        <v>1677</v>
      </c>
      <c r="BN44" t="s">
        <v>1678</v>
      </c>
      <c r="BO44" s="87" t="s">
        <v>22</v>
      </c>
      <c r="BP44">
        <v>44444</v>
      </c>
      <c r="BQ44" t="s">
        <v>56</v>
      </c>
      <c r="BR44" t="s">
        <v>1664</v>
      </c>
      <c r="BS44" t="s">
        <v>234</v>
      </c>
      <c r="BT44" t="s">
        <v>234</v>
      </c>
      <c r="BU44" t="s">
        <v>234</v>
      </c>
      <c r="IF44" t="s">
        <v>1672</v>
      </c>
      <c r="IG44" s="84" t="s">
        <v>1683</v>
      </c>
      <c r="IH44" t="s">
        <v>660</v>
      </c>
      <c r="II44" t="s">
        <v>661</v>
      </c>
      <c r="IJ44" t="s">
        <v>838</v>
      </c>
      <c r="IK44" t="s">
        <v>838</v>
      </c>
      <c r="IL44" s="87" t="s">
        <v>29</v>
      </c>
      <c r="JH44" t="s">
        <v>1681</v>
      </c>
      <c r="JI44" t="s">
        <v>15</v>
      </c>
      <c r="JJ44" t="s">
        <v>14</v>
      </c>
      <c r="JK44" s="8" t="s">
        <v>1682</v>
      </c>
      <c r="JN44" t="s">
        <v>13</v>
      </c>
      <c r="JO44">
        <v>40</v>
      </c>
      <c r="JP44">
        <v>50</v>
      </c>
      <c r="KD44" t="s">
        <v>12</v>
      </c>
      <c r="MR44" t="s">
        <v>1658</v>
      </c>
      <c r="MS44">
        <v>36</v>
      </c>
      <c r="MT44" t="s">
        <v>1667</v>
      </c>
      <c r="MV44" t="s">
        <v>168</v>
      </c>
      <c r="MW44" t="s">
        <v>1689</v>
      </c>
      <c r="MX44" t="s">
        <v>1691</v>
      </c>
      <c r="MY44" t="s">
        <v>1692</v>
      </c>
      <c r="ND44" t="s">
        <v>1697</v>
      </c>
      <c r="NE44" t="s">
        <v>1698</v>
      </c>
      <c r="NF44" t="s">
        <v>1531</v>
      </c>
      <c r="NG44" t="s">
        <v>265</v>
      </c>
      <c r="NP44" t="s">
        <v>6</v>
      </c>
      <c r="NQ44">
        <v>2366.5</v>
      </c>
      <c r="NR44" s="4" t="s">
        <v>4</v>
      </c>
      <c r="NS44">
        <v>22</v>
      </c>
      <c r="NV44">
        <v>4</v>
      </c>
      <c r="OG44" t="s">
        <v>1701</v>
      </c>
      <c r="OH44" s="87" t="s">
        <v>2</v>
      </c>
      <c r="OI44">
        <v>2007</v>
      </c>
      <c r="OL44" t="s">
        <v>1684</v>
      </c>
      <c r="ON44" t="s">
        <v>1178</v>
      </c>
      <c r="OO44" s="58">
        <v>46105</v>
      </c>
    </row>
    <row r="45" spans="1:405" ht="15.75" thickBot="1">
      <c r="A45" t="s">
        <v>248</v>
      </c>
      <c r="B45" t="s">
        <v>1889</v>
      </c>
      <c r="C45" t="s">
        <v>34</v>
      </c>
      <c r="D45" s="100" t="s">
        <v>31</v>
      </c>
      <c r="E45" s="90" t="s">
        <v>1676</v>
      </c>
      <c r="F45" s="100" t="s">
        <v>31</v>
      </c>
      <c r="G45" s="87" t="s">
        <v>2</v>
      </c>
      <c r="H45" s="87" t="s">
        <v>30</v>
      </c>
      <c r="I45">
        <v>-0.41666666699999999</v>
      </c>
      <c r="J45">
        <v>34.200000000000003</v>
      </c>
      <c r="K45" s="87" t="s">
        <v>29</v>
      </c>
      <c r="AV45" t="s">
        <v>1679</v>
      </c>
      <c r="AW45">
        <v>50</v>
      </c>
      <c r="AX45" t="s">
        <v>234</v>
      </c>
      <c r="AY45">
        <v>1</v>
      </c>
      <c r="AZ45" t="s">
        <v>1687</v>
      </c>
      <c r="BA45">
        <v>2007</v>
      </c>
      <c r="BB45">
        <v>2008</v>
      </c>
      <c r="BD45" t="s">
        <v>238</v>
      </c>
      <c r="BE45" t="s">
        <v>1673</v>
      </c>
      <c r="BF45" t="s">
        <v>277</v>
      </c>
      <c r="BH45" t="s">
        <v>23</v>
      </c>
      <c r="BI45" t="s">
        <v>1680</v>
      </c>
      <c r="BJ45" s="87" t="s">
        <v>22</v>
      </c>
      <c r="BK45">
        <v>44444</v>
      </c>
      <c r="BL45" t="s">
        <v>56</v>
      </c>
      <c r="BM45" t="s">
        <v>1677</v>
      </c>
      <c r="BN45" t="s">
        <v>1678</v>
      </c>
      <c r="BO45" s="87" t="s">
        <v>22</v>
      </c>
      <c r="BP45">
        <v>44444</v>
      </c>
      <c r="BQ45" t="s">
        <v>56</v>
      </c>
      <c r="BR45" t="s">
        <v>1664</v>
      </c>
      <c r="BS45" t="s">
        <v>234</v>
      </c>
      <c r="BT45" t="s">
        <v>234</v>
      </c>
      <c r="BU45" t="s">
        <v>234</v>
      </c>
      <c r="IF45" t="s">
        <v>1673</v>
      </c>
      <c r="IG45" s="84" t="s">
        <v>1683</v>
      </c>
      <c r="IH45" t="s">
        <v>660</v>
      </c>
      <c r="II45" t="s">
        <v>661</v>
      </c>
      <c r="IJ45" t="s">
        <v>838</v>
      </c>
      <c r="IK45" t="s">
        <v>838</v>
      </c>
      <c r="IL45" s="87" t="s">
        <v>29</v>
      </c>
      <c r="JH45" t="s">
        <v>1681</v>
      </c>
      <c r="JI45" t="s">
        <v>15</v>
      </c>
      <c r="JJ45" t="s">
        <v>14</v>
      </c>
      <c r="JK45" s="8" t="s">
        <v>1682</v>
      </c>
      <c r="JN45" t="s">
        <v>13</v>
      </c>
      <c r="JO45">
        <v>40</v>
      </c>
      <c r="JP45">
        <v>50</v>
      </c>
      <c r="KD45" t="s">
        <v>12</v>
      </c>
      <c r="MR45" t="s">
        <v>1658</v>
      </c>
      <c r="MS45">
        <v>36</v>
      </c>
      <c r="MT45" t="s">
        <v>1667</v>
      </c>
      <c r="MV45" t="s">
        <v>168</v>
      </c>
      <c r="MW45" t="s">
        <v>1689</v>
      </c>
      <c r="MX45" t="s">
        <v>1691</v>
      </c>
      <c r="MY45" t="s">
        <v>1692</v>
      </c>
      <c r="ND45" t="s">
        <v>1697</v>
      </c>
      <c r="NE45" t="s">
        <v>1698</v>
      </c>
      <c r="NF45" t="s">
        <v>1531</v>
      </c>
      <c r="NG45" t="s">
        <v>265</v>
      </c>
      <c r="NP45" t="s">
        <v>6</v>
      </c>
      <c r="NQ45">
        <v>2368.8000000000002</v>
      </c>
      <c r="NR45" s="4" t="s">
        <v>4</v>
      </c>
      <c r="NS45">
        <v>34</v>
      </c>
      <c r="NV45">
        <v>4</v>
      </c>
      <c r="OG45" t="s">
        <v>1701</v>
      </c>
      <c r="OH45" s="87" t="s">
        <v>2</v>
      </c>
      <c r="OI45">
        <v>2007</v>
      </c>
      <c r="OL45" t="s">
        <v>1684</v>
      </c>
      <c r="ON45" t="s">
        <v>1178</v>
      </c>
      <c r="OO45" s="58">
        <v>46105</v>
      </c>
    </row>
    <row r="46" spans="1:405" ht="15.75" thickBot="1">
      <c r="A46" t="s">
        <v>248</v>
      </c>
      <c r="B46" t="s">
        <v>1889</v>
      </c>
      <c r="C46" t="s">
        <v>34</v>
      </c>
      <c r="D46" s="100" t="s">
        <v>31</v>
      </c>
      <c r="E46" s="90" t="s">
        <v>1676</v>
      </c>
      <c r="F46" s="100" t="s">
        <v>31</v>
      </c>
      <c r="G46" s="87" t="s">
        <v>2</v>
      </c>
      <c r="H46" s="87" t="s">
        <v>30</v>
      </c>
      <c r="I46">
        <v>-0.41666666699999999</v>
      </c>
      <c r="J46">
        <v>34.200000000000003</v>
      </c>
      <c r="K46" s="87" t="s">
        <v>29</v>
      </c>
      <c r="AV46" t="s">
        <v>1679</v>
      </c>
      <c r="AW46">
        <v>51</v>
      </c>
      <c r="AX46" t="s">
        <v>234</v>
      </c>
      <c r="AY46">
        <v>1</v>
      </c>
      <c r="AZ46" t="s">
        <v>1685</v>
      </c>
      <c r="BA46">
        <v>2007</v>
      </c>
      <c r="BB46">
        <v>2008</v>
      </c>
      <c r="BD46" t="s">
        <v>19</v>
      </c>
      <c r="BE46" t="s">
        <v>1669</v>
      </c>
      <c r="BF46" t="s">
        <v>24</v>
      </c>
      <c r="BH46" t="s">
        <v>23</v>
      </c>
      <c r="BI46" t="s">
        <v>1680</v>
      </c>
      <c r="BJ46" s="87" t="s">
        <v>22</v>
      </c>
      <c r="BK46">
        <v>44444</v>
      </c>
      <c r="IF46" t="s">
        <v>1669</v>
      </c>
      <c r="IG46" t="s">
        <v>19</v>
      </c>
      <c r="JH46" t="s">
        <v>1681</v>
      </c>
      <c r="JI46" t="s">
        <v>15</v>
      </c>
      <c r="JJ46" t="s">
        <v>14</v>
      </c>
      <c r="JK46" s="8" t="s">
        <v>1682</v>
      </c>
      <c r="JN46" t="s">
        <v>13</v>
      </c>
      <c r="JO46">
        <v>40</v>
      </c>
      <c r="JP46">
        <v>50</v>
      </c>
      <c r="KD46" t="s">
        <v>12</v>
      </c>
      <c r="MR46" t="s">
        <v>1658</v>
      </c>
      <c r="MS46">
        <v>36</v>
      </c>
      <c r="MT46" t="s">
        <v>1659</v>
      </c>
      <c r="MV46" t="s">
        <v>168</v>
      </c>
      <c r="ND46" t="s">
        <v>1697</v>
      </c>
      <c r="NE46" t="s">
        <v>1698</v>
      </c>
      <c r="NF46" t="s">
        <v>1531</v>
      </c>
      <c r="NG46" t="s">
        <v>265</v>
      </c>
      <c r="NP46" t="s">
        <v>6</v>
      </c>
      <c r="NQ46">
        <v>822.4</v>
      </c>
      <c r="NR46" s="4" t="s">
        <v>4</v>
      </c>
      <c r="NS46">
        <v>16</v>
      </c>
      <c r="NV46">
        <v>4</v>
      </c>
      <c r="OG46" t="s">
        <v>1700</v>
      </c>
      <c r="OH46" s="87" t="s">
        <v>2</v>
      </c>
      <c r="OI46">
        <v>2007</v>
      </c>
      <c r="OL46" t="s">
        <v>1674</v>
      </c>
      <c r="ON46" t="s">
        <v>1178</v>
      </c>
      <c r="OO46" s="58">
        <v>46105</v>
      </c>
    </row>
    <row r="47" spans="1:405" ht="15.75" thickBot="1">
      <c r="A47" t="s">
        <v>248</v>
      </c>
      <c r="B47" t="s">
        <v>1889</v>
      </c>
      <c r="C47" t="s">
        <v>34</v>
      </c>
      <c r="D47" s="100" t="s">
        <v>31</v>
      </c>
      <c r="E47" s="90" t="s">
        <v>1676</v>
      </c>
      <c r="F47" s="100" t="s">
        <v>31</v>
      </c>
      <c r="G47" s="87" t="s">
        <v>2</v>
      </c>
      <c r="H47" s="87" t="s">
        <v>30</v>
      </c>
      <c r="I47">
        <v>-0.41666666699999999</v>
      </c>
      <c r="J47">
        <v>34.200000000000003</v>
      </c>
      <c r="K47" s="87" t="s">
        <v>29</v>
      </c>
      <c r="AV47" t="s">
        <v>1679</v>
      </c>
      <c r="AW47">
        <v>52</v>
      </c>
      <c r="AX47" t="s">
        <v>234</v>
      </c>
      <c r="AY47">
        <v>1</v>
      </c>
      <c r="AZ47" t="s">
        <v>1685</v>
      </c>
      <c r="BA47">
        <v>2007</v>
      </c>
      <c r="BB47">
        <v>2008</v>
      </c>
      <c r="BD47" t="s">
        <v>238</v>
      </c>
      <c r="BE47" t="s">
        <v>1670</v>
      </c>
      <c r="BF47" t="s">
        <v>252</v>
      </c>
      <c r="BH47" t="s">
        <v>23</v>
      </c>
      <c r="BI47" t="s">
        <v>1680</v>
      </c>
      <c r="BJ47" s="87" t="s">
        <v>22</v>
      </c>
      <c r="BK47">
        <v>44444</v>
      </c>
      <c r="BL47" t="s">
        <v>56</v>
      </c>
      <c r="BM47" t="s">
        <v>1677</v>
      </c>
      <c r="BN47" t="s">
        <v>1678</v>
      </c>
      <c r="BO47" s="87" t="s">
        <v>22</v>
      </c>
      <c r="BP47">
        <v>44444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8"/>
      <c r="IF47" t="s">
        <v>1670</v>
      </c>
      <c r="IG47" s="84" t="s">
        <v>1453</v>
      </c>
      <c r="IH47" t="s">
        <v>660</v>
      </c>
      <c r="II47" t="s">
        <v>661</v>
      </c>
      <c r="IJ47" t="s">
        <v>838</v>
      </c>
      <c r="IK47" t="s">
        <v>838</v>
      </c>
      <c r="IL47" s="87" t="s">
        <v>29</v>
      </c>
      <c r="JH47" t="s">
        <v>1681</v>
      </c>
      <c r="JI47" t="s">
        <v>15</v>
      </c>
      <c r="JJ47" t="s">
        <v>14</v>
      </c>
      <c r="JK47" s="8" t="s">
        <v>1682</v>
      </c>
      <c r="JN47" t="s">
        <v>13</v>
      </c>
      <c r="JO47">
        <v>40</v>
      </c>
      <c r="JP47">
        <v>50</v>
      </c>
      <c r="KD47" t="s">
        <v>12</v>
      </c>
      <c r="MR47" t="s">
        <v>1658</v>
      </c>
      <c r="MS47">
        <v>36</v>
      </c>
      <c r="MT47" t="s">
        <v>1662</v>
      </c>
      <c r="MV47" t="s">
        <v>168</v>
      </c>
      <c r="MW47" t="s">
        <v>1689</v>
      </c>
      <c r="ND47" t="s">
        <v>1697</v>
      </c>
      <c r="NE47" t="s">
        <v>1698</v>
      </c>
      <c r="NF47" t="s">
        <v>1531</v>
      </c>
      <c r="NG47" t="s">
        <v>265</v>
      </c>
      <c r="NP47" t="s">
        <v>6</v>
      </c>
      <c r="NQ47">
        <v>945.9</v>
      </c>
      <c r="NR47" s="4" t="s">
        <v>4</v>
      </c>
      <c r="NS47">
        <v>53</v>
      </c>
      <c r="NV47">
        <v>4</v>
      </c>
      <c r="OG47" t="s">
        <v>1700</v>
      </c>
      <c r="OH47" s="87" t="s">
        <v>2</v>
      </c>
      <c r="OI47">
        <v>2007</v>
      </c>
      <c r="OL47" t="s">
        <v>1674</v>
      </c>
      <c r="ON47" t="s">
        <v>1178</v>
      </c>
      <c r="OO47" s="58">
        <v>46105</v>
      </c>
    </row>
    <row r="48" spans="1:405" ht="15.75" thickBot="1">
      <c r="A48" t="s">
        <v>248</v>
      </c>
      <c r="B48" t="s">
        <v>1889</v>
      </c>
      <c r="C48" t="s">
        <v>34</v>
      </c>
      <c r="D48" s="100" t="s">
        <v>31</v>
      </c>
      <c r="E48" s="90" t="s">
        <v>1676</v>
      </c>
      <c r="F48" s="100" t="s">
        <v>31</v>
      </c>
      <c r="G48" s="87" t="s">
        <v>2</v>
      </c>
      <c r="H48" s="87" t="s">
        <v>30</v>
      </c>
      <c r="I48">
        <v>-0.41666666699999999</v>
      </c>
      <c r="J48">
        <v>34.200000000000003</v>
      </c>
      <c r="K48" s="87" t="s">
        <v>29</v>
      </c>
      <c r="AV48" t="s">
        <v>1679</v>
      </c>
      <c r="AW48">
        <v>53</v>
      </c>
      <c r="AX48" t="s">
        <v>234</v>
      </c>
      <c r="AY48">
        <v>1</v>
      </c>
      <c r="AZ48" t="s">
        <v>1685</v>
      </c>
      <c r="BA48">
        <v>2007</v>
      </c>
      <c r="BB48">
        <v>2008</v>
      </c>
      <c r="BD48" t="s">
        <v>238</v>
      </c>
      <c r="BE48" t="s">
        <v>1671</v>
      </c>
      <c r="BF48" t="s">
        <v>236</v>
      </c>
      <c r="BH48" t="s">
        <v>23</v>
      </c>
      <c r="BI48" t="s">
        <v>1680</v>
      </c>
      <c r="BJ48" s="87" t="s">
        <v>22</v>
      </c>
      <c r="BK48">
        <v>44444</v>
      </c>
      <c r="BL48" t="s">
        <v>56</v>
      </c>
      <c r="BM48" t="s">
        <v>1664</v>
      </c>
      <c r="BN48" t="s">
        <v>234</v>
      </c>
      <c r="BO48" t="s">
        <v>234</v>
      </c>
      <c r="BP48" t="s">
        <v>234</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8"/>
      <c r="IF48" t="s">
        <v>1671</v>
      </c>
      <c r="IG48" s="84" t="s">
        <v>1683</v>
      </c>
      <c r="IH48" t="s">
        <v>660</v>
      </c>
      <c r="II48" t="s">
        <v>661</v>
      </c>
      <c r="IJ48" t="s">
        <v>838</v>
      </c>
      <c r="IK48" t="s">
        <v>838</v>
      </c>
      <c r="IL48" s="87" t="s">
        <v>29</v>
      </c>
      <c r="JH48" t="s">
        <v>1681</v>
      </c>
      <c r="JI48" t="s">
        <v>15</v>
      </c>
      <c r="JJ48" t="s">
        <v>14</v>
      </c>
      <c r="JK48" s="8" t="s">
        <v>1682</v>
      </c>
      <c r="JN48" t="s">
        <v>13</v>
      </c>
      <c r="JO48">
        <v>40</v>
      </c>
      <c r="JP48">
        <v>50</v>
      </c>
      <c r="KD48" t="s">
        <v>12</v>
      </c>
      <c r="MR48" t="s">
        <v>1658</v>
      </c>
      <c r="MS48">
        <v>36</v>
      </c>
      <c r="MT48" t="s">
        <v>1665</v>
      </c>
      <c r="MV48" t="s">
        <v>168</v>
      </c>
      <c r="MW48" t="s">
        <v>1691</v>
      </c>
      <c r="MX48" t="s">
        <v>1692</v>
      </c>
      <c r="ND48" t="s">
        <v>1697</v>
      </c>
      <c r="NE48" t="s">
        <v>1698</v>
      </c>
      <c r="NF48" t="s">
        <v>1531</v>
      </c>
      <c r="NG48" t="s">
        <v>265</v>
      </c>
      <c r="NP48" t="s">
        <v>6</v>
      </c>
      <c r="NQ48">
        <v>2393</v>
      </c>
      <c r="NR48" s="4" t="s">
        <v>4</v>
      </c>
      <c r="NS48">
        <v>51</v>
      </c>
      <c r="NV48">
        <v>4</v>
      </c>
      <c r="OG48" t="s">
        <v>1700</v>
      </c>
      <c r="OH48" s="87" t="s">
        <v>2</v>
      </c>
      <c r="OI48">
        <v>2007</v>
      </c>
      <c r="OL48" t="s">
        <v>1674</v>
      </c>
      <c r="ON48" t="s">
        <v>1178</v>
      </c>
      <c r="OO48" s="58">
        <v>46105</v>
      </c>
    </row>
    <row r="49" spans="1:405" ht="15.75" thickBot="1">
      <c r="A49" t="s">
        <v>248</v>
      </c>
      <c r="B49" t="s">
        <v>1889</v>
      </c>
      <c r="C49" t="s">
        <v>34</v>
      </c>
      <c r="D49" s="100" t="s">
        <v>31</v>
      </c>
      <c r="E49" s="90" t="s">
        <v>1676</v>
      </c>
      <c r="F49" s="100" t="s">
        <v>31</v>
      </c>
      <c r="G49" s="87" t="s">
        <v>2</v>
      </c>
      <c r="H49" s="87" t="s">
        <v>30</v>
      </c>
      <c r="I49">
        <v>-0.41666666699999999</v>
      </c>
      <c r="J49">
        <v>34.200000000000003</v>
      </c>
      <c r="K49" s="87" t="s">
        <v>29</v>
      </c>
      <c r="AV49" t="s">
        <v>1679</v>
      </c>
      <c r="AW49">
        <v>54</v>
      </c>
      <c r="AX49" t="s">
        <v>234</v>
      </c>
      <c r="AY49">
        <v>1</v>
      </c>
      <c r="AZ49" t="s">
        <v>1685</v>
      </c>
      <c r="BA49">
        <v>2007</v>
      </c>
      <c r="BB49">
        <v>2008</v>
      </c>
      <c r="BD49" t="s">
        <v>238</v>
      </c>
      <c r="BE49" t="s">
        <v>1672</v>
      </c>
      <c r="BF49" t="s">
        <v>284</v>
      </c>
      <c r="BH49" t="s">
        <v>23</v>
      </c>
      <c r="BI49" t="s">
        <v>1680</v>
      </c>
      <c r="BJ49" s="87" t="s">
        <v>22</v>
      </c>
      <c r="BK49">
        <v>44444</v>
      </c>
      <c r="BL49" t="s">
        <v>56</v>
      </c>
      <c r="BM49" t="s">
        <v>1677</v>
      </c>
      <c r="BN49" t="s">
        <v>1678</v>
      </c>
      <c r="BO49" s="87" t="s">
        <v>22</v>
      </c>
      <c r="BP49">
        <v>44444</v>
      </c>
      <c r="BQ49" t="s">
        <v>56</v>
      </c>
      <c r="BR49" t="s">
        <v>1664</v>
      </c>
      <c r="BS49" t="s">
        <v>234</v>
      </c>
      <c r="BT49" t="s">
        <v>234</v>
      </c>
      <c r="BU49" t="s">
        <v>234</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8"/>
      <c r="IF49" t="s">
        <v>1672</v>
      </c>
      <c r="IG49" s="84" t="s">
        <v>1683</v>
      </c>
      <c r="IH49" t="s">
        <v>660</v>
      </c>
      <c r="II49" t="s">
        <v>661</v>
      </c>
      <c r="IJ49" t="s">
        <v>838</v>
      </c>
      <c r="IK49" t="s">
        <v>838</v>
      </c>
      <c r="IL49" s="87" t="s">
        <v>29</v>
      </c>
      <c r="JH49" t="s">
        <v>1681</v>
      </c>
      <c r="JI49" t="s">
        <v>15</v>
      </c>
      <c r="JJ49" t="s">
        <v>14</v>
      </c>
      <c r="JK49" s="8" t="s">
        <v>1682</v>
      </c>
      <c r="JN49" t="s">
        <v>13</v>
      </c>
      <c r="JO49">
        <v>40</v>
      </c>
      <c r="JP49">
        <v>50</v>
      </c>
      <c r="KD49" t="s">
        <v>12</v>
      </c>
      <c r="MR49" t="s">
        <v>1658</v>
      </c>
      <c r="MS49">
        <v>36</v>
      </c>
      <c r="MT49" t="s">
        <v>1667</v>
      </c>
      <c r="MV49" t="s">
        <v>168</v>
      </c>
      <c r="MW49" t="s">
        <v>1689</v>
      </c>
      <c r="MX49" t="s">
        <v>1691</v>
      </c>
      <c r="MY49" t="s">
        <v>1692</v>
      </c>
      <c r="ND49" t="s">
        <v>1697</v>
      </c>
      <c r="NE49" t="s">
        <v>1698</v>
      </c>
      <c r="NF49" t="s">
        <v>1531</v>
      </c>
      <c r="NG49" t="s">
        <v>265</v>
      </c>
      <c r="NP49" t="s">
        <v>6</v>
      </c>
      <c r="NQ49">
        <v>25041.1</v>
      </c>
      <c r="NR49" s="4" t="s">
        <v>4</v>
      </c>
      <c r="NS49">
        <v>53</v>
      </c>
      <c r="NV49">
        <v>4</v>
      </c>
      <c r="OG49" t="s">
        <v>1700</v>
      </c>
      <c r="OH49" s="87" t="s">
        <v>2</v>
      </c>
      <c r="OI49">
        <v>2007</v>
      </c>
      <c r="OL49" t="s">
        <v>1674</v>
      </c>
      <c r="ON49" t="s">
        <v>1178</v>
      </c>
      <c r="OO49" s="58">
        <v>46105</v>
      </c>
    </row>
    <row r="50" spans="1:405" ht="15.75" thickBot="1">
      <c r="A50" t="s">
        <v>248</v>
      </c>
      <c r="B50" t="s">
        <v>1889</v>
      </c>
      <c r="C50" t="s">
        <v>34</v>
      </c>
      <c r="D50" s="100" t="s">
        <v>31</v>
      </c>
      <c r="E50" s="90" t="s">
        <v>1676</v>
      </c>
      <c r="F50" s="100" t="s">
        <v>31</v>
      </c>
      <c r="G50" s="87" t="s">
        <v>2</v>
      </c>
      <c r="H50" s="87" t="s">
        <v>30</v>
      </c>
      <c r="I50">
        <v>-0.41666666699999999</v>
      </c>
      <c r="J50">
        <v>34.200000000000003</v>
      </c>
      <c r="K50" s="87" t="s">
        <v>29</v>
      </c>
      <c r="AV50" t="s">
        <v>1679</v>
      </c>
      <c r="AW50">
        <v>55</v>
      </c>
      <c r="AX50" t="s">
        <v>234</v>
      </c>
      <c r="AY50">
        <v>1</v>
      </c>
      <c r="AZ50" t="s">
        <v>1685</v>
      </c>
      <c r="BA50">
        <v>2007</v>
      </c>
      <c r="BB50">
        <v>2008</v>
      </c>
      <c r="BD50" t="s">
        <v>238</v>
      </c>
      <c r="BE50" t="s">
        <v>1673</v>
      </c>
      <c r="BF50" t="s">
        <v>277</v>
      </c>
      <c r="BH50" t="s">
        <v>23</v>
      </c>
      <c r="BI50" t="s">
        <v>1680</v>
      </c>
      <c r="BJ50" s="87" t="s">
        <v>22</v>
      </c>
      <c r="BK50">
        <v>44444</v>
      </c>
      <c r="BL50" t="s">
        <v>56</v>
      </c>
      <c r="BM50" t="s">
        <v>1677</v>
      </c>
      <c r="BN50" t="s">
        <v>1678</v>
      </c>
      <c r="BO50" s="87" t="s">
        <v>22</v>
      </c>
      <c r="BP50">
        <v>44444</v>
      </c>
      <c r="BQ50" t="s">
        <v>56</v>
      </c>
      <c r="BR50" t="s">
        <v>1664</v>
      </c>
      <c r="BS50" t="s">
        <v>234</v>
      </c>
      <c r="BT50" t="s">
        <v>234</v>
      </c>
      <c r="BU50" t="s">
        <v>234</v>
      </c>
      <c r="EH50" s="9"/>
      <c r="EI50" s="9"/>
      <c r="EJ50" s="9"/>
      <c r="EK50" s="9"/>
      <c r="EL50" s="9"/>
      <c r="EM50" s="9"/>
      <c r="EN50" s="9"/>
      <c r="EO50" s="9"/>
      <c r="EP50" s="9"/>
      <c r="EQ50" s="9"/>
      <c r="ER50" s="9"/>
      <c r="ES50" s="9"/>
      <c r="ET50" s="9"/>
      <c r="EU50" s="9"/>
      <c r="EV50" s="9"/>
      <c r="EW50" s="9"/>
      <c r="EX50" s="9"/>
      <c r="EY50" s="9"/>
      <c r="EZ50" s="9"/>
      <c r="FA50" s="9"/>
      <c r="FB50" s="9"/>
      <c r="FC50" s="9"/>
      <c r="FD50" s="9"/>
      <c r="FE50" s="9"/>
      <c r="FF50" s="9"/>
      <c r="FG50" s="9"/>
      <c r="FH50" s="9"/>
      <c r="FI50" s="9"/>
      <c r="FJ50" s="9"/>
      <c r="FK50" s="9"/>
      <c r="FL50" s="9"/>
      <c r="FM50" s="9"/>
      <c r="FN50" s="9"/>
      <c r="FO50" s="9"/>
      <c r="FP50" s="9"/>
      <c r="FQ50" s="9"/>
      <c r="FR50" s="9"/>
      <c r="FS50" s="9"/>
      <c r="FT50" s="9"/>
      <c r="FU50" s="9"/>
      <c r="FV50" s="9"/>
      <c r="FW50" s="9"/>
      <c r="FX50" s="9"/>
      <c r="FY50" s="9"/>
      <c r="FZ50" s="9"/>
      <c r="GA50" s="9"/>
      <c r="GB50" s="9"/>
      <c r="GC50" s="9"/>
      <c r="GD50" s="9"/>
      <c r="GE50" s="9"/>
      <c r="GF50" s="9"/>
      <c r="GG50" s="9"/>
      <c r="GH50" s="9"/>
      <c r="GI50" s="9"/>
      <c r="GJ50" s="9"/>
      <c r="GK50" s="9"/>
      <c r="GL50" s="9"/>
      <c r="GM50" s="9"/>
      <c r="GN50" s="9"/>
      <c r="GO50" s="9"/>
      <c r="GP50" s="9"/>
      <c r="GQ50" s="9"/>
      <c r="GR50" s="9"/>
      <c r="GS50" s="9"/>
      <c r="GT50" s="9"/>
      <c r="GU50" s="9"/>
      <c r="GV50" s="9"/>
      <c r="GW50" s="9"/>
      <c r="GX50" s="9"/>
      <c r="GY50" s="9"/>
      <c r="GZ50" s="9"/>
      <c r="HA50" s="9"/>
      <c r="HB50" s="9"/>
      <c r="HC50" s="9"/>
      <c r="HD50" s="9"/>
      <c r="HE50" s="9"/>
      <c r="HF50" s="9"/>
      <c r="HG50" s="9"/>
      <c r="HH50" s="9"/>
      <c r="HI50" s="9"/>
      <c r="HJ50" s="9"/>
      <c r="HK50" s="9"/>
      <c r="HW50" s="58"/>
      <c r="IF50" t="s">
        <v>1673</v>
      </c>
      <c r="IG50" s="84" t="s">
        <v>1683</v>
      </c>
      <c r="IH50" t="s">
        <v>660</v>
      </c>
      <c r="II50" t="s">
        <v>661</v>
      </c>
      <c r="IJ50" t="s">
        <v>838</v>
      </c>
      <c r="IK50" t="s">
        <v>838</v>
      </c>
      <c r="IL50" s="87" t="s">
        <v>29</v>
      </c>
      <c r="JH50" t="s">
        <v>1681</v>
      </c>
      <c r="JI50" t="s">
        <v>15</v>
      </c>
      <c r="JJ50" t="s">
        <v>14</v>
      </c>
      <c r="JK50" s="8" t="s">
        <v>1682</v>
      </c>
      <c r="JN50" t="s">
        <v>13</v>
      </c>
      <c r="JO50">
        <v>40</v>
      </c>
      <c r="JP50">
        <v>50</v>
      </c>
      <c r="KD50" t="s">
        <v>12</v>
      </c>
      <c r="MR50" t="s">
        <v>1658</v>
      </c>
      <c r="MS50">
        <v>36</v>
      </c>
      <c r="MT50" t="s">
        <v>1667</v>
      </c>
      <c r="MV50" t="s">
        <v>168</v>
      </c>
      <c r="MW50" t="s">
        <v>1689</v>
      </c>
      <c r="MX50" t="s">
        <v>1691</v>
      </c>
      <c r="MY50" t="s">
        <v>1692</v>
      </c>
      <c r="ND50" t="s">
        <v>1697</v>
      </c>
      <c r="NE50" t="s">
        <v>1698</v>
      </c>
      <c r="NF50" t="s">
        <v>1531</v>
      </c>
      <c r="NG50" t="s">
        <v>265</v>
      </c>
      <c r="NP50" t="s">
        <v>6</v>
      </c>
      <c r="NQ50">
        <v>2582.5</v>
      </c>
      <c r="NR50" s="4" t="s">
        <v>4</v>
      </c>
      <c r="NS50">
        <v>75</v>
      </c>
      <c r="NV50">
        <v>4</v>
      </c>
      <c r="OG50" t="s">
        <v>1700</v>
      </c>
      <c r="OH50" s="87" t="s">
        <v>2</v>
      </c>
      <c r="OI50">
        <v>2007</v>
      </c>
      <c r="OL50" t="s">
        <v>1674</v>
      </c>
      <c r="ON50" t="s">
        <v>1178</v>
      </c>
      <c r="OO50" s="58">
        <v>46105</v>
      </c>
    </row>
    <row r="51" spans="1:405" ht="15.75" thickBot="1">
      <c r="A51" t="s">
        <v>248</v>
      </c>
      <c r="B51" t="s">
        <v>1889</v>
      </c>
      <c r="C51" t="s">
        <v>34</v>
      </c>
      <c r="D51" s="100" t="s">
        <v>31</v>
      </c>
      <c r="E51" s="90" t="s">
        <v>1676</v>
      </c>
      <c r="F51" s="100" t="s">
        <v>31</v>
      </c>
      <c r="G51" s="87" t="s">
        <v>2</v>
      </c>
      <c r="H51" s="87" t="s">
        <v>30</v>
      </c>
      <c r="I51">
        <v>-0.41666666699999999</v>
      </c>
      <c r="J51">
        <v>34.200000000000003</v>
      </c>
      <c r="K51" s="87" t="s">
        <v>29</v>
      </c>
      <c r="AV51" t="s">
        <v>1679</v>
      </c>
      <c r="AW51">
        <v>36</v>
      </c>
      <c r="AX51" t="s">
        <v>234</v>
      </c>
      <c r="AY51">
        <v>1</v>
      </c>
      <c r="AZ51" t="s">
        <v>1685</v>
      </c>
      <c r="BA51">
        <v>2007</v>
      </c>
      <c r="BB51">
        <v>2008</v>
      </c>
      <c r="BD51" t="s">
        <v>19</v>
      </c>
      <c r="BE51" t="s">
        <v>1657</v>
      </c>
      <c r="BF51" t="s">
        <v>39</v>
      </c>
      <c r="BH51" t="s">
        <v>23</v>
      </c>
      <c r="BI51" t="s">
        <v>1680</v>
      </c>
      <c r="BJ51" s="87" t="s">
        <v>22</v>
      </c>
      <c r="BK51">
        <v>44444</v>
      </c>
      <c r="IF51" t="s">
        <v>1657</v>
      </c>
      <c r="IG51" t="s">
        <v>19</v>
      </c>
      <c r="JH51" t="s">
        <v>1681</v>
      </c>
      <c r="JI51" t="s">
        <v>15</v>
      </c>
      <c r="JJ51" t="s">
        <v>14</v>
      </c>
      <c r="JK51" s="8" t="s">
        <v>1682</v>
      </c>
      <c r="JN51" t="s">
        <v>13</v>
      </c>
      <c r="JO51">
        <v>40</v>
      </c>
      <c r="JP51">
        <v>50</v>
      </c>
      <c r="KD51" t="s">
        <v>12</v>
      </c>
      <c r="MR51" t="s">
        <v>1658</v>
      </c>
      <c r="MS51">
        <v>36</v>
      </c>
      <c r="NC51" t="s">
        <v>1695</v>
      </c>
      <c r="ND51" t="s">
        <v>1423</v>
      </c>
      <c r="NF51" t="s">
        <v>1426</v>
      </c>
      <c r="NG51" t="s">
        <v>265</v>
      </c>
      <c r="NP51" t="s">
        <v>6</v>
      </c>
      <c r="NQ51">
        <v>799.5</v>
      </c>
      <c r="NR51" s="4" t="s">
        <v>4</v>
      </c>
      <c r="NS51">
        <v>8</v>
      </c>
      <c r="NV51">
        <v>4</v>
      </c>
      <c r="OG51" t="s">
        <v>1675</v>
      </c>
      <c r="OH51" s="87" t="s">
        <v>2</v>
      </c>
      <c r="OI51">
        <v>2007</v>
      </c>
      <c r="OL51" t="s">
        <v>1674</v>
      </c>
      <c r="ON51" t="s">
        <v>1178</v>
      </c>
      <c r="OO51" s="58">
        <v>46105</v>
      </c>
    </row>
    <row r="52" spans="1:405" ht="15.75" thickBot="1">
      <c r="A52" t="s">
        <v>248</v>
      </c>
      <c r="B52" t="s">
        <v>1889</v>
      </c>
      <c r="C52" t="s">
        <v>34</v>
      </c>
      <c r="D52" s="100" t="s">
        <v>31</v>
      </c>
      <c r="E52" s="90" t="s">
        <v>1676</v>
      </c>
      <c r="F52" s="100" t="s">
        <v>31</v>
      </c>
      <c r="G52" s="87" t="s">
        <v>2</v>
      </c>
      <c r="H52" s="87" t="s">
        <v>30</v>
      </c>
      <c r="I52">
        <v>-0.41666666699999999</v>
      </c>
      <c r="J52">
        <v>34.200000000000003</v>
      </c>
      <c r="K52" s="87" t="s">
        <v>29</v>
      </c>
      <c r="AV52" t="s">
        <v>1679</v>
      </c>
      <c r="AW52">
        <v>37</v>
      </c>
      <c r="AX52" t="s">
        <v>234</v>
      </c>
      <c r="AY52">
        <v>1</v>
      </c>
      <c r="AZ52" t="s">
        <v>1685</v>
      </c>
      <c r="BA52">
        <v>2007</v>
      </c>
      <c r="BB52">
        <v>2008</v>
      </c>
      <c r="BD52" t="s">
        <v>238</v>
      </c>
      <c r="BE52" t="s">
        <v>1661</v>
      </c>
      <c r="BF52" t="s">
        <v>64</v>
      </c>
      <c r="BH52" t="s">
        <v>23</v>
      </c>
      <c r="BI52" t="s">
        <v>1680</v>
      </c>
      <c r="BJ52" s="87" t="s">
        <v>22</v>
      </c>
      <c r="BK52">
        <v>44444</v>
      </c>
      <c r="BL52" t="s">
        <v>56</v>
      </c>
      <c r="BM52" t="s">
        <v>1677</v>
      </c>
      <c r="BN52" t="s">
        <v>1678</v>
      </c>
      <c r="BO52" s="87" t="s">
        <v>22</v>
      </c>
      <c r="BP52">
        <v>44444</v>
      </c>
      <c r="IF52" t="s">
        <v>1661</v>
      </c>
      <c r="IG52" s="84" t="s">
        <v>1453</v>
      </c>
      <c r="IH52" t="s">
        <v>660</v>
      </c>
      <c r="II52" t="s">
        <v>661</v>
      </c>
      <c r="IJ52" t="s">
        <v>838</v>
      </c>
      <c r="IK52" t="s">
        <v>838</v>
      </c>
      <c r="IL52" s="87" t="s">
        <v>29</v>
      </c>
      <c r="JH52" t="s">
        <v>1681</v>
      </c>
      <c r="JI52" t="s">
        <v>15</v>
      </c>
      <c r="JJ52" t="s">
        <v>14</v>
      </c>
      <c r="JK52" s="8" t="s">
        <v>1682</v>
      </c>
      <c r="JN52" t="s">
        <v>13</v>
      </c>
      <c r="JO52">
        <v>40</v>
      </c>
      <c r="JP52">
        <v>50</v>
      </c>
      <c r="KD52" t="s">
        <v>12</v>
      </c>
      <c r="MR52" t="s">
        <v>1658</v>
      </c>
      <c r="MS52">
        <v>36</v>
      </c>
      <c r="NC52" t="s">
        <v>1696</v>
      </c>
      <c r="ND52" t="s">
        <v>1423</v>
      </c>
      <c r="NF52" t="s">
        <v>1426</v>
      </c>
      <c r="NG52" t="s">
        <v>265</v>
      </c>
      <c r="NP52" t="s">
        <v>6</v>
      </c>
      <c r="NQ52">
        <v>959.9</v>
      </c>
      <c r="NR52" s="4" t="s">
        <v>4</v>
      </c>
      <c r="NS52">
        <v>14</v>
      </c>
      <c r="NV52">
        <v>4</v>
      </c>
      <c r="OG52" t="s">
        <v>1675</v>
      </c>
      <c r="OH52" s="87" t="s">
        <v>2</v>
      </c>
      <c r="OI52">
        <v>2007</v>
      </c>
      <c r="OL52" t="s">
        <v>1674</v>
      </c>
      <c r="ON52" t="s">
        <v>1178</v>
      </c>
      <c r="OO52" s="58">
        <v>46105</v>
      </c>
    </row>
    <row r="53" spans="1:405" ht="15.75" thickBot="1">
      <c r="A53" t="s">
        <v>248</v>
      </c>
      <c r="B53" t="s">
        <v>1889</v>
      </c>
      <c r="C53" t="s">
        <v>34</v>
      </c>
      <c r="D53" s="100" t="s">
        <v>31</v>
      </c>
      <c r="E53" s="90" t="s">
        <v>1676</v>
      </c>
      <c r="F53" s="100" t="s">
        <v>31</v>
      </c>
      <c r="G53" s="87" t="s">
        <v>2</v>
      </c>
      <c r="H53" s="87" t="s">
        <v>30</v>
      </c>
      <c r="I53">
        <v>-0.41666666699999999</v>
      </c>
      <c r="J53">
        <v>34.200000000000003</v>
      </c>
      <c r="K53" s="87" t="s">
        <v>29</v>
      </c>
      <c r="AV53" t="s">
        <v>1679</v>
      </c>
      <c r="AW53">
        <v>38</v>
      </c>
      <c r="AX53" t="s">
        <v>234</v>
      </c>
      <c r="AY53">
        <v>1</v>
      </c>
      <c r="AZ53" t="s">
        <v>1685</v>
      </c>
      <c r="BA53">
        <v>2007</v>
      </c>
      <c r="BB53">
        <v>2008</v>
      </c>
      <c r="BD53" t="s">
        <v>238</v>
      </c>
      <c r="BE53" t="s">
        <v>1663</v>
      </c>
      <c r="BF53" t="s">
        <v>57</v>
      </c>
      <c r="BH53" t="s">
        <v>23</v>
      </c>
      <c r="BI53" t="s">
        <v>1680</v>
      </c>
      <c r="BJ53" s="87" t="s">
        <v>22</v>
      </c>
      <c r="BK53">
        <v>44444</v>
      </c>
      <c r="BL53" t="s">
        <v>56</v>
      </c>
      <c r="BM53" t="s">
        <v>1664</v>
      </c>
      <c r="BN53" t="s">
        <v>234</v>
      </c>
      <c r="BO53" t="s">
        <v>234</v>
      </c>
      <c r="BP53" t="s">
        <v>234</v>
      </c>
      <c r="IF53" t="s">
        <v>1663</v>
      </c>
      <c r="IG53" s="84" t="s">
        <v>1683</v>
      </c>
      <c r="IH53" t="s">
        <v>660</v>
      </c>
      <c r="II53" t="s">
        <v>661</v>
      </c>
      <c r="IJ53" t="s">
        <v>838</v>
      </c>
      <c r="IK53" t="s">
        <v>838</v>
      </c>
      <c r="IL53" s="87" t="s">
        <v>29</v>
      </c>
      <c r="JH53" t="s">
        <v>1681</v>
      </c>
      <c r="JI53" t="s">
        <v>15</v>
      </c>
      <c r="JJ53" t="s">
        <v>14</v>
      </c>
      <c r="JK53" s="8" t="s">
        <v>1682</v>
      </c>
      <c r="JN53" t="s">
        <v>13</v>
      </c>
      <c r="JO53">
        <v>40</v>
      </c>
      <c r="JP53">
        <v>50</v>
      </c>
      <c r="KD53" t="s">
        <v>12</v>
      </c>
      <c r="MR53" t="s">
        <v>1658</v>
      </c>
      <c r="MS53">
        <v>36</v>
      </c>
      <c r="NC53" t="s">
        <v>1696</v>
      </c>
      <c r="ND53" t="s">
        <v>1423</v>
      </c>
      <c r="NF53" t="s">
        <v>1426</v>
      </c>
      <c r="NG53" t="s">
        <v>265</v>
      </c>
      <c r="NP53" t="s">
        <v>6</v>
      </c>
      <c r="NQ53">
        <v>1006</v>
      </c>
      <c r="NR53" s="4" t="s">
        <v>4</v>
      </c>
      <c r="NS53">
        <v>7</v>
      </c>
      <c r="NV53">
        <v>4</v>
      </c>
      <c r="OG53" t="s">
        <v>1675</v>
      </c>
      <c r="OH53" s="87" t="s">
        <v>2</v>
      </c>
      <c r="OI53">
        <v>2007</v>
      </c>
      <c r="OL53" t="s">
        <v>1674</v>
      </c>
      <c r="ON53" t="s">
        <v>1178</v>
      </c>
      <c r="OO53" s="58">
        <v>46105</v>
      </c>
    </row>
    <row r="54" spans="1:405" ht="15.75" thickBot="1">
      <c r="A54" t="s">
        <v>248</v>
      </c>
      <c r="B54" t="s">
        <v>1889</v>
      </c>
      <c r="C54" t="s">
        <v>34</v>
      </c>
      <c r="D54" s="100" t="s">
        <v>31</v>
      </c>
      <c r="E54" s="90" t="s">
        <v>1676</v>
      </c>
      <c r="F54" s="100" t="s">
        <v>31</v>
      </c>
      <c r="G54" s="87" t="s">
        <v>2</v>
      </c>
      <c r="H54" s="87" t="s">
        <v>30</v>
      </c>
      <c r="I54">
        <v>-0.41666666699999999</v>
      </c>
      <c r="J54">
        <v>34.200000000000003</v>
      </c>
      <c r="K54" s="87" t="s">
        <v>29</v>
      </c>
      <c r="AV54" t="s">
        <v>1679</v>
      </c>
      <c r="AW54">
        <v>39</v>
      </c>
      <c r="AX54" t="s">
        <v>234</v>
      </c>
      <c r="AY54">
        <v>1</v>
      </c>
      <c r="AZ54" t="s">
        <v>1685</v>
      </c>
      <c r="BA54">
        <v>2007</v>
      </c>
      <c r="BB54">
        <v>2008</v>
      </c>
      <c r="BD54" t="s">
        <v>238</v>
      </c>
      <c r="BE54" t="s">
        <v>1666</v>
      </c>
      <c r="BF54" t="s">
        <v>48</v>
      </c>
      <c r="BH54" t="s">
        <v>23</v>
      </c>
      <c r="BI54" t="s">
        <v>1680</v>
      </c>
      <c r="BJ54" s="87" t="s">
        <v>22</v>
      </c>
      <c r="BK54">
        <v>44444</v>
      </c>
      <c r="BL54" t="s">
        <v>56</v>
      </c>
      <c r="BM54" t="s">
        <v>1677</v>
      </c>
      <c r="BN54" t="s">
        <v>1678</v>
      </c>
      <c r="BO54" s="87" t="s">
        <v>22</v>
      </c>
      <c r="BP54">
        <v>44444</v>
      </c>
      <c r="BQ54" t="s">
        <v>56</v>
      </c>
      <c r="BR54" t="s">
        <v>1664</v>
      </c>
      <c r="BS54" t="s">
        <v>234</v>
      </c>
      <c r="BT54" t="s">
        <v>234</v>
      </c>
      <c r="BU54" t="s">
        <v>234</v>
      </c>
      <c r="IF54" t="s">
        <v>1666</v>
      </c>
      <c r="IG54" s="84" t="s">
        <v>1683</v>
      </c>
      <c r="IH54" t="s">
        <v>660</v>
      </c>
      <c r="II54" t="s">
        <v>661</v>
      </c>
      <c r="IJ54" t="s">
        <v>838</v>
      </c>
      <c r="IK54" t="s">
        <v>838</v>
      </c>
      <c r="IL54" s="87" t="s">
        <v>29</v>
      </c>
      <c r="JH54" t="s">
        <v>1681</v>
      </c>
      <c r="JI54" t="s">
        <v>15</v>
      </c>
      <c r="JJ54" t="s">
        <v>14</v>
      </c>
      <c r="JK54" s="8" t="s">
        <v>1682</v>
      </c>
      <c r="JN54" t="s">
        <v>13</v>
      </c>
      <c r="JO54">
        <v>40</v>
      </c>
      <c r="JP54">
        <v>50</v>
      </c>
      <c r="KD54" t="s">
        <v>12</v>
      </c>
      <c r="MR54" t="s">
        <v>1658</v>
      </c>
      <c r="MS54">
        <v>36</v>
      </c>
      <c r="NC54" t="s">
        <v>1696</v>
      </c>
      <c r="ND54" t="s">
        <v>1423</v>
      </c>
      <c r="NF54" t="s">
        <v>1426</v>
      </c>
      <c r="NG54" t="s">
        <v>265</v>
      </c>
      <c r="NP54" t="s">
        <v>6</v>
      </c>
      <c r="NQ54">
        <v>1109.9000000000001</v>
      </c>
      <c r="NR54" s="4" t="s">
        <v>4</v>
      </c>
      <c r="NS54">
        <v>2</v>
      </c>
      <c r="NV54">
        <v>4</v>
      </c>
      <c r="OG54" t="s">
        <v>1675</v>
      </c>
      <c r="OH54" s="87" t="s">
        <v>2</v>
      </c>
      <c r="OI54">
        <v>2007</v>
      </c>
      <c r="OL54" t="s">
        <v>1674</v>
      </c>
      <c r="ON54" t="s">
        <v>1178</v>
      </c>
      <c r="OO54" s="58">
        <v>46105</v>
      </c>
    </row>
    <row r="55" spans="1:405" ht="15.75" thickBot="1">
      <c r="A55" t="s">
        <v>248</v>
      </c>
      <c r="B55" t="s">
        <v>1889</v>
      </c>
      <c r="C55" t="s">
        <v>34</v>
      </c>
      <c r="D55" s="100" t="s">
        <v>31</v>
      </c>
      <c r="E55" s="90" t="s">
        <v>1676</v>
      </c>
      <c r="F55" s="100" t="s">
        <v>31</v>
      </c>
      <c r="G55" s="87" t="s">
        <v>2</v>
      </c>
      <c r="H55" s="87" t="s">
        <v>30</v>
      </c>
      <c r="I55">
        <v>-0.41666666699999999</v>
      </c>
      <c r="J55">
        <v>34.200000000000003</v>
      </c>
      <c r="K55" s="87" t="s">
        <v>29</v>
      </c>
      <c r="AV55" t="s">
        <v>1679</v>
      </c>
      <c r="AW55">
        <v>40</v>
      </c>
      <c r="AX55" t="s">
        <v>234</v>
      </c>
      <c r="AY55">
        <v>1</v>
      </c>
      <c r="AZ55" t="s">
        <v>1685</v>
      </c>
      <c r="BA55">
        <v>2007</v>
      </c>
      <c r="BB55">
        <v>2008</v>
      </c>
      <c r="BD55" t="s">
        <v>238</v>
      </c>
      <c r="BE55" t="s">
        <v>1690</v>
      </c>
      <c r="BF55" t="s">
        <v>43</v>
      </c>
      <c r="BH55" t="s">
        <v>23</v>
      </c>
      <c r="BI55" t="s">
        <v>1680</v>
      </c>
      <c r="BJ55" s="87" t="s">
        <v>22</v>
      </c>
      <c r="BK55">
        <v>44444</v>
      </c>
      <c r="BL55" t="s">
        <v>56</v>
      </c>
      <c r="BM55" t="s">
        <v>1677</v>
      </c>
      <c r="BN55" t="s">
        <v>1678</v>
      </c>
      <c r="BO55" s="87" t="s">
        <v>22</v>
      </c>
      <c r="BP55">
        <v>44444</v>
      </c>
      <c r="BQ55" t="s">
        <v>56</v>
      </c>
      <c r="BR55" t="s">
        <v>1664</v>
      </c>
      <c r="BS55" t="s">
        <v>234</v>
      </c>
      <c r="BT55" t="s">
        <v>234</v>
      </c>
      <c r="BU55" t="s">
        <v>234</v>
      </c>
      <c r="IF55" t="s">
        <v>1668</v>
      </c>
      <c r="IG55" s="84" t="s">
        <v>1683</v>
      </c>
      <c r="IH55" t="s">
        <v>660</v>
      </c>
      <c r="II55" t="s">
        <v>661</v>
      </c>
      <c r="IJ55" t="s">
        <v>838</v>
      </c>
      <c r="IK55" t="s">
        <v>838</v>
      </c>
      <c r="IL55" s="87" t="s">
        <v>29</v>
      </c>
      <c r="JH55" t="s">
        <v>1681</v>
      </c>
      <c r="JI55" t="s">
        <v>15</v>
      </c>
      <c r="JJ55" t="s">
        <v>14</v>
      </c>
      <c r="JK55" s="8" t="s">
        <v>1682</v>
      </c>
      <c r="JN55" t="s">
        <v>13</v>
      </c>
      <c r="JO55">
        <v>40</v>
      </c>
      <c r="JP55">
        <v>50</v>
      </c>
      <c r="KD55" t="s">
        <v>12</v>
      </c>
      <c r="MR55" t="s">
        <v>1658</v>
      </c>
      <c r="MS55">
        <v>36</v>
      </c>
      <c r="NC55" t="s">
        <v>1696</v>
      </c>
      <c r="ND55" t="s">
        <v>1423</v>
      </c>
      <c r="NF55" t="s">
        <v>1426</v>
      </c>
      <c r="NG55" t="s">
        <v>265</v>
      </c>
      <c r="NP55" t="s">
        <v>6</v>
      </c>
      <c r="NQ55">
        <v>1148.7</v>
      </c>
      <c r="NR55" s="4" t="s">
        <v>4</v>
      </c>
      <c r="NS55">
        <v>6</v>
      </c>
      <c r="NV55">
        <v>4</v>
      </c>
      <c r="OG55" t="s">
        <v>1675</v>
      </c>
      <c r="OH55" s="87" t="s">
        <v>2</v>
      </c>
      <c r="OI55">
        <v>2007</v>
      </c>
      <c r="OL55" t="s">
        <v>1674</v>
      </c>
      <c r="ON55" t="s">
        <v>1178</v>
      </c>
      <c r="OO55" s="58">
        <v>46105</v>
      </c>
    </row>
    <row r="56" spans="1:405" ht="15.75" thickBot="1">
      <c r="A56" t="s">
        <v>248</v>
      </c>
      <c r="B56" t="s">
        <v>1889</v>
      </c>
      <c r="C56" t="s">
        <v>34</v>
      </c>
      <c r="D56" s="100" t="s">
        <v>31</v>
      </c>
      <c r="E56" s="90" t="s">
        <v>1676</v>
      </c>
      <c r="F56" s="100" t="s">
        <v>31</v>
      </c>
      <c r="G56" s="87" t="s">
        <v>2</v>
      </c>
      <c r="H56" s="87" t="s">
        <v>30</v>
      </c>
      <c r="I56">
        <v>-0.41666666699999999</v>
      </c>
      <c r="J56">
        <v>34.200000000000003</v>
      </c>
      <c r="K56" s="87" t="s">
        <v>29</v>
      </c>
      <c r="AV56" t="s">
        <v>1679</v>
      </c>
      <c r="AW56">
        <v>41</v>
      </c>
      <c r="AX56" t="s">
        <v>234</v>
      </c>
      <c r="AY56">
        <v>1</v>
      </c>
      <c r="AZ56" t="s">
        <v>1686</v>
      </c>
      <c r="BA56">
        <v>2007</v>
      </c>
      <c r="BB56">
        <v>2008</v>
      </c>
      <c r="BD56" t="s">
        <v>19</v>
      </c>
      <c r="BE56" t="s">
        <v>1657</v>
      </c>
      <c r="BF56" t="s">
        <v>39</v>
      </c>
      <c r="BH56" t="s">
        <v>23</v>
      </c>
      <c r="BI56" t="s">
        <v>1680</v>
      </c>
      <c r="BJ56" s="87" t="s">
        <v>22</v>
      </c>
      <c r="BK56">
        <v>44444</v>
      </c>
      <c r="IF56" t="s">
        <v>1657</v>
      </c>
      <c r="IG56" t="s">
        <v>19</v>
      </c>
      <c r="JH56" t="s">
        <v>1681</v>
      </c>
      <c r="JI56" t="s">
        <v>15</v>
      </c>
      <c r="JJ56" t="s">
        <v>14</v>
      </c>
      <c r="JK56" s="8" t="s">
        <v>1682</v>
      </c>
      <c r="JN56" t="s">
        <v>13</v>
      </c>
      <c r="JO56">
        <v>40</v>
      </c>
      <c r="JP56">
        <v>50</v>
      </c>
      <c r="KD56" t="s">
        <v>12</v>
      </c>
      <c r="MR56" t="s">
        <v>1658</v>
      </c>
      <c r="MS56">
        <v>36</v>
      </c>
      <c r="NC56" t="s">
        <v>1695</v>
      </c>
      <c r="ND56" t="s">
        <v>1423</v>
      </c>
      <c r="NF56" t="s">
        <v>1426</v>
      </c>
      <c r="NG56" t="s">
        <v>265</v>
      </c>
      <c r="NP56" t="s">
        <v>6</v>
      </c>
      <c r="NQ56">
        <v>843.7</v>
      </c>
      <c r="NR56" s="4" t="s">
        <v>4</v>
      </c>
      <c r="NS56">
        <v>4</v>
      </c>
      <c r="NV56">
        <v>4</v>
      </c>
      <c r="OG56" t="s">
        <v>1675</v>
      </c>
      <c r="OH56" s="87" t="s">
        <v>2</v>
      </c>
      <c r="OI56">
        <v>2008</v>
      </c>
      <c r="OL56" t="s">
        <v>1684</v>
      </c>
      <c r="ON56" t="s">
        <v>1178</v>
      </c>
      <c r="OO56" s="58">
        <v>46105</v>
      </c>
    </row>
    <row r="57" spans="1:405" ht="15.75" thickBot="1">
      <c r="A57" t="s">
        <v>248</v>
      </c>
      <c r="B57" t="s">
        <v>1889</v>
      </c>
      <c r="C57" t="s">
        <v>34</v>
      </c>
      <c r="D57" s="100" t="s">
        <v>31</v>
      </c>
      <c r="E57" s="90" t="s">
        <v>1676</v>
      </c>
      <c r="F57" s="100" t="s">
        <v>31</v>
      </c>
      <c r="G57" s="87" t="s">
        <v>2</v>
      </c>
      <c r="H57" s="87" t="s">
        <v>30</v>
      </c>
      <c r="I57">
        <v>-0.41666666699999999</v>
      </c>
      <c r="J57">
        <v>34.200000000000003</v>
      </c>
      <c r="K57" s="87" t="s">
        <v>29</v>
      </c>
      <c r="AV57" t="s">
        <v>1679</v>
      </c>
      <c r="AW57">
        <v>42</v>
      </c>
      <c r="AX57" t="s">
        <v>234</v>
      </c>
      <c r="AY57">
        <v>1</v>
      </c>
      <c r="AZ57" t="s">
        <v>1686</v>
      </c>
      <c r="BA57">
        <v>2007</v>
      </c>
      <c r="BB57">
        <v>2008</v>
      </c>
      <c r="BD57" t="s">
        <v>238</v>
      </c>
      <c r="BE57" t="s">
        <v>1661</v>
      </c>
      <c r="BF57" t="s">
        <v>64</v>
      </c>
      <c r="BH57" t="s">
        <v>23</v>
      </c>
      <c r="BI57" t="s">
        <v>1680</v>
      </c>
      <c r="BJ57" s="87" t="s">
        <v>22</v>
      </c>
      <c r="BK57">
        <v>44444</v>
      </c>
      <c r="BL57" t="s">
        <v>56</v>
      </c>
      <c r="BM57" t="s">
        <v>1677</v>
      </c>
      <c r="BN57" t="s">
        <v>1678</v>
      </c>
      <c r="BO57" s="87" t="s">
        <v>22</v>
      </c>
      <c r="BP57">
        <v>44444</v>
      </c>
      <c r="IF57" t="s">
        <v>1661</v>
      </c>
      <c r="IG57" s="84" t="s">
        <v>1453</v>
      </c>
      <c r="IH57" t="s">
        <v>660</v>
      </c>
      <c r="II57" t="s">
        <v>661</v>
      </c>
      <c r="IJ57" t="s">
        <v>838</v>
      </c>
      <c r="IK57" t="s">
        <v>838</v>
      </c>
      <c r="IL57" s="87" t="s">
        <v>29</v>
      </c>
      <c r="JH57" t="s">
        <v>1681</v>
      </c>
      <c r="JI57" t="s">
        <v>15</v>
      </c>
      <c r="JJ57" t="s">
        <v>14</v>
      </c>
      <c r="JK57" s="8" t="s">
        <v>1682</v>
      </c>
      <c r="JN57" t="s">
        <v>13</v>
      </c>
      <c r="JO57">
        <v>40</v>
      </c>
      <c r="JP57">
        <v>50</v>
      </c>
      <c r="KD57" t="s">
        <v>12</v>
      </c>
      <c r="MR57" t="s">
        <v>1658</v>
      </c>
      <c r="MS57">
        <v>36</v>
      </c>
      <c r="NC57" t="s">
        <v>1696</v>
      </c>
      <c r="ND57" t="s">
        <v>1423</v>
      </c>
      <c r="NF57" t="s">
        <v>1426</v>
      </c>
      <c r="NG57" t="s">
        <v>265</v>
      </c>
      <c r="NP57" t="s">
        <v>6</v>
      </c>
      <c r="NQ57">
        <v>945.3</v>
      </c>
      <c r="NR57" s="4" t="s">
        <v>4</v>
      </c>
      <c r="NS57">
        <v>14</v>
      </c>
      <c r="NV57">
        <v>4</v>
      </c>
      <c r="OG57" t="s">
        <v>1675</v>
      </c>
      <c r="OH57" s="87" t="s">
        <v>2</v>
      </c>
      <c r="OI57">
        <v>2008</v>
      </c>
      <c r="OL57" t="s">
        <v>1684</v>
      </c>
      <c r="ON57" t="s">
        <v>1178</v>
      </c>
      <c r="OO57" s="58">
        <v>46105</v>
      </c>
    </row>
    <row r="58" spans="1:405" ht="15.75" thickBot="1">
      <c r="A58" t="s">
        <v>248</v>
      </c>
      <c r="B58" t="s">
        <v>1889</v>
      </c>
      <c r="C58" t="s">
        <v>34</v>
      </c>
      <c r="D58" s="100" t="s">
        <v>31</v>
      </c>
      <c r="E58" s="90" t="s">
        <v>1676</v>
      </c>
      <c r="F58" s="100" t="s">
        <v>31</v>
      </c>
      <c r="G58" s="87" t="s">
        <v>2</v>
      </c>
      <c r="H58" s="87" t="s">
        <v>30</v>
      </c>
      <c r="I58">
        <v>-0.41666666699999999</v>
      </c>
      <c r="J58">
        <v>34.200000000000003</v>
      </c>
      <c r="K58" s="87" t="s">
        <v>29</v>
      </c>
      <c r="AV58" t="s">
        <v>1679</v>
      </c>
      <c r="AW58">
        <v>43</v>
      </c>
      <c r="AX58" t="s">
        <v>234</v>
      </c>
      <c r="AY58">
        <v>1</v>
      </c>
      <c r="AZ58" t="s">
        <v>1686</v>
      </c>
      <c r="BA58">
        <v>2007</v>
      </c>
      <c r="BB58">
        <v>2008</v>
      </c>
      <c r="BD58" t="s">
        <v>238</v>
      </c>
      <c r="BE58" t="s">
        <v>1663</v>
      </c>
      <c r="BF58" t="s">
        <v>57</v>
      </c>
      <c r="BH58" t="s">
        <v>23</v>
      </c>
      <c r="BI58" t="s">
        <v>1680</v>
      </c>
      <c r="BJ58" s="87" t="s">
        <v>22</v>
      </c>
      <c r="BK58">
        <v>44444</v>
      </c>
      <c r="BL58" t="s">
        <v>56</v>
      </c>
      <c r="BM58" t="s">
        <v>1664</v>
      </c>
      <c r="BN58" t="s">
        <v>234</v>
      </c>
      <c r="BO58" t="s">
        <v>234</v>
      </c>
      <c r="BP58" t="s">
        <v>234</v>
      </c>
      <c r="IF58" t="s">
        <v>1663</v>
      </c>
      <c r="IG58" s="84" t="s">
        <v>1683</v>
      </c>
      <c r="IH58" t="s">
        <v>660</v>
      </c>
      <c r="II58" t="s">
        <v>661</v>
      </c>
      <c r="IJ58" t="s">
        <v>838</v>
      </c>
      <c r="IK58" t="s">
        <v>838</v>
      </c>
      <c r="IL58" s="87" t="s">
        <v>29</v>
      </c>
      <c r="JH58" t="s">
        <v>1681</v>
      </c>
      <c r="JI58" t="s">
        <v>15</v>
      </c>
      <c r="JJ58" t="s">
        <v>14</v>
      </c>
      <c r="JK58" s="8" t="s">
        <v>1682</v>
      </c>
      <c r="JN58" t="s">
        <v>13</v>
      </c>
      <c r="JO58">
        <v>40</v>
      </c>
      <c r="JP58">
        <v>50</v>
      </c>
      <c r="KD58" t="s">
        <v>12</v>
      </c>
      <c r="MR58" t="s">
        <v>1658</v>
      </c>
      <c r="MS58">
        <v>36</v>
      </c>
      <c r="NC58" t="s">
        <v>1696</v>
      </c>
      <c r="ND58" t="s">
        <v>1423</v>
      </c>
      <c r="NF58" t="s">
        <v>1426</v>
      </c>
      <c r="NG58" t="s">
        <v>265</v>
      </c>
      <c r="NP58" t="s">
        <v>6</v>
      </c>
      <c r="NQ58">
        <v>1026.9000000000001</v>
      </c>
      <c r="NR58" s="4" t="s">
        <v>4</v>
      </c>
      <c r="NS58">
        <v>6</v>
      </c>
      <c r="NV58">
        <v>4</v>
      </c>
      <c r="OG58" t="s">
        <v>1675</v>
      </c>
      <c r="OH58" s="87" t="s">
        <v>2</v>
      </c>
      <c r="OI58">
        <v>2008</v>
      </c>
      <c r="OL58" t="s">
        <v>1684</v>
      </c>
      <c r="ON58" t="s">
        <v>1178</v>
      </c>
      <c r="OO58" s="58">
        <v>46105</v>
      </c>
    </row>
    <row r="59" spans="1:405" ht="15.75" thickBot="1">
      <c r="A59" t="s">
        <v>248</v>
      </c>
      <c r="B59" t="s">
        <v>1889</v>
      </c>
      <c r="C59" t="s">
        <v>34</v>
      </c>
      <c r="D59" s="100" t="s">
        <v>31</v>
      </c>
      <c r="E59" s="90" t="s">
        <v>1676</v>
      </c>
      <c r="F59" s="100" t="s">
        <v>31</v>
      </c>
      <c r="G59" s="87" t="s">
        <v>2</v>
      </c>
      <c r="H59" s="87" t="s">
        <v>30</v>
      </c>
      <c r="I59">
        <v>-0.41666666699999999</v>
      </c>
      <c r="J59">
        <v>34.200000000000003</v>
      </c>
      <c r="K59" s="87" t="s">
        <v>29</v>
      </c>
      <c r="AV59" t="s">
        <v>1679</v>
      </c>
      <c r="AW59">
        <v>44</v>
      </c>
      <c r="AX59" t="s">
        <v>234</v>
      </c>
      <c r="AY59">
        <v>1</v>
      </c>
      <c r="AZ59" t="s">
        <v>1686</v>
      </c>
      <c r="BA59">
        <v>2007</v>
      </c>
      <c r="BB59">
        <v>2008</v>
      </c>
      <c r="BD59" t="s">
        <v>238</v>
      </c>
      <c r="BE59" t="s">
        <v>1666</v>
      </c>
      <c r="BF59" t="s">
        <v>48</v>
      </c>
      <c r="BH59" t="s">
        <v>23</v>
      </c>
      <c r="BI59" t="s">
        <v>1680</v>
      </c>
      <c r="BJ59" s="87" t="s">
        <v>22</v>
      </c>
      <c r="BK59">
        <v>44444</v>
      </c>
      <c r="BL59" t="s">
        <v>56</v>
      </c>
      <c r="BM59" t="s">
        <v>1677</v>
      </c>
      <c r="BN59" t="s">
        <v>1678</v>
      </c>
      <c r="BO59" s="87" t="s">
        <v>22</v>
      </c>
      <c r="BP59">
        <v>44444</v>
      </c>
      <c r="BQ59" t="s">
        <v>56</v>
      </c>
      <c r="BR59" t="s">
        <v>1664</v>
      </c>
      <c r="BS59" t="s">
        <v>234</v>
      </c>
      <c r="BT59" t="s">
        <v>234</v>
      </c>
      <c r="BU59" t="s">
        <v>234</v>
      </c>
      <c r="IF59" t="s">
        <v>1666</v>
      </c>
      <c r="IG59" s="84" t="s">
        <v>1683</v>
      </c>
      <c r="IH59" t="s">
        <v>660</v>
      </c>
      <c r="II59" t="s">
        <v>661</v>
      </c>
      <c r="IJ59" t="s">
        <v>838</v>
      </c>
      <c r="IK59" t="s">
        <v>838</v>
      </c>
      <c r="IL59" s="87" t="s">
        <v>29</v>
      </c>
      <c r="JH59" t="s">
        <v>1681</v>
      </c>
      <c r="JI59" t="s">
        <v>15</v>
      </c>
      <c r="JJ59" t="s">
        <v>14</v>
      </c>
      <c r="JK59" s="8" t="s">
        <v>1682</v>
      </c>
      <c r="JN59" t="s">
        <v>13</v>
      </c>
      <c r="JO59">
        <v>40</v>
      </c>
      <c r="JP59">
        <v>50</v>
      </c>
      <c r="KD59" t="s">
        <v>12</v>
      </c>
      <c r="MR59" t="s">
        <v>1658</v>
      </c>
      <c r="MS59">
        <v>36</v>
      </c>
      <c r="NC59" t="s">
        <v>1696</v>
      </c>
      <c r="ND59" t="s">
        <v>1423</v>
      </c>
      <c r="NF59" t="s">
        <v>1426</v>
      </c>
      <c r="NG59" t="s">
        <v>265</v>
      </c>
      <c r="NP59" t="s">
        <v>6</v>
      </c>
      <c r="NQ59">
        <v>1100.8</v>
      </c>
      <c r="NR59" s="4" t="s">
        <v>4</v>
      </c>
      <c r="NS59">
        <v>6</v>
      </c>
      <c r="NV59">
        <v>4</v>
      </c>
      <c r="OG59" t="s">
        <v>1675</v>
      </c>
      <c r="OH59" s="87" t="s">
        <v>2</v>
      </c>
      <c r="OI59">
        <v>2008</v>
      </c>
      <c r="OL59" t="s">
        <v>1684</v>
      </c>
      <c r="ON59" t="s">
        <v>1178</v>
      </c>
      <c r="OO59" s="58">
        <v>46105</v>
      </c>
    </row>
    <row r="60" spans="1:405" ht="15.75" thickBot="1">
      <c r="A60" t="s">
        <v>248</v>
      </c>
      <c r="B60" t="s">
        <v>1889</v>
      </c>
      <c r="C60" t="s">
        <v>34</v>
      </c>
      <c r="D60" s="100" t="s">
        <v>31</v>
      </c>
      <c r="E60" s="90" t="s">
        <v>1676</v>
      </c>
      <c r="F60" s="100" t="s">
        <v>31</v>
      </c>
      <c r="G60" s="87" t="s">
        <v>2</v>
      </c>
      <c r="H60" s="87" t="s">
        <v>30</v>
      </c>
      <c r="I60">
        <v>-0.41666666699999999</v>
      </c>
      <c r="J60">
        <v>34.200000000000003</v>
      </c>
      <c r="K60" s="87" t="s">
        <v>29</v>
      </c>
      <c r="AV60" t="s">
        <v>1679</v>
      </c>
      <c r="AW60">
        <v>45</v>
      </c>
      <c r="AX60" t="s">
        <v>234</v>
      </c>
      <c r="AY60">
        <v>1</v>
      </c>
      <c r="AZ60" t="s">
        <v>1686</v>
      </c>
      <c r="BA60">
        <v>2007</v>
      </c>
      <c r="BB60">
        <v>2008</v>
      </c>
      <c r="BD60" t="s">
        <v>238</v>
      </c>
      <c r="BE60" t="s">
        <v>1668</v>
      </c>
      <c r="BF60" t="s">
        <v>43</v>
      </c>
      <c r="BH60" t="s">
        <v>23</v>
      </c>
      <c r="BI60" t="s">
        <v>1680</v>
      </c>
      <c r="BJ60" s="87" t="s">
        <v>22</v>
      </c>
      <c r="BK60">
        <v>44444</v>
      </c>
      <c r="BL60" t="s">
        <v>56</v>
      </c>
      <c r="BM60" t="s">
        <v>1677</v>
      </c>
      <c r="BN60" t="s">
        <v>1678</v>
      </c>
      <c r="BO60" s="87" t="s">
        <v>22</v>
      </c>
      <c r="BP60">
        <v>44444</v>
      </c>
      <c r="BQ60" t="s">
        <v>56</v>
      </c>
      <c r="BR60" t="s">
        <v>1664</v>
      </c>
      <c r="BS60" t="s">
        <v>234</v>
      </c>
      <c r="BT60" t="s">
        <v>234</v>
      </c>
      <c r="BU60" t="s">
        <v>234</v>
      </c>
      <c r="IF60" t="s">
        <v>1668</v>
      </c>
      <c r="IG60" s="84" t="s">
        <v>1683</v>
      </c>
      <c r="IH60" t="s">
        <v>660</v>
      </c>
      <c r="II60" t="s">
        <v>661</v>
      </c>
      <c r="IJ60" t="s">
        <v>838</v>
      </c>
      <c r="IK60" t="s">
        <v>838</v>
      </c>
      <c r="IL60" s="87" t="s">
        <v>29</v>
      </c>
      <c r="JH60" t="s">
        <v>1681</v>
      </c>
      <c r="JI60" t="s">
        <v>15</v>
      </c>
      <c r="JJ60" t="s">
        <v>14</v>
      </c>
      <c r="JK60" s="8" t="s">
        <v>1682</v>
      </c>
      <c r="JN60" t="s">
        <v>13</v>
      </c>
      <c r="JO60">
        <v>40</v>
      </c>
      <c r="JP60">
        <v>50</v>
      </c>
      <c r="KD60" t="s">
        <v>12</v>
      </c>
      <c r="MR60" t="s">
        <v>1658</v>
      </c>
      <c r="MS60">
        <v>36</v>
      </c>
      <c r="NC60" t="s">
        <v>1696</v>
      </c>
      <c r="ND60" t="s">
        <v>1423</v>
      </c>
      <c r="NF60" t="s">
        <v>1426</v>
      </c>
      <c r="NG60" t="s">
        <v>265</v>
      </c>
      <c r="NP60" t="s">
        <v>6</v>
      </c>
      <c r="NQ60">
        <v>1161.8</v>
      </c>
      <c r="NR60" s="4" t="s">
        <v>4</v>
      </c>
      <c r="NS60">
        <v>5</v>
      </c>
      <c r="NV60">
        <v>4</v>
      </c>
      <c r="OG60" t="s">
        <v>1675</v>
      </c>
      <c r="OH60" s="87" t="s">
        <v>2</v>
      </c>
      <c r="OI60">
        <v>2008</v>
      </c>
      <c r="OL60" t="s">
        <v>1684</v>
      </c>
      <c r="ON60" t="s">
        <v>1178</v>
      </c>
      <c r="OO60" s="58">
        <v>46105</v>
      </c>
    </row>
    <row r="61" spans="1:405" ht="15.75" thickBot="1">
      <c r="A61" t="s">
        <v>248</v>
      </c>
      <c r="B61" t="s">
        <v>1889</v>
      </c>
      <c r="C61" t="s">
        <v>34</v>
      </c>
      <c r="D61" s="100" t="s">
        <v>31</v>
      </c>
      <c r="E61" s="90" t="s">
        <v>1676</v>
      </c>
      <c r="F61" s="100" t="s">
        <v>31</v>
      </c>
      <c r="G61" s="87" t="s">
        <v>2</v>
      </c>
      <c r="H61" s="87" t="s">
        <v>30</v>
      </c>
      <c r="I61">
        <v>-0.41666666699999999</v>
      </c>
      <c r="J61">
        <v>34.200000000000003</v>
      </c>
      <c r="K61" s="87" t="s">
        <v>29</v>
      </c>
      <c r="AV61" t="s">
        <v>1679</v>
      </c>
      <c r="AW61">
        <v>46</v>
      </c>
      <c r="AX61" t="s">
        <v>234</v>
      </c>
      <c r="AY61">
        <v>1</v>
      </c>
      <c r="AZ61" t="s">
        <v>1687</v>
      </c>
      <c r="BA61">
        <v>2007</v>
      </c>
      <c r="BB61">
        <v>2008</v>
      </c>
      <c r="BD61" t="s">
        <v>19</v>
      </c>
      <c r="BE61" t="s">
        <v>1669</v>
      </c>
      <c r="BF61" t="s">
        <v>24</v>
      </c>
      <c r="BH61" t="s">
        <v>23</v>
      </c>
      <c r="BI61" t="s">
        <v>1680</v>
      </c>
      <c r="BJ61" s="87" t="s">
        <v>22</v>
      </c>
      <c r="BK61">
        <v>44444</v>
      </c>
      <c r="IF61" t="s">
        <v>1669</v>
      </c>
      <c r="IG61" t="s">
        <v>19</v>
      </c>
      <c r="JH61" t="s">
        <v>1681</v>
      </c>
      <c r="JI61" t="s">
        <v>15</v>
      </c>
      <c r="JJ61" t="s">
        <v>14</v>
      </c>
      <c r="JK61" s="8" t="s">
        <v>1682</v>
      </c>
      <c r="JN61" t="s">
        <v>13</v>
      </c>
      <c r="JO61">
        <v>40</v>
      </c>
      <c r="JP61">
        <v>50</v>
      </c>
      <c r="KD61" t="s">
        <v>12</v>
      </c>
      <c r="MR61" t="s">
        <v>1658</v>
      </c>
      <c r="MS61">
        <v>36</v>
      </c>
      <c r="NC61" t="s">
        <v>1695</v>
      </c>
      <c r="ND61" t="s">
        <v>1423</v>
      </c>
      <c r="NF61" t="s">
        <v>1426</v>
      </c>
      <c r="NG61" t="s">
        <v>265</v>
      </c>
      <c r="NP61" t="s">
        <v>6</v>
      </c>
      <c r="NQ61">
        <v>756</v>
      </c>
      <c r="NR61" s="4" t="s">
        <v>4</v>
      </c>
      <c r="NS61">
        <v>7</v>
      </c>
      <c r="NV61">
        <v>4</v>
      </c>
      <c r="OG61" t="s">
        <v>1701</v>
      </c>
      <c r="OH61" s="87" t="s">
        <v>2</v>
      </c>
      <c r="OI61">
        <v>2007</v>
      </c>
      <c r="OL61" t="s">
        <v>1684</v>
      </c>
      <c r="ON61" t="s">
        <v>1178</v>
      </c>
      <c r="OO61" s="58">
        <v>46105</v>
      </c>
    </row>
    <row r="62" spans="1:405" ht="15.75" thickBot="1">
      <c r="A62" t="s">
        <v>248</v>
      </c>
      <c r="B62" t="s">
        <v>1889</v>
      </c>
      <c r="C62" t="s">
        <v>34</v>
      </c>
      <c r="D62" s="100" t="s">
        <v>31</v>
      </c>
      <c r="E62" s="90" t="s">
        <v>1676</v>
      </c>
      <c r="F62" s="100" t="s">
        <v>31</v>
      </c>
      <c r="G62" s="87" t="s">
        <v>2</v>
      </c>
      <c r="H62" s="87" t="s">
        <v>30</v>
      </c>
      <c r="I62">
        <v>-0.41666666699999999</v>
      </c>
      <c r="J62">
        <v>34.200000000000003</v>
      </c>
      <c r="K62" s="87" t="s">
        <v>29</v>
      </c>
      <c r="AV62" t="s">
        <v>1679</v>
      </c>
      <c r="AW62">
        <v>47</v>
      </c>
      <c r="AX62" t="s">
        <v>234</v>
      </c>
      <c r="AY62">
        <v>1</v>
      </c>
      <c r="AZ62" t="s">
        <v>1687</v>
      </c>
      <c r="BA62">
        <v>2007</v>
      </c>
      <c r="BB62">
        <v>2008</v>
      </c>
      <c r="BD62" t="s">
        <v>238</v>
      </c>
      <c r="BE62" t="s">
        <v>1670</v>
      </c>
      <c r="BF62" t="s">
        <v>252</v>
      </c>
      <c r="BH62" t="s">
        <v>23</v>
      </c>
      <c r="BI62" t="s">
        <v>1680</v>
      </c>
      <c r="BJ62" s="87" t="s">
        <v>22</v>
      </c>
      <c r="BK62">
        <v>44444</v>
      </c>
      <c r="BL62" t="s">
        <v>56</v>
      </c>
      <c r="BM62" t="s">
        <v>1677</v>
      </c>
      <c r="BN62" t="s">
        <v>1678</v>
      </c>
      <c r="BO62" s="87" t="s">
        <v>22</v>
      </c>
      <c r="BP62">
        <v>44444</v>
      </c>
      <c r="IF62" t="s">
        <v>1670</v>
      </c>
      <c r="IG62" s="84" t="s">
        <v>1453</v>
      </c>
      <c r="IH62" t="s">
        <v>660</v>
      </c>
      <c r="II62" t="s">
        <v>661</v>
      </c>
      <c r="IJ62" t="s">
        <v>838</v>
      </c>
      <c r="IK62" t="s">
        <v>838</v>
      </c>
      <c r="IL62" s="87" t="s">
        <v>29</v>
      </c>
      <c r="JH62" t="s">
        <v>1681</v>
      </c>
      <c r="JI62" t="s">
        <v>15</v>
      </c>
      <c r="JJ62" t="s">
        <v>14</v>
      </c>
      <c r="JK62" s="8" t="s">
        <v>1682</v>
      </c>
      <c r="JN62" t="s">
        <v>13</v>
      </c>
      <c r="JO62">
        <v>40</v>
      </c>
      <c r="JP62">
        <v>50</v>
      </c>
      <c r="KD62" t="s">
        <v>12</v>
      </c>
      <c r="MR62" t="s">
        <v>1658</v>
      </c>
      <c r="MS62">
        <v>36</v>
      </c>
      <c r="NC62" t="s">
        <v>1696</v>
      </c>
      <c r="ND62" t="s">
        <v>1423</v>
      </c>
      <c r="NF62" t="s">
        <v>1426</v>
      </c>
      <c r="NG62" t="s">
        <v>265</v>
      </c>
      <c r="NP62" t="s">
        <v>6</v>
      </c>
      <c r="NQ62">
        <v>923.7</v>
      </c>
      <c r="NR62" s="4" t="s">
        <v>4</v>
      </c>
      <c r="NS62">
        <v>7</v>
      </c>
      <c r="NV62">
        <v>4</v>
      </c>
      <c r="OG62" t="s">
        <v>1701</v>
      </c>
      <c r="OH62" s="87" t="s">
        <v>2</v>
      </c>
      <c r="OI62">
        <v>2007</v>
      </c>
      <c r="OL62" t="s">
        <v>1684</v>
      </c>
      <c r="ON62" t="s">
        <v>1178</v>
      </c>
      <c r="OO62" s="58">
        <v>46105</v>
      </c>
    </row>
    <row r="63" spans="1:405" ht="15.75" thickBot="1">
      <c r="A63" t="s">
        <v>248</v>
      </c>
      <c r="B63" t="s">
        <v>1889</v>
      </c>
      <c r="C63" t="s">
        <v>34</v>
      </c>
      <c r="D63" s="100" t="s">
        <v>31</v>
      </c>
      <c r="E63" s="90" t="s">
        <v>1676</v>
      </c>
      <c r="F63" s="100" t="s">
        <v>31</v>
      </c>
      <c r="G63" s="87" t="s">
        <v>2</v>
      </c>
      <c r="H63" s="87" t="s">
        <v>30</v>
      </c>
      <c r="I63">
        <v>-0.41666666699999999</v>
      </c>
      <c r="J63">
        <v>34.200000000000003</v>
      </c>
      <c r="K63" s="87" t="s">
        <v>29</v>
      </c>
      <c r="AV63" t="s">
        <v>1679</v>
      </c>
      <c r="AW63">
        <v>48</v>
      </c>
      <c r="AX63" t="s">
        <v>234</v>
      </c>
      <c r="AY63">
        <v>1</v>
      </c>
      <c r="AZ63" t="s">
        <v>1687</v>
      </c>
      <c r="BA63">
        <v>2007</v>
      </c>
      <c r="BB63">
        <v>2008</v>
      </c>
      <c r="BD63" t="s">
        <v>238</v>
      </c>
      <c r="BE63" t="s">
        <v>1671</v>
      </c>
      <c r="BF63" t="s">
        <v>236</v>
      </c>
      <c r="BH63" t="s">
        <v>23</v>
      </c>
      <c r="BI63" t="s">
        <v>1680</v>
      </c>
      <c r="BJ63" s="87" t="s">
        <v>22</v>
      </c>
      <c r="BK63">
        <v>44444</v>
      </c>
      <c r="BL63" t="s">
        <v>56</v>
      </c>
      <c r="BM63" t="s">
        <v>1664</v>
      </c>
      <c r="BN63" t="s">
        <v>234</v>
      </c>
      <c r="BO63" t="s">
        <v>234</v>
      </c>
      <c r="BP63" t="s">
        <v>234</v>
      </c>
      <c r="IF63" t="s">
        <v>1671</v>
      </c>
      <c r="IG63" s="84" t="s">
        <v>1683</v>
      </c>
      <c r="IH63" t="s">
        <v>660</v>
      </c>
      <c r="II63" t="s">
        <v>661</v>
      </c>
      <c r="IJ63" t="s">
        <v>838</v>
      </c>
      <c r="IK63" t="s">
        <v>838</v>
      </c>
      <c r="IL63" s="87" t="s">
        <v>29</v>
      </c>
      <c r="JH63" t="s">
        <v>1681</v>
      </c>
      <c r="JI63" t="s">
        <v>15</v>
      </c>
      <c r="JJ63" t="s">
        <v>14</v>
      </c>
      <c r="JK63" s="8" t="s">
        <v>1682</v>
      </c>
      <c r="JN63" t="s">
        <v>13</v>
      </c>
      <c r="JO63">
        <v>40</v>
      </c>
      <c r="JP63">
        <v>50</v>
      </c>
      <c r="KD63" t="s">
        <v>12</v>
      </c>
      <c r="MR63" t="s">
        <v>1658</v>
      </c>
      <c r="MS63">
        <v>36</v>
      </c>
      <c r="NC63" t="s">
        <v>1696</v>
      </c>
      <c r="ND63" t="s">
        <v>1423</v>
      </c>
      <c r="NF63" t="s">
        <v>1426</v>
      </c>
      <c r="NG63" t="s">
        <v>265</v>
      </c>
      <c r="NP63" t="s">
        <v>6</v>
      </c>
      <c r="NQ63">
        <v>1024</v>
      </c>
      <c r="NR63" s="4" t="s">
        <v>4</v>
      </c>
      <c r="NS63">
        <v>7</v>
      </c>
      <c r="NV63">
        <v>4</v>
      </c>
      <c r="OG63" t="s">
        <v>1701</v>
      </c>
      <c r="OH63" s="87" t="s">
        <v>2</v>
      </c>
      <c r="OI63">
        <v>2007</v>
      </c>
      <c r="OL63" t="s">
        <v>1684</v>
      </c>
      <c r="ON63" t="s">
        <v>1178</v>
      </c>
      <c r="OO63" s="58">
        <v>46105</v>
      </c>
    </row>
    <row r="64" spans="1:405" ht="15.75" thickBot="1">
      <c r="A64" t="s">
        <v>248</v>
      </c>
      <c r="B64" t="s">
        <v>1889</v>
      </c>
      <c r="C64" t="s">
        <v>34</v>
      </c>
      <c r="D64" s="100" t="s">
        <v>31</v>
      </c>
      <c r="E64" s="90" t="s">
        <v>1676</v>
      </c>
      <c r="F64" s="100" t="s">
        <v>31</v>
      </c>
      <c r="G64" s="87" t="s">
        <v>2</v>
      </c>
      <c r="H64" s="87" t="s">
        <v>30</v>
      </c>
      <c r="I64">
        <v>-0.41666666699999999</v>
      </c>
      <c r="J64">
        <v>34.200000000000003</v>
      </c>
      <c r="K64" s="87" t="s">
        <v>29</v>
      </c>
      <c r="AV64" t="s">
        <v>1679</v>
      </c>
      <c r="AW64">
        <v>49</v>
      </c>
      <c r="AX64" t="s">
        <v>234</v>
      </c>
      <c r="AY64">
        <v>1</v>
      </c>
      <c r="AZ64" t="s">
        <v>1687</v>
      </c>
      <c r="BA64">
        <v>2007</v>
      </c>
      <c r="BB64">
        <v>2008</v>
      </c>
      <c r="BD64" t="s">
        <v>238</v>
      </c>
      <c r="BE64" t="s">
        <v>1672</v>
      </c>
      <c r="BF64" t="s">
        <v>284</v>
      </c>
      <c r="BH64" t="s">
        <v>23</v>
      </c>
      <c r="BI64" t="s">
        <v>1680</v>
      </c>
      <c r="BJ64" s="87" t="s">
        <v>22</v>
      </c>
      <c r="BK64">
        <v>44444</v>
      </c>
      <c r="BL64" t="s">
        <v>56</v>
      </c>
      <c r="BM64" t="s">
        <v>1677</v>
      </c>
      <c r="BN64" t="s">
        <v>1678</v>
      </c>
      <c r="BO64" s="87" t="s">
        <v>22</v>
      </c>
      <c r="BP64">
        <v>44444</v>
      </c>
      <c r="BQ64" t="s">
        <v>56</v>
      </c>
      <c r="BR64" t="s">
        <v>1664</v>
      </c>
      <c r="BS64" t="s">
        <v>234</v>
      </c>
      <c r="BT64" t="s">
        <v>234</v>
      </c>
      <c r="BU64" t="s">
        <v>234</v>
      </c>
      <c r="IF64" t="s">
        <v>1672</v>
      </c>
      <c r="IG64" s="84" t="s">
        <v>1683</v>
      </c>
      <c r="IH64" t="s">
        <v>660</v>
      </c>
      <c r="II64" t="s">
        <v>661</v>
      </c>
      <c r="IJ64" t="s">
        <v>838</v>
      </c>
      <c r="IK64" t="s">
        <v>838</v>
      </c>
      <c r="IL64" s="87" t="s">
        <v>29</v>
      </c>
      <c r="JH64" t="s">
        <v>1681</v>
      </c>
      <c r="JI64" t="s">
        <v>15</v>
      </c>
      <c r="JJ64" t="s">
        <v>14</v>
      </c>
      <c r="JK64" s="8" t="s">
        <v>1682</v>
      </c>
      <c r="JN64" t="s">
        <v>13</v>
      </c>
      <c r="JO64">
        <v>40</v>
      </c>
      <c r="JP64">
        <v>50</v>
      </c>
      <c r="KD64" t="s">
        <v>12</v>
      </c>
      <c r="MR64" t="s">
        <v>1658</v>
      </c>
      <c r="MS64">
        <v>36</v>
      </c>
      <c r="NC64" t="s">
        <v>1696</v>
      </c>
      <c r="ND64" t="s">
        <v>1423</v>
      </c>
      <c r="NF64" t="s">
        <v>1426</v>
      </c>
      <c r="NG64" t="s">
        <v>265</v>
      </c>
      <c r="NP64" t="s">
        <v>6</v>
      </c>
      <c r="NQ64">
        <v>1101.3</v>
      </c>
      <c r="NR64" s="4" t="s">
        <v>4</v>
      </c>
      <c r="NS64">
        <v>9</v>
      </c>
      <c r="NV64">
        <v>4</v>
      </c>
      <c r="OG64" t="s">
        <v>1701</v>
      </c>
      <c r="OH64" s="87" t="s">
        <v>2</v>
      </c>
      <c r="OI64">
        <v>2007</v>
      </c>
      <c r="OL64" t="s">
        <v>1684</v>
      </c>
      <c r="ON64" t="s">
        <v>1178</v>
      </c>
      <c r="OO64" s="58">
        <v>46105</v>
      </c>
    </row>
    <row r="65" spans="1:405" ht="15.75" thickBot="1">
      <c r="A65" t="s">
        <v>248</v>
      </c>
      <c r="B65" t="s">
        <v>1889</v>
      </c>
      <c r="C65" t="s">
        <v>34</v>
      </c>
      <c r="D65" s="100" t="s">
        <v>31</v>
      </c>
      <c r="E65" s="90" t="s">
        <v>1676</v>
      </c>
      <c r="F65" s="100" t="s">
        <v>31</v>
      </c>
      <c r="G65" s="87" t="s">
        <v>2</v>
      </c>
      <c r="H65" s="87" t="s">
        <v>30</v>
      </c>
      <c r="I65">
        <v>-0.41666666699999999</v>
      </c>
      <c r="J65">
        <v>34.200000000000003</v>
      </c>
      <c r="K65" s="87" t="s">
        <v>29</v>
      </c>
      <c r="AV65" t="s">
        <v>1679</v>
      </c>
      <c r="AW65">
        <v>50</v>
      </c>
      <c r="AX65" t="s">
        <v>234</v>
      </c>
      <c r="AY65">
        <v>1</v>
      </c>
      <c r="AZ65" t="s">
        <v>1687</v>
      </c>
      <c r="BA65">
        <v>2007</v>
      </c>
      <c r="BB65">
        <v>2008</v>
      </c>
      <c r="BD65" t="s">
        <v>238</v>
      </c>
      <c r="BE65" t="s">
        <v>1673</v>
      </c>
      <c r="BF65" t="s">
        <v>277</v>
      </c>
      <c r="BH65" t="s">
        <v>23</v>
      </c>
      <c r="BI65" t="s">
        <v>1680</v>
      </c>
      <c r="BJ65" s="87" t="s">
        <v>22</v>
      </c>
      <c r="BK65">
        <v>44444</v>
      </c>
      <c r="BL65" t="s">
        <v>56</v>
      </c>
      <c r="BM65" t="s">
        <v>1677</v>
      </c>
      <c r="BN65" t="s">
        <v>1678</v>
      </c>
      <c r="BO65" s="87" t="s">
        <v>22</v>
      </c>
      <c r="BP65">
        <v>44444</v>
      </c>
      <c r="BQ65" t="s">
        <v>56</v>
      </c>
      <c r="BR65" t="s">
        <v>1664</v>
      </c>
      <c r="BS65" t="s">
        <v>234</v>
      </c>
      <c r="BT65" t="s">
        <v>234</v>
      </c>
      <c r="BU65" t="s">
        <v>234</v>
      </c>
      <c r="IF65" t="s">
        <v>1673</v>
      </c>
      <c r="IG65" s="84" t="s">
        <v>1683</v>
      </c>
      <c r="IH65" t="s">
        <v>660</v>
      </c>
      <c r="II65" t="s">
        <v>661</v>
      </c>
      <c r="IJ65" t="s">
        <v>838</v>
      </c>
      <c r="IK65" t="s">
        <v>838</v>
      </c>
      <c r="IL65" s="87" t="s">
        <v>29</v>
      </c>
      <c r="JH65" t="s">
        <v>1681</v>
      </c>
      <c r="JI65" t="s">
        <v>15</v>
      </c>
      <c r="JJ65" t="s">
        <v>14</v>
      </c>
      <c r="JK65" s="8" t="s">
        <v>1682</v>
      </c>
      <c r="JN65" t="s">
        <v>13</v>
      </c>
      <c r="JO65">
        <v>40</v>
      </c>
      <c r="JP65">
        <v>50</v>
      </c>
      <c r="KD65" t="s">
        <v>12</v>
      </c>
      <c r="MR65" t="s">
        <v>1658</v>
      </c>
      <c r="MS65">
        <v>36</v>
      </c>
      <c r="NC65" t="s">
        <v>1696</v>
      </c>
      <c r="ND65" t="s">
        <v>1423</v>
      </c>
      <c r="NF65" t="s">
        <v>1426</v>
      </c>
      <c r="NG65" t="s">
        <v>265</v>
      </c>
      <c r="NP65" t="s">
        <v>6</v>
      </c>
      <c r="NQ65">
        <v>1156.5</v>
      </c>
      <c r="NR65" s="4" t="s">
        <v>4</v>
      </c>
      <c r="NS65">
        <v>6</v>
      </c>
      <c r="NV65">
        <v>4</v>
      </c>
      <c r="OG65" t="s">
        <v>1701</v>
      </c>
      <c r="OH65" s="87" t="s">
        <v>2</v>
      </c>
      <c r="OI65">
        <v>2007</v>
      </c>
      <c r="OL65" t="s">
        <v>1684</v>
      </c>
      <c r="ON65" t="s">
        <v>1178</v>
      </c>
      <c r="OO65" s="58">
        <v>46105</v>
      </c>
    </row>
    <row r="66" spans="1:405" ht="15.75" thickBot="1">
      <c r="A66" t="s">
        <v>248</v>
      </c>
      <c r="B66" t="s">
        <v>1889</v>
      </c>
      <c r="C66" t="s">
        <v>34</v>
      </c>
      <c r="D66" s="100" t="s">
        <v>31</v>
      </c>
      <c r="E66" s="90" t="s">
        <v>1676</v>
      </c>
      <c r="F66" s="100" t="s">
        <v>31</v>
      </c>
      <c r="G66" s="87" t="s">
        <v>2</v>
      </c>
      <c r="H66" s="87" t="s">
        <v>30</v>
      </c>
      <c r="I66">
        <v>-0.41666666699999999</v>
      </c>
      <c r="J66">
        <v>34.200000000000003</v>
      </c>
      <c r="K66" s="87" t="s">
        <v>29</v>
      </c>
      <c r="AV66" t="s">
        <v>1679</v>
      </c>
      <c r="AW66">
        <v>51</v>
      </c>
      <c r="AX66" t="s">
        <v>234</v>
      </c>
      <c r="AY66">
        <v>1</v>
      </c>
      <c r="AZ66" t="s">
        <v>1685</v>
      </c>
      <c r="BA66">
        <v>2007</v>
      </c>
      <c r="BB66">
        <v>2008</v>
      </c>
      <c r="BD66" t="s">
        <v>19</v>
      </c>
      <c r="BE66" t="s">
        <v>1669</v>
      </c>
      <c r="BF66" t="s">
        <v>24</v>
      </c>
      <c r="BH66" t="s">
        <v>23</v>
      </c>
      <c r="BI66" t="s">
        <v>1680</v>
      </c>
      <c r="BJ66" s="87" t="s">
        <v>22</v>
      </c>
      <c r="BK66">
        <v>44444</v>
      </c>
      <c r="IF66" t="s">
        <v>1669</v>
      </c>
      <c r="IG66" t="s">
        <v>19</v>
      </c>
      <c r="JH66" t="s">
        <v>1681</v>
      </c>
      <c r="JI66" t="s">
        <v>15</v>
      </c>
      <c r="JJ66" t="s">
        <v>14</v>
      </c>
      <c r="JK66" s="8" t="s">
        <v>1682</v>
      </c>
      <c r="JN66" t="s">
        <v>13</v>
      </c>
      <c r="JO66">
        <v>40</v>
      </c>
      <c r="JP66">
        <v>50</v>
      </c>
      <c r="KD66" t="s">
        <v>12</v>
      </c>
      <c r="MR66" t="s">
        <v>1658</v>
      </c>
      <c r="MS66">
        <v>36</v>
      </c>
      <c r="NC66" t="s">
        <v>1695</v>
      </c>
      <c r="ND66" t="s">
        <v>1423</v>
      </c>
      <c r="NF66" t="s">
        <v>1426</v>
      </c>
      <c r="NG66" t="s">
        <v>265</v>
      </c>
      <c r="NP66" t="s">
        <v>6</v>
      </c>
      <c r="NQ66">
        <v>772.4</v>
      </c>
      <c r="NR66" s="4" t="s">
        <v>4</v>
      </c>
      <c r="NS66">
        <v>6</v>
      </c>
      <c r="NV66">
        <v>4</v>
      </c>
      <c r="OG66" t="s">
        <v>1700</v>
      </c>
      <c r="OH66" s="87" t="s">
        <v>2</v>
      </c>
      <c r="OI66">
        <v>2007</v>
      </c>
      <c r="OL66" t="s">
        <v>1674</v>
      </c>
      <c r="ON66" t="s">
        <v>1178</v>
      </c>
      <c r="OO66" s="58">
        <v>46105</v>
      </c>
    </row>
    <row r="67" spans="1:405" ht="15.75" thickBot="1">
      <c r="A67" t="s">
        <v>248</v>
      </c>
      <c r="B67" t="s">
        <v>1889</v>
      </c>
      <c r="C67" t="s">
        <v>34</v>
      </c>
      <c r="D67" s="100" t="s">
        <v>31</v>
      </c>
      <c r="E67" s="90" t="s">
        <v>1676</v>
      </c>
      <c r="F67" s="100" t="s">
        <v>31</v>
      </c>
      <c r="G67" s="87" t="s">
        <v>2</v>
      </c>
      <c r="H67" s="87" t="s">
        <v>30</v>
      </c>
      <c r="I67">
        <v>-0.41666666699999999</v>
      </c>
      <c r="J67">
        <v>34.200000000000003</v>
      </c>
      <c r="K67" s="87" t="s">
        <v>29</v>
      </c>
      <c r="AV67" t="s">
        <v>1679</v>
      </c>
      <c r="AW67">
        <v>52</v>
      </c>
      <c r="AX67" t="s">
        <v>234</v>
      </c>
      <c r="AY67">
        <v>1</v>
      </c>
      <c r="AZ67" t="s">
        <v>1685</v>
      </c>
      <c r="BA67">
        <v>2007</v>
      </c>
      <c r="BB67">
        <v>2008</v>
      </c>
      <c r="BD67" t="s">
        <v>238</v>
      </c>
      <c r="BE67" t="s">
        <v>1670</v>
      </c>
      <c r="BF67" t="s">
        <v>252</v>
      </c>
      <c r="BH67" t="s">
        <v>23</v>
      </c>
      <c r="BI67" t="s">
        <v>1680</v>
      </c>
      <c r="BJ67" s="87" t="s">
        <v>22</v>
      </c>
      <c r="BK67">
        <v>44444</v>
      </c>
      <c r="BL67" t="s">
        <v>56</v>
      </c>
      <c r="BM67" t="s">
        <v>1677</v>
      </c>
      <c r="BN67" t="s">
        <v>1678</v>
      </c>
      <c r="BO67" s="87" t="s">
        <v>22</v>
      </c>
      <c r="BP67">
        <v>44444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8"/>
      <c r="IF67" t="s">
        <v>1670</v>
      </c>
      <c r="IG67" s="84" t="s">
        <v>1453</v>
      </c>
      <c r="IH67" t="s">
        <v>660</v>
      </c>
      <c r="II67" t="s">
        <v>661</v>
      </c>
      <c r="IJ67" t="s">
        <v>838</v>
      </c>
      <c r="IK67" t="s">
        <v>838</v>
      </c>
      <c r="IL67" s="87" t="s">
        <v>29</v>
      </c>
      <c r="JH67" t="s">
        <v>1681</v>
      </c>
      <c r="JI67" t="s">
        <v>15</v>
      </c>
      <c r="JJ67" t="s">
        <v>14</v>
      </c>
      <c r="JK67" s="8" t="s">
        <v>1682</v>
      </c>
      <c r="JN67" t="s">
        <v>13</v>
      </c>
      <c r="JO67">
        <v>40</v>
      </c>
      <c r="JP67">
        <v>50</v>
      </c>
      <c r="KD67" t="s">
        <v>12</v>
      </c>
      <c r="MR67" t="s">
        <v>1658</v>
      </c>
      <c r="MS67">
        <v>36</v>
      </c>
      <c r="NC67" t="s">
        <v>1696</v>
      </c>
      <c r="ND67" t="s">
        <v>1423</v>
      </c>
      <c r="NF67" t="s">
        <v>1426</v>
      </c>
      <c r="NG67" t="s">
        <v>265</v>
      </c>
      <c r="NP67" t="s">
        <v>6</v>
      </c>
      <c r="NQ67">
        <v>870.8</v>
      </c>
      <c r="NR67" s="4" t="s">
        <v>4</v>
      </c>
      <c r="NS67">
        <v>6</v>
      </c>
      <c r="NV67">
        <v>4</v>
      </c>
      <c r="OG67" t="s">
        <v>1700</v>
      </c>
      <c r="OH67" s="87" t="s">
        <v>2</v>
      </c>
      <c r="OI67">
        <v>2007</v>
      </c>
      <c r="OL67" t="s">
        <v>1674</v>
      </c>
      <c r="ON67" t="s">
        <v>1178</v>
      </c>
      <c r="OO67" s="58">
        <v>46105</v>
      </c>
    </row>
    <row r="68" spans="1:405" ht="15.75" thickBot="1">
      <c r="A68" t="s">
        <v>248</v>
      </c>
      <c r="B68" t="s">
        <v>1889</v>
      </c>
      <c r="C68" t="s">
        <v>34</v>
      </c>
      <c r="D68" s="100" t="s">
        <v>31</v>
      </c>
      <c r="E68" s="90" t="s">
        <v>1676</v>
      </c>
      <c r="F68" s="100" t="s">
        <v>31</v>
      </c>
      <c r="G68" s="87" t="s">
        <v>2</v>
      </c>
      <c r="H68" s="87" t="s">
        <v>30</v>
      </c>
      <c r="I68">
        <v>-0.41666666699999999</v>
      </c>
      <c r="J68">
        <v>34.200000000000003</v>
      </c>
      <c r="K68" s="87" t="s">
        <v>29</v>
      </c>
      <c r="AV68" t="s">
        <v>1679</v>
      </c>
      <c r="AW68">
        <v>53</v>
      </c>
      <c r="AX68" t="s">
        <v>234</v>
      </c>
      <c r="AY68">
        <v>1</v>
      </c>
      <c r="AZ68" t="s">
        <v>1685</v>
      </c>
      <c r="BA68">
        <v>2007</v>
      </c>
      <c r="BB68">
        <v>2008</v>
      </c>
      <c r="BD68" t="s">
        <v>238</v>
      </c>
      <c r="BE68" t="s">
        <v>1671</v>
      </c>
      <c r="BF68" t="s">
        <v>236</v>
      </c>
      <c r="BH68" t="s">
        <v>23</v>
      </c>
      <c r="BI68" t="s">
        <v>1680</v>
      </c>
      <c r="BJ68" s="87" t="s">
        <v>22</v>
      </c>
      <c r="BK68">
        <v>44444</v>
      </c>
      <c r="BL68" t="s">
        <v>56</v>
      </c>
      <c r="BM68" t="s">
        <v>1664</v>
      </c>
      <c r="BN68" t="s">
        <v>234</v>
      </c>
      <c r="BO68" t="s">
        <v>234</v>
      </c>
      <c r="BP68" t="s">
        <v>234</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8"/>
      <c r="IF68" t="s">
        <v>1671</v>
      </c>
      <c r="IG68" s="84" t="s">
        <v>1683</v>
      </c>
      <c r="IH68" t="s">
        <v>660</v>
      </c>
      <c r="II68" t="s">
        <v>661</v>
      </c>
      <c r="IJ68" t="s">
        <v>838</v>
      </c>
      <c r="IK68" t="s">
        <v>838</v>
      </c>
      <c r="IL68" s="87" t="s">
        <v>29</v>
      </c>
      <c r="JH68" t="s">
        <v>1681</v>
      </c>
      <c r="JI68" t="s">
        <v>15</v>
      </c>
      <c r="JJ68" t="s">
        <v>14</v>
      </c>
      <c r="JK68" s="8" t="s">
        <v>1682</v>
      </c>
      <c r="JN68" t="s">
        <v>13</v>
      </c>
      <c r="JO68">
        <v>40</v>
      </c>
      <c r="JP68">
        <v>50</v>
      </c>
      <c r="KD68" t="s">
        <v>12</v>
      </c>
      <c r="MR68" t="s">
        <v>1658</v>
      </c>
      <c r="MS68">
        <v>36</v>
      </c>
      <c r="NC68" t="s">
        <v>1696</v>
      </c>
      <c r="ND68" t="s">
        <v>1423</v>
      </c>
      <c r="NF68" t="s">
        <v>1426</v>
      </c>
      <c r="NG68" t="s">
        <v>265</v>
      </c>
      <c r="NP68" t="s">
        <v>6</v>
      </c>
      <c r="NQ68">
        <v>961.6</v>
      </c>
      <c r="NR68" s="4" t="s">
        <v>4</v>
      </c>
      <c r="NS68">
        <v>8</v>
      </c>
      <c r="NV68">
        <v>4</v>
      </c>
      <c r="OG68" t="s">
        <v>1700</v>
      </c>
      <c r="OH68" s="87" t="s">
        <v>2</v>
      </c>
      <c r="OI68">
        <v>2007</v>
      </c>
      <c r="OL68" t="s">
        <v>1674</v>
      </c>
      <c r="ON68" t="s">
        <v>1178</v>
      </c>
      <c r="OO68" s="58">
        <v>46105</v>
      </c>
    </row>
    <row r="69" spans="1:405" ht="15.75" thickBot="1">
      <c r="A69" t="s">
        <v>248</v>
      </c>
      <c r="B69" t="s">
        <v>1889</v>
      </c>
      <c r="C69" t="s">
        <v>34</v>
      </c>
      <c r="D69" s="100" t="s">
        <v>31</v>
      </c>
      <c r="E69" s="90" t="s">
        <v>1676</v>
      </c>
      <c r="F69" s="100" t="s">
        <v>31</v>
      </c>
      <c r="G69" s="87" t="s">
        <v>2</v>
      </c>
      <c r="H69" s="87" t="s">
        <v>30</v>
      </c>
      <c r="I69">
        <v>-0.41666666699999999</v>
      </c>
      <c r="J69">
        <v>34.200000000000003</v>
      </c>
      <c r="K69" s="87" t="s">
        <v>29</v>
      </c>
      <c r="AV69" t="s">
        <v>1679</v>
      </c>
      <c r="AW69">
        <v>54</v>
      </c>
      <c r="AX69" t="s">
        <v>234</v>
      </c>
      <c r="AY69">
        <v>1</v>
      </c>
      <c r="AZ69" t="s">
        <v>1685</v>
      </c>
      <c r="BA69">
        <v>2007</v>
      </c>
      <c r="BB69">
        <v>2008</v>
      </c>
      <c r="BD69" t="s">
        <v>238</v>
      </c>
      <c r="BE69" t="s">
        <v>1672</v>
      </c>
      <c r="BF69" t="s">
        <v>284</v>
      </c>
      <c r="BH69" t="s">
        <v>23</v>
      </c>
      <c r="BI69" t="s">
        <v>1680</v>
      </c>
      <c r="BJ69" s="87" t="s">
        <v>22</v>
      </c>
      <c r="BK69">
        <v>44444</v>
      </c>
      <c r="BL69" t="s">
        <v>56</v>
      </c>
      <c r="BM69" t="s">
        <v>1677</v>
      </c>
      <c r="BN69" t="s">
        <v>1678</v>
      </c>
      <c r="BO69" s="87" t="s">
        <v>22</v>
      </c>
      <c r="BP69">
        <v>44444</v>
      </c>
      <c r="BQ69" t="s">
        <v>56</v>
      </c>
      <c r="BR69" t="s">
        <v>1664</v>
      </c>
      <c r="BS69" t="s">
        <v>234</v>
      </c>
      <c r="BT69" t="s">
        <v>234</v>
      </c>
      <c r="BU69" t="s">
        <v>234</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8"/>
      <c r="IF69" t="s">
        <v>1672</v>
      </c>
      <c r="IG69" s="84" t="s">
        <v>1683</v>
      </c>
      <c r="IH69" t="s">
        <v>660</v>
      </c>
      <c r="II69" t="s">
        <v>661</v>
      </c>
      <c r="IJ69" t="s">
        <v>838</v>
      </c>
      <c r="IK69" t="s">
        <v>838</v>
      </c>
      <c r="IL69" s="87" t="s">
        <v>29</v>
      </c>
      <c r="JH69" t="s">
        <v>1681</v>
      </c>
      <c r="JI69" t="s">
        <v>15</v>
      </c>
      <c r="JJ69" t="s">
        <v>14</v>
      </c>
      <c r="JK69" s="8" t="s">
        <v>1682</v>
      </c>
      <c r="JN69" t="s">
        <v>13</v>
      </c>
      <c r="JO69">
        <v>40</v>
      </c>
      <c r="JP69">
        <v>50</v>
      </c>
      <c r="KD69" t="s">
        <v>12</v>
      </c>
      <c r="MR69" t="s">
        <v>1658</v>
      </c>
      <c r="MS69">
        <v>36</v>
      </c>
      <c r="NC69" t="s">
        <v>1696</v>
      </c>
      <c r="ND69" t="s">
        <v>1423</v>
      </c>
      <c r="NF69" t="s">
        <v>1426</v>
      </c>
      <c r="NG69" t="s">
        <v>265</v>
      </c>
      <c r="NP69" t="s">
        <v>6</v>
      </c>
      <c r="NQ69">
        <v>1050.9000000000001</v>
      </c>
      <c r="NR69" s="4" t="s">
        <v>4</v>
      </c>
      <c r="NS69">
        <v>10</v>
      </c>
      <c r="NV69">
        <v>4</v>
      </c>
      <c r="OG69" t="s">
        <v>1700</v>
      </c>
      <c r="OH69" s="87" t="s">
        <v>2</v>
      </c>
      <c r="OI69">
        <v>2007</v>
      </c>
      <c r="OL69" t="s">
        <v>1674</v>
      </c>
      <c r="ON69" t="s">
        <v>1178</v>
      </c>
      <c r="OO69" s="58">
        <v>46105</v>
      </c>
    </row>
    <row r="70" spans="1:405" ht="15.75" thickBot="1">
      <c r="A70" t="s">
        <v>248</v>
      </c>
      <c r="B70" t="s">
        <v>1889</v>
      </c>
      <c r="C70" t="s">
        <v>34</v>
      </c>
      <c r="D70" s="100" t="s">
        <v>31</v>
      </c>
      <c r="E70" s="90" t="s">
        <v>1676</v>
      </c>
      <c r="F70" s="100" t="s">
        <v>31</v>
      </c>
      <c r="G70" s="87" t="s">
        <v>2</v>
      </c>
      <c r="H70" s="87" t="s">
        <v>30</v>
      </c>
      <c r="I70">
        <v>-0.41666666699999999</v>
      </c>
      <c r="J70">
        <v>34.200000000000003</v>
      </c>
      <c r="K70" s="87" t="s">
        <v>29</v>
      </c>
      <c r="AV70" t="s">
        <v>1679</v>
      </c>
      <c r="AW70">
        <v>55</v>
      </c>
      <c r="AX70" t="s">
        <v>234</v>
      </c>
      <c r="AY70">
        <v>1</v>
      </c>
      <c r="AZ70" t="s">
        <v>1685</v>
      </c>
      <c r="BA70">
        <v>2007</v>
      </c>
      <c r="BB70">
        <v>2008</v>
      </c>
      <c r="BD70" t="s">
        <v>238</v>
      </c>
      <c r="BE70" t="s">
        <v>1673</v>
      </c>
      <c r="BF70" t="s">
        <v>277</v>
      </c>
      <c r="BH70" t="s">
        <v>23</v>
      </c>
      <c r="BI70" t="s">
        <v>1680</v>
      </c>
      <c r="BJ70" s="87" t="s">
        <v>22</v>
      </c>
      <c r="BK70">
        <v>44444</v>
      </c>
      <c r="BL70" t="s">
        <v>56</v>
      </c>
      <c r="BM70" t="s">
        <v>1677</v>
      </c>
      <c r="BN70" t="s">
        <v>1678</v>
      </c>
      <c r="BO70" s="87" t="s">
        <v>22</v>
      </c>
      <c r="BP70">
        <v>44444</v>
      </c>
      <c r="BQ70" t="s">
        <v>56</v>
      </c>
      <c r="BR70" t="s">
        <v>1664</v>
      </c>
      <c r="BS70" t="s">
        <v>234</v>
      </c>
      <c r="BT70" t="s">
        <v>234</v>
      </c>
      <c r="BU70" t="s">
        <v>234</v>
      </c>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K70" s="9"/>
      <c r="HW70" s="58"/>
      <c r="IF70" t="s">
        <v>1673</v>
      </c>
      <c r="IG70" s="84" t="s">
        <v>1683</v>
      </c>
      <c r="IH70" t="s">
        <v>660</v>
      </c>
      <c r="II70" t="s">
        <v>661</v>
      </c>
      <c r="IJ70" t="s">
        <v>838</v>
      </c>
      <c r="IK70" t="s">
        <v>838</v>
      </c>
      <c r="IL70" s="87" t="s">
        <v>29</v>
      </c>
      <c r="JH70" t="s">
        <v>1681</v>
      </c>
      <c r="JI70" t="s">
        <v>15</v>
      </c>
      <c r="JJ70" t="s">
        <v>14</v>
      </c>
      <c r="JK70" s="8" t="s">
        <v>1682</v>
      </c>
      <c r="JN70" t="s">
        <v>13</v>
      </c>
      <c r="JO70">
        <v>40</v>
      </c>
      <c r="JP70">
        <v>50</v>
      </c>
      <c r="KD70" t="s">
        <v>12</v>
      </c>
      <c r="MR70" t="s">
        <v>1658</v>
      </c>
      <c r="MS70">
        <v>36</v>
      </c>
      <c r="NC70" t="s">
        <v>1696</v>
      </c>
      <c r="ND70" t="s">
        <v>1423</v>
      </c>
      <c r="NF70" t="s">
        <v>1426</v>
      </c>
      <c r="NG70" t="s">
        <v>265</v>
      </c>
      <c r="NP70" t="s">
        <v>6</v>
      </c>
      <c r="NQ70">
        <v>1062.4000000000001</v>
      </c>
      <c r="NR70" s="4" t="s">
        <v>4</v>
      </c>
      <c r="NS70">
        <v>10</v>
      </c>
      <c r="NV70">
        <v>4</v>
      </c>
      <c r="OG70" t="s">
        <v>1700</v>
      </c>
      <c r="OH70" s="87" t="s">
        <v>2</v>
      </c>
      <c r="OI70">
        <v>2007</v>
      </c>
      <c r="OL70" t="s">
        <v>1674</v>
      </c>
      <c r="ON70" t="s">
        <v>1178</v>
      </c>
      <c r="OO70" s="58">
        <v>46105</v>
      </c>
    </row>
    <row r="71" spans="1:405" ht="15.75" thickBot="1">
      <c r="A71" t="s">
        <v>248</v>
      </c>
      <c r="B71" t="s">
        <v>1889</v>
      </c>
      <c r="C71" t="s">
        <v>34</v>
      </c>
      <c r="D71" s="100" t="s">
        <v>31</v>
      </c>
      <c r="E71" s="90" t="s">
        <v>1676</v>
      </c>
      <c r="F71" s="100" t="s">
        <v>31</v>
      </c>
      <c r="G71" s="87" t="s">
        <v>2</v>
      </c>
      <c r="H71" s="87" t="s">
        <v>30</v>
      </c>
      <c r="I71">
        <v>-0.41666666699999999</v>
      </c>
      <c r="J71">
        <v>34.200000000000003</v>
      </c>
      <c r="K71" s="87" t="s">
        <v>29</v>
      </c>
      <c r="AV71" t="s">
        <v>1679</v>
      </c>
      <c r="AW71">
        <v>36</v>
      </c>
      <c r="AX71" t="s">
        <v>234</v>
      </c>
      <c r="AY71">
        <v>1</v>
      </c>
      <c r="AZ71" t="s">
        <v>1685</v>
      </c>
      <c r="BA71">
        <v>2007</v>
      </c>
      <c r="BB71">
        <v>2008</v>
      </c>
      <c r="BD71" t="s">
        <v>19</v>
      </c>
      <c r="BE71" t="s">
        <v>1657</v>
      </c>
      <c r="BF71" t="s">
        <v>39</v>
      </c>
      <c r="BH71" t="s">
        <v>23</v>
      </c>
      <c r="BI71" t="s">
        <v>1680</v>
      </c>
      <c r="BJ71" s="87" t="s">
        <v>22</v>
      </c>
      <c r="BK71">
        <v>44444</v>
      </c>
      <c r="IF71" t="s">
        <v>1657</v>
      </c>
      <c r="IG71" t="s">
        <v>19</v>
      </c>
      <c r="JH71" t="s">
        <v>1681</v>
      </c>
      <c r="JI71" t="s">
        <v>15</v>
      </c>
      <c r="JJ71" t="s">
        <v>14</v>
      </c>
      <c r="JK71" s="8" t="s">
        <v>1682</v>
      </c>
      <c r="JN71" t="s">
        <v>13</v>
      </c>
      <c r="JO71">
        <v>40</v>
      </c>
      <c r="JP71">
        <v>50</v>
      </c>
      <c r="KD71" t="s">
        <v>12</v>
      </c>
      <c r="MR71" t="s">
        <v>1658</v>
      </c>
      <c r="MS71">
        <v>36</v>
      </c>
      <c r="NC71" t="s">
        <v>1693</v>
      </c>
      <c r="ND71" t="s">
        <v>1607</v>
      </c>
      <c r="NF71" t="s">
        <v>671</v>
      </c>
      <c r="NG71" t="s">
        <v>265</v>
      </c>
      <c r="NP71" t="s">
        <v>6</v>
      </c>
      <c r="NQ71">
        <v>307.3</v>
      </c>
      <c r="NR71" s="4" t="s">
        <v>4</v>
      </c>
      <c r="NS71">
        <v>8</v>
      </c>
      <c r="NV71">
        <v>4</v>
      </c>
      <c r="OG71" t="s">
        <v>1675</v>
      </c>
      <c r="OH71" s="87" t="s">
        <v>2</v>
      </c>
      <c r="OI71">
        <v>2007</v>
      </c>
      <c r="OL71" t="s">
        <v>1674</v>
      </c>
      <c r="ON71" t="s">
        <v>1178</v>
      </c>
      <c r="OO71" s="58">
        <v>46105</v>
      </c>
    </row>
    <row r="72" spans="1:405" ht="15.75" thickBot="1">
      <c r="A72" t="s">
        <v>248</v>
      </c>
      <c r="B72" t="s">
        <v>1889</v>
      </c>
      <c r="C72" t="s">
        <v>34</v>
      </c>
      <c r="D72" s="100" t="s">
        <v>31</v>
      </c>
      <c r="E72" s="90" t="s">
        <v>1676</v>
      </c>
      <c r="F72" s="100" t="s">
        <v>31</v>
      </c>
      <c r="G72" s="87" t="s">
        <v>2</v>
      </c>
      <c r="H72" s="87" t="s">
        <v>30</v>
      </c>
      <c r="I72">
        <v>-0.41666666699999999</v>
      </c>
      <c r="J72">
        <v>34.200000000000003</v>
      </c>
      <c r="K72" s="87" t="s">
        <v>29</v>
      </c>
      <c r="AV72" t="s">
        <v>1679</v>
      </c>
      <c r="AW72">
        <v>37</v>
      </c>
      <c r="AX72" t="s">
        <v>234</v>
      </c>
      <c r="AY72">
        <v>1</v>
      </c>
      <c r="AZ72" t="s">
        <v>1685</v>
      </c>
      <c r="BA72">
        <v>2007</v>
      </c>
      <c r="BB72">
        <v>2008</v>
      </c>
      <c r="BD72" t="s">
        <v>238</v>
      </c>
      <c r="BE72" t="s">
        <v>1661</v>
      </c>
      <c r="BF72" t="s">
        <v>64</v>
      </c>
      <c r="BH72" t="s">
        <v>23</v>
      </c>
      <c r="BI72" t="s">
        <v>1680</v>
      </c>
      <c r="BJ72" s="87" t="s">
        <v>22</v>
      </c>
      <c r="BK72">
        <v>44444</v>
      </c>
      <c r="BL72" t="s">
        <v>56</v>
      </c>
      <c r="BM72" t="s">
        <v>1677</v>
      </c>
      <c r="BN72" t="s">
        <v>1678</v>
      </c>
      <c r="BO72" s="87" t="s">
        <v>22</v>
      </c>
      <c r="BP72">
        <v>44444</v>
      </c>
      <c r="IF72" t="s">
        <v>1661</v>
      </c>
      <c r="IG72" s="84" t="s">
        <v>1453</v>
      </c>
      <c r="IH72" t="s">
        <v>660</v>
      </c>
      <c r="II72" t="s">
        <v>661</v>
      </c>
      <c r="IJ72" t="s">
        <v>838</v>
      </c>
      <c r="IK72" t="s">
        <v>838</v>
      </c>
      <c r="IL72" s="87" t="s">
        <v>29</v>
      </c>
      <c r="JH72" t="s">
        <v>1681</v>
      </c>
      <c r="JI72" t="s">
        <v>15</v>
      </c>
      <c r="JJ72" t="s">
        <v>14</v>
      </c>
      <c r="JK72" s="8" t="s">
        <v>1682</v>
      </c>
      <c r="JN72" t="s">
        <v>13</v>
      </c>
      <c r="JO72">
        <v>40</v>
      </c>
      <c r="JP72">
        <v>50</v>
      </c>
      <c r="KD72" t="s">
        <v>12</v>
      </c>
      <c r="MR72" t="s">
        <v>1658</v>
      </c>
      <c r="MS72">
        <v>36</v>
      </c>
      <c r="NC72" t="s">
        <v>1694</v>
      </c>
      <c r="ND72" t="s">
        <v>1607</v>
      </c>
      <c r="NF72" t="s">
        <v>671</v>
      </c>
      <c r="NG72" t="s">
        <v>265</v>
      </c>
      <c r="NP72" t="s">
        <v>6</v>
      </c>
      <c r="NQ72">
        <v>427.4</v>
      </c>
      <c r="NR72" s="4" t="s">
        <v>4</v>
      </c>
      <c r="NS72">
        <v>14</v>
      </c>
      <c r="NV72">
        <v>4</v>
      </c>
      <c r="OG72" t="s">
        <v>1675</v>
      </c>
      <c r="OH72" s="87" t="s">
        <v>2</v>
      </c>
      <c r="OI72">
        <v>2007</v>
      </c>
      <c r="OL72" t="s">
        <v>1674</v>
      </c>
      <c r="ON72" t="s">
        <v>1178</v>
      </c>
      <c r="OO72" s="58">
        <v>46105</v>
      </c>
    </row>
    <row r="73" spans="1:405" ht="15.75" thickBot="1">
      <c r="A73" t="s">
        <v>248</v>
      </c>
      <c r="B73" t="s">
        <v>1889</v>
      </c>
      <c r="C73" t="s">
        <v>34</v>
      </c>
      <c r="D73" s="100" t="s">
        <v>31</v>
      </c>
      <c r="E73" s="90" t="s">
        <v>1676</v>
      </c>
      <c r="F73" s="100" t="s">
        <v>31</v>
      </c>
      <c r="G73" s="87" t="s">
        <v>2</v>
      </c>
      <c r="H73" s="87" t="s">
        <v>30</v>
      </c>
      <c r="I73">
        <v>-0.41666666699999999</v>
      </c>
      <c r="J73">
        <v>34.200000000000003</v>
      </c>
      <c r="K73" s="87" t="s">
        <v>29</v>
      </c>
      <c r="AV73" t="s">
        <v>1679</v>
      </c>
      <c r="AW73">
        <v>38</v>
      </c>
      <c r="AX73" t="s">
        <v>234</v>
      </c>
      <c r="AY73">
        <v>1</v>
      </c>
      <c r="AZ73" t="s">
        <v>1685</v>
      </c>
      <c r="BA73">
        <v>2007</v>
      </c>
      <c r="BB73">
        <v>2008</v>
      </c>
      <c r="BD73" t="s">
        <v>238</v>
      </c>
      <c r="BE73" t="s">
        <v>1663</v>
      </c>
      <c r="BF73" t="s">
        <v>57</v>
      </c>
      <c r="BH73" t="s">
        <v>23</v>
      </c>
      <c r="BI73" t="s">
        <v>1680</v>
      </c>
      <c r="BJ73" s="87" t="s">
        <v>22</v>
      </c>
      <c r="BK73">
        <v>44444</v>
      </c>
      <c r="BL73" t="s">
        <v>56</v>
      </c>
      <c r="BM73" t="s">
        <v>1664</v>
      </c>
      <c r="BN73" t="s">
        <v>234</v>
      </c>
      <c r="BO73" t="s">
        <v>234</v>
      </c>
      <c r="BP73" t="s">
        <v>234</v>
      </c>
      <c r="IF73" t="s">
        <v>1663</v>
      </c>
      <c r="IG73" s="84" t="s">
        <v>1683</v>
      </c>
      <c r="IH73" t="s">
        <v>660</v>
      </c>
      <c r="II73" t="s">
        <v>661</v>
      </c>
      <c r="IJ73" t="s">
        <v>838</v>
      </c>
      <c r="IK73" t="s">
        <v>838</v>
      </c>
      <c r="IL73" s="87" t="s">
        <v>29</v>
      </c>
      <c r="JH73" t="s">
        <v>1681</v>
      </c>
      <c r="JI73" t="s">
        <v>15</v>
      </c>
      <c r="JJ73" t="s">
        <v>14</v>
      </c>
      <c r="JK73" s="8" t="s">
        <v>1682</v>
      </c>
      <c r="JN73" t="s">
        <v>13</v>
      </c>
      <c r="JO73">
        <v>40</v>
      </c>
      <c r="JP73">
        <v>50</v>
      </c>
      <c r="KD73" t="s">
        <v>12</v>
      </c>
      <c r="MR73" t="s">
        <v>1658</v>
      </c>
      <c r="MS73">
        <v>36</v>
      </c>
      <c r="NC73" t="s">
        <v>1694</v>
      </c>
      <c r="ND73" t="s">
        <v>1607</v>
      </c>
      <c r="NF73" t="s">
        <v>671</v>
      </c>
      <c r="NG73" t="s">
        <v>265</v>
      </c>
      <c r="NP73" t="s">
        <v>6</v>
      </c>
      <c r="NQ73">
        <v>513.5</v>
      </c>
      <c r="NR73" s="4" t="s">
        <v>4</v>
      </c>
      <c r="NS73">
        <v>7</v>
      </c>
      <c r="NV73">
        <v>4</v>
      </c>
      <c r="OG73" t="s">
        <v>1675</v>
      </c>
      <c r="OH73" s="87" t="s">
        <v>2</v>
      </c>
      <c r="OI73">
        <v>2007</v>
      </c>
      <c r="OL73" t="s">
        <v>1674</v>
      </c>
      <c r="ON73" t="s">
        <v>1178</v>
      </c>
      <c r="OO73" s="58">
        <v>46105</v>
      </c>
    </row>
    <row r="74" spans="1:405" ht="15.75" thickBot="1">
      <c r="A74" t="s">
        <v>248</v>
      </c>
      <c r="B74" t="s">
        <v>1889</v>
      </c>
      <c r="C74" t="s">
        <v>34</v>
      </c>
      <c r="D74" s="100" t="s">
        <v>31</v>
      </c>
      <c r="E74" s="90" t="s">
        <v>1676</v>
      </c>
      <c r="F74" s="100" t="s">
        <v>31</v>
      </c>
      <c r="G74" s="87" t="s">
        <v>2</v>
      </c>
      <c r="H74" s="87" t="s">
        <v>30</v>
      </c>
      <c r="I74">
        <v>-0.41666666699999999</v>
      </c>
      <c r="J74">
        <v>34.200000000000003</v>
      </c>
      <c r="K74" s="87" t="s">
        <v>29</v>
      </c>
      <c r="AV74" t="s">
        <v>1679</v>
      </c>
      <c r="AW74">
        <v>39</v>
      </c>
      <c r="AX74" t="s">
        <v>234</v>
      </c>
      <c r="AY74">
        <v>1</v>
      </c>
      <c r="AZ74" t="s">
        <v>1685</v>
      </c>
      <c r="BA74">
        <v>2007</v>
      </c>
      <c r="BB74">
        <v>2008</v>
      </c>
      <c r="BD74" t="s">
        <v>238</v>
      </c>
      <c r="BE74" t="s">
        <v>1666</v>
      </c>
      <c r="BF74" t="s">
        <v>48</v>
      </c>
      <c r="BH74" t="s">
        <v>23</v>
      </c>
      <c r="BI74" t="s">
        <v>1680</v>
      </c>
      <c r="BJ74" s="87" t="s">
        <v>22</v>
      </c>
      <c r="BK74">
        <v>44444</v>
      </c>
      <c r="BL74" t="s">
        <v>56</v>
      </c>
      <c r="BM74" t="s">
        <v>1677</v>
      </c>
      <c r="BN74" t="s">
        <v>1678</v>
      </c>
      <c r="BO74" s="87" t="s">
        <v>22</v>
      </c>
      <c r="BP74">
        <v>44444</v>
      </c>
      <c r="BQ74" t="s">
        <v>56</v>
      </c>
      <c r="BR74" t="s">
        <v>1664</v>
      </c>
      <c r="BS74" t="s">
        <v>234</v>
      </c>
      <c r="BT74" t="s">
        <v>234</v>
      </c>
      <c r="BU74" t="s">
        <v>234</v>
      </c>
      <c r="IF74" t="s">
        <v>1666</v>
      </c>
      <c r="IG74" s="84" t="s">
        <v>1683</v>
      </c>
      <c r="IH74" t="s">
        <v>660</v>
      </c>
      <c r="II74" t="s">
        <v>661</v>
      </c>
      <c r="IJ74" t="s">
        <v>838</v>
      </c>
      <c r="IK74" t="s">
        <v>838</v>
      </c>
      <c r="IL74" s="87" t="s">
        <v>29</v>
      </c>
      <c r="JH74" t="s">
        <v>1681</v>
      </c>
      <c r="JI74" t="s">
        <v>15</v>
      </c>
      <c r="JJ74" t="s">
        <v>14</v>
      </c>
      <c r="JK74" s="8" t="s">
        <v>1682</v>
      </c>
      <c r="JN74" t="s">
        <v>13</v>
      </c>
      <c r="JO74">
        <v>40</v>
      </c>
      <c r="JP74">
        <v>50</v>
      </c>
      <c r="KD74" t="s">
        <v>12</v>
      </c>
      <c r="MR74" t="s">
        <v>1658</v>
      </c>
      <c r="MS74">
        <v>36</v>
      </c>
      <c r="NC74" t="s">
        <v>1694</v>
      </c>
      <c r="ND74" t="s">
        <v>1607</v>
      </c>
      <c r="NF74" t="s">
        <v>671</v>
      </c>
      <c r="NG74" t="s">
        <v>265</v>
      </c>
      <c r="NP74" t="s">
        <v>6</v>
      </c>
      <c r="NQ74">
        <v>577.20000000000005</v>
      </c>
      <c r="NR74" s="4" t="s">
        <v>4</v>
      </c>
      <c r="NS74">
        <v>2</v>
      </c>
      <c r="NV74">
        <v>4</v>
      </c>
      <c r="OG74" t="s">
        <v>1675</v>
      </c>
      <c r="OH74" s="87" t="s">
        <v>2</v>
      </c>
      <c r="OI74">
        <v>2007</v>
      </c>
      <c r="OL74" t="s">
        <v>1674</v>
      </c>
      <c r="ON74" t="s">
        <v>1178</v>
      </c>
      <c r="OO74" s="58">
        <v>46105</v>
      </c>
    </row>
    <row r="75" spans="1:405" ht="15.75" thickBot="1">
      <c r="A75" t="s">
        <v>248</v>
      </c>
      <c r="B75" t="s">
        <v>1889</v>
      </c>
      <c r="C75" t="s">
        <v>34</v>
      </c>
      <c r="D75" s="100" t="s">
        <v>31</v>
      </c>
      <c r="E75" s="90" t="s">
        <v>1676</v>
      </c>
      <c r="F75" s="100" t="s">
        <v>31</v>
      </c>
      <c r="G75" s="87" t="s">
        <v>2</v>
      </c>
      <c r="H75" s="87" t="s">
        <v>30</v>
      </c>
      <c r="I75">
        <v>-0.41666666699999999</v>
      </c>
      <c r="J75">
        <v>34.200000000000003</v>
      </c>
      <c r="K75" s="87" t="s">
        <v>29</v>
      </c>
      <c r="AV75" t="s">
        <v>1679</v>
      </c>
      <c r="AW75">
        <v>40</v>
      </c>
      <c r="AX75" t="s">
        <v>234</v>
      </c>
      <c r="AY75">
        <v>1</v>
      </c>
      <c r="AZ75" t="s">
        <v>1685</v>
      </c>
      <c r="BA75">
        <v>2007</v>
      </c>
      <c r="BB75">
        <v>2008</v>
      </c>
      <c r="BD75" t="s">
        <v>238</v>
      </c>
      <c r="BE75" t="s">
        <v>1690</v>
      </c>
      <c r="BF75" t="s">
        <v>43</v>
      </c>
      <c r="BH75" t="s">
        <v>23</v>
      </c>
      <c r="BI75" t="s">
        <v>1680</v>
      </c>
      <c r="BJ75" s="87" t="s">
        <v>22</v>
      </c>
      <c r="BK75">
        <v>44444</v>
      </c>
      <c r="BL75" t="s">
        <v>56</v>
      </c>
      <c r="BM75" t="s">
        <v>1677</v>
      </c>
      <c r="BN75" t="s">
        <v>1678</v>
      </c>
      <c r="BO75" s="87" t="s">
        <v>22</v>
      </c>
      <c r="BP75">
        <v>44444</v>
      </c>
      <c r="BQ75" t="s">
        <v>56</v>
      </c>
      <c r="BR75" t="s">
        <v>1664</v>
      </c>
      <c r="BS75" t="s">
        <v>234</v>
      </c>
      <c r="BT75" t="s">
        <v>234</v>
      </c>
      <c r="BU75" t="s">
        <v>234</v>
      </c>
      <c r="IF75" t="s">
        <v>1668</v>
      </c>
      <c r="IG75" s="84" t="s">
        <v>1683</v>
      </c>
      <c r="IH75" t="s">
        <v>660</v>
      </c>
      <c r="II75" t="s">
        <v>661</v>
      </c>
      <c r="IJ75" t="s">
        <v>838</v>
      </c>
      <c r="IK75" t="s">
        <v>838</v>
      </c>
      <c r="IL75" s="87" t="s">
        <v>29</v>
      </c>
      <c r="JH75" t="s">
        <v>1681</v>
      </c>
      <c r="JI75" t="s">
        <v>15</v>
      </c>
      <c r="JJ75" t="s">
        <v>14</v>
      </c>
      <c r="JK75" s="8" t="s">
        <v>1682</v>
      </c>
      <c r="JN75" t="s">
        <v>13</v>
      </c>
      <c r="JO75">
        <v>40</v>
      </c>
      <c r="JP75">
        <v>50</v>
      </c>
      <c r="KD75" t="s">
        <v>12</v>
      </c>
      <c r="MR75" t="s">
        <v>1658</v>
      </c>
      <c r="MS75">
        <v>36</v>
      </c>
      <c r="NC75" t="s">
        <v>1694</v>
      </c>
      <c r="ND75" t="s">
        <v>1607</v>
      </c>
      <c r="NF75" t="s">
        <v>671</v>
      </c>
      <c r="NG75" t="s">
        <v>265</v>
      </c>
      <c r="NP75" t="s">
        <v>6</v>
      </c>
      <c r="NQ75">
        <v>615.9</v>
      </c>
      <c r="NR75" s="4" t="s">
        <v>4</v>
      </c>
      <c r="NS75">
        <v>6</v>
      </c>
      <c r="NV75">
        <v>4</v>
      </c>
      <c r="OG75" t="s">
        <v>1675</v>
      </c>
      <c r="OH75" s="87" t="s">
        <v>2</v>
      </c>
      <c r="OI75">
        <v>2007</v>
      </c>
      <c r="OL75" t="s">
        <v>1674</v>
      </c>
      <c r="ON75" t="s">
        <v>1178</v>
      </c>
      <c r="OO75" s="58">
        <v>46105</v>
      </c>
    </row>
    <row r="76" spans="1:405" ht="15.75" thickBot="1">
      <c r="A76" t="s">
        <v>248</v>
      </c>
      <c r="B76" t="s">
        <v>1889</v>
      </c>
      <c r="C76" t="s">
        <v>34</v>
      </c>
      <c r="D76" s="100" t="s">
        <v>31</v>
      </c>
      <c r="E76" s="90" t="s">
        <v>1676</v>
      </c>
      <c r="F76" s="100" t="s">
        <v>31</v>
      </c>
      <c r="G76" s="87" t="s">
        <v>2</v>
      </c>
      <c r="H76" s="87" t="s">
        <v>30</v>
      </c>
      <c r="I76">
        <v>-0.41666666699999999</v>
      </c>
      <c r="J76">
        <v>34.200000000000003</v>
      </c>
      <c r="K76" s="87" t="s">
        <v>29</v>
      </c>
      <c r="AV76" t="s">
        <v>1679</v>
      </c>
      <c r="AW76">
        <v>41</v>
      </c>
      <c r="AX76" t="s">
        <v>234</v>
      </c>
      <c r="AY76">
        <v>1</v>
      </c>
      <c r="AZ76" t="s">
        <v>1686</v>
      </c>
      <c r="BA76">
        <v>2007</v>
      </c>
      <c r="BB76">
        <v>2008</v>
      </c>
      <c r="BD76" t="s">
        <v>19</v>
      </c>
      <c r="BE76" t="s">
        <v>1657</v>
      </c>
      <c r="BF76" t="s">
        <v>39</v>
      </c>
      <c r="BH76" t="s">
        <v>23</v>
      </c>
      <c r="BI76" t="s">
        <v>1680</v>
      </c>
      <c r="BJ76" s="87" t="s">
        <v>22</v>
      </c>
      <c r="BK76">
        <v>44444</v>
      </c>
      <c r="IF76" t="s">
        <v>1657</v>
      </c>
      <c r="IG76" t="s">
        <v>19</v>
      </c>
      <c r="JH76" t="s">
        <v>1681</v>
      </c>
      <c r="JI76" t="s">
        <v>15</v>
      </c>
      <c r="JJ76" t="s">
        <v>14</v>
      </c>
      <c r="JK76" s="8" t="s">
        <v>1682</v>
      </c>
      <c r="JN76" t="s">
        <v>13</v>
      </c>
      <c r="JO76">
        <v>40</v>
      </c>
      <c r="JP76">
        <v>50</v>
      </c>
      <c r="KD76" t="s">
        <v>12</v>
      </c>
      <c r="MR76" t="s">
        <v>1658</v>
      </c>
      <c r="MS76">
        <v>36</v>
      </c>
      <c r="NC76" t="s">
        <v>1693</v>
      </c>
      <c r="ND76" t="s">
        <v>1607</v>
      </c>
      <c r="NF76" t="s">
        <v>671</v>
      </c>
      <c r="NG76" t="s">
        <v>265</v>
      </c>
      <c r="NP76" t="s">
        <v>6</v>
      </c>
      <c r="NQ76">
        <v>311.2</v>
      </c>
      <c r="NR76" s="4" t="s">
        <v>4</v>
      </c>
      <c r="NS76">
        <v>4</v>
      </c>
      <c r="NV76">
        <v>4</v>
      </c>
      <c r="OG76" t="s">
        <v>1675</v>
      </c>
      <c r="OH76" s="87" t="s">
        <v>2</v>
      </c>
      <c r="OI76">
        <v>2008</v>
      </c>
      <c r="OL76" t="s">
        <v>1684</v>
      </c>
      <c r="ON76" t="s">
        <v>1178</v>
      </c>
      <c r="OO76" s="58">
        <v>46105</v>
      </c>
    </row>
    <row r="77" spans="1:405" ht="15.75" thickBot="1">
      <c r="A77" t="s">
        <v>248</v>
      </c>
      <c r="B77" t="s">
        <v>1889</v>
      </c>
      <c r="C77" t="s">
        <v>34</v>
      </c>
      <c r="D77" s="100" t="s">
        <v>31</v>
      </c>
      <c r="E77" s="90" t="s">
        <v>1676</v>
      </c>
      <c r="F77" s="100" t="s">
        <v>31</v>
      </c>
      <c r="G77" s="87" t="s">
        <v>2</v>
      </c>
      <c r="H77" s="87" t="s">
        <v>30</v>
      </c>
      <c r="I77">
        <v>-0.41666666699999999</v>
      </c>
      <c r="J77">
        <v>34.200000000000003</v>
      </c>
      <c r="K77" s="87" t="s">
        <v>29</v>
      </c>
      <c r="AV77" t="s">
        <v>1679</v>
      </c>
      <c r="AW77">
        <v>42</v>
      </c>
      <c r="AX77" t="s">
        <v>234</v>
      </c>
      <c r="AY77">
        <v>1</v>
      </c>
      <c r="AZ77" t="s">
        <v>1686</v>
      </c>
      <c r="BA77">
        <v>2007</v>
      </c>
      <c r="BB77">
        <v>2008</v>
      </c>
      <c r="BD77" t="s">
        <v>238</v>
      </c>
      <c r="BE77" t="s">
        <v>1661</v>
      </c>
      <c r="BF77" t="s">
        <v>64</v>
      </c>
      <c r="BH77" t="s">
        <v>23</v>
      </c>
      <c r="BI77" t="s">
        <v>1680</v>
      </c>
      <c r="BJ77" s="87" t="s">
        <v>22</v>
      </c>
      <c r="BK77">
        <v>44444</v>
      </c>
      <c r="BL77" t="s">
        <v>56</v>
      </c>
      <c r="BM77" t="s">
        <v>1677</v>
      </c>
      <c r="BN77" t="s">
        <v>1678</v>
      </c>
      <c r="BO77" s="87" t="s">
        <v>22</v>
      </c>
      <c r="BP77">
        <v>44444</v>
      </c>
      <c r="IF77" t="s">
        <v>1661</v>
      </c>
      <c r="IG77" s="84" t="s">
        <v>1453</v>
      </c>
      <c r="IH77" t="s">
        <v>660</v>
      </c>
      <c r="II77" t="s">
        <v>661</v>
      </c>
      <c r="IJ77" t="s">
        <v>838</v>
      </c>
      <c r="IK77" t="s">
        <v>838</v>
      </c>
      <c r="IL77" s="87" t="s">
        <v>29</v>
      </c>
      <c r="JH77" t="s">
        <v>1681</v>
      </c>
      <c r="JI77" t="s">
        <v>15</v>
      </c>
      <c r="JJ77" t="s">
        <v>14</v>
      </c>
      <c r="JK77" s="8" t="s">
        <v>1682</v>
      </c>
      <c r="JN77" t="s">
        <v>13</v>
      </c>
      <c r="JO77">
        <v>40</v>
      </c>
      <c r="JP77">
        <v>50</v>
      </c>
      <c r="KD77" t="s">
        <v>12</v>
      </c>
      <c r="MR77" t="s">
        <v>1658</v>
      </c>
      <c r="MS77">
        <v>36</v>
      </c>
      <c r="NC77" t="s">
        <v>1694</v>
      </c>
      <c r="ND77" t="s">
        <v>1607</v>
      </c>
      <c r="NF77" t="s">
        <v>671</v>
      </c>
      <c r="NG77" t="s">
        <v>265</v>
      </c>
      <c r="NP77" t="s">
        <v>6</v>
      </c>
      <c r="NQ77">
        <v>412.8</v>
      </c>
      <c r="NR77" s="4" t="s">
        <v>4</v>
      </c>
      <c r="NS77">
        <v>14</v>
      </c>
      <c r="NV77">
        <v>4</v>
      </c>
      <c r="OG77" t="s">
        <v>1675</v>
      </c>
      <c r="OH77" s="87" t="s">
        <v>2</v>
      </c>
      <c r="OI77">
        <v>2008</v>
      </c>
      <c r="OL77" t="s">
        <v>1684</v>
      </c>
      <c r="ON77" t="s">
        <v>1178</v>
      </c>
      <c r="OO77" s="58">
        <v>46105</v>
      </c>
    </row>
    <row r="78" spans="1:405" ht="15.75" thickBot="1">
      <c r="A78" t="s">
        <v>248</v>
      </c>
      <c r="B78" t="s">
        <v>1889</v>
      </c>
      <c r="C78" t="s">
        <v>34</v>
      </c>
      <c r="D78" s="100" t="s">
        <v>31</v>
      </c>
      <c r="E78" s="90" t="s">
        <v>1676</v>
      </c>
      <c r="F78" s="100" t="s">
        <v>31</v>
      </c>
      <c r="G78" s="87" t="s">
        <v>2</v>
      </c>
      <c r="H78" s="87" t="s">
        <v>30</v>
      </c>
      <c r="I78">
        <v>-0.41666666699999999</v>
      </c>
      <c r="J78">
        <v>34.200000000000003</v>
      </c>
      <c r="K78" s="87" t="s">
        <v>29</v>
      </c>
      <c r="AV78" t="s">
        <v>1679</v>
      </c>
      <c r="AW78">
        <v>43</v>
      </c>
      <c r="AX78" t="s">
        <v>234</v>
      </c>
      <c r="AY78">
        <v>1</v>
      </c>
      <c r="AZ78" t="s">
        <v>1686</v>
      </c>
      <c r="BA78">
        <v>2007</v>
      </c>
      <c r="BB78">
        <v>2008</v>
      </c>
      <c r="BD78" t="s">
        <v>238</v>
      </c>
      <c r="BE78" t="s">
        <v>1663</v>
      </c>
      <c r="BF78" t="s">
        <v>57</v>
      </c>
      <c r="BH78" t="s">
        <v>23</v>
      </c>
      <c r="BI78" t="s">
        <v>1680</v>
      </c>
      <c r="BJ78" s="87" t="s">
        <v>22</v>
      </c>
      <c r="BK78">
        <v>44444</v>
      </c>
      <c r="BL78" t="s">
        <v>56</v>
      </c>
      <c r="BM78" t="s">
        <v>1664</v>
      </c>
      <c r="BN78" t="s">
        <v>234</v>
      </c>
      <c r="BO78" t="s">
        <v>234</v>
      </c>
      <c r="BP78" t="s">
        <v>234</v>
      </c>
      <c r="IF78" t="s">
        <v>1663</v>
      </c>
      <c r="IG78" s="84" t="s">
        <v>1683</v>
      </c>
      <c r="IH78" t="s">
        <v>660</v>
      </c>
      <c r="II78" t="s">
        <v>661</v>
      </c>
      <c r="IJ78" t="s">
        <v>838</v>
      </c>
      <c r="IK78" t="s">
        <v>838</v>
      </c>
      <c r="IL78" s="87" t="s">
        <v>29</v>
      </c>
      <c r="JH78" t="s">
        <v>1681</v>
      </c>
      <c r="JI78" t="s">
        <v>15</v>
      </c>
      <c r="JJ78" t="s">
        <v>14</v>
      </c>
      <c r="JK78" s="8" t="s">
        <v>1682</v>
      </c>
      <c r="JN78" t="s">
        <v>13</v>
      </c>
      <c r="JO78">
        <v>40</v>
      </c>
      <c r="JP78">
        <v>50</v>
      </c>
      <c r="KD78" t="s">
        <v>12</v>
      </c>
      <c r="MR78" t="s">
        <v>1658</v>
      </c>
      <c r="MS78">
        <v>36</v>
      </c>
      <c r="NC78" t="s">
        <v>1694</v>
      </c>
      <c r="ND78" t="s">
        <v>1607</v>
      </c>
      <c r="NF78" t="s">
        <v>671</v>
      </c>
      <c r="NG78" t="s">
        <v>265</v>
      </c>
      <c r="NP78" t="s">
        <v>6</v>
      </c>
      <c r="NQ78">
        <v>494.4</v>
      </c>
      <c r="NR78" s="4" t="s">
        <v>4</v>
      </c>
      <c r="NS78">
        <v>6</v>
      </c>
      <c r="NV78">
        <v>4</v>
      </c>
      <c r="OG78" t="s">
        <v>1675</v>
      </c>
      <c r="OH78" s="87" t="s">
        <v>2</v>
      </c>
      <c r="OI78">
        <v>2008</v>
      </c>
      <c r="OL78" t="s">
        <v>1684</v>
      </c>
      <c r="ON78" t="s">
        <v>1178</v>
      </c>
      <c r="OO78" s="58">
        <v>46105</v>
      </c>
    </row>
    <row r="79" spans="1:405" ht="15.75" thickBot="1">
      <c r="A79" t="s">
        <v>248</v>
      </c>
      <c r="B79" t="s">
        <v>1889</v>
      </c>
      <c r="C79" t="s">
        <v>34</v>
      </c>
      <c r="D79" s="100" t="s">
        <v>31</v>
      </c>
      <c r="E79" s="90" t="s">
        <v>1676</v>
      </c>
      <c r="F79" s="100" t="s">
        <v>31</v>
      </c>
      <c r="G79" s="87" t="s">
        <v>2</v>
      </c>
      <c r="H79" s="87" t="s">
        <v>30</v>
      </c>
      <c r="I79">
        <v>-0.41666666699999999</v>
      </c>
      <c r="J79">
        <v>34.200000000000003</v>
      </c>
      <c r="K79" s="87" t="s">
        <v>29</v>
      </c>
      <c r="AV79" t="s">
        <v>1679</v>
      </c>
      <c r="AW79">
        <v>44</v>
      </c>
      <c r="AX79" t="s">
        <v>234</v>
      </c>
      <c r="AY79">
        <v>1</v>
      </c>
      <c r="AZ79" t="s">
        <v>1686</v>
      </c>
      <c r="BA79">
        <v>2007</v>
      </c>
      <c r="BB79">
        <v>2008</v>
      </c>
      <c r="BD79" t="s">
        <v>238</v>
      </c>
      <c r="BE79" t="s">
        <v>1666</v>
      </c>
      <c r="BF79" t="s">
        <v>48</v>
      </c>
      <c r="BH79" t="s">
        <v>23</v>
      </c>
      <c r="BI79" t="s">
        <v>1680</v>
      </c>
      <c r="BJ79" s="87" t="s">
        <v>22</v>
      </c>
      <c r="BK79">
        <v>44444</v>
      </c>
      <c r="BL79" t="s">
        <v>56</v>
      </c>
      <c r="BM79" t="s">
        <v>1677</v>
      </c>
      <c r="BN79" t="s">
        <v>1678</v>
      </c>
      <c r="BO79" s="87" t="s">
        <v>22</v>
      </c>
      <c r="BP79">
        <v>44444</v>
      </c>
      <c r="BQ79" t="s">
        <v>56</v>
      </c>
      <c r="BR79" t="s">
        <v>1664</v>
      </c>
      <c r="BS79" t="s">
        <v>234</v>
      </c>
      <c r="BT79" t="s">
        <v>234</v>
      </c>
      <c r="BU79" t="s">
        <v>234</v>
      </c>
      <c r="IF79" t="s">
        <v>1666</v>
      </c>
      <c r="IG79" s="84" t="s">
        <v>1683</v>
      </c>
      <c r="IH79" t="s">
        <v>660</v>
      </c>
      <c r="II79" t="s">
        <v>661</v>
      </c>
      <c r="IJ79" t="s">
        <v>838</v>
      </c>
      <c r="IK79" t="s">
        <v>838</v>
      </c>
      <c r="IL79" s="87" t="s">
        <v>29</v>
      </c>
      <c r="JH79" t="s">
        <v>1681</v>
      </c>
      <c r="JI79" t="s">
        <v>15</v>
      </c>
      <c r="JJ79" t="s">
        <v>14</v>
      </c>
      <c r="JK79" s="8" t="s">
        <v>1682</v>
      </c>
      <c r="JN79" t="s">
        <v>13</v>
      </c>
      <c r="JO79">
        <v>40</v>
      </c>
      <c r="JP79">
        <v>50</v>
      </c>
      <c r="KD79" t="s">
        <v>12</v>
      </c>
      <c r="MR79" t="s">
        <v>1658</v>
      </c>
      <c r="MS79">
        <v>36</v>
      </c>
      <c r="NC79" t="s">
        <v>1694</v>
      </c>
      <c r="ND79" t="s">
        <v>1607</v>
      </c>
      <c r="NF79" t="s">
        <v>671</v>
      </c>
      <c r="NG79" t="s">
        <v>265</v>
      </c>
      <c r="NP79" t="s">
        <v>6</v>
      </c>
      <c r="NQ79">
        <v>568.29999999999995</v>
      </c>
      <c r="NR79" s="4" t="s">
        <v>4</v>
      </c>
      <c r="NS79">
        <v>6</v>
      </c>
      <c r="NV79">
        <v>4</v>
      </c>
      <c r="OG79" t="s">
        <v>1675</v>
      </c>
      <c r="OH79" s="87" t="s">
        <v>2</v>
      </c>
      <c r="OI79">
        <v>2008</v>
      </c>
      <c r="OL79" t="s">
        <v>1684</v>
      </c>
      <c r="ON79" t="s">
        <v>1178</v>
      </c>
      <c r="OO79" s="58">
        <v>46105</v>
      </c>
    </row>
    <row r="80" spans="1:405" ht="15.75" thickBot="1">
      <c r="A80" t="s">
        <v>248</v>
      </c>
      <c r="B80" t="s">
        <v>1889</v>
      </c>
      <c r="C80" t="s">
        <v>34</v>
      </c>
      <c r="D80" s="100" t="s">
        <v>31</v>
      </c>
      <c r="E80" s="90" t="s">
        <v>1676</v>
      </c>
      <c r="F80" s="100" t="s">
        <v>31</v>
      </c>
      <c r="G80" s="87" t="s">
        <v>2</v>
      </c>
      <c r="H80" s="87" t="s">
        <v>30</v>
      </c>
      <c r="I80">
        <v>-0.41666666699999999</v>
      </c>
      <c r="J80">
        <v>34.200000000000003</v>
      </c>
      <c r="K80" s="87" t="s">
        <v>29</v>
      </c>
      <c r="AV80" t="s">
        <v>1679</v>
      </c>
      <c r="AW80">
        <v>45</v>
      </c>
      <c r="AX80" t="s">
        <v>234</v>
      </c>
      <c r="AY80">
        <v>1</v>
      </c>
      <c r="AZ80" t="s">
        <v>1686</v>
      </c>
      <c r="BA80">
        <v>2007</v>
      </c>
      <c r="BB80">
        <v>2008</v>
      </c>
      <c r="BD80" t="s">
        <v>238</v>
      </c>
      <c r="BE80" t="s">
        <v>1668</v>
      </c>
      <c r="BF80" t="s">
        <v>43</v>
      </c>
      <c r="BH80" t="s">
        <v>23</v>
      </c>
      <c r="BI80" t="s">
        <v>1680</v>
      </c>
      <c r="BJ80" s="87" t="s">
        <v>22</v>
      </c>
      <c r="BK80">
        <v>44444</v>
      </c>
      <c r="BL80" t="s">
        <v>56</v>
      </c>
      <c r="BM80" t="s">
        <v>1677</v>
      </c>
      <c r="BN80" t="s">
        <v>1678</v>
      </c>
      <c r="BO80" s="87" t="s">
        <v>22</v>
      </c>
      <c r="BP80">
        <v>44444</v>
      </c>
      <c r="BQ80" t="s">
        <v>56</v>
      </c>
      <c r="BR80" t="s">
        <v>1664</v>
      </c>
      <c r="BS80" t="s">
        <v>234</v>
      </c>
      <c r="BT80" t="s">
        <v>234</v>
      </c>
      <c r="BU80" t="s">
        <v>234</v>
      </c>
      <c r="IF80" t="s">
        <v>1668</v>
      </c>
      <c r="IG80" s="84" t="s">
        <v>1683</v>
      </c>
      <c r="IH80" t="s">
        <v>660</v>
      </c>
      <c r="II80" t="s">
        <v>661</v>
      </c>
      <c r="IJ80" t="s">
        <v>838</v>
      </c>
      <c r="IK80" t="s">
        <v>838</v>
      </c>
      <c r="IL80" s="87" t="s">
        <v>29</v>
      </c>
      <c r="JH80" t="s">
        <v>1681</v>
      </c>
      <c r="JI80" t="s">
        <v>15</v>
      </c>
      <c r="JJ80" t="s">
        <v>14</v>
      </c>
      <c r="JK80" s="8" t="s">
        <v>1682</v>
      </c>
      <c r="JN80" t="s">
        <v>13</v>
      </c>
      <c r="JO80">
        <v>40</v>
      </c>
      <c r="JP80">
        <v>50</v>
      </c>
      <c r="KD80" t="s">
        <v>12</v>
      </c>
      <c r="MR80" t="s">
        <v>1658</v>
      </c>
      <c r="MS80">
        <v>36</v>
      </c>
      <c r="NC80" t="s">
        <v>1694</v>
      </c>
      <c r="ND80" t="s">
        <v>1607</v>
      </c>
      <c r="NF80" t="s">
        <v>671</v>
      </c>
      <c r="NG80" t="s">
        <v>265</v>
      </c>
      <c r="NP80" t="s">
        <v>6</v>
      </c>
      <c r="NQ80">
        <v>629.29999999999995</v>
      </c>
      <c r="NR80" s="4" t="s">
        <v>4</v>
      </c>
      <c r="NS80">
        <v>5</v>
      </c>
      <c r="NV80">
        <v>4</v>
      </c>
      <c r="OG80" t="s">
        <v>1675</v>
      </c>
      <c r="OH80" s="87" t="s">
        <v>2</v>
      </c>
      <c r="OI80">
        <v>2008</v>
      </c>
      <c r="OL80" t="s">
        <v>1684</v>
      </c>
      <c r="ON80" t="s">
        <v>1178</v>
      </c>
      <c r="OO80" s="58">
        <v>46105</v>
      </c>
    </row>
    <row r="81" spans="1:405" ht="15.75" thickBot="1">
      <c r="A81" t="s">
        <v>248</v>
      </c>
      <c r="B81" t="s">
        <v>1889</v>
      </c>
      <c r="C81" t="s">
        <v>34</v>
      </c>
      <c r="D81" s="100" t="s">
        <v>31</v>
      </c>
      <c r="E81" s="90" t="s">
        <v>1676</v>
      </c>
      <c r="F81" s="100" t="s">
        <v>31</v>
      </c>
      <c r="G81" s="87" t="s">
        <v>2</v>
      </c>
      <c r="H81" s="87" t="s">
        <v>30</v>
      </c>
      <c r="I81">
        <v>-0.41666666699999999</v>
      </c>
      <c r="J81">
        <v>34.200000000000003</v>
      </c>
      <c r="K81" s="87" t="s">
        <v>29</v>
      </c>
      <c r="AV81" t="s">
        <v>1679</v>
      </c>
      <c r="AW81">
        <v>46</v>
      </c>
      <c r="AX81" t="s">
        <v>234</v>
      </c>
      <c r="AY81">
        <v>1</v>
      </c>
      <c r="AZ81" t="s">
        <v>1687</v>
      </c>
      <c r="BA81">
        <v>2007</v>
      </c>
      <c r="BB81">
        <v>2008</v>
      </c>
      <c r="BD81" t="s">
        <v>19</v>
      </c>
      <c r="BE81" t="s">
        <v>1669</v>
      </c>
      <c r="BF81" t="s">
        <v>24</v>
      </c>
      <c r="BH81" t="s">
        <v>23</v>
      </c>
      <c r="BI81" t="s">
        <v>1680</v>
      </c>
      <c r="BJ81" s="87" t="s">
        <v>22</v>
      </c>
      <c r="BK81">
        <v>44444</v>
      </c>
      <c r="IF81" t="s">
        <v>1669</v>
      </c>
      <c r="IG81" t="s">
        <v>19</v>
      </c>
      <c r="JH81" t="s">
        <v>1681</v>
      </c>
      <c r="JI81" t="s">
        <v>15</v>
      </c>
      <c r="JJ81" t="s">
        <v>14</v>
      </c>
      <c r="JK81" s="8" t="s">
        <v>1682</v>
      </c>
      <c r="JN81" t="s">
        <v>13</v>
      </c>
      <c r="JO81">
        <v>40</v>
      </c>
      <c r="JP81">
        <v>50</v>
      </c>
      <c r="KD81" t="s">
        <v>12</v>
      </c>
      <c r="MR81" t="s">
        <v>1658</v>
      </c>
      <c r="MS81">
        <v>36</v>
      </c>
      <c r="NC81" t="s">
        <v>1693</v>
      </c>
      <c r="ND81" t="s">
        <v>1607</v>
      </c>
      <c r="NF81" t="s">
        <v>671</v>
      </c>
      <c r="NG81" t="s">
        <v>265</v>
      </c>
      <c r="NP81" t="s">
        <v>6</v>
      </c>
      <c r="NQ81">
        <v>263.2</v>
      </c>
      <c r="NR81" s="4" t="s">
        <v>4</v>
      </c>
      <c r="NS81">
        <v>7</v>
      </c>
      <c r="NV81">
        <v>4</v>
      </c>
      <c r="OG81" t="s">
        <v>1701</v>
      </c>
      <c r="OH81" s="87" t="s">
        <v>2</v>
      </c>
      <c r="OI81">
        <v>2007</v>
      </c>
      <c r="OL81" t="s">
        <v>1684</v>
      </c>
      <c r="ON81" t="s">
        <v>1178</v>
      </c>
      <c r="OO81" s="58">
        <v>46105</v>
      </c>
    </row>
    <row r="82" spans="1:405" ht="15.75" thickBot="1">
      <c r="A82" t="s">
        <v>248</v>
      </c>
      <c r="B82" t="s">
        <v>1889</v>
      </c>
      <c r="C82" t="s">
        <v>34</v>
      </c>
      <c r="D82" s="100" t="s">
        <v>31</v>
      </c>
      <c r="E82" s="90" t="s">
        <v>1676</v>
      </c>
      <c r="F82" s="100" t="s">
        <v>31</v>
      </c>
      <c r="G82" s="87" t="s">
        <v>2</v>
      </c>
      <c r="H82" s="87" t="s">
        <v>30</v>
      </c>
      <c r="I82">
        <v>-0.41666666699999999</v>
      </c>
      <c r="J82">
        <v>34.200000000000003</v>
      </c>
      <c r="K82" s="87" t="s">
        <v>29</v>
      </c>
      <c r="AV82" t="s">
        <v>1679</v>
      </c>
      <c r="AW82">
        <v>47</v>
      </c>
      <c r="AX82" t="s">
        <v>234</v>
      </c>
      <c r="AY82">
        <v>1</v>
      </c>
      <c r="AZ82" t="s">
        <v>1687</v>
      </c>
      <c r="BA82">
        <v>2007</v>
      </c>
      <c r="BB82">
        <v>2008</v>
      </c>
      <c r="BD82" t="s">
        <v>238</v>
      </c>
      <c r="BE82" t="s">
        <v>1670</v>
      </c>
      <c r="BF82" t="s">
        <v>252</v>
      </c>
      <c r="BH82" t="s">
        <v>23</v>
      </c>
      <c r="BI82" t="s">
        <v>1680</v>
      </c>
      <c r="BJ82" s="87" t="s">
        <v>22</v>
      </c>
      <c r="BK82">
        <v>44444</v>
      </c>
      <c r="BL82" t="s">
        <v>56</v>
      </c>
      <c r="BM82" t="s">
        <v>1677</v>
      </c>
      <c r="BN82" t="s">
        <v>1678</v>
      </c>
      <c r="BO82" s="87" t="s">
        <v>22</v>
      </c>
      <c r="BP82">
        <v>44444</v>
      </c>
      <c r="IF82" t="s">
        <v>1670</v>
      </c>
      <c r="IG82" s="84" t="s">
        <v>1453</v>
      </c>
      <c r="IH82" t="s">
        <v>660</v>
      </c>
      <c r="II82" t="s">
        <v>661</v>
      </c>
      <c r="IJ82" t="s">
        <v>838</v>
      </c>
      <c r="IK82" t="s">
        <v>838</v>
      </c>
      <c r="IL82" s="87" t="s">
        <v>29</v>
      </c>
      <c r="JH82" t="s">
        <v>1681</v>
      </c>
      <c r="JI82" t="s">
        <v>15</v>
      </c>
      <c r="JJ82" t="s">
        <v>14</v>
      </c>
      <c r="JK82" s="8" t="s">
        <v>1682</v>
      </c>
      <c r="JN82" t="s">
        <v>13</v>
      </c>
      <c r="JO82">
        <v>40</v>
      </c>
      <c r="JP82">
        <v>50</v>
      </c>
      <c r="KD82" t="s">
        <v>12</v>
      </c>
      <c r="MR82" t="s">
        <v>1658</v>
      </c>
      <c r="MS82">
        <v>36</v>
      </c>
      <c r="NC82" t="s">
        <v>1694</v>
      </c>
      <c r="ND82" t="s">
        <v>1607</v>
      </c>
      <c r="NF82" t="s">
        <v>671</v>
      </c>
      <c r="NG82" t="s">
        <v>265</v>
      </c>
      <c r="NP82" t="s">
        <v>6</v>
      </c>
      <c r="NQ82">
        <v>390.3</v>
      </c>
      <c r="NR82" s="4" t="s">
        <v>4</v>
      </c>
      <c r="NS82">
        <v>7</v>
      </c>
      <c r="NV82">
        <v>4</v>
      </c>
      <c r="OG82" t="s">
        <v>1701</v>
      </c>
      <c r="OH82" s="87" t="s">
        <v>2</v>
      </c>
      <c r="OI82">
        <v>2007</v>
      </c>
      <c r="OL82" t="s">
        <v>1684</v>
      </c>
      <c r="ON82" t="s">
        <v>1178</v>
      </c>
      <c r="OO82" s="58">
        <v>46105</v>
      </c>
    </row>
    <row r="83" spans="1:405" ht="15.75" thickBot="1">
      <c r="A83" t="s">
        <v>248</v>
      </c>
      <c r="B83" t="s">
        <v>1889</v>
      </c>
      <c r="C83" t="s">
        <v>34</v>
      </c>
      <c r="D83" s="100" t="s">
        <v>31</v>
      </c>
      <c r="E83" s="90" t="s">
        <v>1676</v>
      </c>
      <c r="F83" s="100" t="s">
        <v>31</v>
      </c>
      <c r="G83" s="87" t="s">
        <v>2</v>
      </c>
      <c r="H83" s="87" t="s">
        <v>30</v>
      </c>
      <c r="I83">
        <v>-0.41666666699999999</v>
      </c>
      <c r="J83">
        <v>34.200000000000003</v>
      </c>
      <c r="K83" s="87" t="s">
        <v>29</v>
      </c>
      <c r="AV83" t="s">
        <v>1679</v>
      </c>
      <c r="AW83">
        <v>48</v>
      </c>
      <c r="AX83" t="s">
        <v>234</v>
      </c>
      <c r="AY83">
        <v>1</v>
      </c>
      <c r="AZ83" t="s">
        <v>1687</v>
      </c>
      <c r="BA83">
        <v>2007</v>
      </c>
      <c r="BB83">
        <v>2008</v>
      </c>
      <c r="BD83" t="s">
        <v>238</v>
      </c>
      <c r="BE83" t="s">
        <v>1671</v>
      </c>
      <c r="BF83" t="s">
        <v>236</v>
      </c>
      <c r="BH83" t="s">
        <v>23</v>
      </c>
      <c r="BI83" t="s">
        <v>1680</v>
      </c>
      <c r="BJ83" s="87" t="s">
        <v>22</v>
      </c>
      <c r="BK83">
        <v>44444</v>
      </c>
      <c r="BL83" t="s">
        <v>56</v>
      </c>
      <c r="BM83" t="s">
        <v>1664</v>
      </c>
      <c r="BN83" t="s">
        <v>234</v>
      </c>
      <c r="BO83" t="s">
        <v>234</v>
      </c>
      <c r="BP83" t="s">
        <v>234</v>
      </c>
      <c r="IF83" t="s">
        <v>1671</v>
      </c>
      <c r="IG83" s="84" t="s">
        <v>1683</v>
      </c>
      <c r="IH83" t="s">
        <v>660</v>
      </c>
      <c r="II83" t="s">
        <v>661</v>
      </c>
      <c r="IJ83" t="s">
        <v>838</v>
      </c>
      <c r="IK83" t="s">
        <v>838</v>
      </c>
      <c r="IL83" s="87" t="s">
        <v>29</v>
      </c>
      <c r="JH83" t="s">
        <v>1681</v>
      </c>
      <c r="JI83" t="s">
        <v>15</v>
      </c>
      <c r="JJ83" t="s">
        <v>14</v>
      </c>
      <c r="JK83" s="8" t="s">
        <v>1682</v>
      </c>
      <c r="JN83" t="s">
        <v>13</v>
      </c>
      <c r="JO83">
        <v>40</v>
      </c>
      <c r="JP83">
        <v>50</v>
      </c>
      <c r="KD83" t="s">
        <v>12</v>
      </c>
      <c r="MR83" t="s">
        <v>1658</v>
      </c>
      <c r="MS83">
        <v>36</v>
      </c>
      <c r="NC83" t="s">
        <v>1694</v>
      </c>
      <c r="ND83" t="s">
        <v>1607</v>
      </c>
      <c r="NF83" t="s">
        <v>671</v>
      </c>
      <c r="NG83" t="s">
        <v>265</v>
      </c>
      <c r="NP83" t="s">
        <v>6</v>
      </c>
      <c r="NQ83">
        <v>488.4</v>
      </c>
      <c r="NR83" s="4" t="s">
        <v>4</v>
      </c>
      <c r="NS83">
        <v>7</v>
      </c>
      <c r="NV83">
        <v>4</v>
      </c>
      <c r="OG83" t="s">
        <v>1701</v>
      </c>
      <c r="OH83" s="87" t="s">
        <v>2</v>
      </c>
      <c r="OI83">
        <v>2007</v>
      </c>
      <c r="OL83" t="s">
        <v>1684</v>
      </c>
      <c r="ON83" t="s">
        <v>1178</v>
      </c>
      <c r="OO83" s="58">
        <v>46105</v>
      </c>
    </row>
    <row r="84" spans="1:405" ht="15.75" thickBot="1">
      <c r="A84" t="s">
        <v>248</v>
      </c>
      <c r="B84" t="s">
        <v>1889</v>
      </c>
      <c r="C84" t="s">
        <v>34</v>
      </c>
      <c r="D84" s="100" t="s">
        <v>31</v>
      </c>
      <c r="E84" s="90" t="s">
        <v>1676</v>
      </c>
      <c r="F84" s="100" t="s">
        <v>31</v>
      </c>
      <c r="G84" s="87" t="s">
        <v>2</v>
      </c>
      <c r="H84" s="87" t="s">
        <v>30</v>
      </c>
      <c r="I84">
        <v>-0.41666666699999999</v>
      </c>
      <c r="J84">
        <v>34.200000000000003</v>
      </c>
      <c r="K84" s="87" t="s">
        <v>29</v>
      </c>
      <c r="AV84" t="s">
        <v>1679</v>
      </c>
      <c r="AW84">
        <v>49</v>
      </c>
      <c r="AX84" t="s">
        <v>234</v>
      </c>
      <c r="AY84">
        <v>1</v>
      </c>
      <c r="AZ84" t="s">
        <v>1687</v>
      </c>
      <c r="BA84">
        <v>2007</v>
      </c>
      <c r="BB84">
        <v>2008</v>
      </c>
      <c r="BD84" t="s">
        <v>238</v>
      </c>
      <c r="BE84" t="s">
        <v>1672</v>
      </c>
      <c r="BF84" t="s">
        <v>284</v>
      </c>
      <c r="BH84" t="s">
        <v>23</v>
      </c>
      <c r="BI84" t="s">
        <v>1680</v>
      </c>
      <c r="BJ84" s="87" t="s">
        <v>22</v>
      </c>
      <c r="BK84">
        <v>44444</v>
      </c>
      <c r="BL84" t="s">
        <v>56</v>
      </c>
      <c r="BM84" t="s">
        <v>1677</v>
      </c>
      <c r="BN84" t="s">
        <v>1678</v>
      </c>
      <c r="BO84" s="87" t="s">
        <v>22</v>
      </c>
      <c r="BP84">
        <v>44444</v>
      </c>
      <c r="BQ84" t="s">
        <v>56</v>
      </c>
      <c r="BR84" t="s">
        <v>1664</v>
      </c>
      <c r="BS84" t="s">
        <v>234</v>
      </c>
      <c r="BT84" t="s">
        <v>234</v>
      </c>
      <c r="BU84" t="s">
        <v>234</v>
      </c>
      <c r="IF84" t="s">
        <v>1672</v>
      </c>
      <c r="IG84" s="84" t="s">
        <v>1683</v>
      </c>
      <c r="IH84" t="s">
        <v>660</v>
      </c>
      <c r="II84" t="s">
        <v>661</v>
      </c>
      <c r="IJ84" t="s">
        <v>838</v>
      </c>
      <c r="IK84" t="s">
        <v>838</v>
      </c>
      <c r="IL84" s="87" t="s">
        <v>29</v>
      </c>
      <c r="JH84" t="s">
        <v>1681</v>
      </c>
      <c r="JI84" t="s">
        <v>15</v>
      </c>
      <c r="JJ84" t="s">
        <v>14</v>
      </c>
      <c r="JK84" s="8" t="s">
        <v>1682</v>
      </c>
      <c r="JN84" t="s">
        <v>13</v>
      </c>
      <c r="JO84">
        <v>40</v>
      </c>
      <c r="JP84">
        <v>50</v>
      </c>
      <c r="KD84" t="s">
        <v>12</v>
      </c>
      <c r="MR84" t="s">
        <v>1658</v>
      </c>
      <c r="MS84">
        <v>36</v>
      </c>
      <c r="NC84" t="s">
        <v>1694</v>
      </c>
      <c r="ND84" t="s">
        <v>1607</v>
      </c>
      <c r="NF84" t="s">
        <v>671</v>
      </c>
      <c r="NG84" t="s">
        <v>265</v>
      </c>
      <c r="NP84" t="s">
        <v>6</v>
      </c>
      <c r="NQ84">
        <v>525</v>
      </c>
      <c r="NR84" s="4" t="s">
        <v>4</v>
      </c>
      <c r="NS84">
        <v>9</v>
      </c>
      <c r="NV84">
        <v>4</v>
      </c>
      <c r="OG84" t="s">
        <v>1701</v>
      </c>
      <c r="OH84" s="87" t="s">
        <v>2</v>
      </c>
      <c r="OI84">
        <v>2007</v>
      </c>
      <c r="OL84" t="s">
        <v>1684</v>
      </c>
      <c r="ON84" t="s">
        <v>1178</v>
      </c>
      <c r="OO84" s="58">
        <v>46105</v>
      </c>
    </row>
    <row r="85" spans="1:405" ht="15.75" thickBot="1">
      <c r="A85" t="s">
        <v>248</v>
      </c>
      <c r="B85" t="s">
        <v>1889</v>
      </c>
      <c r="C85" t="s">
        <v>34</v>
      </c>
      <c r="D85" s="100" t="s">
        <v>31</v>
      </c>
      <c r="E85" s="90" t="s">
        <v>1676</v>
      </c>
      <c r="F85" s="100" t="s">
        <v>31</v>
      </c>
      <c r="G85" s="87" t="s">
        <v>2</v>
      </c>
      <c r="H85" s="87" t="s">
        <v>30</v>
      </c>
      <c r="I85">
        <v>-0.41666666699999999</v>
      </c>
      <c r="J85">
        <v>34.200000000000003</v>
      </c>
      <c r="K85" s="87" t="s">
        <v>29</v>
      </c>
      <c r="AV85" t="s">
        <v>1679</v>
      </c>
      <c r="AW85">
        <v>50</v>
      </c>
      <c r="AX85" t="s">
        <v>234</v>
      </c>
      <c r="AY85">
        <v>1</v>
      </c>
      <c r="AZ85" t="s">
        <v>1687</v>
      </c>
      <c r="BA85">
        <v>2007</v>
      </c>
      <c r="BB85">
        <v>2008</v>
      </c>
      <c r="BD85" t="s">
        <v>238</v>
      </c>
      <c r="BE85" t="s">
        <v>1673</v>
      </c>
      <c r="BF85" t="s">
        <v>277</v>
      </c>
      <c r="BH85" t="s">
        <v>23</v>
      </c>
      <c r="BI85" t="s">
        <v>1680</v>
      </c>
      <c r="BJ85" s="87" t="s">
        <v>22</v>
      </c>
      <c r="BK85">
        <v>44444</v>
      </c>
      <c r="BL85" t="s">
        <v>56</v>
      </c>
      <c r="BM85" t="s">
        <v>1677</v>
      </c>
      <c r="BN85" t="s">
        <v>1678</v>
      </c>
      <c r="BO85" s="87" t="s">
        <v>22</v>
      </c>
      <c r="BP85">
        <v>44444</v>
      </c>
      <c r="BQ85" t="s">
        <v>56</v>
      </c>
      <c r="BR85" t="s">
        <v>1664</v>
      </c>
      <c r="BS85" t="s">
        <v>234</v>
      </c>
      <c r="BT85" t="s">
        <v>234</v>
      </c>
      <c r="BU85" t="s">
        <v>234</v>
      </c>
      <c r="IF85" t="s">
        <v>1673</v>
      </c>
      <c r="IG85" s="84" t="s">
        <v>1683</v>
      </c>
      <c r="IH85" t="s">
        <v>660</v>
      </c>
      <c r="II85" t="s">
        <v>661</v>
      </c>
      <c r="IJ85" t="s">
        <v>838</v>
      </c>
      <c r="IK85" t="s">
        <v>838</v>
      </c>
      <c r="IL85" s="87" t="s">
        <v>29</v>
      </c>
      <c r="JH85" t="s">
        <v>1681</v>
      </c>
      <c r="JI85" t="s">
        <v>15</v>
      </c>
      <c r="JJ85" t="s">
        <v>14</v>
      </c>
      <c r="JK85" s="8" t="s">
        <v>1682</v>
      </c>
      <c r="JN85" t="s">
        <v>13</v>
      </c>
      <c r="JO85">
        <v>40</v>
      </c>
      <c r="JP85">
        <v>50</v>
      </c>
      <c r="KD85" t="s">
        <v>12</v>
      </c>
      <c r="MR85" t="s">
        <v>1658</v>
      </c>
      <c r="MS85">
        <v>36</v>
      </c>
      <c r="NC85" t="s">
        <v>1694</v>
      </c>
      <c r="ND85" t="s">
        <v>1607</v>
      </c>
      <c r="NF85" t="s">
        <v>671</v>
      </c>
      <c r="NG85" t="s">
        <v>265</v>
      </c>
      <c r="NP85" t="s">
        <v>6</v>
      </c>
      <c r="NQ85">
        <v>580.29999999999995</v>
      </c>
      <c r="NR85" s="4" t="s">
        <v>4</v>
      </c>
      <c r="NS85">
        <v>6</v>
      </c>
      <c r="NV85">
        <v>4</v>
      </c>
      <c r="OG85" t="s">
        <v>1701</v>
      </c>
      <c r="OH85" s="87" t="s">
        <v>2</v>
      </c>
      <c r="OI85">
        <v>2007</v>
      </c>
      <c r="OL85" t="s">
        <v>1684</v>
      </c>
      <c r="ON85" t="s">
        <v>1178</v>
      </c>
      <c r="OO85" s="58">
        <v>46105</v>
      </c>
    </row>
    <row r="86" spans="1:405" ht="15.75" thickBot="1">
      <c r="A86" t="s">
        <v>248</v>
      </c>
      <c r="B86" t="s">
        <v>1889</v>
      </c>
      <c r="C86" t="s">
        <v>34</v>
      </c>
      <c r="D86" s="100" t="s">
        <v>31</v>
      </c>
      <c r="E86" s="90" t="s">
        <v>1676</v>
      </c>
      <c r="F86" s="100" t="s">
        <v>31</v>
      </c>
      <c r="G86" s="87" t="s">
        <v>2</v>
      </c>
      <c r="H86" s="87" t="s">
        <v>30</v>
      </c>
      <c r="I86">
        <v>-0.41666666699999999</v>
      </c>
      <c r="J86">
        <v>34.200000000000003</v>
      </c>
      <c r="K86" s="87" t="s">
        <v>29</v>
      </c>
      <c r="AV86" t="s">
        <v>1679</v>
      </c>
      <c r="AW86">
        <v>51</v>
      </c>
      <c r="AX86" t="s">
        <v>234</v>
      </c>
      <c r="AY86">
        <v>1</v>
      </c>
      <c r="AZ86" t="s">
        <v>1685</v>
      </c>
      <c r="BA86">
        <v>2007</v>
      </c>
      <c r="BB86">
        <v>2008</v>
      </c>
      <c r="BD86" t="s">
        <v>19</v>
      </c>
      <c r="BE86" t="s">
        <v>1669</v>
      </c>
      <c r="BF86" t="s">
        <v>24</v>
      </c>
      <c r="BH86" t="s">
        <v>23</v>
      </c>
      <c r="BI86" t="s">
        <v>1680</v>
      </c>
      <c r="BJ86" s="87" t="s">
        <v>22</v>
      </c>
      <c r="BK86">
        <v>44444</v>
      </c>
      <c r="IF86" t="s">
        <v>1669</v>
      </c>
      <c r="IG86" t="s">
        <v>19</v>
      </c>
      <c r="JH86" t="s">
        <v>1681</v>
      </c>
      <c r="JI86" t="s">
        <v>15</v>
      </c>
      <c r="JJ86" t="s">
        <v>14</v>
      </c>
      <c r="JK86" s="8" t="s">
        <v>1682</v>
      </c>
      <c r="JN86" t="s">
        <v>13</v>
      </c>
      <c r="JO86">
        <v>40</v>
      </c>
      <c r="JP86">
        <v>50</v>
      </c>
      <c r="KD86" t="s">
        <v>12</v>
      </c>
      <c r="MR86" t="s">
        <v>1658</v>
      </c>
      <c r="MS86">
        <v>36</v>
      </c>
      <c r="NC86" t="s">
        <v>1693</v>
      </c>
      <c r="ND86" t="s">
        <v>1607</v>
      </c>
      <c r="NF86" t="s">
        <v>671</v>
      </c>
      <c r="NG86" t="s">
        <v>265</v>
      </c>
      <c r="NP86" t="s">
        <v>6</v>
      </c>
      <c r="NQ86">
        <v>239</v>
      </c>
      <c r="NR86" s="4" t="s">
        <v>4</v>
      </c>
      <c r="NS86">
        <v>6</v>
      </c>
      <c r="NV86">
        <v>4</v>
      </c>
      <c r="OG86" t="s">
        <v>1700</v>
      </c>
      <c r="OH86" s="87" t="s">
        <v>2</v>
      </c>
      <c r="OI86">
        <v>2007</v>
      </c>
      <c r="OL86" t="s">
        <v>1674</v>
      </c>
      <c r="ON86" t="s">
        <v>1178</v>
      </c>
      <c r="OO86" s="58">
        <v>46105</v>
      </c>
    </row>
    <row r="87" spans="1:405" ht="15.75" thickBot="1">
      <c r="A87" t="s">
        <v>248</v>
      </c>
      <c r="B87" t="s">
        <v>1889</v>
      </c>
      <c r="C87" t="s">
        <v>34</v>
      </c>
      <c r="D87" s="100" t="s">
        <v>31</v>
      </c>
      <c r="E87" s="90" t="s">
        <v>1676</v>
      </c>
      <c r="F87" s="100" t="s">
        <v>31</v>
      </c>
      <c r="G87" s="87" t="s">
        <v>2</v>
      </c>
      <c r="H87" s="87" t="s">
        <v>30</v>
      </c>
      <c r="I87">
        <v>-0.41666666699999999</v>
      </c>
      <c r="J87">
        <v>34.200000000000003</v>
      </c>
      <c r="K87" s="87" t="s">
        <v>29</v>
      </c>
      <c r="AV87" t="s">
        <v>1679</v>
      </c>
      <c r="AW87">
        <v>52</v>
      </c>
      <c r="AX87" t="s">
        <v>234</v>
      </c>
      <c r="AY87">
        <v>1</v>
      </c>
      <c r="AZ87" t="s">
        <v>1685</v>
      </c>
      <c r="BA87">
        <v>2007</v>
      </c>
      <c r="BB87">
        <v>2008</v>
      </c>
      <c r="BD87" t="s">
        <v>238</v>
      </c>
      <c r="BE87" t="s">
        <v>1670</v>
      </c>
      <c r="BF87" t="s">
        <v>252</v>
      </c>
      <c r="BH87" t="s">
        <v>23</v>
      </c>
      <c r="BI87" t="s">
        <v>1680</v>
      </c>
      <c r="BJ87" s="87" t="s">
        <v>22</v>
      </c>
      <c r="BK87">
        <v>44444</v>
      </c>
      <c r="BL87" t="s">
        <v>56</v>
      </c>
      <c r="BM87" t="s">
        <v>1677</v>
      </c>
      <c r="BN87" t="s">
        <v>1678</v>
      </c>
      <c r="BO87" s="87" t="s">
        <v>22</v>
      </c>
      <c r="BP87">
        <v>44444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8"/>
      <c r="IF87" t="s">
        <v>1670</v>
      </c>
      <c r="IG87" s="84" t="s">
        <v>1453</v>
      </c>
      <c r="IH87" t="s">
        <v>660</v>
      </c>
      <c r="II87" t="s">
        <v>661</v>
      </c>
      <c r="IJ87" t="s">
        <v>838</v>
      </c>
      <c r="IK87" t="s">
        <v>838</v>
      </c>
      <c r="IL87" s="87" t="s">
        <v>29</v>
      </c>
      <c r="JH87" t="s">
        <v>1681</v>
      </c>
      <c r="JI87" t="s">
        <v>15</v>
      </c>
      <c r="JJ87" t="s">
        <v>14</v>
      </c>
      <c r="JK87" s="8" t="s">
        <v>1682</v>
      </c>
      <c r="JN87" t="s">
        <v>13</v>
      </c>
      <c r="JO87">
        <v>40</v>
      </c>
      <c r="JP87">
        <v>50</v>
      </c>
      <c r="KD87" t="s">
        <v>12</v>
      </c>
      <c r="MR87" t="s">
        <v>1658</v>
      </c>
      <c r="MS87">
        <v>36</v>
      </c>
      <c r="NC87" t="s">
        <v>1694</v>
      </c>
      <c r="ND87" t="s">
        <v>1607</v>
      </c>
      <c r="NF87" t="s">
        <v>671</v>
      </c>
      <c r="NG87" t="s">
        <v>265</v>
      </c>
      <c r="NP87" t="s">
        <v>6</v>
      </c>
      <c r="NQ87">
        <v>337.4</v>
      </c>
      <c r="NR87" s="4" t="s">
        <v>4</v>
      </c>
      <c r="NS87">
        <v>6</v>
      </c>
      <c r="NV87">
        <v>4</v>
      </c>
      <c r="OG87" t="s">
        <v>1700</v>
      </c>
      <c r="OH87" s="87" t="s">
        <v>2</v>
      </c>
      <c r="OI87">
        <v>2007</v>
      </c>
      <c r="OL87" t="s">
        <v>1674</v>
      </c>
      <c r="ON87" t="s">
        <v>1178</v>
      </c>
      <c r="OO87" s="58">
        <v>46105</v>
      </c>
    </row>
    <row r="88" spans="1:405" ht="15.75" thickBot="1">
      <c r="A88" t="s">
        <v>248</v>
      </c>
      <c r="B88" t="s">
        <v>1889</v>
      </c>
      <c r="C88" t="s">
        <v>34</v>
      </c>
      <c r="D88" s="100" t="s">
        <v>31</v>
      </c>
      <c r="E88" s="90" t="s">
        <v>1676</v>
      </c>
      <c r="F88" s="100" t="s">
        <v>31</v>
      </c>
      <c r="G88" s="87" t="s">
        <v>2</v>
      </c>
      <c r="H88" s="87" t="s">
        <v>30</v>
      </c>
      <c r="I88">
        <v>-0.41666666699999999</v>
      </c>
      <c r="J88">
        <v>34.200000000000003</v>
      </c>
      <c r="K88" s="87" t="s">
        <v>29</v>
      </c>
      <c r="AV88" t="s">
        <v>1679</v>
      </c>
      <c r="AW88">
        <v>53</v>
      </c>
      <c r="AX88" t="s">
        <v>234</v>
      </c>
      <c r="AY88">
        <v>1</v>
      </c>
      <c r="AZ88" t="s">
        <v>1685</v>
      </c>
      <c r="BA88">
        <v>2007</v>
      </c>
      <c r="BB88">
        <v>2008</v>
      </c>
      <c r="BD88" t="s">
        <v>238</v>
      </c>
      <c r="BE88" t="s">
        <v>1671</v>
      </c>
      <c r="BF88" t="s">
        <v>236</v>
      </c>
      <c r="BH88" t="s">
        <v>23</v>
      </c>
      <c r="BI88" t="s">
        <v>1680</v>
      </c>
      <c r="BJ88" s="87" t="s">
        <v>22</v>
      </c>
      <c r="BK88">
        <v>44444</v>
      </c>
      <c r="BL88" t="s">
        <v>56</v>
      </c>
      <c r="BM88" t="s">
        <v>1664</v>
      </c>
      <c r="BN88" t="s">
        <v>234</v>
      </c>
      <c r="BO88" t="s">
        <v>234</v>
      </c>
      <c r="BP88" t="s">
        <v>234</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8"/>
      <c r="IF88" t="s">
        <v>1671</v>
      </c>
      <c r="IG88" s="84" t="s">
        <v>1683</v>
      </c>
      <c r="IH88" t="s">
        <v>660</v>
      </c>
      <c r="II88" t="s">
        <v>661</v>
      </c>
      <c r="IJ88" t="s">
        <v>838</v>
      </c>
      <c r="IK88" t="s">
        <v>838</v>
      </c>
      <c r="IL88" s="87" t="s">
        <v>29</v>
      </c>
      <c r="JH88" t="s">
        <v>1681</v>
      </c>
      <c r="JI88" t="s">
        <v>15</v>
      </c>
      <c r="JJ88" t="s">
        <v>14</v>
      </c>
      <c r="JK88" s="8" t="s">
        <v>1682</v>
      </c>
      <c r="JN88" t="s">
        <v>13</v>
      </c>
      <c r="JO88">
        <v>40</v>
      </c>
      <c r="JP88">
        <v>50</v>
      </c>
      <c r="KD88" t="s">
        <v>12</v>
      </c>
      <c r="MR88" t="s">
        <v>1658</v>
      </c>
      <c r="MS88">
        <v>36</v>
      </c>
      <c r="NC88" t="s">
        <v>1694</v>
      </c>
      <c r="ND88" t="s">
        <v>1607</v>
      </c>
      <c r="NF88" t="s">
        <v>671</v>
      </c>
      <c r="NG88" t="s">
        <v>265</v>
      </c>
      <c r="NP88" t="s">
        <v>6</v>
      </c>
      <c r="NQ88">
        <v>428.2</v>
      </c>
      <c r="NR88" s="4" t="s">
        <v>4</v>
      </c>
      <c r="NS88">
        <v>8</v>
      </c>
      <c r="NV88">
        <v>4</v>
      </c>
      <c r="OG88" t="s">
        <v>1700</v>
      </c>
      <c r="OH88" s="87" t="s">
        <v>2</v>
      </c>
      <c r="OI88">
        <v>2007</v>
      </c>
      <c r="OL88" t="s">
        <v>1674</v>
      </c>
      <c r="ON88" t="s">
        <v>1178</v>
      </c>
      <c r="OO88" s="58">
        <v>46105</v>
      </c>
    </row>
    <row r="89" spans="1:405" ht="15.75" thickBot="1">
      <c r="A89" t="s">
        <v>248</v>
      </c>
      <c r="B89" t="s">
        <v>1889</v>
      </c>
      <c r="C89" t="s">
        <v>34</v>
      </c>
      <c r="D89" s="100" t="s">
        <v>31</v>
      </c>
      <c r="E89" s="90" t="s">
        <v>1676</v>
      </c>
      <c r="F89" s="100" t="s">
        <v>31</v>
      </c>
      <c r="G89" s="87" t="s">
        <v>2</v>
      </c>
      <c r="H89" s="87" t="s">
        <v>30</v>
      </c>
      <c r="I89">
        <v>-0.41666666699999999</v>
      </c>
      <c r="J89">
        <v>34.200000000000003</v>
      </c>
      <c r="K89" s="87" t="s">
        <v>29</v>
      </c>
      <c r="AV89" t="s">
        <v>1679</v>
      </c>
      <c r="AW89">
        <v>54</v>
      </c>
      <c r="AX89" t="s">
        <v>234</v>
      </c>
      <c r="AY89">
        <v>1</v>
      </c>
      <c r="AZ89" t="s">
        <v>1685</v>
      </c>
      <c r="BA89">
        <v>2007</v>
      </c>
      <c r="BB89">
        <v>2008</v>
      </c>
      <c r="BD89" t="s">
        <v>238</v>
      </c>
      <c r="BE89" t="s">
        <v>1672</v>
      </c>
      <c r="BF89" t="s">
        <v>284</v>
      </c>
      <c r="BH89" t="s">
        <v>23</v>
      </c>
      <c r="BI89" t="s">
        <v>1680</v>
      </c>
      <c r="BJ89" s="87" t="s">
        <v>22</v>
      </c>
      <c r="BK89">
        <v>44444</v>
      </c>
      <c r="BL89" t="s">
        <v>56</v>
      </c>
      <c r="BM89" t="s">
        <v>1677</v>
      </c>
      <c r="BN89" t="s">
        <v>1678</v>
      </c>
      <c r="BO89" s="87" t="s">
        <v>22</v>
      </c>
      <c r="BP89">
        <v>44444</v>
      </c>
      <c r="BQ89" t="s">
        <v>56</v>
      </c>
      <c r="BR89" t="s">
        <v>1664</v>
      </c>
      <c r="BS89" t="s">
        <v>234</v>
      </c>
      <c r="BT89" t="s">
        <v>234</v>
      </c>
      <c r="BU89" t="s">
        <v>234</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8"/>
      <c r="IF89" t="s">
        <v>1672</v>
      </c>
      <c r="IG89" s="84" t="s">
        <v>1683</v>
      </c>
      <c r="IH89" t="s">
        <v>660</v>
      </c>
      <c r="II89" t="s">
        <v>661</v>
      </c>
      <c r="IJ89" t="s">
        <v>838</v>
      </c>
      <c r="IK89" t="s">
        <v>838</v>
      </c>
      <c r="IL89" s="87" t="s">
        <v>29</v>
      </c>
      <c r="JH89" t="s">
        <v>1681</v>
      </c>
      <c r="JI89" t="s">
        <v>15</v>
      </c>
      <c r="JJ89" t="s">
        <v>14</v>
      </c>
      <c r="JK89" s="8" t="s">
        <v>1682</v>
      </c>
      <c r="JN89" t="s">
        <v>13</v>
      </c>
      <c r="JO89">
        <v>40</v>
      </c>
      <c r="JP89">
        <v>50</v>
      </c>
      <c r="KD89" t="s">
        <v>12</v>
      </c>
      <c r="MR89" t="s">
        <v>1658</v>
      </c>
      <c r="MS89">
        <v>36</v>
      </c>
      <c r="NC89" t="s">
        <v>1694</v>
      </c>
      <c r="ND89" t="s">
        <v>1607</v>
      </c>
      <c r="NF89" t="s">
        <v>671</v>
      </c>
      <c r="NG89" t="s">
        <v>265</v>
      </c>
      <c r="NP89" t="s">
        <v>6</v>
      </c>
      <c r="NQ89">
        <v>517.5</v>
      </c>
      <c r="NR89" s="4" t="s">
        <v>4</v>
      </c>
      <c r="NS89">
        <v>10</v>
      </c>
      <c r="NV89">
        <v>4</v>
      </c>
      <c r="OG89" t="s">
        <v>1700</v>
      </c>
      <c r="OH89" s="87" t="s">
        <v>2</v>
      </c>
      <c r="OI89">
        <v>2007</v>
      </c>
      <c r="OL89" t="s">
        <v>1674</v>
      </c>
      <c r="ON89" t="s">
        <v>1178</v>
      </c>
      <c r="OO89" s="58">
        <v>46105</v>
      </c>
    </row>
    <row r="90" spans="1:405" ht="15.75" thickBot="1">
      <c r="A90" t="s">
        <v>248</v>
      </c>
      <c r="B90" t="s">
        <v>1889</v>
      </c>
      <c r="C90" t="s">
        <v>34</v>
      </c>
      <c r="D90" s="100" t="s">
        <v>31</v>
      </c>
      <c r="E90" s="90" t="s">
        <v>1676</v>
      </c>
      <c r="F90" s="100" t="s">
        <v>31</v>
      </c>
      <c r="G90" s="87" t="s">
        <v>2</v>
      </c>
      <c r="H90" s="87" t="s">
        <v>30</v>
      </c>
      <c r="I90">
        <v>-0.41666666699999999</v>
      </c>
      <c r="J90">
        <v>34.200000000000003</v>
      </c>
      <c r="K90" s="87" t="s">
        <v>29</v>
      </c>
      <c r="AV90" t="s">
        <v>1679</v>
      </c>
      <c r="AW90">
        <v>55</v>
      </c>
      <c r="AX90" t="s">
        <v>234</v>
      </c>
      <c r="AY90">
        <v>1</v>
      </c>
      <c r="AZ90" t="s">
        <v>1685</v>
      </c>
      <c r="BA90">
        <v>2007</v>
      </c>
      <c r="BB90">
        <v>2008</v>
      </c>
      <c r="BD90" t="s">
        <v>238</v>
      </c>
      <c r="BE90" t="s">
        <v>1673</v>
      </c>
      <c r="BF90" t="s">
        <v>277</v>
      </c>
      <c r="BH90" t="s">
        <v>23</v>
      </c>
      <c r="BI90" t="s">
        <v>1680</v>
      </c>
      <c r="BJ90" s="87" t="s">
        <v>22</v>
      </c>
      <c r="BK90">
        <v>44444</v>
      </c>
      <c r="BL90" t="s">
        <v>56</v>
      </c>
      <c r="BM90" t="s">
        <v>1677</v>
      </c>
      <c r="BN90" t="s">
        <v>1678</v>
      </c>
      <c r="BO90" s="87" t="s">
        <v>22</v>
      </c>
      <c r="BP90">
        <v>44444</v>
      </c>
      <c r="BQ90" t="s">
        <v>56</v>
      </c>
      <c r="BR90" t="s">
        <v>1664</v>
      </c>
      <c r="BS90" t="s">
        <v>234</v>
      </c>
      <c r="BT90" t="s">
        <v>234</v>
      </c>
      <c r="BU90" t="s">
        <v>234</v>
      </c>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K90" s="9"/>
      <c r="HW90" s="58"/>
      <c r="IF90" t="s">
        <v>1673</v>
      </c>
      <c r="IG90" s="84" t="s">
        <v>1683</v>
      </c>
      <c r="IH90" t="s">
        <v>660</v>
      </c>
      <c r="II90" t="s">
        <v>661</v>
      </c>
      <c r="IJ90" t="s">
        <v>838</v>
      </c>
      <c r="IK90" t="s">
        <v>838</v>
      </c>
      <c r="IL90" s="87" t="s">
        <v>29</v>
      </c>
      <c r="JH90" t="s">
        <v>1681</v>
      </c>
      <c r="JI90" t="s">
        <v>15</v>
      </c>
      <c r="JJ90" t="s">
        <v>14</v>
      </c>
      <c r="JK90" s="8" t="s">
        <v>1682</v>
      </c>
      <c r="JN90" t="s">
        <v>13</v>
      </c>
      <c r="JO90">
        <v>40</v>
      </c>
      <c r="JP90">
        <v>50</v>
      </c>
      <c r="KD90" t="s">
        <v>12</v>
      </c>
      <c r="MR90" t="s">
        <v>1658</v>
      </c>
      <c r="MS90">
        <v>36</v>
      </c>
      <c r="NC90" t="s">
        <v>1694</v>
      </c>
      <c r="ND90" t="s">
        <v>1607</v>
      </c>
      <c r="NF90" t="s">
        <v>671</v>
      </c>
      <c r="NG90" t="s">
        <v>265</v>
      </c>
      <c r="NP90" t="s">
        <v>6</v>
      </c>
      <c r="NQ90">
        <v>529</v>
      </c>
      <c r="NR90" s="4" t="s">
        <v>4</v>
      </c>
      <c r="NS90">
        <v>10</v>
      </c>
      <c r="NV90">
        <v>4</v>
      </c>
      <c r="OG90" t="s">
        <v>1700</v>
      </c>
      <c r="OH90" s="87" t="s">
        <v>2</v>
      </c>
      <c r="OI90">
        <v>2007</v>
      </c>
      <c r="OL90" t="s">
        <v>1674</v>
      </c>
      <c r="ON90" t="s">
        <v>1178</v>
      </c>
      <c r="OO90" s="58">
        <v>46105</v>
      </c>
    </row>
    <row r="91" spans="1:405" ht="15.75" thickBot="1">
      <c r="A91" t="s">
        <v>248</v>
      </c>
      <c r="B91" t="s">
        <v>1889</v>
      </c>
      <c r="C91" t="s">
        <v>34</v>
      </c>
      <c r="D91" s="100" t="s">
        <v>31</v>
      </c>
      <c r="E91" s="90" t="s">
        <v>1676</v>
      </c>
      <c r="F91" s="100" t="s">
        <v>31</v>
      </c>
      <c r="G91" s="87" t="s">
        <v>2</v>
      </c>
      <c r="H91" s="87" t="s">
        <v>30</v>
      </c>
      <c r="I91">
        <v>-0.41666666699999999</v>
      </c>
      <c r="J91">
        <v>34.200000000000003</v>
      </c>
      <c r="K91" s="87" t="s">
        <v>29</v>
      </c>
      <c r="AV91" t="s">
        <v>1679</v>
      </c>
      <c r="AW91">
        <v>36</v>
      </c>
      <c r="AX91" t="s">
        <v>234</v>
      </c>
      <c r="AY91">
        <v>1</v>
      </c>
      <c r="AZ91" t="s">
        <v>1685</v>
      </c>
      <c r="BA91">
        <v>2007</v>
      </c>
      <c r="BB91">
        <v>2008</v>
      </c>
      <c r="BD91" t="s">
        <v>19</v>
      </c>
      <c r="BE91" t="s">
        <v>1657</v>
      </c>
      <c r="BF91" t="s">
        <v>39</v>
      </c>
      <c r="BH91" t="s">
        <v>23</v>
      </c>
      <c r="BI91" t="s">
        <v>1680</v>
      </c>
      <c r="BJ91" s="87" t="s">
        <v>22</v>
      </c>
      <c r="BK91">
        <v>44444</v>
      </c>
      <c r="IF91" t="s">
        <v>1657</v>
      </c>
      <c r="IG91" t="s">
        <v>19</v>
      </c>
      <c r="JH91" t="s">
        <v>1681</v>
      </c>
      <c r="JI91" t="s">
        <v>15</v>
      </c>
      <c r="JJ91" t="s">
        <v>14</v>
      </c>
      <c r="JK91" s="8" t="s">
        <v>1682</v>
      </c>
      <c r="JN91" t="s">
        <v>13</v>
      </c>
      <c r="JO91">
        <v>40</v>
      </c>
      <c r="JP91">
        <v>50</v>
      </c>
      <c r="KD91" t="s">
        <v>12</v>
      </c>
      <c r="MR91" t="s">
        <v>1658</v>
      </c>
      <c r="MS91">
        <v>36</v>
      </c>
      <c r="MT91" t="s">
        <v>1659</v>
      </c>
      <c r="MV91" t="s">
        <v>168</v>
      </c>
      <c r="NC91" t="s">
        <v>1695</v>
      </c>
      <c r="ND91" t="s">
        <v>1615</v>
      </c>
      <c r="NE91" t="s">
        <v>1688</v>
      </c>
      <c r="NF91" s="4" t="s">
        <v>1616</v>
      </c>
      <c r="NO91" s="78" t="s">
        <v>735</v>
      </c>
      <c r="NP91" t="s">
        <v>6</v>
      </c>
      <c r="NQ91">
        <v>0.8</v>
      </c>
      <c r="NR91" s="4" t="s">
        <v>234</v>
      </c>
      <c r="NS91" s="4" t="s">
        <v>234</v>
      </c>
      <c r="NV91">
        <v>4</v>
      </c>
      <c r="OG91" t="s">
        <v>1675</v>
      </c>
      <c r="OH91" s="87" t="s">
        <v>2</v>
      </c>
      <c r="OI91">
        <v>2007</v>
      </c>
      <c r="OL91" t="s">
        <v>1674</v>
      </c>
      <c r="ON91" t="s">
        <v>1178</v>
      </c>
      <c r="OO91" s="58">
        <v>46105</v>
      </c>
    </row>
    <row r="92" spans="1:405" ht="15.75" thickBot="1">
      <c r="A92" t="s">
        <v>248</v>
      </c>
      <c r="B92" t="s">
        <v>1889</v>
      </c>
      <c r="C92" t="s">
        <v>34</v>
      </c>
      <c r="D92" s="100" t="s">
        <v>31</v>
      </c>
      <c r="E92" s="90" t="s">
        <v>1676</v>
      </c>
      <c r="F92" s="100" t="s">
        <v>31</v>
      </c>
      <c r="G92" s="87" t="s">
        <v>2</v>
      </c>
      <c r="H92" s="87" t="s">
        <v>30</v>
      </c>
      <c r="I92">
        <v>-0.41666666699999999</v>
      </c>
      <c r="J92">
        <v>34.200000000000003</v>
      </c>
      <c r="K92" s="87" t="s">
        <v>29</v>
      </c>
      <c r="AV92" t="s">
        <v>1679</v>
      </c>
      <c r="AW92">
        <v>37</v>
      </c>
      <c r="AX92" t="s">
        <v>234</v>
      </c>
      <c r="AY92">
        <v>1</v>
      </c>
      <c r="AZ92" t="s">
        <v>1685</v>
      </c>
      <c r="BA92">
        <v>2007</v>
      </c>
      <c r="BB92">
        <v>2008</v>
      </c>
      <c r="BD92" t="s">
        <v>238</v>
      </c>
      <c r="BE92" t="s">
        <v>1661</v>
      </c>
      <c r="BF92" t="s">
        <v>64</v>
      </c>
      <c r="BH92" t="s">
        <v>23</v>
      </c>
      <c r="BI92" t="s">
        <v>1680</v>
      </c>
      <c r="BJ92" s="87" t="s">
        <v>22</v>
      </c>
      <c r="BK92">
        <v>44444</v>
      </c>
      <c r="BL92" t="s">
        <v>56</v>
      </c>
      <c r="BM92" t="s">
        <v>1677</v>
      </c>
      <c r="BN92" t="s">
        <v>1678</v>
      </c>
      <c r="BO92" s="87" t="s">
        <v>22</v>
      </c>
      <c r="BP92">
        <v>44444</v>
      </c>
      <c r="IF92" t="s">
        <v>1661</v>
      </c>
      <c r="IG92" s="84" t="s">
        <v>1453</v>
      </c>
      <c r="IH92" t="s">
        <v>660</v>
      </c>
      <c r="II92" t="s">
        <v>661</v>
      </c>
      <c r="IJ92" t="s">
        <v>838</v>
      </c>
      <c r="IK92" t="s">
        <v>838</v>
      </c>
      <c r="IL92" s="87" t="s">
        <v>29</v>
      </c>
      <c r="JH92" t="s">
        <v>1681</v>
      </c>
      <c r="JI92" t="s">
        <v>15</v>
      </c>
      <c r="JJ92" t="s">
        <v>14</v>
      </c>
      <c r="JK92" s="8" t="s">
        <v>1682</v>
      </c>
      <c r="JN92" t="s">
        <v>13</v>
      </c>
      <c r="JO92">
        <v>40</v>
      </c>
      <c r="JP92">
        <v>50</v>
      </c>
      <c r="KD92" t="s">
        <v>12</v>
      </c>
      <c r="MR92" t="s">
        <v>1658</v>
      </c>
      <c r="MS92">
        <v>36</v>
      </c>
      <c r="MT92" t="s">
        <v>1662</v>
      </c>
      <c r="MV92" t="s">
        <v>168</v>
      </c>
      <c r="MW92" t="s">
        <v>1689</v>
      </c>
      <c r="NC92" t="s">
        <v>1696</v>
      </c>
      <c r="ND92" t="s">
        <v>1615</v>
      </c>
      <c r="NE92" t="s">
        <v>1688</v>
      </c>
      <c r="NF92" s="4" t="s">
        <v>1616</v>
      </c>
      <c r="NO92" s="78"/>
      <c r="NP92" t="s">
        <v>6</v>
      </c>
      <c r="NQ92">
        <v>1.1000000000000001</v>
      </c>
      <c r="NR92" s="4" t="s">
        <v>234</v>
      </c>
      <c r="NS92" s="4" t="s">
        <v>234</v>
      </c>
      <c r="NV92">
        <v>4</v>
      </c>
      <c r="OG92" t="s">
        <v>1675</v>
      </c>
      <c r="OH92" s="87" t="s">
        <v>2</v>
      </c>
      <c r="OI92">
        <v>2007</v>
      </c>
      <c r="OL92" t="s">
        <v>1674</v>
      </c>
      <c r="ON92" t="s">
        <v>1178</v>
      </c>
      <c r="OO92" s="58">
        <v>46105</v>
      </c>
    </row>
    <row r="93" spans="1:405" ht="15.75" thickBot="1">
      <c r="A93" t="s">
        <v>248</v>
      </c>
      <c r="B93" t="s">
        <v>1889</v>
      </c>
      <c r="C93" t="s">
        <v>34</v>
      </c>
      <c r="D93" s="100" t="s">
        <v>31</v>
      </c>
      <c r="E93" s="90" t="s">
        <v>1676</v>
      </c>
      <c r="F93" s="100" t="s">
        <v>31</v>
      </c>
      <c r="G93" s="87" t="s">
        <v>2</v>
      </c>
      <c r="H93" s="87" t="s">
        <v>30</v>
      </c>
      <c r="I93">
        <v>-0.41666666699999999</v>
      </c>
      <c r="J93">
        <v>34.200000000000003</v>
      </c>
      <c r="K93" s="87" t="s">
        <v>29</v>
      </c>
      <c r="AV93" t="s">
        <v>1679</v>
      </c>
      <c r="AW93">
        <v>38</v>
      </c>
      <c r="AX93" t="s">
        <v>234</v>
      </c>
      <c r="AY93">
        <v>1</v>
      </c>
      <c r="AZ93" t="s">
        <v>1685</v>
      </c>
      <c r="BA93">
        <v>2007</v>
      </c>
      <c r="BB93">
        <v>2008</v>
      </c>
      <c r="BD93" t="s">
        <v>238</v>
      </c>
      <c r="BE93" t="s">
        <v>1663</v>
      </c>
      <c r="BF93" t="s">
        <v>57</v>
      </c>
      <c r="BH93" t="s">
        <v>23</v>
      </c>
      <c r="BI93" t="s">
        <v>1680</v>
      </c>
      <c r="BJ93" s="87" t="s">
        <v>22</v>
      </c>
      <c r="BK93">
        <v>44444</v>
      </c>
      <c r="BL93" t="s">
        <v>56</v>
      </c>
      <c r="BM93" t="s">
        <v>1664</v>
      </c>
      <c r="BN93" t="s">
        <v>234</v>
      </c>
      <c r="BO93" t="s">
        <v>234</v>
      </c>
      <c r="BP93" t="s">
        <v>234</v>
      </c>
      <c r="IF93" t="s">
        <v>1663</v>
      </c>
      <c r="IG93" s="84" t="s">
        <v>1683</v>
      </c>
      <c r="IH93" t="s">
        <v>660</v>
      </c>
      <c r="II93" t="s">
        <v>661</v>
      </c>
      <c r="IJ93" t="s">
        <v>838</v>
      </c>
      <c r="IK93" t="s">
        <v>838</v>
      </c>
      <c r="IL93" s="87" t="s">
        <v>29</v>
      </c>
      <c r="JH93" t="s">
        <v>1681</v>
      </c>
      <c r="JI93" t="s">
        <v>15</v>
      </c>
      <c r="JJ93" t="s">
        <v>14</v>
      </c>
      <c r="JK93" s="8" t="s">
        <v>1682</v>
      </c>
      <c r="JN93" t="s">
        <v>13</v>
      </c>
      <c r="JO93">
        <v>40</v>
      </c>
      <c r="JP93">
        <v>50</v>
      </c>
      <c r="KD93" t="s">
        <v>12</v>
      </c>
      <c r="MR93" t="s">
        <v>1658</v>
      </c>
      <c r="MS93">
        <v>36</v>
      </c>
      <c r="MT93" t="s">
        <v>1665</v>
      </c>
      <c r="MV93" t="s">
        <v>168</v>
      </c>
      <c r="MW93" t="s">
        <v>1691</v>
      </c>
      <c r="MX93" t="s">
        <v>1692</v>
      </c>
      <c r="NC93" t="s">
        <v>1696</v>
      </c>
      <c r="ND93" t="s">
        <v>1615</v>
      </c>
      <c r="NE93" t="s">
        <v>1688</v>
      </c>
      <c r="NF93" s="4" t="s">
        <v>1616</v>
      </c>
      <c r="NO93" s="78"/>
      <c r="NP93" t="s">
        <v>6</v>
      </c>
      <c r="NQ93">
        <v>1.7</v>
      </c>
      <c r="NR93" s="4" t="s">
        <v>234</v>
      </c>
      <c r="NS93" s="4" t="s">
        <v>234</v>
      </c>
      <c r="NV93">
        <v>4</v>
      </c>
      <c r="OG93" t="s">
        <v>1675</v>
      </c>
      <c r="OH93" s="87" t="s">
        <v>2</v>
      </c>
      <c r="OI93">
        <v>2007</v>
      </c>
      <c r="OL93" t="s">
        <v>1674</v>
      </c>
      <c r="ON93" t="s">
        <v>1178</v>
      </c>
      <c r="OO93" s="58">
        <v>46105</v>
      </c>
    </row>
    <row r="94" spans="1:405" ht="15.75" thickBot="1">
      <c r="A94" t="s">
        <v>248</v>
      </c>
      <c r="B94" t="s">
        <v>1889</v>
      </c>
      <c r="C94" t="s">
        <v>34</v>
      </c>
      <c r="D94" s="100" t="s">
        <v>31</v>
      </c>
      <c r="E94" s="90" t="s">
        <v>1676</v>
      </c>
      <c r="F94" s="100" t="s">
        <v>31</v>
      </c>
      <c r="G94" s="87" t="s">
        <v>2</v>
      </c>
      <c r="H94" s="87" t="s">
        <v>30</v>
      </c>
      <c r="I94">
        <v>-0.41666666699999999</v>
      </c>
      <c r="J94">
        <v>34.200000000000003</v>
      </c>
      <c r="K94" s="87" t="s">
        <v>29</v>
      </c>
      <c r="AV94" t="s">
        <v>1679</v>
      </c>
      <c r="AW94">
        <v>39</v>
      </c>
      <c r="AX94" t="s">
        <v>234</v>
      </c>
      <c r="AY94">
        <v>1</v>
      </c>
      <c r="AZ94" t="s">
        <v>1685</v>
      </c>
      <c r="BA94">
        <v>2007</v>
      </c>
      <c r="BB94">
        <v>2008</v>
      </c>
      <c r="BD94" t="s">
        <v>238</v>
      </c>
      <c r="BE94" t="s">
        <v>1666</v>
      </c>
      <c r="BF94" t="s">
        <v>48</v>
      </c>
      <c r="BH94" t="s">
        <v>23</v>
      </c>
      <c r="BI94" t="s">
        <v>1680</v>
      </c>
      <c r="BJ94" s="87" t="s">
        <v>22</v>
      </c>
      <c r="BK94">
        <v>44444</v>
      </c>
      <c r="BL94" t="s">
        <v>56</v>
      </c>
      <c r="BM94" t="s">
        <v>1677</v>
      </c>
      <c r="BN94" t="s">
        <v>1678</v>
      </c>
      <c r="BO94" s="87" t="s">
        <v>22</v>
      </c>
      <c r="BP94">
        <v>44444</v>
      </c>
      <c r="BQ94" t="s">
        <v>56</v>
      </c>
      <c r="BR94" t="s">
        <v>1664</v>
      </c>
      <c r="BS94" t="s">
        <v>234</v>
      </c>
      <c r="BT94" t="s">
        <v>234</v>
      </c>
      <c r="BU94" t="s">
        <v>234</v>
      </c>
      <c r="IF94" t="s">
        <v>1666</v>
      </c>
      <c r="IG94" s="84" t="s">
        <v>1683</v>
      </c>
      <c r="IH94" t="s">
        <v>660</v>
      </c>
      <c r="II94" t="s">
        <v>661</v>
      </c>
      <c r="IJ94" t="s">
        <v>838</v>
      </c>
      <c r="IK94" t="s">
        <v>838</v>
      </c>
      <c r="IL94" s="87" t="s">
        <v>29</v>
      </c>
      <c r="JH94" t="s">
        <v>1681</v>
      </c>
      <c r="JI94" t="s">
        <v>15</v>
      </c>
      <c r="JJ94" t="s">
        <v>14</v>
      </c>
      <c r="JK94" s="8" t="s">
        <v>1682</v>
      </c>
      <c r="JN94" t="s">
        <v>13</v>
      </c>
      <c r="JO94">
        <v>40</v>
      </c>
      <c r="JP94">
        <v>50</v>
      </c>
      <c r="KD94" t="s">
        <v>12</v>
      </c>
      <c r="MR94" t="s">
        <v>1658</v>
      </c>
      <c r="MS94">
        <v>36</v>
      </c>
      <c r="MT94" t="s">
        <v>1667</v>
      </c>
      <c r="MV94" t="s">
        <v>168</v>
      </c>
      <c r="MW94" t="s">
        <v>1689</v>
      </c>
      <c r="MX94" t="s">
        <v>1691</v>
      </c>
      <c r="MY94" t="s">
        <v>1692</v>
      </c>
      <c r="NC94" t="s">
        <v>1696</v>
      </c>
      <c r="ND94" t="s">
        <v>1615</v>
      </c>
      <c r="NE94" t="s">
        <v>1688</v>
      </c>
      <c r="NF94" s="4" t="s">
        <v>1616</v>
      </c>
      <c r="NO94" s="78"/>
      <c r="NP94" t="s">
        <v>6</v>
      </c>
      <c r="NQ94">
        <v>1.5</v>
      </c>
      <c r="NR94" s="4" t="s">
        <v>234</v>
      </c>
      <c r="NS94" s="4" t="s">
        <v>234</v>
      </c>
      <c r="NV94">
        <v>4</v>
      </c>
      <c r="OG94" t="s">
        <v>1675</v>
      </c>
      <c r="OH94" s="87" t="s">
        <v>2</v>
      </c>
      <c r="OI94">
        <v>2007</v>
      </c>
      <c r="OL94" t="s">
        <v>1674</v>
      </c>
      <c r="ON94" t="s">
        <v>1178</v>
      </c>
      <c r="OO94" s="58">
        <v>46105</v>
      </c>
    </row>
    <row r="95" spans="1:405" ht="15.75" thickBot="1">
      <c r="A95" t="s">
        <v>248</v>
      </c>
      <c r="B95" t="s">
        <v>1889</v>
      </c>
      <c r="C95" t="s">
        <v>34</v>
      </c>
      <c r="D95" s="100" t="s">
        <v>31</v>
      </c>
      <c r="E95" s="90" t="s">
        <v>1676</v>
      </c>
      <c r="F95" s="100" t="s">
        <v>31</v>
      </c>
      <c r="G95" s="87" t="s">
        <v>2</v>
      </c>
      <c r="H95" s="87" t="s">
        <v>30</v>
      </c>
      <c r="I95">
        <v>-0.41666666699999999</v>
      </c>
      <c r="J95">
        <v>34.200000000000003</v>
      </c>
      <c r="K95" s="87" t="s">
        <v>29</v>
      </c>
      <c r="AV95" t="s">
        <v>1679</v>
      </c>
      <c r="AW95">
        <v>40</v>
      </c>
      <c r="AX95" t="s">
        <v>234</v>
      </c>
      <c r="AY95">
        <v>1</v>
      </c>
      <c r="AZ95" t="s">
        <v>1685</v>
      </c>
      <c r="BA95">
        <v>2007</v>
      </c>
      <c r="BB95">
        <v>2008</v>
      </c>
      <c r="BD95" t="s">
        <v>238</v>
      </c>
      <c r="BE95" t="s">
        <v>1690</v>
      </c>
      <c r="BF95" t="s">
        <v>43</v>
      </c>
      <c r="BH95" t="s">
        <v>23</v>
      </c>
      <c r="BI95" t="s">
        <v>1680</v>
      </c>
      <c r="BJ95" s="87" t="s">
        <v>22</v>
      </c>
      <c r="BK95">
        <v>44444</v>
      </c>
      <c r="BL95" t="s">
        <v>56</v>
      </c>
      <c r="BM95" t="s">
        <v>1677</v>
      </c>
      <c r="BN95" t="s">
        <v>1678</v>
      </c>
      <c r="BO95" s="87" t="s">
        <v>22</v>
      </c>
      <c r="BP95">
        <v>44444</v>
      </c>
      <c r="BQ95" t="s">
        <v>56</v>
      </c>
      <c r="BR95" t="s">
        <v>1664</v>
      </c>
      <c r="BS95" t="s">
        <v>234</v>
      </c>
      <c r="BT95" t="s">
        <v>234</v>
      </c>
      <c r="BU95" t="s">
        <v>234</v>
      </c>
      <c r="IF95" t="s">
        <v>1668</v>
      </c>
      <c r="IG95" s="84" t="s">
        <v>1683</v>
      </c>
      <c r="IH95" t="s">
        <v>660</v>
      </c>
      <c r="II95" t="s">
        <v>661</v>
      </c>
      <c r="IJ95" t="s">
        <v>838</v>
      </c>
      <c r="IK95" t="s">
        <v>838</v>
      </c>
      <c r="IL95" s="87" t="s">
        <v>29</v>
      </c>
      <c r="JH95" t="s">
        <v>1681</v>
      </c>
      <c r="JI95" t="s">
        <v>15</v>
      </c>
      <c r="JJ95" t="s">
        <v>14</v>
      </c>
      <c r="JK95" s="8" t="s">
        <v>1682</v>
      </c>
      <c r="JN95" t="s">
        <v>13</v>
      </c>
      <c r="JO95">
        <v>40</v>
      </c>
      <c r="JP95">
        <v>50</v>
      </c>
      <c r="KD95" t="s">
        <v>12</v>
      </c>
      <c r="MR95" t="s">
        <v>1658</v>
      </c>
      <c r="MS95">
        <v>36</v>
      </c>
      <c r="MT95" t="s">
        <v>1667</v>
      </c>
      <c r="MV95" t="s">
        <v>168</v>
      </c>
      <c r="MW95" t="s">
        <v>1689</v>
      </c>
      <c r="MX95" t="s">
        <v>1691</v>
      </c>
      <c r="MY95" t="s">
        <v>1692</v>
      </c>
      <c r="NC95" t="s">
        <v>1696</v>
      </c>
      <c r="ND95" t="s">
        <v>1615</v>
      </c>
      <c r="NE95" t="s">
        <v>1688</v>
      </c>
      <c r="NF95" s="4" t="s">
        <v>1616</v>
      </c>
      <c r="NO95" s="78"/>
      <c r="NP95" t="s">
        <v>6</v>
      </c>
      <c r="NQ95">
        <v>1.8</v>
      </c>
      <c r="NR95" s="4" t="s">
        <v>234</v>
      </c>
      <c r="NS95" s="4" t="s">
        <v>234</v>
      </c>
      <c r="NV95">
        <v>4</v>
      </c>
      <c r="OG95" t="s">
        <v>1675</v>
      </c>
      <c r="OH95" s="87" t="s">
        <v>2</v>
      </c>
      <c r="OI95">
        <v>2007</v>
      </c>
      <c r="OL95" t="s">
        <v>1674</v>
      </c>
      <c r="ON95" t="s">
        <v>1178</v>
      </c>
      <c r="OO95" s="58">
        <v>46105</v>
      </c>
    </row>
    <row r="96" spans="1:405" ht="15.75" thickBot="1">
      <c r="A96" t="s">
        <v>248</v>
      </c>
      <c r="B96" t="s">
        <v>1889</v>
      </c>
      <c r="C96" t="s">
        <v>34</v>
      </c>
      <c r="D96" s="100" t="s">
        <v>31</v>
      </c>
      <c r="E96" s="90" t="s">
        <v>1676</v>
      </c>
      <c r="F96" s="100" t="s">
        <v>31</v>
      </c>
      <c r="G96" s="87" t="s">
        <v>2</v>
      </c>
      <c r="H96" s="87" t="s">
        <v>30</v>
      </c>
      <c r="I96">
        <v>-0.41666666699999999</v>
      </c>
      <c r="J96">
        <v>34.200000000000003</v>
      </c>
      <c r="K96" s="87" t="s">
        <v>29</v>
      </c>
      <c r="AV96" t="s">
        <v>1679</v>
      </c>
      <c r="AW96">
        <v>41</v>
      </c>
      <c r="AX96" t="s">
        <v>234</v>
      </c>
      <c r="AY96">
        <v>1</v>
      </c>
      <c r="AZ96" t="s">
        <v>1686</v>
      </c>
      <c r="BA96">
        <v>2007</v>
      </c>
      <c r="BB96">
        <v>2008</v>
      </c>
      <c r="BD96" t="s">
        <v>19</v>
      </c>
      <c r="BE96" t="s">
        <v>1657</v>
      </c>
      <c r="BF96" t="s">
        <v>39</v>
      </c>
      <c r="BH96" t="s">
        <v>23</v>
      </c>
      <c r="BI96" t="s">
        <v>1680</v>
      </c>
      <c r="BJ96" s="87" t="s">
        <v>22</v>
      </c>
      <c r="BK96">
        <v>44444</v>
      </c>
      <c r="IF96" t="s">
        <v>1657</v>
      </c>
      <c r="IG96" t="s">
        <v>19</v>
      </c>
      <c r="JH96" t="s">
        <v>1681</v>
      </c>
      <c r="JI96" t="s">
        <v>15</v>
      </c>
      <c r="JJ96" t="s">
        <v>14</v>
      </c>
      <c r="JK96" s="8" t="s">
        <v>1682</v>
      </c>
      <c r="JN96" t="s">
        <v>13</v>
      </c>
      <c r="JO96">
        <v>40</v>
      </c>
      <c r="JP96">
        <v>50</v>
      </c>
      <c r="KD96" t="s">
        <v>12</v>
      </c>
      <c r="MR96" t="s">
        <v>1658</v>
      </c>
      <c r="MS96">
        <v>36</v>
      </c>
      <c r="MT96" t="s">
        <v>1659</v>
      </c>
      <c r="MV96" t="s">
        <v>168</v>
      </c>
      <c r="NC96" t="s">
        <v>1695</v>
      </c>
      <c r="ND96" t="s">
        <v>1615</v>
      </c>
      <c r="NE96" t="s">
        <v>1688</v>
      </c>
      <c r="NF96" s="4" t="s">
        <v>1616</v>
      </c>
      <c r="NO96" s="78" t="s">
        <v>735</v>
      </c>
      <c r="NP96" t="s">
        <v>6</v>
      </c>
      <c r="NQ96">
        <v>0.8</v>
      </c>
      <c r="NR96" s="4" t="s">
        <v>234</v>
      </c>
      <c r="NS96" s="4" t="s">
        <v>234</v>
      </c>
      <c r="NV96">
        <v>4</v>
      </c>
      <c r="OG96" t="s">
        <v>1675</v>
      </c>
      <c r="OH96" s="87" t="s">
        <v>2</v>
      </c>
      <c r="OI96">
        <v>2008</v>
      </c>
      <c r="OL96" t="s">
        <v>1684</v>
      </c>
      <c r="ON96" t="s">
        <v>1178</v>
      </c>
      <c r="OO96" s="58">
        <v>46105</v>
      </c>
    </row>
    <row r="97" spans="1:405" ht="15.75" thickBot="1">
      <c r="A97" t="s">
        <v>248</v>
      </c>
      <c r="B97" t="s">
        <v>1889</v>
      </c>
      <c r="C97" t="s">
        <v>34</v>
      </c>
      <c r="D97" s="100" t="s">
        <v>31</v>
      </c>
      <c r="E97" s="90" t="s">
        <v>1676</v>
      </c>
      <c r="F97" s="100" t="s">
        <v>31</v>
      </c>
      <c r="G97" s="87" t="s">
        <v>2</v>
      </c>
      <c r="H97" s="87" t="s">
        <v>30</v>
      </c>
      <c r="I97">
        <v>-0.41666666699999999</v>
      </c>
      <c r="J97">
        <v>34.200000000000003</v>
      </c>
      <c r="K97" s="87" t="s">
        <v>29</v>
      </c>
      <c r="AV97" t="s">
        <v>1679</v>
      </c>
      <c r="AW97">
        <v>42</v>
      </c>
      <c r="AX97" t="s">
        <v>234</v>
      </c>
      <c r="AY97">
        <v>1</v>
      </c>
      <c r="AZ97" t="s">
        <v>1686</v>
      </c>
      <c r="BA97">
        <v>2007</v>
      </c>
      <c r="BB97">
        <v>2008</v>
      </c>
      <c r="BD97" t="s">
        <v>238</v>
      </c>
      <c r="BE97" t="s">
        <v>1661</v>
      </c>
      <c r="BF97" t="s">
        <v>64</v>
      </c>
      <c r="BH97" t="s">
        <v>23</v>
      </c>
      <c r="BI97" t="s">
        <v>1680</v>
      </c>
      <c r="BJ97" s="87" t="s">
        <v>22</v>
      </c>
      <c r="BK97">
        <v>44444</v>
      </c>
      <c r="BL97" t="s">
        <v>56</v>
      </c>
      <c r="BM97" t="s">
        <v>1677</v>
      </c>
      <c r="BN97" t="s">
        <v>1678</v>
      </c>
      <c r="BO97" s="87" t="s">
        <v>22</v>
      </c>
      <c r="BP97">
        <v>44444</v>
      </c>
      <c r="IF97" t="s">
        <v>1661</v>
      </c>
      <c r="IG97" s="84" t="s">
        <v>1453</v>
      </c>
      <c r="IH97" t="s">
        <v>660</v>
      </c>
      <c r="II97" t="s">
        <v>661</v>
      </c>
      <c r="IJ97" t="s">
        <v>838</v>
      </c>
      <c r="IK97" t="s">
        <v>838</v>
      </c>
      <c r="IL97" s="87" t="s">
        <v>29</v>
      </c>
      <c r="JH97" t="s">
        <v>1681</v>
      </c>
      <c r="JI97" t="s">
        <v>15</v>
      </c>
      <c r="JJ97" t="s">
        <v>14</v>
      </c>
      <c r="JK97" s="8" t="s">
        <v>1682</v>
      </c>
      <c r="JN97" t="s">
        <v>13</v>
      </c>
      <c r="JO97">
        <v>40</v>
      </c>
      <c r="JP97">
        <v>50</v>
      </c>
      <c r="KD97" t="s">
        <v>12</v>
      </c>
      <c r="MR97" t="s">
        <v>1658</v>
      </c>
      <c r="MS97">
        <v>36</v>
      </c>
      <c r="MT97" t="s">
        <v>1662</v>
      </c>
      <c r="MV97" t="s">
        <v>168</v>
      </c>
      <c r="MW97" t="s">
        <v>1689</v>
      </c>
      <c r="NC97" t="s">
        <v>1696</v>
      </c>
      <c r="ND97" t="s">
        <v>1615</v>
      </c>
      <c r="NE97" t="s">
        <v>1688</v>
      </c>
      <c r="NF97" s="4" t="s">
        <v>1616</v>
      </c>
      <c r="NO97" s="78"/>
      <c r="NP97" t="s">
        <v>6</v>
      </c>
      <c r="NQ97">
        <v>1</v>
      </c>
      <c r="NR97" s="4" t="s">
        <v>234</v>
      </c>
      <c r="NS97" s="4" t="s">
        <v>234</v>
      </c>
      <c r="NV97">
        <v>4</v>
      </c>
      <c r="OG97" t="s">
        <v>1675</v>
      </c>
      <c r="OH97" s="87" t="s">
        <v>2</v>
      </c>
      <c r="OI97">
        <v>2008</v>
      </c>
      <c r="OL97" t="s">
        <v>1684</v>
      </c>
      <c r="ON97" t="s">
        <v>1178</v>
      </c>
      <c r="OO97" s="58">
        <v>46105</v>
      </c>
    </row>
    <row r="98" spans="1:405" ht="15.75" thickBot="1">
      <c r="A98" t="s">
        <v>248</v>
      </c>
      <c r="B98" t="s">
        <v>1889</v>
      </c>
      <c r="C98" t="s">
        <v>34</v>
      </c>
      <c r="D98" s="100" t="s">
        <v>31</v>
      </c>
      <c r="E98" s="90" t="s">
        <v>1676</v>
      </c>
      <c r="F98" s="100" t="s">
        <v>31</v>
      </c>
      <c r="G98" s="87" t="s">
        <v>2</v>
      </c>
      <c r="H98" s="87" t="s">
        <v>30</v>
      </c>
      <c r="I98">
        <v>-0.41666666699999999</v>
      </c>
      <c r="J98">
        <v>34.200000000000003</v>
      </c>
      <c r="K98" s="87" t="s">
        <v>29</v>
      </c>
      <c r="AV98" t="s">
        <v>1679</v>
      </c>
      <c r="AW98">
        <v>43</v>
      </c>
      <c r="AX98" t="s">
        <v>234</v>
      </c>
      <c r="AY98">
        <v>1</v>
      </c>
      <c r="AZ98" t="s">
        <v>1686</v>
      </c>
      <c r="BA98">
        <v>2007</v>
      </c>
      <c r="BB98">
        <v>2008</v>
      </c>
      <c r="BD98" t="s">
        <v>238</v>
      </c>
      <c r="BE98" t="s">
        <v>1663</v>
      </c>
      <c r="BF98" t="s">
        <v>57</v>
      </c>
      <c r="BH98" t="s">
        <v>23</v>
      </c>
      <c r="BI98" t="s">
        <v>1680</v>
      </c>
      <c r="BJ98" s="87" t="s">
        <v>22</v>
      </c>
      <c r="BK98">
        <v>44444</v>
      </c>
      <c r="BL98" t="s">
        <v>56</v>
      </c>
      <c r="BM98" t="s">
        <v>1664</v>
      </c>
      <c r="BN98" t="s">
        <v>234</v>
      </c>
      <c r="BO98" t="s">
        <v>234</v>
      </c>
      <c r="BP98" t="s">
        <v>234</v>
      </c>
      <c r="IF98" t="s">
        <v>1663</v>
      </c>
      <c r="IG98" s="84" t="s">
        <v>1683</v>
      </c>
      <c r="IH98" t="s">
        <v>660</v>
      </c>
      <c r="II98" t="s">
        <v>661</v>
      </c>
      <c r="IJ98" t="s">
        <v>838</v>
      </c>
      <c r="IK98" t="s">
        <v>838</v>
      </c>
      <c r="IL98" s="87" t="s">
        <v>29</v>
      </c>
      <c r="JH98" t="s">
        <v>1681</v>
      </c>
      <c r="JI98" t="s">
        <v>15</v>
      </c>
      <c r="JJ98" t="s">
        <v>14</v>
      </c>
      <c r="JK98" s="8" t="s">
        <v>1682</v>
      </c>
      <c r="JN98" t="s">
        <v>13</v>
      </c>
      <c r="JO98">
        <v>40</v>
      </c>
      <c r="JP98">
        <v>50</v>
      </c>
      <c r="KD98" t="s">
        <v>12</v>
      </c>
      <c r="MR98" t="s">
        <v>1658</v>
      </c>
      <c r="MS98">
        <v>36</v>
      </c>
      <c r="MT98" t="s">
        <v>1665</v>
      </c>
      <c r="MV98" t="s">
        <v>168</v>
      </c>
      <c r="MW98" t="s">
        <v>1691</v>
      </c>
      <c r="MX98" t="s">
        <v>1692</v>
      </c>
      <c r="NC98" t="s">
        <v>1696</v>
      </c>
      <c r="ND98" t="s">
        <v>1615</v>
      </c>
      <c r="NE98" t="s">
        <v>1688</v>
      </c>
      <c r="NF98" s="4" t="s">
        <v>1616</v>
      </c>
      <c r="NO98" s="78"/>
      <c r="NP98" t="s">
        <v>6</v>
      </c>
      <c r="NQ98">
        <v>1.9</v>
      </c>
      <c r="NR98" s="4" t="s">
        <v>234</v>
      </c>
      <c r="NS98" s="4" t="s">
        <v>234</v>
      </c>
      <c r="NV98">
        <v>4</v>
      </c>
      <c r="OG98" t="s">
        <v>1675</v>
      </c>
      <c r="OH98" s="87" t="s">
        <v>2</v>
      </c>
      <c r="OI98">
        <v>2008</v>
      </c>
      <c r="OL98" t="s">
        <v>1684</v>
      </c>
      <c r="ON98" t="s">
        <v>1178</v>
      </c>
      <c r="OO98" s="58">
        <v>46105</v>
      </c>
    </row>
    <row r="99" spans="1:405" ht="15.75" thickBot="1">
      <c r="A99" t="s">
        <v>248</v>
      </c>
      <c r="B99" t="s">
        <v>1889</v>
      </c>
      <c r="C99" t="s">
        <v>34</v>
      </c>
      <c r="D99" s="100" t="s">
        <v>31</v>
      </c>
      <c r="E99" s="90" t="s">
        <v>1676</v>
      </c>
      <c r="F99" s="100" t="s">
        <v>31</v>
      </c>
      <c r="G99" s="87" t="s">
        <v>2</v>
      </c>
      <c r="H99" s="87" t="s">
        <v>30</v>
      </c>
      <c r="I99">
        <v>-0.41666666699999999</v>
      </c>
      <c r="J99">
        <v>34.200000000000003</v>
      </c>
      <c r="K99" s="87" t="s">
        <v>29</v>
      </c>
      <c r="AV99" t="s">
        <v>1679</v>
      </c>
      <c r="AW99">
        <v>44</v>
      </c>
      <c r="AX99" t="s">
        <v>234</v>
      </c>
      <c r="AY99">
        <v>1</v>
      </c>
      <c r="AZ99" t="s">
        <v>1686</v>
      </c>
      <c r="BA99">
        <v>2007</v>
      </c>
      <c r="BB99">
        <v>2008</v>
      </c>
      <c r="BD99" t="s">
        <v>238</v>
      </c>
      <c r="BE99" t="s">
        <v>1666</v>
      </c>
      <c r="BF99" t="s">
        <v>48</v>
      </c>
      <c r="BH99" t="s">
        <v>23</v>
      </c>
      <c r="BI99" t="s">
        <v>1680</v>
      </c>
      <c r="BJ99" s="87" t="s">
        <v>22</v>
      </c>
      <c r="BK99">
        <v>44444</v>
      </c>
      <c r="BL99" t="s">
        <v>56</v>
      </c>
      <c r="BM99" t="s">
        <v>1677</v>
      </c>
      <c r="BN99" t="s">
        <v>1678</v>
      </c>
      <c r="BO99" s="87" t="s">
        <v>22</v>
      </c>
      <c r="BP99">
        <v>44444</v>
      </c>
      <c r="BQ99" t="s">
        <v>56</v>
      </c>
      <c r="BR99" t="s">
        <v>1664</v>
      </c>
      <c r="BS99" t="s">
        <v>234</v>
      </c>
      <c r="BT99" t="s">
        <v>234</v>
      </c>
      <c r="BU99" t="s">
        <v>234</v>
      </c>
      <c r="IF99" t="s">
        <v>1666</v>
      </c>
      <c r="IG99" s="84" t="s">
        <v>1683</v>
      </c>
      <c r="IH99" t="s">
        <v>660</v>
      </c>
      <c r="II99" t="s">
        <v>661</v>
      </c>
      <c r="IJ99" t="s">
        <v>838</v>
      </c>
      <c r="IK99" t="s">
        <v>838</v>
      </c>
      <c r="IL99" s="87" t="s">
        <v>29</v>
      </c>
      <c r="JH99" t="s">
        <v>1681</v>
      </c>
      <c r="JI99" t="s">
        <v>15</v>
      </c>
      <c r="JJ99" t="s">
        <v>14</v>
      </c>
      <c r="JK99" s="8" t="s">
        <v>1682</v>
      </c>
      <c r="JN99" t="s">
        <v>13</v>
      </c>
      <c r="JO99">
        <v>40</v>
      </c>
      <c r="JP99">
        <v>50</v>
      </c>
      <c r="KD99" t="s">
        <v>12</v>
      </c>
      <c r="MR99" t="s">
        <v>1658</v>
      </c>
      <c r="MS99">
        <v>36</v>
      </c>
      <c r="MT99" t="s">
        <v>1667</v>
      </c>
      <c r="MV99" t="s">
        <v>168</v>
      </c>
      <c r="MW99" t="s">
        <v>1689</v>
      </c>
      <c r="MX99" t="s">
        <v>1691</v>
      </c>
      <c r="MY99" t="s">
        <v>1692</v>
      </c>
      <c r="NC99" t="s">
        <v>1696</v>
      </c>
      <c r="ND99" t="s">
        <v>1615</v>
      </c>
      <c r="NE99" t="s">
        <v>1688</v>
      </c>
      <c r="NF99" s="4" t="s">
        <v>1616</v>
      </c>
      <c r="NO99" s="78"/>
      <c r="NP99" t="s">
        <v>6</v>
      </c>
      <c r="NQ99">
        <v>1.8</v>
      </c>
      <c r="NR99" s="4" t="s">
        <v>234</v>
      </c>
      <c r="NS99" s="4" t="s">
        <v>234</v>
      </c>
      <c r="NV99">
        <v>4</v>
      </c>
      <c r="OG99" t="s">
        <v>1675</v>
      </c>
      <c r="OH99" s="87" t="s">
        <v>2</v>
      </c>
      <c r="OI99">
        <v>2008</v>
      </c>
      <c r="OL99" t="s">
        <v>1684</v>
      </c>
      <c r="ON99" t="s">
        <v>1178</v>
      </c>
      <c r="OO99" s="58">
        <v>46105</v>
      </c>
    </row>
    <row r="100" spans="1:405" ht="15.75" thickBot="1">
      <c r="A100" t="s">
        <v>248</v>
      </c>
      <c r="B100" t="s">
        <v>1889</v>
      </c>
      <c r="C100" t="s">
        <v>34</v>
      </c>
      <c r="D100" s="100" t="s">
        <v>31</v>
      </c>
      <c r="E100" s="90" t="s">
        <v>1676</v>
      </c>
      <c r="F100" s="100" t="s">
        <v>31</v>
      </c>
      <c r="G100" s="87" t="s">
        <v>2</v>
      </c>
      <c r="H100" s="87" t="s">
        <v>30</v>
      </c>
      <c r="I100">
        <v>-0.41666666699999999</v>
      </c>
      <c r="J100">
        <v>34.200000000000003</v>
      </c>
      <c r="K100" s="87" t="s">
        <v>29</v>
      </c>
      <c r="AV100" t="s">
        <v>1679</v>
      </c>
      <c r="AW100">
        <v>45</v>
      </c>
      <c r="AX100" t="s">
        <v>234</v>
      </c>
      <c r="AY100">
        <v>1</v>
      </c>
      <c r="AZ100" t="s">
        <v>1686</v>
      </c>
      <c r="BA100">
        <v>2007</v>
      </c>
      <c r="BB100">
        <v>2008</v>
      </c>
      <c r="BD100" t="s">
        <v>238</v>
      </c>
      <c r="BE100" t="s">
        <v>1668</v>
      </c>
      <c r="BF100" t="s">
        <v>43</v>
      </c>
      <c r="BH100" t="s">
        <v>23</v>
      </c>
      <c r="BI100" t="s">
        <v>1680</v>
      </c>
      <c r="BJ100" s="87" t="s">
        <v>22</v>
      </c>
      <c r="BK100">
        <v>44444</v>
      </c>
      <c r="BL100" t="s">
        <v>56</v>
      </c>
      <c r="BM100" t="s">
        <v>1677</v>
      </c>
      <c r="BN100" t="s">
        <v>1678</v>
      </c>
      <c r="BO100" s="87" t="s">
        <v>22</v>
      </c>
      <c r="BP100">
        <v>44444</v>
      </c>
      <c r="BQ100" t="s">
        <v>56</v>
      </c>
      <c r="BR100" t="s">
        <v>1664</v>
      </c>
      <c r="BS100" t="s">
        <v>234</v>
      </c>
      <c r="BT100" t="s">
        <v>234</v>
      </c>
      <c r="BU100" t="s">
        <v>234</v>
      </c>
      <c r="IF100" t="s">
        <v>1668</v>
      </c>
      <c r="IG100" s="84" t="s">
        <v>1683</v>
      </c>
      <c r="IH100" t="s">
        <v>660</v>
      </c>
      <c r="II100" t="s">
        <v>661</v>
      </c>
      <c r="IJ100" t="s">
        <v>838</v>
      </c>
      <c r="IK100" t="s">
        <v>838</v>
      </c>
      <c r="IL100" s="87" t="s">
        <v>29</v>
      </c>
      <c r="JH100" t="s">
        <v>1681</v>
      </c>
      <c r="JI100" t="s">
        <v>15</v>
      </c>
      <c r="JJ100" t="s">
        <v>14</v>
      </c>
      <c r="JK100" s="8" t="s">
        <v>1682</v>
      </c>
      <c r="JN100" t="s">
        <v>13</v>
      </c>
      <c r="JO100">
        <v>40</v>
      </c>
      <c r="JP100">
        <v>50</v>
      </c>
      <c r="KD100" t="s">
        <v>12</v>
      </c>
      <c r="MR100" t="s">
        <v>1658</v>
      </c>
      <c r="MS100">
        <v>36</v>
      </c>
      <c r="MT100" t="s">
        <v>1667</v>
      </c>
      <c r="MV100" t="s">
        <v>168</v>
      </c>
      <c r="MW100" t="s">
        <v>1689</v>
      </c>
      <c r="MX100" t="s">
        <v>1691</v>
      </c>
      <c r="MY100" t="s">
        <v>1692</v>
      </c>
      <c r="NC100" t="s">
        <v>1696</v>
      </c>
      <c r="ND100" t="s">
        <v>1615</v>
      </c>
      <c r="NE100" t="s">
        <v>1688</v>
      </c>
      <c r="NF100" s="4" t="s">
        <v>1616</v>
      </c>
      <c r="NO100" s="78"/>
      <c r="NP100" t="s">
        <v>6</v>
      </c>
      <c r="NQ100">
        <v>1.9</v>
      </c>
      <c r="NR100" s="4" t="s">
        <v>234</v>
      </c>
      <c r="NS100" s="4" t="s">
        <v>234</v>
      </c>
      <c r="NV100">
        <v>4</v>
      </c>
      <c r="OG100" t="s">
        <v>1675</v>
      </c>
      <c r="OH100" s="87" t="s">
        <v>2</v>
      </c>
      <c r="OI100">
        <v>2008</v>
      </c>
      <c r="OL100" t="s">
        <v>1684</v>
      </c>
      <c r="ON100" t="s">
        <v>1178</v>
      </c>
      <c r="OO100" s="58">
        <v>46105</v>
      </c>
    </row>
    <row r="101" spans="1:405" ht="15.75" thickBot="1">
      <c r="A101" t="s">
        <v>248</v>
      </c>
      <c r="B101" t="s">
        <v>1889</v>
      </c>
      <c r="C101" t="s">
        <v>34</v>
      </c>
      <c r="D101" s="100" t="s">
        <v>31</v>
      </c>
      <c r="E101" s="90" t="s">
        <v>1676</v>
      </c>
      <c r="F101" s="100" t="s">
        <v>31</v>
      </c>
      <c r="G101" s="87" t="s">
        <v>2</v>
      </c>
      <c r="H101" s="87" t="s">
        <v>30</v>
      </c>
      <c r="I101">
        <v>-0.41666666699999999</v>
      </c>
      <c r="J101">
        <v>34.200000000000003</v>
      </c>
      <c r="K101" s="87" t="s">
        <v>29</v>
      </c>
      <c r="AV101" t="s">
        <v>1679</v>
      </c>
      <c r="AW101">
        <v>46</v>
      </c>
      <c r="AX101" t="s">
        <v>234</v>
      </c>
      <c r="AY101">
        <v>1</v>
      </c>
      <c r="AZ101" t="s">
        <v>1687</v>
      </c>
      <c r="BA101">
        <v>2007</v>
      </c>
      <c r="BB101">
        <v>2008</v>
      </c>
      <c r="BD101" t="s">
        <v>19</v>
      </c>
      <c r="BE101" t="s">
        <v>1669</v>
      </c>
      <c r="BF101" t="s">
        <v>24</v>
      </c>
      <c r="BH101" t="s">
        <v>23</v>
      </c>
      <c r="BI101" t="s">
        <v>1680</v>
      </c>
      <c r="BJ101" s="87" t="s">
        <v>22</v>
      </c>
      <c r="BK101">
        <v>44444</v>
      </c>
      <c r="IF101" t="s">
        <v>1669</v>
      </c>
      <c r="IG101" t="s">
        <v>19</v>
      </c>
      <c r="JH101" t="s">
        <v>1681</v>
      </c>
      <c r="JI101" t="s">
        <v>15</v>
      </c>
      <c r="JJ101" t="s">
        <v>14</v>
      </c>
      <c r="JK101" s="8" t="s">
        <v>1682</v>
      </c>
      <c r="JN101" t="s">
        <v>13</v>
      </c>
      <c r="JO101">
        <v>40</v>
      </c>
      <c r="JP101">
        <v>50</v>
      </c>
      <c r="KD101" t="s">
        <v>12</v>
      </c>
      <c r="MR101" t="s">
        <v>1658</v>
      </c>
      <c r="MS101">
        <v>36</v>
      </c>
      <c r="MT101" t="s">
        <v>1659</v>
      </c>
      <c r="MV101" t="s">
        <v>168</v>
      </c>
      <c r="NC101" t="s">
        <v>1695</v>
      </c>
      <c r="ND101" t="s">
        <v>1615</v>
      </c>
      <c r="NE101" t="s">
        <v>1688</v>
      </c>
      <c r="NF101" s="4" t="s">
        <v>1616</v>
      </c>
      <c r="NO101" s="78" t="s">
        <v>743</v>
      </c>
      <c r="NP101" t="s">
        <v>6</v>
      </c>
      <c r="NQ101">
        <v>1.1000000000000001</v>
      </c>
      <c r="NR101" s="4" t="s">
        <v>234</v>
      </c>
      <c r="NS101" s="4" t="s">
        <v>234</v>
      </c>
      <c r="NV101">
        <v>4</v>
      </c>
      <c r="OG101" t="s">
        <v>1701</v>
      </c>
      <c r="OH101" s="87" t="s">
        <v>2</v>
      </c>
      <c r="OI101">
        <v>2007</v>
      </c>
      <c r="OL101" t="s">
        <v>1684</v>
      </c>
      <c r="ON101" t="s">
        <v>1178</v>
      </c>
      <c r="OO101" s="58">
        <v>46105</v>
      </c>
    </row>
    <row r="102" spans="1:405" ht="15.75" thickBot="1">
      <c r="A102" t="s">
        <v>248</v>
      </c>
      <c r="B102" t="s">
        <v>1889</v>
      </c>
      <c r="C102" t="s">
        <v>34</v>
      </c>
      <c r="D102" s="100" t="s">
        <v>31</v>
      </c>
      <c r="E102" s="90" t="s">
        <v>1676</v>
      </c>
      <c r="F102" s="100" t="s">
        <v>31</v>
      </c>
      <c r="G102" s="87" t="s">
        <v>2</v>
      </c>
      <c r="H102" s="87" t="s">
        <v>30</v>
      </c>
      <c r="I102">
        <v>-0.41666666699999999</v>
      </c>
      <c r="J102">
        <v>34.200000000000003</v>
      </c>
      <c r="K102" s="87" t="s">
        <v>29</v>
      </c>
      <c r="AV102" t="s">
        <v>1679</v>
      </c>
      <c r="AW102">
        <v>47</v>
      </c>
      <c r="AX102" t="s">
        <v>234</v>
      </c>
      <c r="AY102">
        <v>1</v>
      </c>
      <c r="AZ102" t="s">
        <v>1687</v>
      </c>
      <c r="BA102">
        <v>2007</v>
      </c>
      <c r="BB102">
        <v>2008</v>
      </c>
      <c r="BD102" t="s">
        <v>238</v>
      </c>
      <c r="BE102" t="s">
        <v>1670</v>
      </c>
      <c r="BF102" t="s">
        <v>252</v>
      </c>
      <c r="BH102" t="s">
        <v>23</v>
      </c>
      <c r="BI102" t="s">
        <v>1680</v>
      </c>
      <c r="BJ102" s="87" t="s">
        <v>22</v>
      </c>
      <c r="BK102">
        <v>44444</v>
      </c>
      <c r="BL102" t="s">
        <v>56</v>
      </c>
      <c r="BM102" t="s">
        <v>1677</v>
      </c>
      <c r="BN102" t="s">
        <v>1678</v>
      </c>
      <c r="BO102" s="87" t="s">
        <v>22</v>
      </c>
      <c r="BP102">
        <v>44444</v>
      </c>
      <c r="IF102" t="s">
        <v>1670</v>
      </c>
      <c r="IG102" s="84" t="s">
        <v>1453</v>
      </c>
      <c r="IH102" t="s">
        <v>660</v>
      </c>
      <c r="II102" t="s">
        <v>661</v>
      </c>
      <c r="IJ102" t="s">
        <v>838</v>
      </c>
      <c r="IK102" t="s">
        <v>838</v>
      </c>
      <c r="IL102" s="87" t="s">
        <v>29</v>
      </c>
      <c r="JH102" t="s">
        <v>1681</v>
      </c>
      <c r="JI102" t="s">
        <v>15</v>
      </c>
      <c r="JJ102" t="s">
        <v>14</v>
      </c>
      <c r="JK102" s="8" t="s">
        <v>1682</v>
      </c>
      <c r="JN102" t="s">
        <v>13</v>
      </c>
      <c r="JO102">
        <v>40</v>
      </c>
      <c r="JP102">
        <v>50</v>
      </c>
      <c r="KD102" t="s">
        <v>12</v>
      </c>
      <c r="MR102" t="s">
        <v>1658</v>
      </c>
      <c r="MS102">
        <v>36</v>
      </c>
      <c r="MT102" t="s">
        <v>1662</v>
      </c>
      <c r="MV102" t="s">
        <v>168</v>
      </c>
      <c r="MW102" t="s">
        <v>1689</v>
      </c>
      <c r="NC102" t="s">
        <v>1696</v>
      </c>
      <c r="ND102" t="s">
        <v>1615</v>
      </c>
      <c r="NE102" t="s">
        <v>1688</v>
      </c>
      <c r="NF102" s="4" t="s">
        <v>1616</v>
      </c>
      <c r="NO102" s="78"/>
      <c r="NP102" t="s">
        <v>6</v>
      </c>
      <c r="NQ102">
        <v>1.1000000000000001</v>
      </c>
      <c r="NR102" s="4" t="s">
        <v>234</v>
      </c>
      <c r="NS102" s="4" t="s">
        <v>234</v>
      </c>
      <c r="NV102">
        <v>4</v>
      </c>
      <c r="OG102" t="s">
        <v>1701</v>
      </c>
      <c r="OH102" s="87" t="s">
        <v>2</v>
      </c>
      <c r="OI102">
        <v>2007</v>
      </c>
      <c r="OL102" t="s">
        <v>1684</v>
      </c>
      <c r="ON102" t="s">
        <v>1178</v>
      </c>
      <c r="OO102" s="58">
        <v>46105</v>
      </c>
    </row>
    <row r="103" spans="1:405" ht="15.75" thickBot="1">
      <c r="A103" t="s">
        <v>248</v>
      </c>
      <c r="B103" t="s">
        <v>1889</v>
      </c>
      <c r="C103" t="s">
        <v>34</v>
      </c>
      <c r="D103" s="100" t="s">
        <v>31</v>
      </c>
      <c r="E103" s="90" t="s">
        <v>1676</v>
      </c>
      <c r="F103" s="100" t="s">
        <v>31</v>
      </c>
      <c r="G103" s="87" t="s">
        <v>2</v>
      </c>
      <c r="H103" s="87" t="s">
        <v>30</v>
      </c>
      <c r="I103">
        <v>-0.41666666699999999</v>
      </c>
      <c r="J103">
        <v>34.200000000000003</v>
      </c>
      <c r="K103" s="87" t="s">
        <v>29</v>
      </c>
      <c r="AV103" t="s">
        <v>1679</v>
      </c>
      <c r="AW103">
        <v>48</v>
      </c>
      <c r="AX103" t="s">
        <v>234</v>
      </c>
      <c r="AY103">
        <v>1</v>
      </c>
      <c r="AZ103" t="s">
        <v>1687</v>
      </c>
      <c r="BA103">
        <v>2007</v>
      </c>
      <c r="BB103">
        <v>2008</v>
      </c>
      <c r="BD103" t="s">
        <v>238</v>
      </c>
      <c r="BE103" t="s">
        <v>1671</v>
      </c>
      <c r="BF103" t="s">
        <v>236</v>
      </c>
      <c r="BH103" t="s">
        <v>23</v>
      </c>
      <c r="BI103" t="s">
        <v>1680</v>
      </c>
      <c r="BJ103" s="87" t="s">
        <v>22</v>
      </c>
      <c r="BK103">
        <v>44444</v>
      </c>
      <c r="BL103" t="s">
        <v>56</v>
      </c>
      <c r="BM103" t="s">
        <v>1664</v>
      </c>
      <c r="BN103" t="s">
        <v>234</v>
      </c>
      <c r="BO103" t="s">
        <v>234</v>
      </c>
      <c r="BP103" t="s">
        <v>234</v>
      </c>
      <c r="IF103" t="s">
        <v>1671</v>
      </c>
      <c r="IG103" s="84" t="s">
        <v>1683</v>
      </c>
      <c r="IH103" t="s">
        <v>660</v>
      </c>
      <c r="II103" t="s">
        <v>661</v>
      </c>
      <c r="IJ103" t="s">
        <v>838</v>
      </c>
      <c r="IK103" t="s">
        <v>838</v>
      </c>
      <c r="IL103" s="87" t="s">
        <v>29</v>
      </c>
      <c r="JH103" t="s">
        <v>1681</v>
      </c>
      <c r="JI103" t="s">
        <v>15</v>
      </c>
      <c r="JJ103" t="s">
        <v>14</v>
      </c>
      <c r="JK103" s="8" t="s">
        <v>1682</v>
      </c>
      <c r="JN103" t="s">
        <v>13</v>
      </c>
      <c r="JO103">
        <v>40</v>
      </c>
      <c r="JP103">
        <v>50</v>
      </c>
      <c r="KD103" t="s">
        <v>12</v>
      </c>
      <c r="MR103" t="s">
        <v>1658</v>
      </c>
      <c r="MS103">
        <v>36</v>
      </c>
      <c r="MT103" t="s">
        <v>1665</v>
      </c>
      <c r="MV103" t="s">
        <v>168</v>
      </c>
      <c r="MW103" t="s">
        <v>1691</v>
      </c>
      <c r="MX103" t="s">
        <v>1692</v>
      </c>
      <c r="NC103" t="s">
        <v>1696</v>
      </c>
      <c r="ND103" t="s">
        <v>1615</v>
      </c>
      <c r="NE103" t="s">
        <v>1688</v>
      </c>
      <c r="NF103" s="4" t="s">
        <v>1616</v>
      </c>
      <c r="NO103" s="78"/>
      <c r="NP103" t="s">
        <v>6</v>
      </c>
      <c r="NQ103">
        <v>2.2000000000000002</v>
      </c>
      <c r="NR103" s="4" t="s">
        <v>234</v>
      </c>
      <c r="NS103" s="4" t="s">
        <v>234</v>
      </c>
      <c r="NV103">
        <v>4</v>
      </c>
      <c r="OG103" t="s">
        <v>1701</v>
      </c>
      <c r="OH103" s="87" t="s">
        <v>2</v>
      </c>
      <c r="OI103">
        <v>2007</v>
      </c>
      <c r="OL103" t="s">
        <v>1684</v>
      </c>
      <c r="ON103" t="s">
        <v>1178</v>
      </c>
      <c r="OO103" s="58">
        <v>46105</v>
      </c>
    </row>
    <row r="104" spans="1:405" ht="15.75" thickBot="1">
      <c r="A104" t="s">
        <v>248</v>
      </c>
      <c r="B104" t="s">
        <v>1889</v>
      </c>
      <c r="C104" t="s">
        <v>34</v>
      </c>
      <c r="D104" s="100" t="s">
        <v>31</v>
      </c>
      <c r="E104" s="90" t="s">
        <v>1676</v>
      </c>
      <c r="F104" s="100" t="s">
        <v>31</v>
      </c>
      <c r="G104" s="87" t="s">
        <v>2</v>
      </c>
      <c r="H104" s="87" t="s">
        <v>30</v>
      </c>
      <c r="I104">
        <v>-0.41666666699999999</v>
      </c>
      <c r="J104">
        <v>34.200000000000003</v>
      </c>
      <c r="K104" s="87" t="s">
        <v>29</v>
      </c>
      <c r="AV104" t="s">
        <v>1679</v>
      </c>
      <c r="AW104">
        <v>49</v>
      </c>
      <c r="AX104" t="s">
        <v>234</v>
      </c>
      <c r="AY104">
        <v>1</v>
      </c>
      <c r="AZ104" t="s">
        <v>1687</v>
      </c>
      <c r="BA104">
        <v>2007</v>
      </c>
      <c r="BB104">
        <v>2008</v>
      </c>
      <c r="BD104" t="s">
        <v>238</v>
      </c>
      <c r="BE104" t="s">
        <v>1672</v>
      </c>
      <c r="BF104" t="s">
        <v>284</v>
      </c>
      <c r="BH104" t="s">
        <v>23</v>
      </c>
      <c r="BI104" t="s">
        <v>1680</v>
      </c>
      <c r="BJ104" s="87" t="s">
        <v>22</v>
      </c>
      <c r="BK104">
        <v>44444</v>
      </c>
      <c r="BL104" t="s">
        <v>56</v>
      </c>
      <c r="BM104" t="s">
        <v>1677</v>
      </c>
      <c r="BN104" t="s">
        <v>1678</v>
      </c>
      <c r="BO104" s="87" t="s">
        <v>22</v>
      </c>
      <c r="BP104">
        <v>44444</v>
      </c>
      <c r="BQ104" t="s">
        <v>56</v>
      </c>
      <c r="BR104" t="s">
        <v>1664</v>
      </c>
      <c r="BS104" t="s">
        <v>234</v>
      </c>
      <c r="BT104" t="s">
        <v>234</v>
      </c>
      <c r="BU104" t="s">
        <v>234</v>
      </c>
      <c r="IF104" t="s">
        <v>1672</v>
      </c>
      <c r="IG104" s="84" t="s">
        <v>1683</v>
      </c>
      <c r="IH104" t="s">
        <v>660</v>
      </c>
      <c r="II104" t="s">
        <v>661</v>
      </c>
      <c r="IJ104" t="s">
        <v>838</v>
      </c>
      <c r="IK104" t="s">
        <v>838</v>
      </c>
      <c r="IL104" s="87" t="s">
        <v>29</v>
      </c>
      <c r="JH104" t="s">
        <v>1681</v>
      </c>
      <c r="JI104" t="s">
        <v>15</v>
      </c>
      <c r="JJ104" t="s">
        <v>14</v>
      </c>
      <c r="JK104" s="8" t="s">
        <v>1682</v>
      </c>
      <c r="JN104" t="s">
        <v>13</v>
      </c>
      <c r="JO104">
        <v>40</v>
      </c>
      <c r="JP104">
        <v>50</v>
      </c>
      <c r="KD104" t="s">
        <v>12</v>
      </c>
      <c r="MR104" t="s">
        <v>1658</v>
      </c>
      <c r="MS104">
        <v>36</v>
      </c>
      <c r="MT104" t="s">
        <v>1667</v>
      </c>
      <c r="MV104" t="s">
        <v>168</v>
      </c>
      <c r="MW104" t="s">
        <v>1689</v>
      </c>
      <c r="MX104" t="s">
        <v>1691</v>
      </c>
      <c r="MY104" t="s">
        <v>1692</v>
      </c>
      <c r="NC104" t="s">
        <v>1696</v>
      </c>
      <c r="ND104" t="s">
        <v>1615</v>
      </c>
      <c r="NE104" t="s">
        <v>1688</v>
      </c>
      <c r="NF104" s="4" t="s">
        <v>1616</v>
      </c>
      <c r="NO104" s="78"/>
      <c r="NP104" t="s">
        <v>6</v>
      </c>
      <c r="NQ104">
        <v>2.1</v>
      </c>
      <c r="NR104" s="4" t="s">
        <v>234</v>
      </c>
      <c r="NS104" s="4" t="s">
        <v>234</v>
      </c>
      <c r="NV104">
        <v>4</v>
      </c>
      <c r="OG104" t="s">
        <v>1701</v>
      </c>
      <c r="OH104" s="87" t="s">
        <v>2</v>
      </c>
      <c r="OI104">
        <v>2007</v>
      </c>
      <c r="OL104" t="s">
        <v>1684</v>
      </c>
      <c r="ON104" t="s">
        <v>1178</v>
      </c>
      <c r="OO104" s="58">
        <v>46105</v>
      </c>
    </row>
    <row r="105" spans="1:405" ht="15.75" thickBot="1">
      <c r="A105" t="s">
        <v>248</v>
      </c>
      <c r="B105" t="s">
        <v>1889</v>
      </c>
      <c r="C105" t="s">
        <v>34</v>
      </c>
      <c r="D105" s="100" t="s">
        <v>31</v>
      </c>
      <c r="E105" s="90" t="s">
        <v>1676</v>
      </c>
      <c r="F105" s="100" t="s">
        <v>31</v>
      </c>
      <c r="G105" s="87" t="s">
        <v>2</v>
      </c>
      <c r="H105" s="87" t="s">
        <v>30</v>
      </c>
      <c r="I105">
        <v>-0.41666666699999999</v>
      </c>
      <c r="J105">
        <v>34.200000000000003</v>
      </c>
      <c r="K105" s="87" t="s">
        <v>29</v>
      </c>
      <c r="AV105" t="s">
        <v>1679</v>
      </c>
      <c r="AW105">
        <v>50</v>
      </c>
      <c r="AX105" t="s">
        <v>234</v>
      </c>
      <c r="AY105">
        <v>1</v>
      </c>
      <c r="AZ105" t="s">
        <v>1687</v>
      </c>
      <c r="BA105">
        <v>2007</v>
      </c>
      <c r="BB105">
        <v>2008</v>
      </c>
      <c r="BD105" t="s">
        <v>238</v>
      </c>
      <c r="BE105" t="s">
        <v>1673</v>
      </c>
      <c r="BF105" t="s">
        <v>277</v>
      </c>
      <c r="BH105" t="s">
        <v>23</v>
      </c>
      <c r="BI105" t="s">
        <v>1680</v>
      </c>
      <c r="BJ105" s="87" t="s">
        <v>22</v>
      </c>
      <c r="BK105">
        <v>44444</v>
      </c>
      <c r="BL105" t="s">
        <v>56</v>
      </c>
      <c r="BM105" t="s">
        <v>1677</v>
      </c>
      <c r="BN105" t="s">
        <v>1678</v>
      </c>
      <c r="BO105" s="87" t="s">
        <v>22</v>
      </c>
      <c r="BP105">
        <v>44444</v>
      </c>
      <c r="BQ105" t="s">
        <v>56</v>
      </c>
      <c r="BR105" t="s">
        <v>1664</v>
      </c>
      <c r="BS105" t="s">
        <v>234</v>
      </c>
      <c r="BT105" t="s">
        <v>234</v>
      </c>
      <c r="BU105" t="s">
        <v>234</v>
      </c>
      <c r="IF105" t="s">
        <v>1673</v>
      </c>
      <c r="IG105" s="84" t="s">
        <v>1683</v>
      </c>
      <c r="IH105" t="s">
        <v>660</v>
      </c>
      <c r="II105" t="s">
        <v>661</v>
      </c>
      <c r="IJ105" t="s">
        <v>838</v>
      </c>
      <c r="IK105" t="s">
        <v>838</v>
      </c>
      <c r="IL105" s="87" t="s">
        <v>29</v>
      </c>
      <c r="JH105" t="s">
        <v>1681</v>
      </c>
      <c r="JI105" t="s">
        <v>15</v>
      </c>
      <c r="JJ105" t="s">
        <v>14</v>
      </c>
      <c r="JK105" s="8" t="s">
        <v>1682</v>
      </c>
      <c r="JN105" t="s">
        <v>13</v>
      </c>
      <c r="JO105">
        <v>40</v>
      </c>
      <c r="JP105">
        <v>50</v>
      </c>
      <c r="KD105" t="s">
        <v>12</v>
      </c>
      <c r="MR105" t="s">
        <v>1658</v>
      </c>
      <c r="MS105">
        <v>36</v>
      </c>
      <c r="MT105" t="s">
        <v>1667</v>
      </c>
      <c r="MV105" t="s">
        <v>168</v>
      </c>
      <c r="MW105" t="s">
        <v>1689</v>
      </c>
      <c r="MX105" t="s">
        <v>1691</v>
      </c>
      <c r="MY105" t="s">
        <v>1692</v>
      </c>
      <c r="NC105" t="s">
        <v>1696</v>
      </c>
      <c r="ND105" t="s">
        <v>1615</v>
      </c>
      <c r="NE105" t="s">
        <v>1688</v>
      </c>
      <c r="NF105" s="4" t="s">
        <v>1616</v>
      </c>
      <c r="NO105" s="78"/>
      <c r="NP105" t="s">
        <v>6</v>
      </c>
      <c r="NQ105">
        <v>2</v>
      </c>
      <c r="NR105" s="4" t="s">
        <v>234</v>
      </c>
      <c r="NS105" s="4" t="s">
        <v>234</v>
      </c>
      <c r="NV105">
        <v>4</v>
      </c>
      <c r="OG105" t="s">
        <v>1701</v>
      </c>
      <c r="OH105" s="87" t="s">
        <v>2</v>
      </c>
      <c r="OI105">
        <v>2007</v>
      </c>
      <c r="OL105" t="s">
        <v>1684</v>
      </c>
      <c r="ON105" t="s">
        <v>1178</v>
      </c>
      <c r="OO105" s="58">
        <v>46105</v>
      </c>
    </row>
    <row r="106" spans="1:405" ht="15.75" thickBot="1">
      <c r="A106" t="s">
        <v>248</v>
      </c>
      <c r="B106" t="s">
        <v>1889</v>
      </c>
      <c r="C106" t="s">
        <v>34</v>
      </c>
      <c r="D106" s="100" t="s">
        <v>31</v>
      </c>
      <c r="E106" s="90" t="s">
        <v>1676</v>
      </c>
      <c r="F106" s="100" t="s">
        <v>31</v>
      </c>
      <c r="G106" s="87" t="s">
        <v>2</v>
      </c>
      <c r="H106" s="87" t="s">
        <v>30</v>
      </c>
      <c r="I106">
        <v>-0.41666666699999999</v>
      </c>
      <c r="J106">
        <v>34.200000000000003</v>
      </c>
      <c r="K106" s="87" t="s">
        <v>29</v>
      </c>
      <c r="AV106" t="s">
        <v>1679</v>
      </c>
      <c r="AW106">
        <v>51</v>
      </c>
      <c r="AX106" t="s">
        <v>234</v>
      </c>
      <c r="AY106">
        <v>1</v>
      </c>
      <c r="AZ106" t="s">
        <v>1685</v>
      </c>
      <c r="BA106">
        <v>2007</v>
      </c>
      <c r="BB106">
        <v>2008</v>
      </c>
      <c r="BD106" t="s">
        <v>19</v>
      </c>
      <c r="BE106" t="s">
        <v>1669</v>
      </c>
      <c r="BF106" t="s">
        <v>24</v>
      </c>
      <c r="BH106" t="s">
        <v>23</v>
      </c>
      <c r="BI106" t="s">
        <v>1680</v>
      </c>
      <c r="BJ106" s="87" t="s">
        <v>22</v>
      </c>
      <c r="BK106">
        <v>44444</v>
      </c>
      <c r="IF106" t="s">
        <v>1669</v>
      </c>
      <c r="IG106" t="s">
        <v>19</v>
      </c>
      <c r="JH106" t="s">
        <v>1681</v>
      </c>
      <c r="JI106" t="s">
        <v>15</v>
      </c>
      <c r="JJ106" t="s">
        <v>14</v>
      </c>
      <c r="JK106" s="8" t="s">
        <v>1682</v>
      </c>
      <c r="JN106" t="s">
        <v>13</v>
      </c>
      <c r="JO106">
        <v>40</v>
      </c>
      <c r="JP106">
        <v>50</v>
      </c>
      <c r="KD106" t="s">
        <v>12</v>
      </c>
      <c r="MR106" t="s">
        <v>1658</v>
      </c>
      <c r="MS106">
        <v>36</v>
      </c>
      <c r="MT106" t="s">
        <v>1659</v>
      </c>
      <c r="MV106" t="s">
        <v>168</v>
      </c>
      <c r="NC106" t="s">
        <v>1695</v>
      </c>
      <c r="ND106" t="s">
        <v>1615</v>
      </c>
      <c r="NE106" t="s">
        <v>1688</v>
      </c>
      <c r="NF106" s="4" t="s">
        <v>1616</v>
      </c>
      <c r="NO106" s="78" t="s">
        <v>743</v>
      </c>
      <c r="NP106" t="s">
        <v>6</v>
      </c>
      <c r="NQ106">
        <v>1.1000000000000001</v>
      </c>
      <c r="NR106" s="4" t="s">
        <v>234</v>
      </c>
      <c r="NS106" s="4" t="s">
        <v>234</v>
      </c>
      <c r="NV106">
        <v>4</v>
      </c>
      <c r="OG106" t="s">
        <v>1700</v>
      </c>
      <c r="OH106" s="87" t="s">
        <v>2</v>
      </c>
      <c r="OI106">
        <v>2007</v>
      </c>
      <c r="OL106" t="s">
        <v>1674</v>
      </c>
      <c r="ON106" t="s">
        <v>1178</v>
      </c>
      <c r="OO106" s="58">
        <v>46105</v>
      </c>
    </row>
    <row r="107" spans="1:405" ht="15.75" thickBot="1">
      <c r="A107" t="s">
        <v>248</v>
      </c>
      <c r="B107" t="s">
        <v>1889</v>
      </c>
      <c r="C107" t="s">
        <v>34</v>
      </c>
      <c r="D107" s="100" t="s">
        <v>31</v>
      </c>
      <c r="E107" s="90" t="s">
        <v>1676</v>
      </c>
      <c r="F107" s="100" t="s">
        <v>31</v>
      </c>
      <c r="G107" s="87" t="s">
        <v>2</v>
      </c>
      <c r="H107" s="87" t="s">
        <v>30</v>
      </c>
      <c r="I107">
        <v>-0.41666666699999999</v>
      </c>
      <c r="J107">
        <v>34.200000000000003</v>
      </c>
      <c r="K107" s="87" t="s">
        <v>29</v>
      </c>
      <c r="AV107" t="s">
        <v>1679</v>
      </c>
      <c r="AW107">
        <v>52</v>
      </c>
      <c r="AX107" t="s">
        <v>234</v>
      </c>
      <c r="AY107">
        <v>1</v>
      </c>
      <c r="AZ107" t="s">
        <v>1685</v>
      </c>
      <c r="BA107">
        <v>2007</v>
      </c>
      <c r="BB107">
        <v>2008</v>
      </c>
      <c r="BD107" t="s">
        <v>238</v>
      </c>
      <c r="BE107" t="s">
        <v>1670</v>
      </c>
      <c r="BF107" t="s">
        <v>252</v>
      </c>
      <c r="BH107" t="s">
        <v>23</v>
      </c>
      <c r="BI107" t="s">
        <v>1680</v>
      </c>
      <c r="BJ107" s="87" t="s">
        <v>22</v>
      </c>
      <c r="BK107">
        <v>44444</v>
      </c>
      <c r="BL107" t="s">
        <v>56</v>
      </c>
      <c r="BM107" t="s">
        <v>1677</v>
      </c>
      <c r="BN107" t="s">
        <v>1678</v>
      </c>
      <c r="BO107" s="87" t="s">
        <v>22</v>
      </c>
      <c r="BP107">
        <v>44444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8"/>
      <c r="IF107" t="s">
        <v>1670</v>
      </c>
      <c r="IG107" s="84" t="s">
        <v>1453</v>
      </c>
      <c r="IH107" t="s">
        <v>660</v>
      </c>
      <c r="II107" t="s">
        <v>661</v>
      </c>
      <c r="IJ107" t="s">
        <v>838</v>
      </c>
      <c r="IK107" t="s">
        <v>838</v>
      </c>
      <c r="IL107" s="87" t="s">
        <v>29</v>
      </c>
      <c r="JH107" t="s">
        <v>1681</v>
      </c>
      <c r="JI107" t="s">
        <v>15</v>
      </c>
      <c r="JJ107" t="s">
        <v>14</v>
      </c>
      <c r="JK107" s="8" t="s">
        <v>1682</v>
      </c>
      <c r="JN107" t="s">
        <v>13</v>
      </c>
      <c r="JO107">
        <v>40</v>
      </c>
      <c r="JP107">
        <v>50</v>
      </c>
      <c r="KD107" t="s">
        <v>12</v>
      </c>
      <c r="MR107" t="s">
        <v>1658</v>
      </c>
      <c r="MS107">
        <v>36</v>
      </c>
      <c r="MT107" t="s">
        <v>1662</v>
      </c>
      <c r="MV107" t="s">
        <v>168</v>
      </c>
      <c r="MW107" t="s">
        <v>1689</v>
      </c>
      <c r="NC107" t="s">
        <v>1696</v>
      </c>
      <c r="ND107" t="s">
        <v>1615</v>
      </c>
      <c r="NE107" t="s">
        <v>1688</v>
      </c>
      <c r="NF107" s="4" t="s">
        <v>1616</v>
      </c>
      <c r="NO107" s="78"/>
      <c r="NP107" t="s">
        <v>6</v>
      </c>
      <c r="NQ107">
        <v>1.1000000000000001</v>
      </c>
      <c r="NR107" s="4" t="s">
        <v>234</v>
      </c>
      <c r="NS107" s="4" t="s">
        <v>234</v>
      </c>
      <c r="NV107">
        <v>4</v>
      </c>
      <c r="OG107" t="s">
        <v>1700</v>
      </c>
      <c r="OH107" s="87" t="s">
        <v>2</v>
      </c>
      <c r="OI107">
        <v>2007</v>
      </c>
      <c r="OL107" t="s">
        <v>1674</v>
      </c>
      <c r="ON107" t="s">
        <v>1178</v>
      </c>
      <c r="OO107" s="58">
        <v>46105</v>
      </c>
    </row>
    <row r="108" spans="1:405" ht="15.75" thickBot="1">
      <c r="A108" t="s">
        <v>248</v>
      </c>
      <c r="B108" t="s">
        <v>1889</v>
      </c>
      <c r="C108" t="s">
        <v>34</v>
      </c>
      <c r="D108" s="100" t="s">
        <v>31</v>
      </c>
      <c r="E108" s="90" t="s">
        <v>1676</v>
      </c>
      <c r="F108" s="100" t="s">
        <v>31</v>
      </c>
      <c r="G108" s="87" t="s">
        <v>2</v>
      </c>
      <c r="H108" s="87" t="s">
        <v>30</v>
      </c>
      <c r="I108">
        <v>-0.41666666699999999</v>
      </c>
      <c r="J108">
        <v>34.200000000000003</v>
      </c>
      <c r="K108" s="87" t="s">
        <v>29</v>
      </c>
      <c r="AV108" t="s">
        <v>1679</v>
      </c>
      <c r="AW108">
        <v>53</v>
      </c>
      <c r="AX108" t="s">
        <v>234</v>
      </c>
      <c r="AY108">
        <v>1</v>
      </c>
      <c r="AZ108" t="s">
        <v>1685</v>
      </c>
      <c r="BA108">
        <v>2007</v>
      </c>
      <c r="BB108">
        <v>2008</v>
      </c>
      <c r="BD108" t="s">
        <v>238</v>
      </c>
      <c r="BE108" t="s">
        <v>1671</v>
      </c>
      <c r="BF108" t="s">
        <v>236</v>
      </c>
      <c r="BH108" t="s">
        <v>23</v>
      </c>
      <c r="BI108" t="s">
        <v>1680</v>
      </c>
      <c r="BJ108" s="87" t="s">
        <v>22</v>
      </c>
      <c r="BK108">
        <v>44444</v>
      </c>
      <c r="BL108" t="s">
        <v>56</v>
      </c>
      <c r="BM108" t="s">
        <v>1664</v>
      </c>
      <c r="BN108" t="s">
        <v>234</v>
      </c>
      <c r="BO108" t="s">
        <v>234</v>
      </c>
      <c r="BP108" t="s">
        <v>234</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8"/>
      <c r="IF108" t="s">
        <v>1671</v>
      </c>
      <c r="IG108" s="84" t="s">
        <v>1683</v>
      </c>
      <c r="IH108" t="s">
        <v>660</v>
      </c>
      <c r="II108" t="s">
        <v>661</v>
      </c>
      <c r="IJ108" t="s">
        <v>838</v>
      </c>
      <c r="IK108" t="s">
        <v>838</v>
      </c>
      <c r="IL108" s="87" t="s">
        <v>29</v>
      </c>
      <c r="JH108" t="s">
        <v>1681</v>
      </c>
      <c r="JI108" t="s">
        <v>15</v>
      </c>
      <c r="JJ108" t="s">
        <v>14</v>
      </c>
      <c r="JK108" s="8" t="s">
        <v>1682</v>
      </c>
      <c r="JN108" t="s">
        <v>13</v>
      </c>
      <c r="JO108">
        <v>40</v>
      </c>
      <c r="JP108">
        <v>50</v>
      </c>
      <c r="KD108" t="s">
        <v>12</v>
      </c>
      <c r="MR108" t="s">
        <v>1658</v>
      </c>
      <c r="MS108">
        <v>36</v>
      </c>
      <c r="MT108" t="s">
        <v>1665</v>
      </c>
      <c r="MV108" t="s">
        <v>168</v>
      </c>
      <c r="MW108" t="s">
        <v>1691</v>
      </c>
      <c r="MX108" t="s">
        <v>1692</v>
      </c>
      <c r="NC108" t="s">
        <v>1696</v>
      </c>
      <c r="ND108" t="s">
        <v>1615</v>
      </c>
      <c r="NE108" t="s">
        <v>1688</v>
      </c>
      <c r="NF108" s="4" t="s">
        <v>1616</v>
      </c>
      <c r="NO108" s="78"/>
      <c r="NP108" t="s">
        <v>6</v>
      </c>
      <c r="NQ108">
        <v>2.5</v>
      </c>
      <c r="NR108" s="4" t="s">
        <v>234</v>
      </c>
      <c r="NS108" s="4" t="s">
        <v>234</v>
      </c>
      <c r="NV108">
        <v>4</v>
      </c>
      <c r="OG108" t="s">
        <v>1700</v>
      </c>
      <c r="OH108" s="87" t="s">
        <v>2</v>
      </c>
      <c r="OI108">
        <v>2007</v>
      </c>
      <c r="OL108" t="s">
        <v>1674</v>
      </c>
      <c r="ON108" t="s">
        <v>1178</v>
      </c>
      <c r="OO108" s="58">
        <v>46105</v>
      </c>
    </row>
    <row r="109" spans="1:405" ht="15.75" thickBot="1">
      <c r="A109" t="s">
        <v>248</v>
      </c>
      <c r="B109" t="s">
        <v>1889</v>
      </c>
      <c r="C109" t="s">
        <v>34</v>
      </c>
      <c r="D109" s="100" t="s">
        <v>31</v>
      </c>
      <c r="E109" s="90" t="s">
        <v>1676</v>
      </c>
      <c r="F109" s="100" t="s">
        <v>31</v>
      </c>
      <c r="G109" s="87" t="s">
        <v>2</v>
      </c>
      <c r="H109" s="87" t="s">
        <v>30</v>
      </c>
      <c r="I109">
        <v>-0.41666666699999999</v>
      </c>
      <c r="J109">
        <v>34.200000000000003</v>
      </c>
      <c r="K109" s="87" t="s">
        <v>29</v>
      </c>
      <c r="AV109" t="s">
        <v>1679</v>
      </c>
      <c r="AW109">
        <v>54</v>
      </c>
      <c r="AX109" t="s">
        <v>234</v>
      </c>
      <c r="AY109">
        <v>1</v>
      </c>
      <c r="AZ109" t="s">
        <v>1685</v>
      </c>
      <c r="BA109">
        <v>2007</v>
      </c>
      <c r="BB109">
        <v>2008</v>
      </c>
      <c r="BD109" t="s">
        <v>238</v>
      </c>
      <c r="BE109" t="s">
        <v>1672</v>
      </c>
      <c r="BF109" t="s">
        <v>284</v>
      </c>
      <c r="BH109" t="s">
        <v>23</v>
      </c>
      <c r="BI109" t="s">
        <v>1680</v>
      </c>
      <c r="BJ109" s="87" t="s">
        <v>22</v>
      </c>
      <c r="BK109">
        <v>44444</v>
      </c>
      <c r="BL109" t="s">
        <v>56</v>
      </c>
      <c r="BM109" t="s">
        <v>1677</v>
      </c>
      <c r="BN109" t="s">
        <v>1678</v>
      </c>
      <c r="BO109" s="87" t="s">
        <v>22</v>
      </c>
      <c r="BP109">
        <v>44444</v>
      </c>
      <c r="BQ109" t="s">
        <v>56</v>
      </c>
      <c r="BR109" t="s">
        <v>1664</v>
      </c>
      <c r="BS109" t="s">
        <v>234</v>
      </c>
      <c r="BT109" t="s">
        <v>234</v>
      </c>
      <c r="BU109" t="s">
        <v>234</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8"/>
      <c r="IF109" t="s">
        <v>1672</v>
      </c>
      <c r="IG109" s="84" t="s">
        <v>1683</v>
      </c>
      <c r="IH109" t="s">
        <v>660</v>
      </c>
      <c r="II109" t="s">
        <v>661</v>
      </c>
      <c r="IJ109" t="s">
        <v>838</v>
      </c>
      <c r="IK109" t="s">
        <v>838</v>
      </c>
      <c r="IL109" s="87" t="s">
        <v>29</v>
      </c>
      <c r="JH109" t="s">
        <v>1681</v>
      </c>
      <c r="JI109" t="s">
        <v>15</v>
      </c>
      <c r="JJ109" t="s">
        <v>14</v>
      </c>
      <c r="JK109" s="8" t="s">
        <v>1682</v>
      </c>
      <c r="JN109" t="s">
        <v>13</v>
      </c>
      <c r="JO109">
        <v>40</v>
      </c>
      <c r="JP109">
        <v>50</v>
      </c>
      <c r="KD109" t="s">
        <v>12</v>
      </c>
      <c r="MR109" t="s">
        <v>1658</v>
      </c>
      <c r="MS109">
        <v>36</v>
      </c>
      <c r="MT109" t="s">
        <v>1667</v>
      </c>
      <c r="MV109" t="s">
        <v>168</v>
      </c>
      <c r="MW109" t="s">
        <v>1689</v>
      </c>
      <c r="MX109" t="s">
        <v>1691</v>
      </c>
      <c r="MY109" t="s">
        <v>1692</v>
      </c>
      <c r="NC109" t="s">
        <v>1696</v>
      </c>
      <c r="ND109" t="s">
        <v>1615</v>
      </c>
      <c r="NE109" t="s">
        <v>1688</v>
      </c>
      <c r="NF109" s="4" t="s">
        <v>1616</v>
      </c>
      <c r="NO109" s="78"/>
      <c r="NP109" t="s">
        <v>6</v>
      </c>
      <c r="NQ109">
        <v>2.2999999999999998</v>
      </c>
      <c r="NR109" s="4" t="s">
        <v>234</v>
      </c>
      <c r="NS109" s="4" t="s">
        <v>234</v>
      </c>
      <c r="NV109">
        <v>4</v>
      </c>
      <c r="OG109" t="s">
        <v>1700</v>
      </c>
      <c r="OH109" s="87" t="s">
        <v>2</v>
      </c>
      <c r="OI109">
        <v>2007</v>
      </c>
      <c r="OL109" t="s">
        <v>1674</v>
      </c>
      <c r="ON109" t="s">
        <v>1178</v>
      </c>
      <c r="OO109" s="58">
        <v>46105</v>
      </c>
    </row>
    <row r="110" spans="1:405" ht="15.75" thickBot="1">
      <c r="A110" t="s">
        <v>248</v>
      </c>
      <c r="B110" t="s">
        <v>1889</v>
      </c>
      <c r="C110" t="s">
        <v>34</v>
      </c>
      <c r="D110" s="100" t="s">
        <v>31</v>
      </c>
      <c r="E110" s="90" t="s">
        <v>1676</v>
      </c>
      <c r="F110" s="100" t="s">
        <v>31</v>
      </c>
      <c r="G110" s="87" t="s">
        <v>2</v>
      </c>
      <c r="H110" s="87" t="s">
        <v>30</v>
      </c>
      <c r="I110">
        <v>-0.41666666699999999</v>
      </c>
      <c r="J110">
        <v>34.200000000000003</v>
      </c>
      <c r="K110" s="87" t="s">
        <v>29</v>
      </c>
      <c r="AV110" t="s">
        <v>1679</v>
      </c>
      <c r="AW110">
        <v>55</v>
      </c>
      <c r="AX110" t="s">
        <v>234</v>
      </c>
      <c r="AY110">
        <v>1</v>
      </c>
      <c r="AZ110" t="s">
        <v>1685</v>
      </c>
      <c r="BA110">
        <v>2007</v>
      </c>
      <c r="BB110">
        <v>2008</v>
      </c>
      <c r="BD110" t="s">
        <v>238</v>
      </c>
      <c r="BE110" t="s">
        <v>1673</v>
      </c>
      <c r="BF110" t="s">
        <v>277</v>
      </c>
      <c r="BH110" t="s">
        <v>23</v>
      </c>
      <c r="BI110" t="s">
        <v>1680</v>
      </c>
      <c r="BJ110" s="87" t="s">
        <v>22</v>
      </c>
      <c r="BK110">
        <v>44444</v>
      </c>
      <c r="BL110" t="s">
        <v>56</v>
      </c>
      <c r="BM110" t="s">
        <v>1677</v>
      </c>
      <c r="BN110" t="s">
        <v>1678</v>
      </c>
      <c r="BO110" s="87" t="s">
        <v>22</v>
      </c>
      <c r="BP110">
        <v>44444</v>
      </c>
      <c r="BQ110" t="s">
        <v>56</v>
      </c>
      <c r="BR110" t="s">
        <v>1664</v>
      </c>
      <c r="BS110" t="s">
        <v>234</v>
      </c>
      <c r="BT110" t="s">
        <v>234</v>
      </c>
      <c r="BU110" t="s">
        <v>234</v>
      </c>
      <c r="EH110" s="9"/>
      <c r="EI110" s="9"/>
      <c r="EJ110" s="9"/>
      <c r="EK110" s="9"/>
      <c r="EL110" s="9"/>
      <c r="EM110" s="9"/>
      <c r="EN110" s="9"/>
      <c r="EO110" s="9"/>
      <c r="EP110" s="9"/>
      <c r="EQ110" s="9"/>
      <c r="ER110" s="9"/>
      <c r="ES110" s="9"/>
      <c r="ET110" s="9"/>
      <c r="EU110" s="9"/>
      <c r="EV110" s="9"/>
      <c r="EW110" s="9"/>
      <c r="EX110" s="9"/>
      <c r="EY110" s="9"/>
      <c r="EZ110" s="9"/>
      <c r="FA110" s="9"/>
      <c r="FB110" s="9"/>
      <c r="FC110" s="9"/>
      <c r="FD110" s="9"/>
      <c r="FE110" s="9"/>
      <c r="FF110" s="9"/>
      <c r="FG110" s="9"/>
      <c r="FH110" s="9"/>
      <c r="FI110" s="9"/>
      <c r="FJ110" s="9"/>
      <c r="FK110" s="9"/>
      <c r="FL110" s="9"/>
      <c r="FM110" s="9"/>
      <c r="FN110" s="9"/>
      <c r="FO110" s="9"/>
      <c r="FP110" s="9"/>
      <c r="FQ110" s="9"/>
      <c r="FR110" s="9"/>
      <c r="FS110" s="9"/>
      <c r="FT110" s="9"/>
      <c r="FU110" s="9"/>
      <c r="FV110" s="9"/>
      <c r="FW110" s="9"/>
      <c r="FX110" s="9"/>
      <c r="FY110" s="9"/>
      <c r="FZ110" s="9"/>
      <c r="GA110" s="9"/>
      <c r="GB110" s="9"/>
      <c r="GC110" s="9"/>
      <c r="GD110" s="9"/>
      <c r="GE110" s="9"/>
      <c r="GF110" s="9"/>
      <c r="GG110" s="9"/>
      <c r="GH110" s="9"/>
      <c r="GI110" s="9"/>
      <c r="GJ110" s="9"/>
      <c r="GK110" s="9"/>
      <c r="GL110" s="9"/>
      <c r="GM110" s="9"/>
      <c r="GN110" s="9"/>
      <c r="GO110" s="9"/>
      <c r="GP110" s="9"/>
      <c r="GQ110" s="9"/>
      <c r="GR110" s="9"/>
      <c r="GS110" s="9"/>
      <c r="GT110" s="9"/>
      <c r="GU110" s="9"/>
      <c r="GV110" s="9"/>
      <c r="GW110" s="9"/>
      <c r="GX110" s="9"/>
      <c r="GY110" s="9"/>
      <c r="GZ110" s="9"/>
      <c r="HA110" s="9"/>
      <c r="HB110" s="9"/>
      <c r="HC110" s="9"/>
      <c r="HD110" s="9"/>
      <c r="HE110" s="9"/>
      <c r="HF110" s="9"/>
      <c r="HG110" s="9"/>
      <c r="HH110" s="9"/>
      <c r="HI110" s="9"/>
      <c r="HJ110" s="9"/>
      <c r="HK110" s="9"/>
      <c r="HW110" s="58"/>
      <c r="IF110" t="s">
        <v>1673</v>
      </c>
      <c r="IG110" s="84" t="s">
        <v>1683</v>
      </c>
      <c r="IH110" t="s">
        <v>660</v>
      </c>
      <c r="II110" t="s">
        <v>661</v>
      </c>
      <c r="IJ110" t="s">
        <v>838</v>
      </c>
      <c r="IK110" t="s">
        <v>838</v>
      </c>
      <c r="IL110" s="87" t="s">
        <v>29</v>
      </c>
      <c r="JH110" t="s">
        <v>1681</v>
      </c>
      <c r="JI110" t="s">
        <v>15</v>
      </c>
      <c r="JJ110" t="s">
        <v>14</v>
      </c>
      <c r="JK110" s="8" t="s">
        <v>1682</v>
      </c>
      <c r="JN110" t="s">
        <v>13</v>
      </c>
      <c r="JO110">
        <v>40</v>
      </c>
      <c r="JP110">
        <v>50</v>
      </c>
      <c r="KD110" t="s">
        <v>12</v>
      </c>
      <c r="MR110" t="s">
        <v>1658</v>
      </c>
      <c r="MS110">
        <v>36</v>
      </c>
      <c r="MT110" t="s">
        <v>1667</v>
      </c>
      <c r="MV110" t="s">
        <v>168</v>
      </c>
      <c r="MW110" t="s">
        <v>1689</v>
      </c>
      <c r="MX110" t="s">
        <v>1691</v>
      </c>
      <c r="MY110" t="s">
        <v>1692</v>
      </c>
      <c r="NC110" t="s">
        <v>1696</v>
      </c>
      <c r="ND110" t="s">
        <v>1615</v>
      </c>
      <c r="NE110" t="s">
        <v>1688</v>
      </c>
      <c r="NF110" s="4" t="s">
        <v>1616</v>
      </c>
      <c r="NO110" s="78"/>
      <c r="NP110" t="s">
        <v>6</v>
      </c>
      <c r="NQ110">
        <v>2.2999999999999998</v>
      </c>
      <c r="NR110" s="4" t="s">
        <v>234</v>
      </c>
      <c r="NS110" s="4" t="s">
        <v>234</v>
      </c>
      <c r="NV110">
        <v>4</v>
      </c>
      <c r="OG110" t="s">
        <v>1700</v>
      </c>
      <c r="OH110" s="87" t="s">
        <v>2</v>
      </c>
      <c r="OI110">
        <v>2007</v>
      </c>
      <c r="OL110" t="s">
        <v>1674</v>
      </c>
      <c r="ON110" t="s">
        <v>1178</v>
      </c>
      <c r="OO110" s="58">
        <v>46105</v>
      </c>
    </row>
    <row r="111" spans="1:405" ht="15.75" thickBot="1">
      <c r="A111" t="s">
        <v>248</v>
      </c>
      <c r="B111" t="s">
        <v>1889</v>
      </c>
      <c r="C111" t="s">
        <v>34</v>
      </c>
      <c r="D111" s="100" t="s">
        <v>31</v>
      </c>
      <c r="E111" s="90" t="s">
        <v>1676</v>
      </c>
      <c r="F111" s="100" t="s">
        <v>31</v>
      </c>
      <c r="G111" s="87" t="s">
        <v>2</v>
      </c>
      <c r="H111" s="87" t="s">
        <v>30</v>
      </c>
      <c r="I111">
        <v>-0.41666666699999999</v>
      </c>
      <c r="J111">
        <v>34.200000000000003</v>
      </c>
      <c r="K111" s="87" t="s">
        <v>29</v>
      </c>
      <c r="AV111" t="s">
        <v>1679</v>
      </c>
      <c r="AW111">
        <v>36</v>
      </c>
      <c r="AX111" t="s">
        <v>234</v>
      </c>
      <c r="AY111">
        <v>1</v>
      </c>
      <c r="AZ111" t="s">
        <v>1685</v>
      </c>
      <c r="BA111">
        <v>2007</v>
      </c>
      <c r="BB111">
        <v>2008</v>
      </c>
      <c r="BD111" t="s">
        <v>19</v>
      </c>
      <c r="BE111" t="s">
        <v>1657</v>
      </c>
      <c r="BF111" t="s">
        <v>39</v>
      </c>
      <c r="BH111" t="s">
        <v>23</v>
      </c>
      <c r="BI111" t="s">
        <v>1680</v>
      </c>
      <c r="BJ111" s="87" t="s">
        <v>22</v>
      </c>
      <c r="BK111">
        <v>44444</v>
      </c>
      <c r="IF111" t="s">
        <v>1657</v>
      </c>
      <c r="IG111" t="s">
        <v>19</v>
      </c>
      <c r="JH111" t="s">
        <v>1681</v>
      </c>
      <c r="JI111" t="s">
        <v>15</v>
      </c>
      <c r="JJ111" t="s">
        <v>14</v>
      </c>
      <c r="JK111" s="8" t="s">
        <v>1682</v>
      </c>
      <c r="JN111" t="s">
        <v>13</v>
      </c>
      <c r="JO111">
        <v>40</v>
      </c>
      <c r="JP111">
        <v>50</v>
      </c>
      <c r="KD111" t="s">
        <v>12</v>
      </c>
      <c r="MR111" t="s">
        <v>1658</v>
      </c>
      <c r="MS111">
        <v>36</v>
      </c>
      <c r="MT111" t="s">
        <v>1659</v>
      </c>
      <c r="MV111" t="s">
        <v>168</v>
      </c>
      <c r="ND111" t="s">
        <v>1704</v>
      </c>
      <c r="NF111" s="4" t="s">
        <v>8</v>
      </c>
      <c r="NG111" t="s">
        <v>7</v>
      </c>
      <c r="NO111" s="78" t="s">
        <v>735</v>
      </c>
      <c r="NP111" t="s">
        <v>6</v>
      </c>
      <c r="NQ111">
        <v>2.8</v>
      </c>
      <c r="NR111" s="4" t="s">
        <v>4</v>
      </c>
      <c r="NS111" s="4">
        <v>0.1</v>
      </c>
      <c r="NV111">
        <v>4</v>
      </c>
      <c r="OG111" t="s">
        <v>1699</v>
      </c>
      <c r="OH111" s="87" t="s">
        <v>2</v>
      </c>
      <c r="OI111">
        <v>2007</v>
      </c>
      <c r="OL111" t="s">
        <v>1674</v>
      </c>
      <c r="ON111" t="s">
        <v>1178</v>
      </c>
      <c r="OO111" s="58">
        <v>46105</v>
      </c>
    </row>
    <row r="112" spans="1:405" ht="15.75" thickBot="1">
      <c r="A112" t="s">
        <v>248</v>
      </c>
      <c r="B112" t="s">
        <v>1889</v>
      </c>
      <c r="C112" t="s">
        <v>34</v>
      </c>
      <c r="D112" s="100" t="s">
        <v>31</v>
      </c>
      <c r="E112" s="90" t="s">
        <v>1676</v>
      </c>
      <c r="F112" s="100" t="s">
        <v>31</v>
      </c>
      <c r="G112" s="87" t="s">
        <v>2</v>
      </c>
      <c r="H112" s="87" t="s">
        <v>30</v>
      </c>
      <c r="I112">
        <v>-0.41666666699999999</v>
      </c>
      <c r="J112">
        <v>34.200000000000003</v>
      </c>
      <c r="K112" s="87" t="s">
        <v>29</v>
      </c>
      <c r="AV112" t="s">
        <v>1679</v>
      </c>
      <c r="AW112">
        <v>37</v>
      </c>
      <c r="AX112" t="s">
        <v>234</v>
      </c>
      <c r="AY112">
        <v>1</v>
      </c>
      <c r="AZ112" t="s">
        <v>1685</v>
      </c>
      <c r="BA112">
        <v>2007</v>
      </c>
      <c r="BB112">
        <v>2008</v>
      </c>
      <c r="BD112" t="s">
        <v>238</v>
      </c>
      <c r="BE112" t="s">
        <v>1661</v>
      </c>
      <c r="BF112" t="s">
        <v>64</v>
      </c>
      <c r="BH112" t="s">
        <v>23</v>
      </c>
      <c r="BI112" t="s">
        <v>1680</v>
      </c>
      <c r="BJ112" s="87" t="s">
        <v>22</v>
      </c>
      <c r="BK112">
        <v>44444</v>
      </c>
      <c r="BL112" t="s">
        <v>56</v>
      </c>
      <c r="BM112" t="s">
        <v>1677</v>
      </c>
      <c r="BN112" t="s">
        <v>1678</v>
      </c>
      <c r="BO112" s="87" t="s">
        <v>22</v>
      </c>
      <c r="BP112">
        <v>44444</v>
      </c>
      <c r="IF112" t="s">
        <v>1661</v>
      </c>
      <c r="IG112" s="84" t="s">
        <v>1453</v>
      </c>
      <c r="IH112" t="s">
        <v>660</v>
      </c>
      <c r="II112" t="s">
        <v>661</v>
      </c>
      <c r="IJ112" t="s">
        <v>838</v>
      </c>
      <c r="IK112" t="s">
        <v>838</v>
      </c>
      <c r="IL112" s="87" t="s">
        <v>29</v>
      </c>
      <c r="JH112" t="s">
        <v>1681</v>
      </c>
      <c r="JI112" t="s">
        <v>15</v>
      </c>
      <c r="JJ112" t="s">
        <v>14</v>
      </c>
      <c r="JK112" s="8" t="s">
        <v>1682</v>
      </c>
      <c r="JN112" t="s">
        <v>13</v>
      </c>
      <c r="JO112">
        <v>40</v>
      </c>
      <c r="JP112">
        <v>50</v>
      </c>
      <c r="KD112" t="s">
        <v>12</v>
      </c>
      <c r="MR112" t="s">
        <v>1658</v>
      </c>
      <c r="MS112">
        <v>36</v>
      </c>
      <c r="MT112" t="s">
        <v>1662</v>
      </c>
      <c r="MV112" t="s">
        <v>168</v>
      </c>
      <c r="ND112" t="s">
        <v>1704</v>
      </c>
      <c r="NF112" s="4" t="s">
        <v>8</v>
      </c>
      <c r="NG112" t="s">
        <v>7</v>
      </c>
      <c r="NO112" s="78"/>
      <c r="NP112" t="s">
        <v>6</v>
      </c>
      <c r="NQ112">
        <v>3.1</v>
      </c>
      <c r="NR112" s="4" t="s">
        <v>4</v>
      </c>
      <c r="NS112" s="4">
        <v>0.2</v>
      </c>
      <c r="NV112">
        <v>4</v>
      </c>
      <c r="OG112" t="s">
        <v>1699</v>
      </c>
      <c r="OH112" s="87" t="s">
        <v>2</v>
      </c>
      <c r="OI112">
        <v>2007</v>
      </c>
      <c r="OL112" t="s">
        <v>1674</v>
      </c>
      <c r="ON112" t="s">
        <v>1178</v>
      </c>
      <c r="OO112" s="58">
        <v>46105</v>
      </c>
    </row>
    <row r="113" spans="1:405" ht="15.75" thickBot="1">
      <c r="A113" t="s">
        <v>248</v>
      </c>
      <c r="B113" t="s">
        <v>1889</v>
      </c>
      <c r="C113" t="s">
        <v>34</v>
      </c>
      <c r="D113" s="100" t="s">
        <v>31</v>
      </c>
      <c r="E113" s="90" t="s">
        <v>1676</v>
      </c>
      <c r="F113" s="100" t="s">
        <v>31</v>
      </c>
      <c r="G113" s="87" t="s">
        <v>2</v>
      </c>
      <c r="H113" s="87" t="s">
        <v>30</v>
      </c>
      <c r="I113">
        <v>-0.41666666699999999</v>
      </c>
      <c r="J113">
        <v>34.200000000000003</v>
      </c>
      <c r="K113" s="87" t="s">
        <v>29</v>
      </c>
      <c r="AV113" t="s">
        <v>1679</v>
      </c>
      <c r="AW113">
        <v>38</v>
      </c>
      <c r="AX113" t="s">
        <v>234</v>
      </c>
      <c r="AY113">
        <v>1</v>
      </c>
      <c r="AZ113" t="s">
        <v>1685</v>
      </c>
      <c r="BA113">
        <v>2007</v>
      </c>
      <c r="BB113">
        <v>2008</v>
      </c>
      <c r="BD113" t="s">
        <v>238</v>
      </c>
      <c r="BE113" t="s">
        <v>1663</v>
      </c>
      <c r="BF113" t="s">
        <v>57</v>
      </c>
      <c r="BH113" t="s">
        <v>23</v>
      </c>
      <c r="BI113" t="s">
        <v>1680</v>
      </c>
      <c r="BJ113" s="87" t="s">
        <v>22</v>
      </c>
      <c r="BK113">
        <v>44444</v>
      </c>
      <c r="BL113" t="s">
        <v>56</v>
      </c>
      <c r="BM113" t="s">
        <v>1664</v>
      </c>
      <c r="BN113" t="s">
        <v>234</v>
      </c>
      <c r="BO113" t="s">
        <v>234</v>
      </c>
      <c r="BP113" t="s">
        <v>234</v>
      </c>
      <c r="IF113" t="s">
        <v>1663</v>
      </c>
      <c r="IG113" s="84" t="s">
        <v>1683</v>
      </c>
      <c r="IH113" t="s">
        <v>660</v>
      </c>
      <c r="II113" t="s">
        <v>661</v>
      </c>
      <c r="IJ113" t="s">
        <v>838</v>
      </c>
      <c r="IK113" t="s">
        <v>838</v>
      </c>
      <c r="IL113" s="87" t="s">
        <v>29</v>
      </c>
      <c r="JH113" t="s">
        <v>1681</v>
      </c>
      <c r="JI113" t="s">
        <v>15</v>
      </c>
      <c r="JJ113" t="s">
        <v>14</v>
      </c>
      <c r="JK113" s="8" t="s">
        <v>1682</v>
      </c>
      <c r="JN113" t="s">
        <v>13</v>
      </c>
      <c r="JO113">
        <v>40</v>
      </c>
      <c r="JP113">
        <v>50</v>
      </c>
      <c r="KD113" t="s">
        <v>12</v>
      </c>
      <c r="MR113" t="s">
        <v>1658</v>
      </c>
      <c r="MS113">
        <v>36</v>
      </c>
      <c r="MT113" t="s">
        <v>1665</v>
      </c>
      <c r="MV113" t="s">
        <v>168</v>
      </c>
      <c r="ND113" t="s">
        <v>1704</v>
      </c>
      <c r="NF113" s="4" t="s">
        <v>8</v>
      </c>
      <c r="NG113" t="s">
        <v>7</v>
      </c>
      <c r="NO113" s="78"/>
      <c r="NP113" t="s">
        <v>6</v>
      </c>
      <c r="NQ113">
        <v>4.9000000000000004</v>
      </c>
      <c r="NR113" s="4" t="s">
        <v>4</v>
      </c>
      <c r="NS113" s="4">
        <v>0.2</v>
      </c>
      <c r="NV113">
        <v>4</v>
      </c>
      <c r="OG113" t="s">
        <v>1699</v>
      </c>
      <c r="OH113" s="87" t="s">
        <v>2</v>
      </c>
      <c r="OI113">
        <v>2007</v>
      </c>
      <c r="OL113" t="s">
        <v>1674</v>
      </c>
      <c r="ON113" t="s">
        <v>1178</v>
      </c>
      <c r="OO113" s="58">
        <v>46105</v>
      </c>
    </row>
    <row r="114" spans="1:405" ht="15.75" thickBot="1">
      <c r="A114" t="s">
        <v>248</v>
      </c>
      <c r="B114" t="s">
        <v>1889</v>
      </c>
      <c r="C114" t="s">
        <v>34</v>
      </c>
      <c r="D114" s="100" t="s">
        <v>31</v>
      </c>
      <c r="E114" s="90" t="s">
        <v>1676</v>
      </c>
      <c r="F114" s="100" t="s">
        <v>31</v>
      </c>
      <c r="G114" s="87" t="s">
        <v>2</v>
      </c>
      <c r="H114" s="87" t="s">
        <v>30</v>
      </c>
      <c r="I114">
        <v>-0.41666666699999999</v>
      </c>
      <c r="J114">
        <v>34.200000000000003</v>
      </c>
      <c r="K114" s="87" t="s">
        <v>29</v>
      </c>
      <c r="AV114" t="s">
        <v>1679</v>
      </c>
      <c r="AW114">
        <v>39</v>
      </c>
      <c r="AX114" t="s">
        <v>234</v>
      </c>
      <c r="AY114">
        <v>1</v>
      </c>
      <c r="AZ114" t="s">
        <v>1685</v>
      </c>
      <c r="BA114">
        <v>2007</v>
      </c>
      <c r="BB114">
        <v>2008</v>
      </c>
      <c r="BD114" t="s">
        <v>238</v>
      </c>
      <c r="BE114" t="s">
        <v>1666</v>
      </c>
      <c r="BF114" t="s">
        <v>48</v>
      </c>
      <c r="BH114" t="s">
        <v>23</v>
      </c>
      <c r="BI114" t="s">
        <v>1680</v>
      </c>
      <c r="BJ114" s="87" t="s">
        <v>22</v>
      </c>
      <c r="BK114">
        <v>44444</v>
      </c>
      <c r="BL114" t="s">
        <v>56</v>
      </c>
      <c r="BM114" t="s">
        <v>1677</v>
      </c>
      <c r="BN114" t="s">
        <v>1678</v>
      </c>
      <c r="BO114" s="87" t="s">
        <v>22</v>
      </c>
      <c r="BP114">
        <v>44444</v>
      </c>
      <c r="BQ114" t="s">
        <v>56</v>
      </c>
      <c r="BR114" t="s">
        <v>1664</v>
      </c>
      <c r="BS114" t="s">
        <v>234</v>
      </c>
      <c r="BT114" t="s">
        <v>234</v>
      </c>
      <c r="BU114" t="s">
        <v>234</v>
      </c>
      <c r="IF114" t="s">
        <v>1666</v>
      </c>
      <c r="IG114" s="84" t="s">
        <v>1683</v>
      </c>
      <c r="IH114" t="s">
        <v>660</v>
      </c>
      <c r="II114" t="s">
        <v>661</v>
      </c>
      <c r="IJ114" t="s">
        <v>838</v>
      </c>
      <c r="IK114" t="s">
        <v>838</v>
      </c>
      <c r="IL114" s="87" t="s">
        <v>29</v>
      </c>
      <c r="JH114" t="s">
        <v>1681</v>
      </c>
      <c r="JI114" t="s">
        <v>15</v>
      </c>
      <c r="JJ114" t="s">
        <v>14</v>
      </c>
      <c r="JK114" s="8" t="s">
        <v>1682</v>
      </c>
      <c r="JN114" t="s">
        <v>13</v>
      </c>
      <c r="JO114">
        <v>40</v>
      </c>
      <c r="JP114">
        <v>50</v>
      </c>
      <c r="KD114" t="s">
        <v>12</v>
      </c>
      <c r="MR114" t="s">
        <v>1658</v>
      </c>
      <c r="MS114">
        <v>36</v>
      </c>
      <c r="MT114" t="s">
        <v>1667</v>
      </c>
      <c r="MV114" t="s">
        <v>168</v>
      </c>
      <c r="ND114" t="s">
        <v>1704</v>
      </c>
      <c r="NF114" s="4" t="s">
        <v>8</v>
      </c>
      <c r="NG114" t="s">
        <v>7</v>
      </c>
      <c r="NO114" s="78"/>
      <c r="NP114" t="s">
        <v>6</v>
      </c>
      <c r="NQ114">
        <v>4.5999999999999996</v>
      </c>
      <c r="NR114" s="4" t="s">
        <v>4</v>
      </c>
      <c r="NS114" s="4">
        <v>0.1</v>
      </c>
      <c r="NV114">
        <v>4</v>
      </c>
      <c r="OG114" t="s">
        <v>1699</v>
      </c>
      <c r="OH114" s="87" t="s">
        <v>2</v>
      </c>
      <c r="OI114">
        <v>2007</v>
      </c>
      <c r="OL114" t="s">
        <v>1674</v>
      </c>
      <c r="ON114" t="s">
        <v>1178</v>
      </c>
      <c r="OO114" s="58">
        <v>46105</v>
      </c>
    </row>
    <row r="115" spans="1:405" ht="15.75" thickBot="1">
      <c r="A115" t="s">
        <v>248</v>
      </c>
      <c r="B115" t="s">
        <v>1889</v>
      </c>
      <c r="C115" t="s">
        <v>34</v>
      </c>
      <c r="D115" s="100" t="s">
        <v>31</v>
      </c>
      <c r="E115" s="90" t="s">
        <v>1676</v>
      </c>
      <c r="F115" s="100" t="s">
        <v>31</v>
      </c>
      <c r="G115" s="87" t="s">
        <v>2</v>
      </c>
      <c r="H115" s="87" t="s">
        <v>30</v>
      </c>
      <c r="I115">
        <v>-0.41666666699999999</v>
      </c>
      <c r="J115">
        <v>34.200000000000003</v>
      </c>
      <c r="K115" s="87" t="s">
        <v>29</v>
      </c>
      <c r="AV115" t="s">
        <v>1679</v>
      </c>
      <c r="AW115">
        <v>40</v>
      </c>
      <c r="AX115" t="s">
        <v>234</v>
      </c>
      <c r="AY115">
        <v>1</v>
      </c>
      <c r="AZ115" t="s">
        <v>1685</v>
      </c>
      <c r="BA115">
        <v>2007</v>
      </c>
      <c r="BB115">
        <v>2008</v>
      </c>
      <c r="BD115" t="s">
        <v>238</v>
      </c>
      <c r="BE115" t="s">
        <v>1690</v>
      </c>
      <c r="BF115" t="s">
        <v>43</v>
      </c>
      <c r="BH115" t="s">
        <v>23</v>
      </c>
      <c r="BI115" t="s">
        <v>1680</v>
      </c>
      <c r="BJ115" s="87" t="s">
        <v>22</v>
      </c>
      <c r="BK115">
        <v>44444</v>
      </c>
      <c r="BL115" t="s">
        <v>56</v>
      </c>
      <c r="BM115" t="s">
        <v>1677</v>
      </c>
      <c r="BN115" t="s">
        <v>1678</v>
      </c>
      <c r="BO115" s="87" t="s">
        <v>22</v>
      </c>
      <c r="BP115">
        <v>44444</v>
      </c>
      <c r="BQ115" t="s">
        <v>56</v>
      </c>
      <c r="BR115" t="s">
        <v>1664</v>
      </c>
      <c r="BS115" t="s">
        <v>234</v>
      </c>
      <c r="BT115" t="s">
        <v>234</v>
      </c>
      <c r="BU115" t="s">
        <v>234</v>
      </c>
      <c r="IF115" t="s">
        <v>1668</v>
      </c>
      <c r="IG115" s="84" t="s">
        <v>1683</v>
      </c>
      <c r="IH115" t="s">
        <v>660</v>
      </c>
      <c r="II115" t="s">
        <v>661</v>
      </c>
      <c r="IJ115" t="s">
        <v>838</v>
      </c>
      <c r="IK115" t="s">
        <v>838</v>
      </c>
      <c r="IL115" s="87" t="s">
        <v>29</v>
      </c>
      <c r="JH115" t="s">
        <v>1681</v>
      </c>
      <c r="JI115" t="s">
        <v>15</v>
      </c>
      <c r="JJ115" t="s">
        <v>14</v>
      </c>
      <c r="JK115" s="8" t="s">
        <v>1682</v>
      </c>
      <c r="JN115" t="s">
        <v>13</v>
      </c>
      <c r="JO115">
        <v>40</v>
      </c>
      <c r="JP115">
        <v>50</v>
      </c>
      <c r="KD115" t="s">
        <v>12</v>
      </c>
      <c r="MR115" t="s">
        <v>1658</v>
      </c>
      <c r="MS115">
        <v>36</v>
      </c>
      <c r="MT115" t="s">
        <v>1667</v>
      </c>
      <c r="MV115" t="s">
        <v>168</v>
      </c>
      <c r="ND115" t="s">
        <v>1704</v>
      </c>
      <c r="NF115" s="4" t="s">
        <v>8</v>
      </c>
      <c r="NG115" t="s">
        <v>7</v>
      </c>
      <c r="NO115" s="78"/>
      <c r="NP115" t="s">
        <v>6</v>
      </c>
      <c r="NQ115">
        <v>5.2</v>
      </c>
      <c r="NR115" s="4" t="s">
        <v>4</v>
      </c>
      <c r="NS115" s="4">
        <v>0.2</v>
      </c>
      <c r="NV115">
        <v>4</v>
      </c>
      <c r="OG115" t="s">
        <v>1699</v>
      </c>
      <c r="OH115" s="87" t="s">
        <v>2</v>
      </c>
      <c r="OI115">
        <v>2007</v>
      </c>
      <c r="OL115" t="s">
        <v>1674</v>
      </c>
      <c r="ON115" t="s">
        <v>1178</v>
      </c>
      <c r="OO115" s="58">
        <v>46105</v>
      </c>
    </row>
    <row r="116" spans="1:405" ht="15.75" thickBot="1">
      <c r="A116" t="s">
        <v>248</v>
      </c>
      <c r="B116" t="s">
        <v>1889</v>
      </c>
      <c r="C116" t="s">
        <v>34</v>
      </c>
      <c r="D116" s="100" t="s">
        <v>31</v>
      </c>
      <c r="E116" s="90" t="s">
        <v>1676</v>
      </c>
      <c r="F116" s="100" t="s">
        <v>31</v>
      </c>
      <c r="G116" s="87" t="s">
        <v>2</v>
      </c>
      <c r="H116" s="87" t="s">
        <v>30</v>
      </c>
      <c r="I116">
        <v>-0.41666666699999999</v>
      </c>
      <c r="J116">
        <v>34.200000000000003</v>
      </c>
      <c r="K116" s="87" t="s">
        <v>29</v>
      </c>
      <c r="AV116" t="s">
        <v>1679</v>
      </c>
      <c r="AW116">
        <v>41</v>
      </c>
      <c r="AX116" t="s">
        <v>234</v>
      </c>
      <c r="AY116">
        <v>1</v>
      </c>
      <c r="AZ116" t="s">
        <v>1686</v>
      </c>
      <c r="BA116">
        <v>2007</v>
      </c>
      <c r="BB116">
        <v>2008</v>
      </c>
      <c r="BD116" t="s">
        <v>19</v>
      </c>
      <c r="BE116" t="s">
        <v>1657</v>
      </c>
      <c r="BF116" t="s">
        <v>39</v>
      </c>
      <c r="BH116" t="s">
        <v>23</v>
      </c>
      <c r="BI116" t="s">
        <v>1680</v>
      </c>
      <c r="BJ116" s="87" t="s">
        <v>22</v>
      </c>
      <c r="BK116">
        <v>44444</v>
      </c>
      <c r="IF116" t="s">
        <v>1657</v>
      </c>
      <c r="IG116" t="s">
        <v>19</v>
      </c>
      <c r="JH116" t="s">
        <v>1681</v>
      </c>
      <c r="JI116" t="s">
        <v>15</v>
      </c>
      <c r="JJ116" t="s">
        <v>14</v>
      </c>
      <c r="JK116" s="8" t="s">
        <v>1682</v>
      </c>
      <c r="JN116" t="s">
        <v>13</v>
      </c>
      <c r="JO116">
        <v>40</v>
      </c>
      <c r="JP116">
        <v>50</v>
      </c>
      <c r="KD116" t="s">
        <v>12</v>
      </c>
      <c r="MR116" t="s">
        <v>1658</v>
      </c>
      <c r="MS116">
        <v>36</v>
      </c>
      <c r="MT116" t="s">
        <v>1659</v>
      </c>
      <c r="MV116" t="s">
        <v>168</v>
      </c>
      <c r="ND116" t="s">
        <v>1704</v>
      </c>
      <c r="NF116" s="4" t="s">
        <v>8</v>
      </c>
      <c r="NG116" t="s">
        <v>7</v>
      </c>
      <c r="NO116" s="78" t="s">
        <v>735</v>
      </c>
      <c r="NP116" t="s">
        <v>6</v>
      </c>
      <c r="NQ116">
        <v>2.9</v>
      </c>
      <c r="NR116" s="4" t="s">
        <v>4</v>
      </c>
      <c r="NS116" s="4">
        <v>0.4</v>
      </c>
      <c r="NV116">
        <v>4</v>
      </c>
      <c r="OG116" t="s">
        <v>1699</v>
      </c>
      <c r="OH116" s="87" t="s">
        <v>2</v>
      </c>
      <c r="OI116">
        <v>2008</v>
      </c>
      <c r="OL116" t="s">
        <v>1684</v>
      </c>
      <c r="ON116" t="s">
        <v>1178</v>
      </c>
      <c r="OO116" s="58">
        <v>46105</v>
      </c>
    </row>
    <row r="117" spans="1:405" ht="15.75" thickBot="1">
      <c r="A117" t="s">
        <v>248</v>
      </c>
      <c r="B117" t="s">
        <v>1889</v>
      </c>
      <c r="C117" t="s">
        <v>34</v>
      </c>
      <c r="D117" s="100" t="s">
        <v>31</v>
      </c>
      <c r="E117" s="90" t="s">
        <v>1676</v>
      </c>
      <c r="F117" s="100" t="s">
        <v>31</v>
      </c>
      <c r="G117" s="87" t="s">
        <v>2</v>
      </c>
      <c r="H117" s="87" t="s">
        <v>30</v>
      </c>
      <c r="I117">
        <v>-0.41666666699999999</v>
      </c>
      <c r="J117">
        <v>34.200000000000003</v>
      </c>
      <c r="K117" s="87" t="s">
        <v>29</v>
      </c>
      <c r="AV117" t="s">
        <v>1679</v>
      </c>
      <c r="AW117">
        <v>42</v>
      </c>
      <c r="AX117" t="s">
        <v>234</v>
      </c>
      <c r="AY117">
        <v>1</v>
      </c>
      <c r="AZ117" t="s">
        <v>1686</v>
      </c>
      <c r="BA117">
        <v>2007</v>
      </c>
      <c r="BB117">
        <v>2008</v>
      </c>
      <c r="BD117" t="s">
        <v>238</v>
      </c>
      <c r="BE117" t="s">
        <v>1661</v>
      </c>
      <c r="BF117" t="s">
        <v>64</v>
      </c>
      <c r="BH117" t="s">
        <v>23</v>
      </c>
      <c r="BI117" t="s">
        <v>1680</v>
      </c>
      <c r="BJ117" s="87" t="s">
        <v>22</v>
      </c>
      <c r="BK117">
        <v>44444</v>
      </c>
      <c r="BL117" t="s">
        <v>56</v>
      </c>
      <c r="BM117" t="s">
        <v>1677</v>
      </c>
      <c r="BN117" t="s">
        <v>1678</v>
      </c>
      <c r="BO117" s="87" t="s">
        <v>22</v>
      </c>
      <c r="BP117">
        <v>44444</v>
      </c>
      <c r="IF117" t="s">
        <v>1661</v>
      </c>
      <c r="IG117" s="84" t="s">
        <v>1453</v>
      </c>
      <c r="IH117" t="s">
        <v>660</v>
      </c>
      <c r="II117" t="s">
        <v>661</v>
      </c>
      <c r="IJ117" t="s">
        <v>838</v>
      </c>
      <c r="IK117" t="s">
        <v>838</v>
      </c>
      <c r="IL117" s="87" t="s">
        <v>29</v>
      </c>
      <c r="JH117" t="s">
        <v>1681</v>
      </c>
      <c r="JI117" t="s">
        <v>15</v>
      </c>
      <c r="JJ117" t="s">
        <v>14</v>
      </c>
      <c r="JK117" s="8" t="s">
        <v>1682</v>
      </c>
      <c r="JN117" t="s">
        <v>13</v>
      </c>
      <c r="JO117">
        <v>40</v>
      </c>
      <c r="JP117">
        <v>50</v>
      </c>
      <c r="KD117" t="s">
        <v>12</v>
      </c>
      <c r="MR117" t="s">
        <v>1658</v>
      </c>
      <c r="MS117">
        <v>36</v>
      </c>
      <c r="MT117" t="s">
        <v>1662</v>
      </c>
      <c r="MV117" t="s">
        <v>168</v>
      </c>
      <c r="ND117" t="s">
        <v>1704</v>
      </c>
      <c r="NF117" s="4" t="s">
        <v>8</v>
      </c>
      <c r="NG117" t="s">
        <v>7</v>
      </c>
      <c r="NO117" s="78"/>
      <c r="NP117" t="s">
        <v>6</v>
      </c>
      <c r="NQ117">
        <v>2.6</v>
      </c>
      <c r="NR117" s="4" t="s">
        <v>4</v>
      </c>
      <c r="NS117" s="4">
        <v>0.4</v>
      </c>
      <c r="NV117">
        <v>4</v>
      </c>
      <c r="OG117" t="s">
        <v>1699</v>
      </c>
      <c r="OH117" s="87" t="s">
        <v>2</v>
      </c>
      <c r="OI117">
        <v>2008</v>
      </c>
      <c r="OL117" t="s">
        <v>1684</v>
      </c>
      <c r="ON117" t="s">
        <v>1178</v>
      </c>
      <c r="OO117" s="58">
        <v>46105</v>
      </c>
    </row>
    <row r="118" spans="1:405" ht="15.75" thickBot="1">
      <c r="A118" t="s">
        <v>248</v>
      </c>
      <c r="B118" t="s">
        <v>1889</v>
      </c>
      <c r="C118" t="s">
        <v>34</v>
      </c>
      <c r="D118" s="100" t="s">
        <v>31</v>
      </c>
      <c r="E118" s="90" t="s">
        <v>1676</v>
      </c>
      <c r="F118" s="100" t="s">
        <v>31</v>
      </c>
      <c r="G118" s="87" t="s">
        <v>2</v>
      </c>
      <c r="H118" s="87" t="s">
        <v>30</v>
      </c>
      <c r="I118">
        <v>-0.41666666699999999</v>
      </c>
      <c r="J118">
        <v>34.200000000000003</v>
      </c>
      <c r="K118" s="87" t="s">
        <v>29</v>
      </c>
      <c r="AV118" t="s">
        <v>1679</v>
      </c>
      <c r="AW118">
        <v>43</v>
      </c>
      <c r="AX118" t="s">
        <v>234</v>
      </c>
      <c r="AY118">
        <v>1</v>
      </c>
      <c r="AZ118" t="s">
        <v>1686</v>
      </c>
      <c r="BA118">
        <v>2007</v>
      </c>
      <c r="BB118">
        <v>2008</v>
      </c>
      <c r="BD118" t="s">
        <v>238</v>
      </c>
      <c r="BE118" t="s">
        <v>1663</v>
      </c>
      <c r="BF118" t="s">
        <v>57</v>
      </c>
      <c r="BH118" t="s">
        <v>23</v>
      </c>
      <c r="BI118" t="s">
        <v>1680</v>
      </c>
      <c r="BJ118" s="87" t="s">
        <v>22</v>
      </c>
      <c r="BK118">
        <v>44444</v>
      </c>
      <c r="BL118" t="s">
        <v>56</v>
      </c>
      <c r="BM118" t="s">
        <v>1664</v>
      </c>
      <c r="BN118" t="s">
        <v>234</v>
      </c>
      <c r="BO118" t="s">
        <v>234</v>
      </c>
      <c r="BP118" t="s">
        <v>234</v>
      </c>
      <c r="IF118" t="s">
        <v>1663</v>
      </c>
      <c r="IG118" s="84" t="s">
        <v>1683</v>
      </c>
      <c r="IH118" t="s">
        <v>660</v>
      </c>
      <c r="II118" t="s">
        <v>661</v>
      </c>
      <c r="IJ118" t="s">
        <v>838</v>
      </c>
      <c r="IK118" t="s">
        <v>838</v>
      </c>
      <c r="IL118" s="87" t="s">
        <v>29</v>
      </c>
      <c r="JH118" t="s">
        <v>1681</v>
      </c>
      <c r="JI118" t="s">
        <v>15</v>
      </c>
      <c r="JJ118" t="s">
        <v>14</v>
      </c>
      <c r="JK118" s="8" t="s">
        <v>1682</v>
      </c>
      <c r="JN118" t="s">
        <v>13</v>
      </c>
      <c r="JO118">
        <v>40</v>
      </c>
      <c r="JP118">
        <v>50</v>
      </c>
      <c r="KD118" t="s">
        <v>12</v>
      </c>
      <c r="MR118" t="s">
        <v>1658</v>
      </c>
      <c r="MS118">
        <v>36</v>
      </c>
      <c r="MT118" t="s">
        <v>1665</v>
      </c>
      <c r="MV118" t="s">
        <v>168</v>
      </c>
      <c r="ND118" t="s">
        <v>1704</v>
      </c>
      <c r="NF118" s="4" t="s">
        <v>8</v>
      </c>
      <c r="NG118" t="s">
        <v>7</v>
      </c>
      <c r="NO118" s="78"/>
      <c r="NP118" t="s">
        <v>6</v>
      </c>
      <c r="NQ118">
        <v>5</v>
      </c>
      <c r="NR118" s="4" t="s">
        <v>4</v>
      </c>
      <c r="NS118" s="4">
        <v>0.1</v>
      </c>
      <c r="NV118">
        <v>4</v>
      </c>
      <c r="OG118" t="s">
        <v>1699</v>
      </c>
      <c r="OH118" s="87" t="s">
        <v>2</v>
      </c>
      <c r="OI118">
        <v>2008</v>
      </c>
      <c r="OL118" t="s">
        <v>1684</v>
      </c>
      <c r="ON118" t="s">
        <v>1178</v>
      </c>
      <c r="OO118" s="58">
        <v>46105</v>
      </c>
    </row>
    <row r="119" spans="1:405" ht="15.75" thickBot="1">
      <c r="A119" t="s">
        <v>248</v>
      </c>
      <c r="B119" t="s">
        <v>1889</v>
      </c>
      <c r="C119" t="s">
        <v>34</v>
      </c>
      <c r="D119" s="100" t="s">
        <v>31</v>
      </c>
      <c r="E119" s="90" t="s">
        <v>1676</v>
      </c>
      <c r="F119" s="100" t="s">
        <v>31</v>
      </c>
      <c r="G119" s="87" t="s">
        <v>2</v>
      </c>
      <c r="H119" s="87" t="s">
        <v>30</v>
      </c>
      <c r="I119">
        <v>-0.41666666699999999</v>
      </c>
      <c r="J119">
        <v>34.200000000000003</v>
      </c>
      <c r="K119" s="87" t="s">
        <v>29</v>
      </c>
      <c r="AV119" t="s">
        <v>1679</v>
      </c>
      <c r="AW119">
        <v>44</v>
      </c>
      <c r="AX119" t="s">
        <v>234</v>
      </c>
      <c r="AY119">
        <v>1</v>
      </c>
      <c r="AZ119" t="s">
        <v>1686</v>
      </c>
      <c r="BA119">
        <v>2007</v>
      </c>
      <c r="BB119">
        <v>2008</v>
      </c>
      <c r="BD119" t="s">
        <v>238</v>
      </c>
      <c r="BE119" t="s">
        <v>1666</v>
      </c>
      <c r="BF119" t="s">
        <v>48</v>
      </c>
      <c r="BH119" t="s">
        <v>23</v>
      </c>
      <c r="BI119" t="s">
        <v>1680</v>
      </c>
      <c r="BJ119" s="87" t="s">
        <v>22</v>
      </c>
      <c r="BK119">
        <v>44444</v>
      </c>
      <c r="BL119" t="s">
        <v>56</v>
      </c>
      <c r="BM119" t="s">
        <v>1677</v>
      </c>
      <c r="BN119" t="s">
        <v>1678</v>
      </c>
      <c r="BO119" s="87" t="s">
        <v>22</v>
      </c>
      <c r="BP119">
        <v>44444</v>
      </c>
      <c r="BQ119" t="s">
        <v>56</v>
      </c>
      <c r="BR119" t="s">
        <v>1664</v>
      </c>
      <c r="BS119" t="s">
        <v>234</v>
      </c>
      <c r="BT119" t="s">
        <v>234</v>
      </c>
      <c r="BU119" t="s">
        <v>234</v>
      </c>
      <c r="IF119" t="s">
        <v>1666</v>
      </c>
      <c r="IG119" s="84" t="s">
        <v>1683</v>
      </c>
      <c r="IH119" t="s">
        <v>660</v>
      </c>
      <c r="II119" t="s">
        <v>661</v>
      </c>
      <c r="IJ119" t="s">
        <v>838</v>
      </c>
      <c r="IK119" t="s">
        <v>838</v>
      </c>
      <c r="IL119" s="87" t="s">
        <v>29</v>
      </c>
      <c r="JH119" t="s">
        <v>1681</v>
      </c>
      <c r="JI119" t="s">
        <v>15</v>
      </c>
      <c r="JJ119" t="s">
        <v>14</v>
      </c>
      <c r="JK119" s="8" t="s">
        <v>1682</v>
      </c>
      <c r="JN119" t="s">
        <v>13</v>
      </c>
      <c r="JO119">
        <v>40</v>
      </c>
      <c r="JP119">
        <v>50</v>
      </c>
      <c r="KD119" t="s">
        <v>12</v>
      </c>
      <c r="MR119" t="s">
        <v>1658</v>
      </c>
      <c r="MS119">
        <v>36</v>
      </c>
      <c r="MT119" t="s">
        <v>1667</v>
      </c>
      <c r="MV119" t="s">
        <v>168</v>
      </c>
      <c r="ND119" t="s">
        <v>1704</v>
      </c>
      <c r="NF119" s="4" t="s">
        <v>8</v>
      </c>
      <c r="NG119" t="s">
        <v>7</v>
      </c>
      <c r="NO119" s="78"/>
      <c r="NP119" t="s">
        <v>6</v>
      </c>
      <c r="NQ119">
        <v>5.6</v>
      </c>
      <c r="NR119" s="4" t="s">
        <v>4</v>
      </c>
      <c r="NS119" s="4">
        <v>0.1</v>
      </c>
      <c r="NV119">
        <v>4</v>
      </c>
      <c r="OG119" t="s">
        <v>1699</v>
      </c>
      <c r="OH119" s="87" t="s">
        <v>2</v>
      </c>
      <c r="OI119">
        <v>2008</v>
      </c>
      <c r="OL119" t="s">
        <v>1684</v>
      </c>
      <c r="ON119" t="s">
        <v>1178</v>
      </c>
      <c r="OO119" s="58">
        <v>46105</v>
      </c>
    </row>
    <row r="120" spans="1:405" ht="15.75" thickBot="1">
      <c r="A120" t="s">
        <v>248</v>
      </c>
      <c r="B120" t="s">
        <v>1889</v>
      </c>
      <c r="C120" t="s">
        <v>34</v>
      </c>
      <c r="D120" s="100" t="s">
        <v>31</v>
      </c>
      <c r="E120" s="90" t="s">
        <v>1676</v>
      </c>
      <c r="F120" s="100" t="s">
        <v>31</v>
      </c>
      <c r="G120" s="87" t="s">
        <v>2</v>
      </c>
      <c r="H120" s="87" t="s">
        <v>30</v>
      </c>
      <c r="I120">
        <v>-0.41666666699999999</v>
      </c>
      <c r="J120">
        <v>34.200000000000003</v>
      </c>
      <c r="K120" s="87" t="s">
        <v>29</v>
      </c>
      <c r="AV120" t="s">
        <v>1679</v>
      </c>
      <c r="AW120">
        <v>45</v>
      </c>
      <c r="AX120" t="s">
        <v>234</v>
      </c>
      <c r="AY120">
        <v>1</v>
      </c>
      <c r="AZ120" t="s">
        <v>1686</v>
      </c>
      <c r="BA120">
        <v>2007</v>
      </c>
      <c r="BB120">
        <v>2008</v>
      </c>
      <c r="BD120" t="s">
        <v>238</v>
      </c>
      <c r="BE120" t="s">
        <v>1668</v>
      </c>
      <c r="BF120" t="s">
        <v>43</v>
      </c>
      <c r="BH120" t="s">
        <v>23</v>
      </c>
      <c r="BI120" t="s">
        <v>1680</v>
      </c>
      <c r="BJ120" s="87" t="s">
        <v>22</v>
      </c>
      <c r="BK120">
        <v>44444</v>
      </c>
      <c r="BL120" t="s">
        <v>56</v>
      </c>
      <c r="BM120" t="s">
        <v>1677</v>
      </c>
      <c r="BN120" t="s">
        <v>1678</v>
      </c>
      <c r="BO120" s="87" t="s">
        <v>22</v>
      </c>
      <c r="BP120">
        <v>44444</v>
      </c>
      <c r="BQ120" t="s">
        <v>56</v>
      </c>
      <c r="BR120" t="s">
        <v>1664</v>
      </c>
      <c r="BS120" t="s">
        <v>234</v>
      </c>
      <c r="BT120" t="s">
        <v>234</v>
      </c>
      <c r="BU120" t="s">
        <v>234</v>
      </c>
      <c r="IF120" t="s">
        <v>1668</v>
      </c>
      <c r="IG120" s="84" t="s">
        <v>1683</v>
      </c>
      <c r="IH120" t="s">
        <v>660</v>
      </c>
      <c r="II120" t="s">
        <v>661</v>
      </c>
      <c r="IJ120" t="s">
        <v>838</v>
      </c>
      <c r="IK120" t="s">
        <v>838</v>
      </c>
      <c r="IL120" s="87" t="s">
        <v>29</v>
      </c>
      <c r="JH120" t="s">
        <v>1681</v>
      </c>
      <c r="JI120" t="s">
        <v>15</v>
      </c>
      <c r="JJ120" t="s">
        <v>14</v>
      </c>
      <c r="JK120" s="8" t="s">
        <v>1682</v>
      </c>
      <c r="JN120" t="s">
        <v>13</v>
      </c>
      <c r="JO120">
        <v>40</v>
      </c>
      <c r="JP120">
        <v>50</v>
      </c>
      <c r="KD120" t="s">
        <v>12</v>
      </c>
      <c r="MR120" t="s">
        <v>1658</v>
      </c>
      <c r="MS120">
        <v>36</v>
      </c>
      <c r="MT120" t="s">
        <v>1667</v>
      </c>
      <c r="MV120" t="s">
        <v>168</v>
      </c>
      <c r="ND120" t="s">
        <v>1704</v>
      </c>
      <c r="NF120" s="4" t="s">
        <v>8</v>
      </c>
      <c r="NG120" t="s">
        <v>7</v>
      </c>
      <c r="NO120" s="78"/>
      <c r="NP120" t="s">
        <v>6</v>
      </c>
      <c r="NQ120">
        <v>4.9000000000000004</v>
      </c>
      <c r="NR120" s="4" t="s">
        <v>4</v>
      </c>
      <c r="NS120" s="4">
        <v>0.1</v>
      </c>
      <c r="NV120">
        <v>4</v>
      </c>
      <c r="OG120" t="s">
        <v>1699</v>
      </c>
      <c r="OH120" s="87" t="s">
        <v>2</v>
      </c>
      <c r="OI120">
        <v>2008</v>
      </c>
      <c r="OL120" t="s">
        <v>1684</v>
      </c>
      <c r="ON120" t="s">
        <v>1178</v>
      </c>
      <c r="OO120" s="58">
        <v>46105</v>
      </c>
    </row>
    <row r="121" spans="1:405" ht="15.75" thickBot="1">
      <c r="A121" t="s">
        <v>248</v>
      </c>
      <c r="B121" t="s">
        <v>1889</v>
      </c>
      <c r="C121" t="s">
        <v>34</v>
      </c>
      <c r="D121" s="100" t="s">
        <v>31</v>
      </c>
      <c r="E121" s="90" t="s">
        <v>1676</v>
      </c>
      <c r="F121" s="100" t="s">
        <v>31</v>
      </c>
      <c r="G121" s="87" t="s">
        <v>2</v>
      </c>
      <c r="H121" s="87" t="s">
        <v>30</v>
      </c>
      <c r="I121">
        <v>-0.41666666699999999</v>
      </c>
      <c r="J121">
        <v>34.200000000000003</v>
      </c>
      <c r="K121" s="87" t="s">
        <v>29</v>
      </c>
      <c r="AV121" t="s">
        <v>1679</v>
      </c>
      <c r="AW121">
        <v>46</v>
      </c>
      <c r="AX121" t="s">
        <v>234</v>
      </c>
      <c r="AY121">
        <v>1</v>
      </c>
      <c r="AZ121" t="s">
        <v>1687</v>
      </c>
      <c r="BA121">
        <v>2007</v>
      </c>
      <c r="BB121">
        <v>2008</v>
      </c>
      <c r="BD121" t="s">
        <v>19</v>
      </c>
      <c r="BE121" t="s">
        <v>1669</v>
      </c>
      <c r="BF121" t="s">
        <v>24</v>
      </c>
      <c r="BH121" t="s">
        <v>23</v>
      </c>
      <c r="BI121" t="s">
        <v>1680</v>
      </c>
      <c r="BJ121" s="87" t="s">
        <v>22</v>
      </c>
      <c r="BK121">
        <v>44444</v>
      </c>
      <c r="IF121" t="s">
        <v>1669</v>
      </c>
      <c r="IG121" t="s">
        <v>19</v>
      </c>
      <c r="JH121" t="s">
        <v>1681</v>
      </c>
      <c r="JI121" t="s">
        <v>15</v>
      </c>
      <c r="JJ121" t="s">
        <v>14</v>
      </c>
      <c r="JK121" s="8" t="s">
        <v>1682</v>
      </c>
      <c r="JN121" t="s">
        <v>13</v>
      </c>
      <c r="JO121">
        <v>40</v>
      </c>
      <c r="JP121">
        <v>50</v>
      </c>
      <c r="KD121" t="s">
        <v>12</v>
      </c>
      <c r="MR121" t="s">
        <v>1658</v>
      </c>
      <c r="MS121">
        <v>36</v>
      </c>
      <c r="MT121" t="s">
        <v>1659</v>
      </c>
      <c r="MV121" t="s">
        <v>168</v>
      </c>
      <c r="ND121" t="s">
        <v>1704</v>
      </c>
      <c r="NF121" s="4" t="s">
        <v>8</v>
      </c>
      <c r="NG121" t="s">
        <v>7</v>
      </c>
      <c r="NO121" s="78" t="s">
        <v>743</v>
      </c>
      <c r="NP121" t="s">
        <v>6</v>
      </c>
      <c r="NQ121">
        <v>3.5</v>
      </c>
      <c r="NR121" s="4" t="s">
        <v>4</v>
      </c>
      <c r="NS121" s="4">
        <v>0.1</v>
      </c>
      <c r="NV121">
        <v>4</v>
      </c>
      <c r="OG121" t="s">
        <v>1702</v>
      </c>
      <c r="OH121" s="87" t="s">
        <v>2</v>
      </c>
      <c r="OI121">
        <v>2007</v>
      </c>
      <c r="OL121" t="s">
        <v>1684</v>
      </c>
      <c r="ON121" t="s">
        <v>1178</v>
      </c>
      <c r="OO121" s="58">
        <v>46105</v>
      </c>
    </row>
    <row r="122" spans="1:405" ht="15.75" thickBot="1">
      <c r="A122" t="s">
        <v>248</v>
      </c>
      <c r="B122" t="s">
        <v>1889</v>
      </c>
      <c r="C122" t="s">
        <v>34</v>
      </c>
      <c r="D122" s="100" t="s">
        <v>31</v>
      </c>
      <c r="E122" s="90" t="s">
        <v>1676</v>
      </c>
      <c r="F122" s="100" t="s">
        <v>31</v>
      </c>
      <c r="G122" s="87" t="s">
        <v>2</v>
      </c>
      <c r="H122" s="87" t="s">
        <v>30</v>
      </c>
      <c r="I122">
        <v>-0.41666666699999999</v>
      </c>
      <c r="J122">
        <v>34.200000000000003</v>
      </c>
      <c r="K122" s="87" t="s">
        <v>29</v>
      </c>
      <c r="AV122" t="s">
        <v>1679</v>
      </c>
      <c r="AW122">
        <v>47</v>
      </c>
      <c r="AX122" t="s">
        <v>234</v>
      </c>
      <c r="AY122">
        <v>1</v>
      </c>
      <c r="AZ122" t="s">
        <v>1687</v>
      </c>
      <c r="BA122">
        <v>2007</v>
      </c>
      <c r="BB122">
        <v>2008</v>
      </c>
      <c r="BD122" t="s">
        <v>238</v>
      </c>
      <c r="BE122" t="s">
        <v>1670</v>
      </c>
      <c r="BF122" t="s">
        <v>252</v>
      </c>
      <c r="BH122" t="s">
        <v>23</v>
      </c>
      <c r="BI122" t="s">
        <v>1680</v>
      </c>
      <c r="BJ122" s="87" t="s">
        <v>22</v>
      </c>
      <c r="BK122">
        <v>44444</v>
      </c>
      <c r="BL122" t="s">
        <v>56</v>
      </c>
      <c r="BM122" t="s">
        <v>1677</v>
      </c>
      <c r="BN122" t="s">
        <v>1678</v>
      </c>
      <c r="BO122" s="87" t="s">
        <v>22</v>
      </c>
      <c r="BP122">
        <v>44444</v>
      </c>
      <c r="IF122" t="s">
        <v>1670</v>
      </c>
      <c r="IG122" s="84" t="s">
        <v>1453</v>
      </c>
      <c r="IH122" t="s">
        <v>660</v>
      </c>
      <c r="II122" t="s">
        <v>661</v>
      </c>
      <c r="IJ122" t="s">
        <v>838</v>
      </c>
      <c r="IK122" t="s">
        <v>838</v>
      </c>
      <c r="IL122" s="87" t="s">
        <v>29</v>
      </c>
      <c r="JH122" t="s">
        <v>1681</v>
      </c>
      <c r="JI122" t="s">
        <v>15</v>
      </c>
      <c r="JJ122" t="s">
        <v>14</v>
      </c>
      <c r="JK122" s="8" t="s">
        <v>1682</v>
      </c>
      <c r="JN122" t="s">
        <v>13</v>
      </c>
      <c r="JO122">
        <v>40</v>
      </c>
      <c r="JP122">
        <v>50</v>
      </c>
      <c r="KD122" t="s">
        <v>12</v>
      </c>
      <c r="MR122" t="s">
        <v>1658</v>
      </c>
      <c r="MS122">
        <v>36</v>
      </c>
      <c r="MT122" t="s">
        <v>1662</v>
      </c>
      <c r="MV122" t="s">
        <v>168</v>
      </c>
      <c r="ND122" t="s">
        <v>1704</v>
      </c>
      <c r="NF122" s="4" t="s">
        <v>8</v>
      </c>
      <c r="NG122" t="s">
        <v>7</v>
      </c>
      <c r="NO122" s="78"/>
      <c r="NP122" t="s">
        <v>6</v>
      </c>
      <c r="NQ122">
        <v>3.2</v>
      </c>
      <c r="NR122" s="4" t="s">
        <v>4</v>
      </c>
      <c r="NS122" s="4">
        <v>0.2</v>
      </c>
      <c r="NV122">
        <v>4</v>
      </c>
      <c r="OG122" t="s">
        <v>1702</v>
      </c>
      <c r="OH122" s="87" t="s">
        <v>2</v>
      </c>
      <c r="OI122">
        <v>2007</v>
      </c>
      <c r="OL122" t="s">
        <v>1684</v>
      </c>
      <c r="ON122" t="s">
        <v>1178</v>
      </c>
      <c r="OO122" s="58">
        <v>46105</v>
      </c>
    </row>
    <row r="123" spans="1:405" ht="15.75" thickBot="1">
      <c r="A123" t="s">
        <v>248</v>
      </c>
      <c r="B123" t="s">
        <v>1889</v>
      </c>
      <c r="C123" t="s">
        <v>34</v>
      </c>
      <c r="D123" s="100" t="s">
        <v>31</v>
      </c>
      <c r="E123" s="90" t="s">
        <v>1676</v>
      </c>
      <c r="F123" s="100" t="s">
        <v>31</v>
      </c>
      <c r="G123" s="87" t="s">
        <v>2</v>
      </c>
      <c r="H123" s="87" t="s">
        <v>30</v>
      </c>
      <c r="I123">
        <v>-0.41666666699999999</v>
      </c>
      <c r="J123">
        <v>34.200000000000003</v>
      </c>
      <c r="K123" s="87" t="s">
        <v>29</v>
      </c>
      <c r="AV123" t="s">
        <v>1679</v>
      </c>
      <c r="AW123">
        <v>48</v>
      </c>
      <c r="AX123" t="s">
        <v>234</v>
      </c>
      <c r="AY123">
        <v>1</v>
      </c>
      <c r="AZ123" t="s">
        <v>1687</v>
      </c>
      <c r="BA123">
        <v>2007</v>
      </c>
      <c r="BB123">
        <v>2008</v>
      </c>
      <c r="BD123" t="s">
        <v>238</v>
      </c>
      <c r="BE123" t="s">
        <v>1671</v>
      </c>
      <c r="BF123" t="s">
        <v>236</v>
      </c>
      <c r="BH123" t="s">
        <v>23</v>
      </c>
      <c r="BI123" t="s">
        <v>1680</v>
      </c>
      <c r="BJ123" s="87" t="s">
        <v>22</v>
      </c>
      <c r="BK123">
        <v>44444</v>
      </c>
      <c r="BL123" t="s">
        <v>56</v>
      </c>
      <c r="BM123" t="s">
        <v>1664</v>
      </c>
      <c r="BN123" t="s">
        <v>234</v>
      </c>
      <c r="BO123" t="s">
        <v>234</v>
      </c>
      <c r="BP123" t="s">
        <v>234</v>
      </c>
      <c r="IF123" t="s">
        <v>1671</v>
      </c>
      <c r="IG123" s="84" t="s">
        <v>1683</v>
      </c>
      <c r="IH123" t="s">
        <v>660</v>
      </c>
      <c r="II123" t="s">
        <v>661</v>
      </c>
      <c r="IJ123" t="s">
        <v>838</v>
      </c>
      <c r="IK123" t="s">
        <v>838</v>
      </c>
      <c r="IL123" s="87" t="s">
        <v>29</v>
      </c>
      <c r="JH123" t="s">
        <v>1681</v>
      </c>
      <c r="JI123" t="s">
        <v>15</v>
      </c>
      <c r="JJ123" t="s">
        <v>14</v>
      </c>
      <c r="JK123" s="8" t="s">
        <v>1682</v>
      </c>
      <c r="JN123" t="s">
        <v>13</v>
      </c>
      <c r="JO123">
        <v>40</v>
      </c>
      <c r="JP123">
        <v>50</v>
      </c>
      <c r="KD123" t="s">
        <v>12</v>
      </c>
      <c r="MR123" t="s">
        <v>1658</v>
      </c>
      <c r="MS123">
        <v>36</v>
      </c>
      <c r="MT123" t="s">
        <v>1665</v>
      </c>
      <c r="MV123" t="s">
        <v>168</v>
      </c>
      <c r="ND123" t="s">
        <v>1704</v>
      </c>
      <c r="NF123" s="4" t="s">
        <v>8</v>
      </c>
      <c r="NG123" t="s">
        <v>7</v>
      </c>
      <c r="NO123" s="78"/>
      <c r="NP123" t="s">
        <v>6</v>
      </c>
      <c r="NQ123">
        <v>5.4</v>
      </c>
      <c r="NR123" s="4" t="s">
        <v>4</v>
      </c>
      <c r="NS123" s="4">
        <v>0.1</v>
      </c>
      <c r="NV123">
        <v>4</v>
      </c>
      <c r="OG123" t="s">
        <v>1702</v>
      </c>
      <c r="OH123" s="87" t="s">
        <v>2</v>
      </c>
      <c r="OI123">
        <v>2007</v>
      </c>
      <c r="OL123" t="s">
        <v>1684</v>
      </c>
      <c r="ON123" t="s">
        <v>1178</v>
      </c>
      <c r="OO123" s="58">
        <v>46105</v>
      </c>
    </row>
    <row r="124" spans="1:405" ht="15.75" thickBot="1">
      <c r="A124" t="s">
        <v>248</v>
      </c>
      <c r="B124" t="s">
        <v>1889</v>
      </c>
      <c r="C124" t="s">
        <v>34</v>
      </c>
      <c r="D124" s="100" t="s">
        <v>31</v>
      </c>
      <c r="E124" s="90" t="s">
        <v>1676</v>
      </c>
      <c r="F124" s="100" t="s">
        <v>31</v>
      </c>
      <c r="G124" s="87" t="s">
        <v>2</v>
      </c>
      <c r="H124" s="87" t="s">
        <v>30</v>
      </c>
      <c r="I124">
        <v>-0.41666666699999999</v>
      </c>
      <c r="J124">
        <v>34.200000000000003</v>
      </c>
      <c r="K124" s="87" t="s">
        <v>29</v>
      </c>
      <c r="AV124" t="s">
        <v>1679</v>
      </c>
      <c r="AW124">
        <v>49</v>
      </c>
      <c r="AX124" t="s">
        <v>234</v>
      </c>
      <c r="AY124">
        <v>1</v>
      </c>
      <c r="AZ124" t="s">
        <v>1687</v>
      </c>
      <c r="BA124">
        <v>2007</v>
      </c>
      <c r="BB124">
        <v>2008</v>
      </c>
      <c r="BD124" t="s">
        <v>238</v>
      </c>
      <c r="BE124" t="s">
        <v>1672</v>
      </c>
      <c r="BF124" t="s">
        <v>284</v>
      </c>
      <c r="BH124" t="s">
        <v>23</v>
      </c>
      <c r="BI124" t="s">
        <v>1680</v>
      </c>
      <c r="BJ124" s="87" t="s">
        <v>22</v>
      </c>
      <c r="BK124">
        <v>44444</v>
      </c>
      <c r="BL124" t="s">
        <v>56</v>
      </c>
      <c r="BM124" t="s">
        <v>1677</v>
      </c>
      <c r="BN124" t="s">
        <v>1678</v>
      </c>
      <c r="BO124" s="87" t="s">
        <v>22</v>
      </c>
      <c r="BP124">
        <v>44444</v>
      </c>
      <c r="BQ124" t="s">
        <v>56</v>
      </c>
      <c r="BR124" t="s">
        <v>1664</v>
      </c>
      <c r="BS124" t="s">
        <v>234</v>
      </c>
      <c r="BT124" t="s">
        <v>234</v>
      </c>
      <c r="BU124" t="s">
        <v>234</v>
      </c>
      <c r="IF124" t="s">
        <v>1672</v>
      </c>
      <c r="IG124" s="84" t="s">
        <v>1683</v>
      </c>
      <c r="IH124" t="s">
        <v>660</v>
      </c>
      <c r="II124" t="s">
        <v>661</v>
      </c>
      <c r="IJ124" t="s">
        <v>838</v>
      </c>
      <c r="IK124" t="s">
        <v>838</v>
      </c>
      <c r="IL124" s="87" t="s">
        <v>29</v>
      </c>
      <c r="JH124" t="s">
        <v>1681</v>
      </c>
      <c r="JI124" t="s">
        <v>15</v>
      </c>
      <c r="JJ124" t="s">
        <v>14</v>
      </c>
      <c r="JK124" s="8" t="s">
        <v>1682</v>
      </c>
      <c r="JN124" t="s">
        <v>13</v>
      </c>
      <c r="JO124">
        <v>40</v>
      </c>
      <c r="JP124">
        <v>50</v>
      </c>
      <c r="KD124" t="s">
        <v>12</v>
      </c>
      <c r="MR124" t="s">
        <v>1658</v>
      </c>
      <c r="MS124">
        <v>36</v>
      </c>
      <c r="MT124" t="s">
        <v>1667</v>
      </c>
      <c r="MV124" t="s">
        <v>168</v>
      </c>
      <c r="ND124" t="s">
        <v>1704</v>
      </c>
      <c r="NF124" s="4" t="s">
        <v>8</v>
      </c>
      <c r="NG124" t="s">
        <v>7</v>
      </c>
      <c r="NO124" s="78"/>
      <c r="NP124" t="s">
        <v>6</v>
      </c>
      <c r="NQ124">
        <v>5.2</v>
      </c>
      <c r="NR124" s="4" t="s">
        <v>4</v>
      </c>
      <c r="NS124" s="4">
        <v>0.1</v>
      </c>
      <c r="NV124">
        <v>4</v>
      </c>
      <c r="OG124" t="s">
        <v>1702</v>
      </c>
      <c r="OH124" s="87" t="s">
        <v>2</v>
      </c>
      <c r="OI124">
        <v>2007</v>
      </c>
      <c r="OL124" t="s">
        <v>1684</v>
      </c>
      <c r="ON124" t="s">
        <v>1178</v>
      </c>
      <c r="OO124" s="58">
        <v>46105</v>
      </c>
    </row>
    <row r="125" spans="1:405" ht="15.75" thickBot="1">
      <c r="A125" t="s">
        <v>248</v>
      </c>
      <c r="B125" t="s">
        <v>1889</v>
      </c>
      <c r="C125" t="s">
        <v>34</v>
      </c>
      <c r="D125" s="100" t="s">
        <v>31</v>
      </c>
      <c r="E125" s="90" t="s">
        <v>1676</v>
      </c>
      <c r="F125" s="100" t="s">
        <v>31</v>
      </c>
      <c r="G125" s="87" t="s">
        <v>2</v>
      </c>
      <c r="H125" s="87" t="s">
        <v>30</v>
      </c>
      <c r="I125">
        <v>-0.41666666699999999</v>
      </c>
      <c r="J125">
        <v>34.200000000000003</v>
      </c>
      <c r="K125" s="87" t="s">
        <v>29</v>
      </c>
      <c r="AV125" t="s">
        <v>1679</v>
      </c>
      <c r="AW125">
        <v>50</v>
      </c>
      <c r="AX125" t="s">
        <v>234</v>
      </c>
      <c r="AY125">
        <v>1</v>
      </c>
      <c r="AZ125" t="s">
        <v>1687</v>
      </c>
      <c r="BA125">
        <v>2007</v>
      </c>
      <c r="BB125">
        <v>2008</v>
      </c>
      <c r="BD125" t="s">
        <v>238</v>
      </c>
      <c r="BE125" t="s">
        <v>1673</v>
      </c>
      <c r="BF125" t="s">
        <v>277</v>
      </c>
      <c r="BH125" t="s">
        <v>23</v>
      </c>
      <c r="BI125" t="s">
        <v>1680</v>
      </c>
      <c r="BJ125" s="87" t="s">
        <v>22</v>
      </c>
      <c r="BK125">
        <v>44444</v>
      </c>
      <c r="BL125" t="s">
        <v>56</v>
      </c>
      <c r="BM125" t="s">
        <v>1677</v>
      </c>
      <c r="BN125" t="s">
        <v>1678</v>
      </c>
      <c r="BO125" s="87" t="s">
        <v>22</v>
      </c>
      <c r="BP125">
        <v>44444</v>
      </c>
      <c r="BQ125" t="s">
        <v>56</v>
      </c>
      <c r="BR125" t="s">
        <v>1664</v>
      </c>
      <c r="BS125" t="s">
        <v>234</v>
      </c>
      <c r="BT125" t="s">
        <v>234</v>
      </c>
      <c r="BU125" t="s">
        <v>234</v>
      </c>
      <c r="IF125" t="s">
        <v>1673</v>
      </c>
      <c r="IG125" s="84" t="s">
        <v>1683</v>
      </c>
      <c r="IH125" t="s">
        <v>660</v>
      </c>
      <c r="II125" t="s">
        <v>661</v>
      </c>
      <c r="IJ125" t="s">
        <v>838</v>
      </c>
      <c r="IK125" t="s">
        <v>838</v>
      </c>
      <c r="IL125" s="87" t="s">
        <v>29</v>
      </c>
      <c r="JH125" t="s">
        <v>1681</v>
      </c>
      <c r="JI125" t="s">
        <v>15</v>
      </c>
      <c r="JJ125" t="s">
        <v>14</v>
      </c>
      <c r="JK125" s="8" t="s">
        <v>1682</v>
      </c>
      <c r="JN125" t="s">
        <v>13</v>
      </c>
      <c r="JO125">
        <v>40</v>
      </c>
      <c r="JP125">
        <v>50</v>
      </c>
      <c r="KD125" t="s">
        <v>12</v>
      </c>
      <c r="MR125" t="s">
        <v>1658</v>
      </c>
      <c r="MS125">
        <v>36</v>
      </c>
      <c r="MT125" t="s">
        <v>1667</v>
      </c>
      <c r="MV125" t="s">
        <v>168</v>
      </c>
      <c r="ND125" t="s">
        <v>1704</v>
      </c>
      <c r="NF125" s="4" t="s">
        <v>8</v>
      </c>
      <c r="NG125" t="s">
        <v>7</v>
      </c>
      <c r="NO125" s="78"/>
      <c r="NP125" t="s">
        <v>6</v>
      </c>
      <c r="NQ125">
        <v>5.5</v>
      </c>
      <c r="NR125" s="4" t="s">
        <v>4</v>
      </c>
      <c r="NS125" s="4">
        <v>0.1</v>
      </c>
      <c r="NV125">
        <v>4</v>
      </c>
      <c r="OG125" t="s">
        <v>1702</v>
      </c>
      <c r="OH125" s="87" t="s">
        <v>2</v>
      </c>
      <c r="OI125">
        <v>2007</v>
      </c>
      <c r="OL125" t="s">
        <v>1684</v>
      </c>
      <c r="ON125" t="s">
        <v>1178</v>
      </c>
      <c r="OO125" s="58">
        <v>46105</v>
      </c>
    </row>
    <row r="126" spans="1:405" ht="15.75" thickBot="1">
      <c r="A126" t="s">
        <v>248</v>
      </c>
      <c r="B126" t="s">
        <v>1889</v>
      </c>
      <c r="C126" t="s">
        <v>34</v>
      </c>
      <c r="D126" s="100" t="s">
        <v>31</v>
      </c>
      <c r="E126" s="90" t="s">
        <v>1676</v>
      </c>
      <c r="F126" s="100" t="s">
        <v>31</v>
      </c>
      <c r="G126" s="87" t="s">
        <v>2</v>
      </c>
      <c r="H126" s="87" t="s">
        <v>30</v>
      </c>
      <c r="I126">
        <v>-0.41666666699999999</v>
      </c>
      <c r="J126">
        <v>34.200000000000003</v>
      </c>
      <c r="K126" s="87" t="s">
        <v>29</v>
      </c>
      <c r="AV126" t="s">
        <v>1679</v>
      </c>
      <c r="AW126">
        <v>51</v>
      </c>
      <c r="AX126" t="s">
        <v>234</v>
      </c>
      <c r="AY126">
        <v>1</v>
      </c>
      <c r="AZ126" t="s">
        <v>1685</v>
      </c>
      <c r="BA126">
        <v>2007</v>
      </c>
      <c r="BB126">
        <v>2008</v>
      </c>
      <c r="BD126" t="s">
        <v>19</v>
      </c>
      <c r="BE126" t="s">
        <v>1669</v>
      </c>
      <c r="BF126" t="s">
        <v>24</v>
      </c>
      <c r="BH126" t="s">
        <v>23</v>
      </c>
      <c r="BI126" t="s">
        <v>1680</v>
      </c>
      <c r="BJ126" s="87" t="s">
        <v>22</v>
      </c>
      <c r="BK126">
        <v>44444</v>
      </c>
      <c r="IF126" t="s">
        <v>1669</v>
      </c>
      <c r="IG126" t="s">
        <v>19</v>
      </c>
      <c r="JH126" t="s">
        <v>1681</v>
      </c>
      <c r="JI126" t="s">
        <v>15</v>
      </c>
      <c r="JJ126" t="s">
        <v>14</v>
      </c>
      <c r="JK126" s="8" t="s">
        <v>1682</v>
      </c>
      <c r="JN126" t="s">
        <v>13</v>
      </c>
      <c r="JO126">
        <v>40</v>
      </c>
      <c r="JP126">
        <v>50</v>
      </c>
      <c r="KD126" t="s">
        <v>12</v>
      </c>
      <c r="MR126" t="s">
        <v>1658</v>
      </c>
      <c r="MS126">
        <v>36</v>
      </c>
      <c r="MT126" t="s">
        <v>1659</v>
      </c>
      <c r="MV126" t="s">
        <v>168</v>
      </c>
      <c r="ND126" t="s">
        <v>1704</v>
      </c>
      <c r="NF126" s="4" t="s">
        <v>8</v>
      </c>
      <c r="NG126" t="s">
        <v>7</v>
      </c>
      <c r="NO126" s="78" t="s">
        <v>743</v>
      </c>
      <c r="NP126" t="s">
        <v>6</v>
      </c>
      <c r="NQ126">
        <v>3.5</v>
      </c>
      <c r="NR126" s="4" t="s">
        <v>4</v>
      </c>
      <c r="NS126" s="4">
        <v>0.1</v>
      </c>
      <c r="NV126">
        <v>4</v>
      </c>
      <c r="OG126" t="s">
        <v>1703</v>
      </c>
      <c r="OH126" s="87" t="s">
        <v>2</v>
      </c>
      <c r="OI126">
        <v>2007</v>
      </c>
      <c r="OL126" t="s">
        <v>1674</v>
      </c>
      <c r="ON126" t="s">
        <v>1178</v>
      </c>
      <c r="OO126" s="58">
        <v>46105</v>
      </c>
    </row>
    <row r="127" spans="1:405" ht="15.75" thickBot="1">
      <c r="A127" t="s">
        <v>248</v>
      </c>
      <c r="B127" t="s">
        <v>1889</v>
      </c>
      <c r="C127" t="s">
        <v>34</v>
      </c>
      <c r="D127" s="100" t="s">
        <v>31</v>
      </c>
      <c r="E127" s="90" t="s">
        <v>1676</v>
      </c>
      <c r="F127" s="100" t="s">
        <v>31</v>
      </c>
      <c r="G127" s="87" t="s">
        <v>2</v>
      </c>
      <c r="H127" s="87" t="s">
        <v>30</v>
      </c>
      <c r="I127">
        <v>-0.41666666699999999</v>
      </c>
      <c r="J127">
        <v>34.200000000000003</v>
      </c>
      <c r="K127" s="87" t="s">
        <v>29</v>
      </c>
      <c r="AV127" t="s">
        <v>1679</v>
      </c>
      <c r="AW127">
        <v>52</v>
      </c>
      <c r="AX127" t="s">
        <v>234</v>
      </c>
      <c r="AY127">
        <v>1</v>
      </c>
      <c r="AZ127" t="s">
        <v>1685</v>
      </c>
      <c r="BA127">
        <v>2007</v>
      </c>
      <c r="BB127">
        <v>2008</v>
      </c>
      <c r="BD127" t="s">
        <v>238</v>
      </c>
      <c r="BE127" t="s">
        <v>1670</v>
      </c>
      <c r="BF127" t="s">
        <v>252</v>
      </c>
      <c r="BH127" t="s">
        <v>23</v>
      </c>
      <c r="BI127" t="s">
        <v>1680</v>
      </c>
      <c r="BJ127" s="87" t="s">
        <v>22</v>
      </c>
      <c r="BK127">
        <v>44444</v>
      </c>
      <c r="BL127" t="s">
        <v>56</v>
      </c>
      <c r="BM127" t="s">
        <v>1677</v>
      </c>
      <c r="BN127" t="s">
        <v>1678</v>
      </c>
      <c r="BO127" s="87" t="s">
        <v>22</v>
      </c>
      <c r="BP127">
        <v>44444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8"/>
      <c r="IF127" t="s">
        <v>1670</v>
      </c>
      <c r="IG127" s="84" t="s">
        <v>1453</v>
      </c>
      <c r="IH127" t="s">
        <v>660</v>
      </c>
      <c r="II127" t="s">
        <v>661</v>
      </c>
      <c r="IJ127" t="s">
        <v>838</v>
      </c>
      <c r="IK127" t="s">
        <v>838</v>
      </c>
      <c r="IL127" s="87" t="s">
        <v>29</v>
      </c>
      <c r="JH127" t="s">
        <v>1681</v>
      </c>
      <c r="JI127" t="s">
        <v>15</v>
      </c>
      <c r="JJ127" t="s">
        <v>14</v>
      </c>
      <c r="JK127" s="8" t="s">
        <v>1682</v>
      </c>
      <c r="JN127" t="s">
        <v>13</v>
      </c>
      <c r="JO127">
        <v>40</v>
      </c>
      <c r="JP127">
        <v>50</v>
      </c>
      <c r="KD127" t="s">
        <v>12</v>
      </c>
      <c r="MR127" t="s">
        <v>1658</v>
      </c>
      <c r="MS127">
        <v>36</v>
      </c>
      <c r="MT127" t="s">
        <v>1662</v>
      </c>
      <c r="MV127" t="s">
        <v>168</v>
      </c>
      <c r="ND127" t="s">
        <v>1704</v>
      </c>
      <c r="NF127" s="4" t="s">
        <v>8</v>
      </c>
      <c r="NG127" t="s">
        <v>7</v>
      </c>
      <c r="NO127" s="78"/>
      <c r="NP127" t="s">
        <v>6</v>
      </c>
      <c r="NQ127">
        <v>3.1</v>
      </c>
      <c r="NR127" s="4" t="s">
        <v>4</v>
      </c>
      <c r="NS127" s="4">
        <v>0.2</v>
      </c>
      <c r="NV127">
        <v>4</v>
      </c>
      <c r="OG127" t="s">
        <v>1703</v>
      </c>
      <c r="OH127" s="87" t="s">
        <v>2</v>
      </c>
      <c r="OI127">
        <v>2007</v>
      </c>
      <c r="OL127" t="s">
        <v>1674</v>
      </c>
      <c r="ON127" t="s">
        <v>1178</v>
      </c>
      <c r="OO127" s="58">
        <v>46105</v>
      </c>
    </row>
    <row r="128" spans="1:405" ht="15.75" thickBot="1">
      <c r="A128" t="s">
        <v>248</v>
      </c>
      <c r="B128" t="s">
        <v>1889</v>
      </c>
      <c r="C128" t="s">
        <v>34</v>
      </c>
      <c r="D128" s="100" t="s">
        <v>31</v>
      </c>
      <c r="E128" s="90" t="s">
        <v>1676</v>
      </c>
      <c r="F128" s="100" t="s">
        <v>31</v>
      </c>
      <c r="G128" s="87" t="s">
        <v>2</v>
      </c>
      <c r="H128" s="87" t="s">
        <v>30</v>
      </c>
      <c r="I128">
        <v>-0.41666666699999999</v>
      </c>
      <c r="J128">
        <v>34.200000000000003</v>
      </c>
      <c r="K128" s="87" t="s">
        <v>29</v>
      </c>
      <c r="AV128" t="s">
        <v>1679</v>
      </c>
      <c r="AW128">
        <v>53</v>
      </c>
      <c r="AX128" t="s">
        <v>234</v>
      </c>
      <c r="AY128">
        <v>1</v>
      </c>
      <c r="AZ128" t="s">
        <v>1685</v>
      </c>
      <c r="BA128">
        <v>2007</v>
      </c>
      <c r="BB128">
        <v>2008</v>
      </c>
      <c r="BD128" t="s">
        <v>238</v>
      </c>
      <c r="BE128" t="s">
        <v>1671</v>
      </c>
      <c r="BF128" t="s">
        <v>236</v>
      </c>
      <c r="BH128" t="s">
        <v>23</v>
      </c>
      <c r="BI128" t="s">
        <v>1680</v>
      </c>
      <c r="BJ128" s="87" t="s">
        <v>22</v>
      </c>
      <c r="BK128">
        <v>44444</v>
      </c>
      <c r="BL128" t="s">
        <v>56</v>
      </c>
      <c r="BM128" t="s">
        <v>1664</v>
      </c>
      <c r="BN128" t="s">
        <v>234</v>
      </c>
      <c r="BO128" t="s">
        <v>234</v>
      </c>
      <c r="BP128" t="s">
        <v>234</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8"/>
      <c r="IF128" t="s">
        <v>1671</v>
      </c>
      <c r="IG128" s="84" t="s">
        <v>1683</v>
      </c>
      <c r="IH128" t="s">
        <v>660</v>
      </c>
      <c r="II128" t="s">
        <v>661</v>
      </c>
      <c r="IJ128" t="s">
        <v>838</v>
      </c>
      <c r="IK128" t="s">
        <v>838</v>
      </c>
      <c r="IL128" s="87" t="s">
        <v>29</v>
      </c>
      <c r="JH128" t="s">
        <v>1681</v>
      </c>
      <c r="JI128" t="s">
        <v>15</v>
      </c>
      <c r="JJ128" t="s">
        <v>14</v>
      </c>
      <c r="JK128" s="8" t="s">
        <v>1682</v>
      </c>
      <c r="JN128" t="s">
        <v>13</v>
      </c>
      <c r="JO128">
        <v>40</v>
      </c>
      <c r="JP128">
        <v>50</v>
      </c>
      <c r="KD128" t="s">
        <v>12</v>
      </c>
      <c r="MR128" t="s">
        <v>1658</v>
      </c>
      <c r="MS128">
        <v>36</v>
      </c>
      <c r="MT128" t="s">
        <v>1665</v>
      </c>
      <c r="MV128" t="s">
        <v>168</v>
      </c>
      <c r="ND128" t="s">
        <v>1704</v>
      </c>
      <c r="NF128" s="4" t="s">
        <v>8</v>
      </c>
      <c r="NG128" t="s">
        <v>7</v>
      </c>
      <c r="NO128" s="78"/>
      <c r="NP128" t="s">
        <v>6</v>
      </c>
      <c r="NQ128">
        <v>5.6</v>
      </c>
      <c r="NR128" s="4" t="s">
        <v>4</v>
      </c>
      <c r="NS128" s="4">
        <v>0.1</v>
      </c>
      <c r="NV128">
        <v>4</v>
      </c>
      <c r="OG128" t="s">
        <v>1703</v>
      </c>
      <c r="OH128" s="87" t="s">
        <v>2</v>
      </c>
      <c r="OI128">
        <v>2007</v>
      </c>
      <c r="OL128" t="s">
        <v>1674</v>
      </c>
      <c r="ON128" t="s">
        <v>1178</v>
      </c>
      <c r="OO128" s="58">
        <v>46105</v>
      </c>
    </row>
    <row r="129" spans="1:405" ht="15.75" thickBot="1">
      <c r="A129" t="s">
        <v>248</v>
      </c>
      <c r="B129" t="s">
        <v>1889</v>
      </c>
      <c r="C129" t="s">
        <v>34</v>
      </c>
      <c r="D129" s="100" t="s">
        <v>31</v>
      </c>
      <c r="E129" s="90" t="s">
        <v>1676</v>
      </c>
      <c r="F129" s="100" t="s">
        <v>31</v>
      </c>
      <c r="G129" s="87" t="s">
        <v>2</v>
      </c>
      <c r="H129" s="87" t="s">
        <v>30</v>
      </c>
      <c r="I129">
        <v>-0.41666666699999999</v>
      </c>
      <c r="J129">
        <v>34.200000000000003</v>
      </c>
      <c r="K129" s="87" t="s">
        <v>29</v>
      </c>
      <c r="AV129" t="s">
        <v>1679</v>
      </c>
      <c r="AW129">
        <v>54</v>
      </c>
      <c r="AX129" t="s">
        <v>234</v>
      </c>
      <c r="AY129">
        <v>1</v>
      </c>
      <c r="AZ129" t="s">
        <v>1685</v>
      </c>
      <c r="BA129">
        <v>2007</v>
      </c>
      <c r="BB129">
        <v>2008</v>
      </c>
      <c r="BD129" t="s">
        <v>238</v>
      </c>
      <c r="BE129" t="s">
        <v>1672</v>
      </c>
      <c r="BF129" t="s">
        <v>284</v>
      </c>
      <c r="BH129" t="s">
        <v>23</v>
      </c>
      <c r="BI129" t="s">
        <v>1680</v>
      </c>
      <c r="BJ129" s="87" t="s">
        <v>22</v>
      </c>
      <c r="BK129">
        <v>44444</v>
      </c>
      <c r="BL129" t="s">
        <v>56</v>
      </c>
      <c r="BM129" t="s">
        <v>1677</v>
      </c>
      <c r="BN129" t="s">
        <v>1678</v>
      </c>
      <c r="BO129" s="87" t="s">
        <v>22</v>
      </c>
      <c r="BP129">
        <v>44444</v>
      </c>
      <c r="BQ129" t="s">
        <v>56</v>
      </c>
      <c r="BR129" t="s">
        <v>1664</v>
      </c>
      <c r="BS129" t="s">
        <v>234</v>
      </c>
      <c r="BT129" t="s">
        <v>234</v>
      </c>
      <c r="BU129" t="s">
        <v>234</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8"/>
      <c r="IF129" t="s">
        <v>1672</v>
      </c>
      <c r="IG129" s="84" t="s">
        <v>1683</v>
      </c>
      <c r="IH129" t="s">
        <v>660</v>
      </c>
      <c r="II129" t="s">
        <v>661</v>
      </c>
      <c r="IJ129" t="s">
        <v>838</v>
      </c>
      <c r="IK129" t="s">
        <v>838</v>
      </c>
      <c r="IL129" s="87" t="s">
        <v>29</v>
      </c>
      <c r="JH129" t="s">
        <v>1681</v>
      </c>
      <c r="JI129" t="s">
        <v>15</v>
      </c>
      <c r="JJ129" t="s">
        <v>14</v>
      </c>
      <c r="JK129" s="8" t="s">
        <v>1682</v>
      </c>
      <c r="JN129" t="s">
        <v>13</v>
      </c>
      <c r="JO129">
        <v>40</v>
      </c>
      <c r="JP129">
        <v>50</v>
      </c>
      <c r="KD129" t="s">
        <v>12</v>
      </c>
      <c r="MR129" t="s">
        <v>1658</v>
      </c>
      <c r="MS129">
        <v>36</v>
      </c>
      <c r="MT129" t="s">
        <v>1667</v>
      </c>
      <c r="MV129" t="s">
        <v>168</v>
      </c>
      <c r="ND129" t="s">
        <v>1704</v>
      </c>
      <c r="NF129" s="4" t="s">
        <v>8</v>
      </c>
      <c r="NG129" t="s">
        <v>7</v>
      </c>
      <c r="NO129" s="78"/>
      <c r="NP129" t="s">
        <v>6</v>
      </c>
      <c r="NQ129">
        <v>5</v>
      </c>
      <c r="NR129" s="4" t="s">
        <v>4</v>
      </c>
      <c r="NS129" s="4">
        <v>0.1</v>
      </c>
      <c r="NV129">
        <v>4</v>
      </c>
      <c r="OG129" t="s">
        <v>1703</v>
      </c>
      <c r="OH129" s="87" t="s">
        <v>2</v>
      </c>
      <c r="OI129">
        <v>2007</v>
      </c>
      <c r="OL129" t="s">
        <v>1674</v>
      </c>
      <c r="ON129" t="s">
        <v>1178</v>
      </c>
      <c r="OO129" s="58">
        <v>46105</v>
      </c>
    </row>
    <row r="130" spans="1:405" ht="15.75" thickBot="1">
      <c r="A130" t="s">
        <v>248</v>
      </c>
      <c r="B130" t="s">
        <v>1889</v>
      </c>
      <c r="C130" t="s">
        <v>34</v>
      </c>
      <c r="D130" s="100" t="s">
        <v>31</v>
      </c>
      <c r="E130" s="90" t="s">
        <v>1676</v>
      </c>
      <c r="F130" s="100" t="s">
        <v>31</v>
      </c>
      <c r="G130" s="87" t="s">
        <v>2</v>
      </c>
      <c r="H130" s="87" t="s">
        <v>30</v>
      </c>
      <c r="I130">
        <v>-0.41666666699999999</v>
      </c>
      <c r="J130">
        <v>34.200000000000003</v>
      </c>
      <c r="K130" s="87" t="s">
        <v>29</v>
      </c>
      <c r="AV130" t="s">
        <v>1679</v>
      </c>
      <c r="AW130">
        <v>55</v>
      </c>
      <c r="AX130" t="s">
        <v>234</v>
      </c>
      <c r="AY130">
        <v>1</v>
      </c>
      <c r="AZ130" t="s">
        <v>1685</v>
      </c>
      <c r="BA130">
        <v>2007</v>
      </c>
      <c r="BB130">
        <v>2008</v>
      </c>
      <c r="BD130" t="s">
        <v>238</v>
      </c>
      <c r="BE130" t="s">
        <v>1673</v>
      </c>
      <c r="BF130" t="s">
        <v>277</v>
      </c>
      <c r="BH130" t="s">
        <v>23</v>
      </c>
      <c r="BI130" t="s">
        <v>1680</v>
      </c>
      <c r="BJ130" s="87" t="s">
        <v>22</v>
      </c>
      <c r="BK130">
        <v>44444</v>
      </c>
      <c r="BL130" t="s">
        <v>56</v>
      </c>
      <c r="BM130" t="s">
        <v>1677</v>
      </c>
      <c r="BN130" t="s">
        <v>1678</v>
      </c>
      <c r="BO130" s="87" t="s">
        <v>22</v>
      </c>
      <c r="BP130">
        <v>44444</v>
      </c>
      <c r="BQ130" t="s">
        <v>56</v>
      </c>
      <c r="BR130" t="s">
        <v>1664</v>
      </c>
      <c r="BS130" t="s">
        <v>234</v>
      </c>
      <c r="BT130" t="s">
        <v>234</v>
      </c>
      <c r="BU130" t="s">
        <v>234</v>
      </c>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K130" s="9"/>
      <c r="HW130" s="58"/>
      <c r="IF130" t="s">
        <v>1673</v>
      </c>
      <c r="IG130" s="84" t="s">
        <v>1683</v>
      </c>
      <c r="IH130" t="s">
        <v>660</v>
      </c>
      <c r="II130" t="s">
        <v>661</v>
      </c>
      <c r="IJ130" t="s">
        <v>838</v>
      </c>
      <c r="IK130" t="s">
        <v>838</v>
      </c>
      <c r="IL130" s="87" t="s">
        <v>29</v>
      </c>
      <c r="JH130" t="s">
        <v>1681</v>
      </c>
      <c r="JI130" t="s">
        <v>15</v>
      </c>
      <c r="JJ130" t="s">
        <v>14</v>
      </c>
      <c r="JK130" s="8" t="s">
        <v>1682</v>
      </c>
      <c r="JN130" t="s">
        <v>13</v>
      </c>
      <c r="JO130">
        <v>40</v>
      </c>
      <c r="JP130">
        <v>50</v>
      </c>
      <c r="KD130" t="s">
        <v>12</v>
      </c>
      <c r="MR130" t="s">
        <v>1658</v>
      </c>
      <c r="MS130">
        <v>36</v>
      </c>
      <c r="MT130" t="s">
        <v>1667</v>
      </c>
      <c r="MV130" t="s">
        <v>168</v>
      </c>
      <c r="ND130" t="s">
        <v>1704</v>
      </c>
      <c r="NF130" s="4" t="s">
        <v>8</v>
      </c>
      <c r="NG130" t="s">
        <v>7</v>
      </c>
      <c r="NO130" s="78"/>
      <c r="NP130" t="s">
        <v>6</v>
      </c>
      <c r="NQ130">
        <v>5.4</v>
      </c>
      <c r="NR130" s="4" t="s">
        <v>4</v>
      </c>
      <c r="NS130" s="4">
        <v>0.1</v>
      </c>
      <c r="NV130">
        <v>4</v>
      </c>
      <c r="OG130" t="s">
        <v>1703</v>
      </c>
      <c r="OH130" s="87" t="s">
        <v>2</v>
      </c>
      <c r="OI130">
        <v>2007</v>
      </c>
      <c r="OL130" t="s">
        <v>1674</v>
      </c>
      <c r="ON130" t="s">
        <v>1178</v>
      </c>
      <c r="OO130" s="58">
        <v>46105</v>
      </c>
    </row>
    <row r="131" spans="1:405" ht="15.75" thickBot="1">
      <c r="A131" t="s">
        <v>248</v>
      </c>
      <c r="B131" t="s">
        <v>1889</v>
      </c>
      <c r="C131" t="s">
        <v>34</v>
      </c>
      <c r="D131" s="100" t="s">
        <v>31</v>
      </c>
      <c r="E131" s="90" t="s">
        <v>1676</v>
      </c>
      <c r="F131" s="100" t="s">
        <v>31</v>
      </c>
      <c r="G131" s="87" t="s">
        <v>2</v>
      </c>
      <c r="H131" s="87" t="s">
        <v>30</v>
      </c>
      <c r="I131">
        <v>-0.41666666699999999</v>
      </c>
      <c r="J131">
        <v>34.200000000000003</v>
      </c>
      <c r="K131" s="87" t="s">
        <v>29</v>
      </c>
      <c r="AV131" t="s">
        <v>1679</v>
      </c>
      <c r="AW131">
        <v>36</v>
      </c>
      <c r="AX131" t="s">
        <v>234</v>
      </c>
      <c r="AY131">
        <v>1</v>
      </c>
      <c r="AZ131" t="s">
        <v>1685</v>
      </c>
      <c r="BA131">
        <v>2007</v>
      </c>
      <c r="BB131">
        <v>2008</v>
      </c>
      <c r="BD131" t="s">
        <v>19</v>
      </c>
      <c r="BE131" t="s">
        <v>1657</v>
      </c>
      <c r="BF131" t="s">
        <v>39</v>
      </c>
      <c r="BH131" t="s">
        <v>23</v>
      </c>
      <c r="BI131" t="s">
        <v>1680</v>
      </c>
      <c r="BJ131" s="87" t="s">
        <v>22</v>
      </c>
      <c r="BK131">
        <v>44444</v>
      </c>
      <c r="IF131" t="s">
        <v>1657</v>
      </c>
      <c r="IG131" t="s">
        <v>19</v>
      </c>
      <c r="JH131" t="s">
        <v>1681</v>
      </c>
      <c r="JI131" t="s">
        <v>15</v>
      </c>
      <c r="JJ131" t="s">
        <v>14</v>
      </c>
      <c r="JK131" s="8" t="s">
        <v>1682</v>
      </c>
      <c r="JN131" t="s">
        <v>13</v>
      </c>
      <c r="JO131">
        <v>40</v>
      </c>
      <c r="JP131">
        <v>50</v>
      </c>
      <c r="KD131" t="s">
        <v>12</v>
      </c>
      <c r="MR131" t="s">
        <v>1658</v>
      </c>
      <c r="MS131">
        <v>36</v>
      </c>
      <c r="MT131" t="s">
        <v>709</v>
      </c>
      <c r="MV131" t="s">
        <v>709</v>
      </c>
      <c r="NA131" t="s">
        <v>205</v>
      </c>
      <c r="NB131" t="s">
        <v>711</v>
      </c>
      <c r="ND131" t="s">
        <v>1714</v>
      </c>
      <c r="NF131" s="4" t="s">
        <v>203</v>
      </c>
      <c r="NG131" t="s">
        <v>1713</v>
      </c>
      <c r="NO131" s="78" t="s">
        <v>735</v>
      </c>
      <c r="NP131" t="s">
        <v>6</v>
      </c>
      <c r="NQ131">
        <v>148.5</v>
      </c>
      <c r="NR131" s="4" t="s">
        <v>4</v>
      </c>
      <c r="NS131" s="4">
        <v>44.8</v>
      </c>
      <c r="NV131">
        <v>4</v>
      </c>
      <c r="OG131" t="s">
        <v>1705</v>
      </c>
      <c r="OH131" s="87" t="s">
        <v>2</v>
      </c>
      <c r="OI131">
        <v>2007</v>
      </c>
      <c r="OL131" t="s">
        <v>1706</v>
      </c>
      <c r="ON131" t="s">
        <v>1178</v>
      </c>
      <c r="OO131" s="58">
        <v>46105</v>
      </c>
    </row>
    <row r="132" spans="1:405" ht="15.75" thickBot="1">
      <c r="A132" t="s">
        <v>248</v>
      </c>
      <c r="B132" t="s">
        <v>1889</v>
      </c>
      <c r="C132" t="s">
        <v>34</v>
      </c>
      <c r="D132" s="100" t="s">
        <v>31</v>
      </c>
      <c r="E132" s="90" t="s">
        <v>1676</v>
      </c>
      <c r="F132" s="100" t="s">
        <v>31</v>
      </c>
      <c r="G132" s="87" t="s">
        <v>2</v>
      </c>
      <c r="H132" s="87" t="s">
        <v>30</v>
      </c>
      <c r="I132">
        <v>-0.41666666699999999</v>
      </c>
      <c r="J132">
        <v>34.200000000000003</v>
      </c>
      <c r="K132" s="87" t="s">
        <v>29</v>
      </c>
      <c r="AV132" t="s">
        <v>1679</v>
      </c>
      <c r="AW132">
        <v>37</v>
      </c>
      <c r="AX132" t="s">
        <v>234</v>
      </c>
      <c r="AY132">
        <v>1</v>
      </c>
      <c r="AZ132" t="s">
        <v>1685</v>
      </c>
      <c r="BA132">
        <v>2007</v>
      </c>
      <c r="BB132">
        <v>2008</v>
      </c>
      <c r="BD132" t="s">
        <v>238</v>
      </c>
      <c r="BE132" t="s">
        <v>1661</v>
      </c>
      <c r="BF132" t="s">
        <v>64</v>
      </c>
      <c r="BH132" t="s">
        <v>23</v>
      </c>
      <c r="BI132" t="s">
        <v>1680</v>
      </c>
      <c r="BJ132" s="87" t="s">
        <v>22</v>
      </c>
      <c r="BK132">
        <v>44444</v>
      </c>
      <c r="BL132" t="s">
        <v>56</v>
      </c>
      <c r="BM132" t="s">
        <v>1677</v>
      </c>
      <c r="BN132" t="s">
        <v>1678</v>
      </c>
      <c r="BO132" s="87" t="s">
        <v>22</v>
      </c>
      <c r="BP132">
        <v>44444</v>
      </c>
      <c r="IF132" t="s">
        <v>1661</v>
      </c>
      <c r="IG132" s="84" t="s">
        <v>1453</v>
      </c>
      <c r="IH132" t="s">
        <v>660</v>
      </c>
      <c r="II132" t="s">
        <v>661</v>
      </c>
      <c r="IJ132" t="s">
        <v>838</v>
      </c>
      <c r="IK132" t="s">
        <v>838</v>
      </c>
      <c r="IL132" s="87" t="s">
        <v>29</v>
      </c>
      <c r="JH132" t="s">
        <v>1681</v>
      </c>
      <c r="JI132" t="s">
        <v>15</v>
      </c>
      <c r="JJ132" t="s">
        <v>14</v>
      </c>
      <c r="JK132" s="8" t="s">
        <v>1682</v>
      </c>
      <c r="JN132" t="s">
        <v>13</v>
      </c>
      <c r="JO132">
        <v>40</v>
      </c>
      <c r="JP132">
        <v>50</v>
      </c>
      <c r="KD132" t="s">
        <v>12</v>
      </c>
      <c r="MR132" t="s">
        <v>1658</v>
      </c>
      <c r="MS132">
        <v>36</v>
      </c>
      <c r="MT132" t="s">
        <v>709</v>
      </c>
      <c r="MV132" t="s">
        <v>709</v>
      </c>
      <c r="NA132" t="s">
        <v>205</v>
      </c>
      <c r="NB132" t="s">
        <v>711</v>
      </c>
      <c r="ND132" t="s">
        <v>1714</v>
      </c>
      <c r="NF132" s="4" t="s">
        <v>203</v>
      </c>
      <c r="NG132" t="s">
        <v>1713</v>
      </c>
      <c r="NO132" s="78"/>
      <c r="NP132" t="s">
        <v>6</v>
      </c>
      <c r="NQ132">
        <v>76</v>
      </c>
      <c r="NR132" s="4" t="s">
        <v>4</v>
      </c>
      <c r="NS132" s="4">
        <v>22</v>
      </c>
      <c r="NV132">
        <v>4</v>
      </c>
      <c r="OG132" t="s">
        <v>1705</v>
      </c>
      <c r="OH132" s="87" t="s">
        <v>2</v>
      </c>
      <c r="OI132">
        <v>2007</v>
      </c>
      <c r="OL132" t="s">
        <v>1706</v>
      </c>
      <c r="ON132" t="s">
        <v>1178</v>
      </c>
      <c r="OO132" s="58">
        <v>46105</v>
      </c>
    </row>
    <row r="133" spans="1:405" ht="15.75" thickBot="1">
      <c r="A133" t="s">
        <v>248</v>
      </c>
      <c r="B133" t="s">
        <v>1889</v>
      </c>
      <c r="C133" t="s">
        <v>34</v>
      </c>
      <c r="D133" s="100" t="s">
        <v>31</v>
      </c>
      <c r="E133" s="90" t="s">
        <v>1676</v>
      </c>
      <c r="F133" s="100" t="s">
        <v>31</v>
      </c>
      <c r="G133" s="87" t="s">
        <v>2</v>
      </c>
      <c r="H133" s="87" t="s">
        <v>30</v>
      </c>
      <c r="I133">
        <v>-0.41666666699999999</v>
      </c>
      <c r="J133">
        <v>34.200000000000003</v>
      </c>
      <c r="K133" s="87" t="s">
        <v>29</v>
      </c>
      <c r="AV133" t="s">
        <v>1679</v>
      </c>
      <c r="AW133">
        <v>38</v>
      </c>
      <c r="AX133" t="s">
        <v>234</v>
      </c>
      <c r="AY133">
        <v>1</v>
      </c>
      <c r="AZ133" t="s">
        <v>1685</v>
      </c>
      <c r="BA133">
        <v>2007</v>
      </c>
      <c r="BB133">
        <v>2008</v>
      </c>
      <c r="BD133" t="s">
        <v>238</v>
      </c>
      <c r="BE133" t="s">
        <v>1663</v>
      </c>
      <c r="BF133" t="s">
        <v>57</v>
      </c>
      <c r="BH133" t="s">
        <v>23</v>
      </c>
      <c r="BI133" t="s">
        <v>1680</v>
      </c>
      <c r="BJ133" s="87" t="s">
        <v>22</v>
      </c>
      <c r="BK133">
        <v>44444</v>
      </c>
      <c r="BL133" t="s">
        <v>56</v>
      </c>
      <c r="BM133" t="s">
        <v>1664</v>
      </c>
      <c r="BN133" t="s">
        <v>234</v>
      </c>
      <c r="BO133" t="s">
        <v>234</v>
      </c>
      <c r="BP133" t="s">
        <v>234</v>
      </c>
      <c r="IF133" t="s">
        <v>1663</v>
      </c>
      <c r="IG133" s="84" t="s">
        <v>1683</v>
      </c>
      <c r="IH133" t="s">
        <v>660</v>
      </c>
      <c r="II133" t="s">
        <v>661</v>
      </c>
      <c r="IJ133" t="s">
        <v>838</v>
      </c>
      <c r="IK133" t="s">
        <v>838</v>
      </c>
      <c r="IL133" s="87" t="s">
        <v>29</v>
      </c>
      <c r="JH133" t="s">
        <v>1681</v>
      </c>
      <c r="JI133" t="s">
        <v>15</v>
      </c>
      <c r="JJ133" t="s">
        <v>14</v>
      </c>
      <c r="JK133" s="8" t="s">
        <v>1682</v>
      </c>
      <c r="JN133" t="s">
        <v>13</v>
      </c>
      <c r="JO133">
        <v>40</v>
      </c>
      <c r="JP133">
        <v>50</v>
      </c>
      <c r="KD133" t="s">
        <v>12</v>
      </c>
      <c r="MR133" t="s">
        <v>1658</v>
      </c>
      <c r="MS133">
        <v>36</v>
      </c>
      <c r="MT133" t="s">
        <v>709</v>
      </c>
      <c r="MV133" t="s">
        <v>709</v>
      </c>
      <c r="NA133" t="s">
        <v>205</v>
      </c>
      <c r="NB133" t="s">
        <v>711</v>
      </c>
      <c r="ND133" t="s">
        <v>1714</v>
      </c>
      <c r="NF133" s="4" t="s">
        <v>203</v>
      </c>
      <c r="NG133" t="s">
        <v>1713</v>
      </c>
      <c r="NO133" s="78"/>
      <c r="NP133" t="s">
        <v>6</v>
      </c>
      <c r="NQ133">
        <v>15.5</v>
      </c>
      <c r="NR133" s="4" t="s">
        <v>4</v>
      </c>
      <c r="NS133" s="4">
        <v>2.8</v>
      </c>
      <c r="NV133">
        <v>4</v>
      </c>
      <c r="OG133" t="s">
        <v>1705</v>
      </c>
      <c r="OH133" s="87" t="s">
        <v>2</v>
      </c>
      <c r="OI133">
        <v>2007</v>
      </c>
      <c r="OL133" t="s">
        <v>1706</v>
      </c>
      <c r="ON133" t="s">
        <v>1178</v>
      </c>
      <c r="OO133" s="58">
        <v>46105</v>
      </c>
    </row>
    <row r="134" spans="1:405" ht="15.75" thickBot="1">
      <c r="A134" t="s">
        <v>248</v>
      </c>
      <c r="B134" t="s">
        <v>1889</v>
      </c>
      <c r="C134" t="s">
        <v>34</v>
      </c>
      <c r="D134" s="100" t="s">
        <v>31</v>
      </c>
      <c r="E134" s="90" t="s">
        <v>1676</v>
      </c>
      <c r="F134" s="100" t="s">
        <v>31</v>
      </c>
      <c r="G134" s="87" t="s">
        <v>2</v>
      </c>
      <c r="H134" s="87" t="s">
        <v>30</v>
      </c>
      <c r="I134">
        <v>-0.41666666699999999</v>
      </c>
      <c r="J134">
        <v>34.200000000000003</v>
      </c>
      <c r="K134" s="87" t="s">
        <v>29</v>
      </c>
      <c r="AV134" t="s">
        <v>1679</v>
      </c>
      <c r="AW134">
        <v>39</v>
      </c>
      <c r="AX134" t="s">
        <v>234</v>
      </c>
      <c r="AY134">
        <v>1</v>
      </c>
      <c r="AZ134" t="s">
        <v>1685</v>
      </c>
      <c r="BA134">
        <v>2007</v>
      </c>
      <c r="BB134">
        <v>2008</v>
      </c>
      <c r="BD134" t="s">
        <v>238</v>
      </c>
      <c r="BE134" t="s">
        <v>1666</v>
      </c>
      <c r="BF134" t="s">
        <v>48</v>
      </c>
      <c r="BH134" t="s">
        <v>23</v>
      </c>
      <c r="BI134" t="s">
        <v>1680</v>
      </c>
      <c r="BJ134" s="87" t="s">
        <v>22</v>
      </c>
      <c r="BK134">
        <v>44444</v>
      </c>
      <c r="BL134" t="s">
        <v>56</v>
      </c>
      <c r="BM134" t="s">
        <v>1677</v>
      </c>
      <c r="BN134" t="s">
        <v>1678</v>
      </c>
      <c r="BO134" s="87" t="s">
        <v>22</v>
      </c>
      <c r="BP134">
        <v>44444</v>
      </c>
      <c r="BQ134" t="s">
        <v>56</v>
      </c>
      <c r="BR134" t="s">
        <v>1664</v>
      </c>
      <c r="BS134" t="s">
        <v>234</v>
      </c>
      <c r="BT134" t="s">
        <v>234</v>
      </c>
      <c r="BU134" t="s">
        <v>234</v>
      </c>
      <c r="IF134" t="s">
        <v>1666</v>
      </c>
      <c r="IG134" s="84" t="s">
        <v>1683</v>
      </c>
      <c r="IH134" t="s">
        <v>660</v>
      </c>
      <c r="II134" t="s">
        <v>661</v>
      </c>
      <c r="IJ134" t="s">
        <v>838</v>
      </c>
      <c r="IK134" t="s">
        <v>838</v>
      </c>
      <c r="IL134" s="87" t="s">
        <v>29</v>
      </c>
      <c r="JH134" t="s">
        <v>1681</v>
      </c>
      <c r="JI134" t="s">
        <v>15</v>
      </c>
      <c r="JJ134" t="s">
        <v>14</v>
      </c>
      <c r="JK134" s="8" t="s">
        <v>1682</v>
      </c>
      <c r="JN134" t="s">
        <v>13</v>
      </c>
      <c r="JO134">
        <v>40</v>
      </c>
      <c r="JP134">
        <v>50</v>
      </c>
      <c r="KD134" t="s">
        <v>12</v>
      </c>
      <c r="MR134" t="s">
        <v>1658</v>
      </c>
      <c r="MS134">
        <v>36</v>
      </c>
      <c r="MT134" t="s">
        <v>709</v>
      </c>
      <c r="MV134" t="s">
        <v>709</v>
      </c>
      <c r="NA134" t="s">
        <v>205</v>
      </c>
      <c r="NB134" t="s">
        <v>711</v>
      </c>
      <c r="ND134" t="s">
        <v>1714</v>
      </c>
      <c r="NF134" s="4" t="s">
        <v>203</v>
      </c>
      <c r="NG134" t="s">
        <v>1713</v>
      </c>
      <c r="NO134" s="78"/>
      <c r="NP134" t="s">
        <v>6</v>
      </c>
      <c r="NQ134">
        <v>25.7</v>
      </c>
      <c r="NR134" s="4" t="s">
        <v>4</v>
      </c>
      <c r="NS134" s="4">
        <v>2.9</v>
      </c>
      <c r="NV134">
        <v>4</v>
      </c>
      <c r="OG134" t="s">
        <v>1705</v>
      </c>
      <c r="OH134" s="87" t="s">
        <v>2</v>
      </c>
      <c r="OI134">
        <v>2007</v>
      </c>
      <c r="OL134" t="s">
        <v>1706</v>
      </c>
      <c r="ON134" t="s">
        <v>1178</v>
      </c>
      <c r="OO134" s="58">
        <v>46105</v>
      </c>
    </row>
    <row r="135" spans="1:405" ht="15.75" thickBot="1">
      <c r="A135" t="s">
        <v>248</v>
      </c>
      <c r="B135" t="s">
        <v>1889</v>
      </c>
      <c r="C135" t="s">
        <v>34</v>
      </c>
      <c r="D135" s="100" t="s">
        <v>31</v>
      </c>
      <c r="E135" s="90" t="s">
        <v>1676</v>
      </c>
      <c r="F135" s="100" t="s">
        <v>31</v>
      </c>
      <c r="G135" s="87" t="s">
        <v>2</v>
      </c>
      <c r="H135" s="87" t="s">
        <v>30</v>
      </c>
      <c r="I135">
        <v>-0.41666666699999999</v>
      </c>
      <c r="J135">
        <v>34.200000000000003</v>
      </c>
      <c r="K135" s="87" t="s">
        <v>29</v>
      </c>
      <c r="AV135" t="s">
        <v>1679</v>
      </c>
      <c r="AW135">
        <v>40</v>
      </c>
      <c r="AX135" t="s">
        <v>234</v>
      </c>
      <c r="AY135">
        <v>1</v>
      </c>
      <c r="AZ135" t="s">
        <v>1685</v>
      </c>
      <c r="BA135">
        <v>2007</v>
      </c>
      <c r="BB135">
        <v>2008</v>
      </c>
      <c r="BD135" t="s">
        <v>238</v>
      </c>
      <c r="BE135" t="s">
        <v>1690</v>
      </c>
      <c r="BF135" t="s">
        <v>43</v>
      </c>
      <c r="BH135" t="s">
        <v>23</v>
      </c>
      <c r="BI135" t="s">
        <v>1680</v>
      </c>
      <c r="BJ135" s="87" t="s">
        <v>22</v>
      </c>
      <c r="BK135">
        <v>44444</v>
      </c>
      <c r="BL135" t="s">
        <v>56</v>
      </c>
      <c r="BM135" t="s">
        <v>1677</v>
      </c>
      <c r="BN135" t="s">
        <v>1678</v>
      </c>
      <c r="BO135" s="87" t="s">
        <v>22</v>
      </c>
      <c r="BP135">
        <v>44444</v>
      </c>
      <c r="BQ135" t="s">
        <v>56</v>
      </c>
      <c r="BR135" t="s">
        <v>1664</v>
      </c>
      <c r="BS135" t="s">
        <v>234</v>
      </c>
      <c r="BT135" t="s">
        <v>234</v>
      </c>
      <c r="BU135" t="s">
        <v>234</v>
      </c>
      <c r="IF135" t="s">
        <v>1668</v>
      </c>
      <c r="IG135" s="84" t="s">
        <v>1683</v>
      </c>
      <c r="IH135" t="s">
        <v>660</v>
      </c>
      <c r="II135" t="s">
        <v>661</v>
      </c>
      <c r="IJ135" t="s">
        <v>838</v>
      </c>
      <c r="IK135" t="s">
        <v>838</v>
      </c>
      <c r="IL135" s="87" t="s">
        <v>29</v>
      </c>
      <c r="JH135" t="s">
        <v>1681</v>
      </c>
      <c r="JI135" t="s">
        <v>15</v>
      </c>
      <c r="JJ135" t="s">
        <v>14</v>
      </c>
      <c r="JK135" s="8" t="s">
        <v>1682</v>
      </c>
      <c r="JN135" t="s">
        <v>13</v>
      </c>
      <c r="JO135">
        <v>40</v>
      </c>
      <c r="JP135">
        <v>50</v>
      </c>
      <c r="KD135" t="s">
        <v>12</v>
      </c>
      <c r="MR135" t="s">
        <v>1658</v>
      </c>
      <c r="MS135">
        <v>36</v>
      </c>
      <c r="MT135" t="s">
        <v>709</v>
      </c>
      <c r="MV135" t="s">
        <v>709</v>
      </c>
      <c r="NA135" t="s">
        <v>205</v>
      </c>
      <c r="NB135" t="s">
        <v>711</v>
      </c>
      <c r="ND135" t="s">
        <v>1714</v>
      </c>
      <c r="NF135" s="4" t="s">
        <v>203</v>
      </c>
      <c r="NG135" t="s">
        <v>1713</v>
      </c>
      <c r="NO135" s="78"/>
      <c r="NP135" t="s">
        <v>6</v>
      </c>
      <c r="NQ135">
        <v>22</v>
      </c>
      <c r="NR135" s="4" t="s">
        <v>4</v>
      </c>
      <c r="NS135" s="4">
        <v>7.8</v>
      </c>
      <c r="NV135">
        <v>4</v>
      </c>
      <c r="OG135" t="s">
        <v>1705</v>
      </c>
      <c r="OH135" s="87" t="s">
        <v>2</v>
      </c>
      <c r="OI135">
        <v>2007</v>
      </c>
      <c r="OL135" t="s">
        <v>1706</v>
      </c>
      <c r="ON135" t="s">
        <v>1178</v>
      </c>
      <c r="OO135" s="58">
        <v>46105</v>
      </c>
    </row>
    <row r="136" spans="1:405" ht="15.75" thickBot="1">
      <c r="A136" t="s">
        <v>248</v>
      </c>
      <c r="B136" t="s">
        <v>1889</v>
      </c>
      <c r="C136" t="s">
        <v>34</v>
      </c>
      <c r="D136" s="100" t="s">
        <v>31</v>
      </c>
      <c r="E136" s="90" t="s">
        <v>1676</v>
      </c>
      <c r="F136" s="100" t="s">
        <v>31</v>
      </c>
      <c r="G136" s="87" t="s">
        <v>2</v>
      </c>
      <c r="H136" s="87" t="s">
        <v>30</v>
      </c>
      <c r="I136">
        <v>-0.41666666699999999</v>
      </c>
      <c r="J136">
        <v>34.200000000000003</v>
      </c>
      <c r="K136" s="87" t="s">
        <v>29</v>
      </c>
      <c r="AV136" t="s">
        <v>1679</v>
      </c>
      <c r="AW136">
        <v>41</v>
      </c>
      <c r="AX136" t="s">
        <v>234</v>
      </c>
      <c r="AY136">
        <v>1</v>
      </c>
      <c r="AZ136" t="s">
        <v>1686</v>
      </c>
      <c r="BA136">
        <v>2007</v>
      </c>
      <c r="BB136">
        <v>2008</v>
      </c>
      <c r="BD136" t="s">
        <v>19</v>
      </c>
      <c r="BE136" t="s">
        <v>1657</v>
      </c>
      <c r="BF136" t="s">
        <v>39</v>
      </c>
      <c r="BH136" t="s">
        <v>23</v>
      </c>
      <c r="BI136" t="s">
        <v>1680</v>
      </c>
      <c r="BJ136" s="87" t="s">
        <v>22</v>
      </c>
      <c r="BK136">
        <v>44444</v>
      </c>
      <c r="IF136" t="s">
        <v>1657</v>
      </c>
      <c r="IG136" t="s">
        <v>19</v>
      </c>
      <c r="JH136" t="s">
        <v>1681</v>
      </c>
      <c r="JI136" t="s">
        <v>15</v>
      </c>
      <c r="JJ136" t="s">
        <v>14</v>
      </c>
      <c r="JK136" s="8" t="s">
        <v>1682</v>
      </c>
      <c r="JN136" t="s">
        <v>13</v>
      </c>
      <c r="JO136">
        <v>40</v>
      </c>
      <c r="JP136">
        <v>50</v>
      </c>
      <c r="KD136" t="s">
        <v>12</v>
      </c>
      <c r="MR136" t="s">
        <v>1658</v>
      </c>
      <c r="MS136">
        <v>36</v>
      </c>
      <c r="MT136" t="s">
        <v>709</v>
      </c>
      <c r="MV136" t="s">
        <v>709</v>
      </c>
      <c r="NA136" t="s">
        <v>205</v>
      </c>
      <c r="NB136" t="s">
        <v>711</v>
      </c>
      <c r="ND136" t="s">
        <v>1714</v>
      </c>
      <c r="NF136" s="4" t="s">
        <v>203</v>
      </c>
      <c r="NG136" t="s">
        <v>1713</v>
      </c>
      <c r="NO136" s="78" t="s">
        <v>735</v>
      </c>
      <c r="NP136" t="s">
        <v>6</v>
      </c>
      <c r="NQ136">
        <v>259.2</v>
      </c>
      <c r="NR136" s="4" t="s">
        <v>4</v>
      </c>
      <c r="NS136" s="4">
        <v>86.8</v>
      </c>
      <c r="NV136">
        <v>4</v>
      </c>
      <c r="OG136" t="s">
        <v>1707</v>
      </c>
      <c r="OH136" s="87" t="s">
        <v>2</v>
      </c>
      <c r="OI136">
        <v>2007</v>
      </c>
      <c r="OL136" t="s">
        <v>1708</v>
      </c>
      <c r="ON136" t="s">
        <v>1178</v>
      </c>
      <c r="OO136" s="58">
        <v>46105</v>
      </c>
    </row>
    <row r="137" spans="1:405" ht="15.75" thickBot="1">
      <c r="A137" t="s">
        <v>248</v>
      </c>
      <c r="B137" t="s">
        <v>1889</v>
      </c>
      <c r="C137" t="s">
        <v>34</v>
      </c>
      <c r="D137" s="100" t="s">
        <v>31</v>
      </c>
      <c r="E137" s="90" t="s">
        <v>1676</v>
      </c>
      <c r="F137" s="100" t="s">
        <v>31</v>
      </c>
      <c r="G137" s="87" t="s">
        <v>2</v>
      </c>
      <c r="H137" s="87" t="s">
        <v>30</v>
      </c>
      <c r="I137">
        <v>-0.41666666699999999</v>
      </c>
      <c r="J137">
        <v>34.200000000000003</v>
      </c>
      <c r="K137" s="87" t="s">
        <v>29</v>
      </c>
      <c r="AV137" t="s">
        <v>1679</v>
      </c>
      <c r="AW137">
        <v>42</v>
      </c>
      <c r="AX137" t="s">
        <v>234</v>
      </c>
      <c r="AY137">
        <v>1</v>
      </c>
      <c r="AZ137" t="s">
        <v>1686</v>
      </c>
      <c r="BA137">
        <v>2007</v>
      </c>
      <c r="BB137">
        <v>2008</v>
      </c>
      <c r="BD137" t="s">
        <v>238</v>
      </c>
      <c r="BE137" t="s">
        <v>1661</v>
      </c>
      <c r="BF137" t="s">
        <v>64</v>
      </c>
      <c r="BH137" t="s">
        <v>23</v>
      </c>
      <c r="BI137" t="s">
        <v>1680</v>
      </c>
      <c r="BJ137" s="87" t="s">
        <v>22</v>
      </c>
      <c r="BK137">
        <v>44444</v>
      </c>
      <c r="BL137" t="s">
        <v>56</v>
      </c>
      <c r="BM137" t="s">
        <v>1677</v>
      </c>
      <c r="BN137" t="s">
        <v>1678</v>
      </c>
      <c r="BO137" s="87" t="s">
        <v>22</v>
      </c>
      <c r="BP137">
        <v>44444</v>
      </c>
      <c r="IF137" t="s">
        <v>1661</v>
      </c>
      <c r="IG137" s="84" t="s">
        <v>1453</v>
      </c>
      <c r="IH137" t="s">
        <v>660</v>
      </c>
      <c r="II137" t="s">
        <v>661</v>
      </c>
      <c r="IJ137" t="s">
        <v>838</v>
      </c>
      <c r="IK137" t="s">
        <v>838</v>
      </c>
      <c r="IL137" s="87" t="s">
        <v>29</v>
      </c>
      <c r="JH137" t="s">
        <v>1681</v>
      </c>
      <c r="JI137" t="s">
        <v>15</v>
      </c>
      <c r="JJ137" t="s">
        <v>14</v>
      </c>
      <c r="JK137" s="8" t="s">
        <v>1682</v>
      </c>
      <c r="JN137" t="s">
        <v>13</v>
      </c>
      <c r="JO137">
        <v>40</v>
      </c>
      <c r="JP137">
        <v>50</v>
      </c>
      <c r="KD137" t="s">
        <v>12</v>
      </c>
      <c r="MR137" t="s">
        <v>1658</v>
      </c>
      <c r="MS137">
        <v>36</v>
      </c>
      <c r="MT137" t="s">
        <v>709</v>
      </c>
      <c r="MV137" t="s">
        <v>709</v>
      </c>
      <c r="NA137" t="s">
        <v>205</v>
      </c>
      <c r="NB137" t="s">
        <v>711</v>
      </c>
      <c r="ND137" t="s">
        <v>1714</v>
      </c>
      <c r="NF137" s="4" t="s">
        <v>203</v>
      </c>
      <c r="NG137" t="s">
        <v>1713</v>
      </c>
      <c r="NO137" s="78"/>
      <c r="NP137" t="s">
        <v>6</v>
      </c>
      <c r="NQ137">
        <v>139.19999999999999</v>
      </c>
      <c r="NR137" s="4" t="s">
        <v>4</v>
      </c>
      <c r="NS137" s="4">
        <v>55.7</v>
      </c>
      <c r="NV137">
        <v>4</v>
      </c>
      <c r="OG137" t="s">
        <v>1707</v>
      </c>
      <c r="OH137" s="87" t="s">
        <v>2</v>
      </c>
      <c r="OI137">
        <v>2007</v>
      </c>
      <c r="OL137" t="s">
        <v>1708</v>
      </c>
      <c r="ON137" t="s">
        <v>1178</v>
      </c>
      <c r="OO137" s="58">
        <v>46105</v>
      </c>
    </row>
    <row r="138" spans="1:405" ht="15.75" thickBot="1">
      <c r="A138" t="s">
        <v>248</v>
      </c>
      <c r="B138" t="s">
        <v>1889</v>
      </c>
      <c r="C138" t="s">
        <v>34</v>
      </c>
      <c r="D138" s="100" t="s">
        <v>31</v>
      </c>
      <c r="E138" s="90" t="s">
        <v>1676</v>
      </c>
      <c r="F138" s="100" t="s">
        <v>31</v>
      </c>
      <c r="G138" s="87" t="s">
        <v>2</v>
      </c>
      <c r="H138" s="87" t="s">
        <v>30</v>
      </c>
      <c r="I138">
        <v>-0.41666666699999999</v>
      </c>
      <c r="J138">
        <v>34.200000000000003</v>
      </c>
      <c r="K138" s="87" t="s">
        <v>29</v>
      </c>
      <c r="AV138" t="s">
        <v>1679</v>
      </c>
      <c r="AW138">
        <v>43</v>
      </c>
      <c r="AX138" t="s">
        <v>234</v>
      </c>
      <c r="AY138">
        <v>1</v>
      </c>
      <c r="AZ138" t="s">
        <v>1686</v>
      </c>
      <c r="BA138">
        <v>2007</v>
      </c>
      <c r="BB138">
        <v>2008</v>
      </c>
      <c r="BD138" t="s">
        <v>238</v>
      </c>
      <c r="BE138" t="s">
        <v>1663</v>
      </c>
      <c r="BF138" t="s">
        <v>57</v>
      </c>
      <c r="BH138" t="s">
        <v>23</v>
      </c>
      <c r="BI138" t="s">
        <v>1680</v>
      </c>
      <c r="BJ138" s="87" t="s">
        <v>22</v>
      </c>
      <c r="BK138">
        <v>44444</v>
      </c>
      <c r="BL138" t="s">
        <v>56</v>
      </c>
      <c r="BM138" t="s">
        <v>1664</v>
      </c>
      <c r="BN138" t="s">
        <v>234</v>
      </c>
      <c r="BO138" t="s">
        <v>234</v>
      </c>
      <c r="BP138" t="s">
        <v>234</v>
      </c>
      <c r="IF138" t="s">
        <v>1663</v>
      </c>
      <c r="IG138" s="84" t="s">
        <v>1683</v>
      </c>
      <c r="IH138" t="s">
        <v>660</v>
      </c>
      <c r="II138" t="s">
        <v>661</v>
      </c>
      <c r="IJ138" t="s">
        <v>838</v>
      </c>
      <c r="IK138" t="s">
        <v>838</v>
      </c>
      <c r="IL138" s="87" t="s">
        <v>29</v>
      </c>
      <c r="JH138" t="s">
        <v>1681</v>
      </c>
      <c r="JI138" t="s">
        <v>15</v>
      </c>
      <c r="JJ138" t="s">
        <v>14</v>
      </c>
      <c r="JK138" s="8" t="s">
        <v>1682</v>
      </c>
      <c r="JN138" t="s">
        <v>13</v>
      </c>
      <c r="JO138">
        <v>40</v>
      </c>
      <c r="JP138">
        <v>50</v>
      </c>
      <c r="KD138" t="s">
        <v>12</v>
      </c>
      <c r="MR138" t="s">
        <v>1658</v>
      </c>
      <c r="MS138">
        <v>36</v>
      </c>
      <c r="MT138" t="s">
        <v>709</v>
      </c>
      <c r="MV138" t="s">
        <v>709</v>
      </c>
      <c r="NA138" t="s">
        <v>205</v>
      </c>
      <c r="NB138" t="s">
        <v>711</v>
      </c>
      <c r="ND138" t="s">
        <v>1714</v>
      </c>
      <c r="NF138" s="4" t="s">
        <v>203</v>
      </c>
      <c r="NG138" t="s">
        <v>1713</v>
      </c>
      <c r="NO138" s="78"/>
      <c r="NP138" t="s">
        <v>6</v>
      </c>
      <c r="NQ138">
        <v>13</v>
      </c>
      <c r="NR138" s="4" t="s">
        <v>4</v>
      </c>
      <c r="NS138" s="4">
        <v>2</v>
      </c>
      <c r="NV138">
        <v>4</v>
      </c>
      <c r="OG138" t="s">
        <v>1707</v>
      </c>
      <c r="OH138" s="87" t="s">
        <v>2</v>
      </c>
      <c r="OI138">
        <v>2007</v>
      </c>
      <c r="OL138" t="s">
        <v>1708</v>
      </c>
      <c r="ON138" t="s">
        <v>1178</v>
      </c>
      <c r="OO138" s="58">
        <v>46105</v>
      </c>
    </row>
    <row r="139" spans="1:405" ht="15.75" thickBot="1">
      <c r="A139" t="s">
        <v>248</v>
      </c>
      <c r="B139" t="s">
        <v>1889</v>
      </c>
      <c r="C139" t="s">
        <v>34</v>
      </c>
      <c r="D139" s="100" t="s">
        <v>31</v>
      </c>
      <c r="E139" s="90" t="s">
        <v>1676</v>
      </c>
      <c r="F139" s="100" t="s">
        <v>31</v>
      </c>
      <c r="G139" s="87" t="s">
        <v>2</v>
      </c>
      <c r="H139" s="87" t="s">
        <v>30</v>
      </c>
      <c r="I139">
        <v>-0.41666666699999999</v>
      </c>
      <c r="J139">
        <v>34.200000000000003</v>
      </c>
      <c r="K139" s="87" t="s">
        <v>29</v>
      </c>
      <c r="AV139" t="s">
        <v>1679</v>
      </c>
      <c r="AW139">
        <v>44</v>
      </c>
      <c r="AX139" t="s">
        <v>234</v>
      </c>
      <c r="AY139">
        <v>1</v>
      </c>
      <c r="AZ139" t="s">
        <v>1686</v>
      </c>
      <c r="BA139">
        <v>2007</v>
      </c>
      <c r="BB139">
        <v>2008</v>
      </c>
      <c r="BD139" t="s">
        <v>238</v>
      </c>
      <c r="BE139" t="s">
        <v>1666</v>
      </c>
      <c r="BF139" t="s">
        <v>48</v>
      </c>
      <c r="BH139" t="s">
        <v>23</v>
      </c>
      <c r="BI139" t="s">
        <v>1680</v>
      </c>
      <c r="BJ139" s="87" t="s">
        <v>22</v>
      </c>
      <c r="BK139">
        <v>44444</v>
      </c>
      <c r="BL139" t="s">
        <v>56</v>
      </c>
      <c r="BM139" t="s">
        <v>1677</v>
      </c>
      <c r="BN139" t="s">
        <v>1678</v>
      </c>
      <c r="BO139" s="87" t="s">
        <v>22</v>
      </c>
      <c r="BP139">
        <v>44444</v>
      </c>
      <c r="BQ139" t="s">
        <v>56</v>
      </c>
      <c r="BR139" t="s">
        <v>1664</v>
      </c>
      <c r="BS139" t="s">
        <v>234</v>
      </c>
      <c r="BT139" t="s">
        <v>234</v>
      </c>
      <c r="BU139" t="s">
        <v>234</v>
      </c>
      <c r="IF139" t="s">
        <v>1666</v>
      </c>
      <c r="IG139" s="84" t="s">
        <v>1683</v>
      </c>
      <c r="IH139" t="s">
        <v>660</v>
      </c>
      <c r="II139" t="s">
        <v>661</v>
      </c>
      <c r="IJ139" t="s">
        <v>838</v>
      </c>
      <c r="IK139" t="s">
        <v>838</v>
      </c>
      <c r="IL139" s="87" t="s">
        <v>29</v>
      </c>
      <c r="JH139" t="s">
        <v>1681</v>
      </c>
      <c r="JI139" t="s">
        <v>15</v>
      </c>
      <c r="JJ139" t="s">
        <v>14</v>
      </c>
      <c r="JK139" s="8" t="s">
        <v>1682</v>
      </c>
      <c r="JN139" t="s">
        <v>13</v>
      </c>
      <c r="JO139">
        <v>40</v>
      </c>
      <c r="JP139">
        <v>50</v>
      </c>
      <c r="KD139" t="s">
        <v>12</v>
      </c>
      <c r="MR139" t="s">
        <v>1658</v>
      </c>
      <c r="MS139">
        <v>36</v>
      </c>
      <c r="MT139" t="s">
        <v>709</v>
      </c>
      <c r="MV139" t="s">
        <v>709</v>
      </c>
      <c r="NA139" t="s">
        <v>205</v>
      </c>
      <c r="NB139" t="s">
        <v>711</v>
      </c>
      <c r="ND139" t="s">
        <v>1714</v>
      </c>
      <c r="NF139" s="4" t="s">
        <v>203</v>
      </c>
      <c r="NG139" t="s">
        <v>1713</v>
      </c>
      <c r="NO139" s="78"/>
      <c r="NP139" t="s">
        <v>6</v>
      </c>
      <c r="NQ139">
        <v>27.2</v>
      </c>
      <c r="NR139" s="4" t="s">
        <v>4</v>
      </c>
      <c r="NS139" s="4">
        <v>8.8000000000000007</v>
      </c>
      <c r="NV139">
        <v>4</v>
      </c>
      <c r="OG139" t="s">
        <v>1707</v>
      </c>
      <c r="OH139" s="87" t="s">
        <v>2</v>
      </c>
      <c r="OI139">
        <v>2007</v>
      </c>
      <c r="OL139" t="s">
        <v>1708</v>
      </c>
      <c r="ON139" t="s">
        <v>1178</v>
      </c>
      <c r="OO139" s="58">
        <v>46105</v>
      </c>
    </row>
    <row r="140" spans="1:405" ht="15.75" thickBot="1">
      <c r="A140" t="s">
        <v>248</v>
      </c>
      <c r="B140" t="s">
        <v>1889</v>
      </c>
      <c r="C140" t="s">
        <v>34</v>
      </c>
      <c r="D140" s="100" t="s">
        <v>31</v>
      </c>
      <c r="E140" s="90" t="s">
        <v>1676</v>
      </c>
      <c r="F140" s="100" t="s">
        <v>31</v>
      </c>
      <c r="G140" s="87" t="s">
        <v>2</v>
      </c>
      <c r="H140" s="87" t="s">
        <v>30</v>
      </c>
      <c r="I140">
        <v>-0.41666666699999999</v>
      </c>
      <c r="J140">
        <v>34.200000000000003</v>
      </c>
      <c r="K140" s="87" t="s">
        <v>29</v>
      </c>
      <c r="AV140" t="s">
        <v>1679</v>
      </c>
      <c r="AW140">
        <v>45</v>
      </c>
      <c r="AX140" t="s">
        <v>234</v>
      </c>
      <c r="AY140">
        <v>1</v>
      </c>
      <c r="AZ140" t="s">
        <v>1686</v>
      </c>
      <c r="BA140">
        <v>2007</v>
      </c>
      <c r="BB140">
        <v>2008</v>
      </c>
      <c r="BD140" t="s">
        <v>238</v>
      </c>
      <c r="BE140" t="s">
        <v>1668</v>
      </c>
      <c r="BF140" t="s">
        <v>43</v>
      </c>
      <c r="BH140" t="s">
        <v>23</v>
      </c>
      <c r="BI140" t="s">
        <v>1680</v>
      </c>
      <c r="BJ140" s="87" t="s">
        <v>22</v>
      </c>
      <c r="BK140">
        <v>44444</v>
      </c>
      <c r="BL140" t="s">
        <v>56</v>
      </c>
      <c r="BM140" t="s">
        <v>1677</v>
      </c>
      <c r="BN140" t="s">
        <v>1678</v>
      </c>
      <c r="BO140" s="87" t="s">
        <v>22</v>
      </c>
      <c r="BP140">
        <v>44444</v>
      </c>
      <c r="BQ140" t="s">
        <v>56</v>
      </c>
      <c r="BR140" t="s">
        <v>1664</v>
      </c>
      <c r="BS140" t="s">
        <v>234</v>
      </c>
      <c r="BT140" t="s">
        <v>234</v>
      </c>
      <c r="BU140" t="s">
        <v>234</v>
      </c>
      <c r="IF140" t="s">
        <v>1668</v>
      </c>
      <c r="IG140" s="84" t="s">
        <v>1683</v>
      </c>
      <c r="IH140" t="s">
        <v>660</v>
      </c>
      <c r="II140" t="s">
        <v>661</v>
      </c>
      <c r="IJ140" t="s">
        <v>838</v>
      </c>
      <c r="IK140" t="s">
        <v>838</v>
      </c>
      <c r="IL140" s="87" t="s">
        <v>29</v>
      </c>
      <c r="JH140" t="s">
        <v>1681</v>
      </c>
      <c r="JI140" t="s">
        <v>15</v>
      </c>
      <c r="JJ140" t="s">
        <v>14</v>
      </c>
      <c r="JK140" s="8" t="s">
        <v>1682</v>
      </c>
      <c r="JN140" t="s">
        <v>13</v>
      </c>
      <c r="JO140">
        <v>40</v>
      </c>
      <c r="JP140">
        <v>50</v>
      </c>
      <c r="KD140" t="s">
        <v>12</v>
      </c>
      <c r="MR140" t="s">
        <v>1658</v>
      </c>
      <c r="MS140">
        <v>36</v>
      </c>
      <c r="MT140" t="s">
        <v>709</v>
      </c>
      <c r="MV140" t="s">
        <v>709</v>
      </c>
      <c r="NA140" t="s">
        <v>205</v>
      </c>
      <c r="NB140" t="s">
        <v>711</v>
      </c>
      <c r="ND140" t="s">
        <v>1714</v>
      </c>
      <c r="NF140" s="4" t="s">
        <v>203</v>
      </c>
      <c r="NG140" t="s">
        <v>1713</v>
      </c>
      <c r="NO140" s="78"/>
      <c r="NP140" t="s">
        <v>6</v>
      </c>
      <c r="NQ140">
        <v>12.2</v>
      </c>
      <c r="NR140" s="4" t="s">
        <v>4</v>
      </c>
      <c r="NS140" s="4">
        <v>2.9</v>
      </c>
      <c r="NV140">
        <v>4</v>
      </c>
      <c r="OG140" t="s">
        <v>1707</v>
      </c>
      <c r="OH140" s="87" t="s">
        <v>2</v>
      </c>
      <c r="OI140">
        <v>2007</v>
      </c>
      <c r="OL140" t="s">
        <v>1708</v>
      </c>
      <c r="ON140" t="s">
        <v>1178</v>
      </c>
      <c r="OO140" s="58">
        <v>46105</v>
      </c>
    </row>
    <row r="141" spans="1:405" ht="15.75" thickBot="1">
      <c r="A141" t="s">
        <v>248</v>
      </c>
      <c r="B141" t="s">
        <v>1889</v>
      </c>
      <c r="C141" t="s">
        <v>34</v>
      </c>
      <c r="D141" s="100" t="s">
        <v>31</v>
      </c>
      <c r="E141" s="90" t="s">
        <v>1676</v>
      </c>
      <c r="F141" s="100" t="s">
        <v>31</v>
      </c>
      <c r="G141" s="87" t="s">
        <v>2</v>
      </c>
      <c r="H141" s="87" t="s">
        <v>30</v>
      </c>
      <c r="I141">
        <v>-0.41666666699999999</v>
      </c>
      <c r="J141">
        <v>34.200000000000003</v>
      </c>
      <c r="K141" s="87" t="s">
        <v>29</v>
      </c>
      <c r="AV141" t="s">
        <v>1679</v>
      </c>
      <c r="AW141">
        <v>46</v>
      </c>
      <c r="AX141" t="s">
        <v>234</v>
      </c>
      <c r="AY141">
        <v>1</v>
      </c>
      <c r="AZ141" t="s">
        <v>1687</v>
      </c>
      <c r="BA141">
        <v>2007</v>
      </c>
      <c r="BB141">
        <v>2008</v>
      </c>
      <c r="BD141" t="s">
        <v>19</v>
      </c>
      <c r="BE141" t="s">
        <v>1657</v>
      </c>
      <c r="BF141" t="s">
        <v>39</v>
      </c>
      <c r="BH141" t="s">
        <v>23</v>
      </c>
      <c r="BI141" t="s">
        <v>1680</v>
      </c>
      <c r="BJ141" s="87" t="s">
        <v>22</v>
      </c>
      <c r="BK141">
        <v>44444</v>
      </c>
      <c r="IF141" t="s">
        <v>1669</v>
      </c>
      <c r="IG141" t="s">
        <v>19</v>
      </c>
      <c r="JH141" t="s">
        <v>1681</v>
      </c>
      <c r="JI141" t="s">
        <v>15</v>
      </c>
      <c r="JJ141" t="s">
        <v>14</v>
      </c>
      <c r="JK141" s="8" t="s">
        <v>1682</v>
      </c>
      <c r="JN141" t="s">
        <v>13</v>
      </c>
      <c r="JO141">
        <v>40</v>
      </c>
      <c r="JP141">
        <v>50</v>
      </c>
      <c r="KD141" t="s">
        <v>12</v>
      </c>
      <c r="MR141" t="s">
        <v>1658</v>
      </c>
      <c r="MS141">
        <v>36</v>
      </c>
      <c r="MT141" t="s">
        <v>709</v>
      </c>
      <c r="MV141" t="s">
        <v>709</v>
      </c>
      <c r="NA141" t="s">
        <v>205</v>
      </c>
      <c r="NB141" t="s">
        <v>711</v>
      </c>
      <c r="ND141" t="s">
        <v>1714</v>
      </c>
      <c r="NF141" s="4" t="s">
        <v>203</v>
      </c>
      <c r="NG141" t="s">
        <v>1713</v>
      </c>
      <c r="NO141" s="78" t="s">
        <v>735</v>
      </c>
      <c r="NP141" t="s">
        <v>6</v>
      </c>
      <c r="NQ141">
        <v>104.5</v>
      </c>
      <c r="NR141" s="4" t="s">
        <v>4</v>
      </c>
      <c r="NS141" s="4">
        <v>45.9</v>
      </c>
      <c r="NV141">
        <v>4</v>
      </c>
      <c r="OG141" t="s">
        <v>1709</v>
      </c>
      <c r="OH141" s="87" t="s">
        <v>2</v>
      </c>
      <c r="OI141">
        <v>2008</v>
      </c>
      <c r="OL141" t="s">
        <v>1710</v>
      </c>
      <c r="ON141" t="s">
        <v>1178</v>
      </c>
      <c r="OO141" s="58">
        <v>46105</v>
      </c>
    </row>
    <row r="142" spans="1:405" ht="15.75" thickBot="1">
      <c r="A142" t="s">
        <v>248</v>
      </c>
      <c r="B142" t="s">
        <v>1889</v>
      </c>
      <c r="C142" t="s">
        <v>34</v>
      </c>
      <c r="D142" s="100" t="s">
        <v>31</v>
      </c>
      <c r="E142" s="90" t="s">
        <v>1676</v>
      </c>
      <c r="F142" s="100" t="s">
        <v>31</v>
      </c>
      <c r="G142" s="87" t="s">
        <v>2</v>
      </c>
      <c r="H142" s="87" t="s">
        <v>30</v>
      </c>
      <c r="I142">
        <v>-0.41666666699999999</v>
      </c>
      <c r="J142">
        <v>34.200000000000003</v>
      </c>
      <c r="K142" s="87" t="s">
        <v>29</v>
      </c>
      <c r="AV142" t="s">
        <v>1679</v>
      </c>
      <c r="AW142">
        <v>47</v>
      </c>
      <c r="AX142" t="s">
        <v>234</v>
      </c>
      <c r="AY142">
        <v>1</v>
      </c>
      <c r="AZ142" t="s">
        <v>1687</v>
      </c>
      <c r="BA142">
        <v>2007</v>
      </c>
      <c r="BB142">
        <v>2008</v>
      </c>
      <c r="BD142" t="s">
        <v>238</v>
      </c>
      <c r="BE142" t="s">
        <v>1661</v>
      </c>
      <c r="BF142" t="s">
        <v>64</v>
      </c>
      <c r="BH142" t="s">
        <v>23</v>
      </c>
      <c r="BI142" t="s">
        <v>1680</v>
      </c>
      <c r="BJ142" s="87" t="s">
        <v>22</v>
      </c>
      <c r="BK142">
        <v>44444</v>
      </c>
      <c r="BL142" t="s">
        <v>56</v>
      </c>
      <c r="BM142" t="s">
        <v>1677</v>
      </c>
      <c r="BN142" t="s">
        <v>1678</v>
      </c>
      <c r="BO142" s="87" t="s">
        <v>22</v>
      </c>
      <c r="BP142">
        <v>44444</v>
      </c>
      <c r="IF142" t="s">
        <v>1670</v>
      </c>
      <c r="IG142" s="84" t="s">
        <v>1453</v>
      </c>
      <c r="IH142" t="s">
        <v>660</v>
      </c>
      <c r="II142" t="s">
        <v>661</v>
      </c>
      <c r="IJ142" t="s">
        <v>838</v>
      </c>
      <c r="IK142" t="s">
        <v>838</v>
      </c>
      <c r="IL142" s="87" t="s">
        <v>29</v>
      </c>
      <c r="JH142" t="s">
        <v>1681</v>
      </c>
      <c r="JI142" t="s">
        <v>15</v>
      </c>
      <c r="JJ142" t="s">
        <v>14</v>
      </c>
      <c r="JK142" s="8" t="s">
        <v>1682</v>
      </c>
      <c r="JN142" t="s">
        <v>13</v>
      </c>
      <c r="JO142">
        <v>40</v>
      </c>
      <c r="JP142">
        <v>50</v>
      </c>
      <c r="KD142" t="s">
        <v>12</v>
      </c>
      <c r="MR142" t="s">
        <v>1658</v>
      </c>
      <c r="MS142">
        <v>36</v>
      </c>
      <c r="MT142" t="s">
        <v>709</v>
      </c>
      <c r="MV142" t="s">
        <v>709</v>
      </c>
      <c r="NA142" t="s">
        <v>205</v>
      </c>
      <c r="NB142" t="s">
        <v>711</v>
      </c>
      <c r="ND142" t="s">
        <v>1714</v>
      </c>
      <c r="NF142" s="4" t="s">
        <v>203</v>
      </c>
      <c r="NG142" t="s">
        <v>1713</v>
      </c>
      <c r="NO142" s="78"/>
      <c r="NP142" t="s">
        <v>6</v>
      </c>
      <c r="NQ142">
        <v>86.2</v>
      </c>
      <c r="NR142" s="4" t="s">
        <v>4</v>
      </c>
      <c r="NS142" s="4">
        <v>27.4</v>
      </c>
      <c r="NV142">
        <v>4</v>
      </c>
      <c r="OG142" t="s">
        <v>1709</v>
      </c>
      <c r="OH142" s="87" t="s">
        <v>2</v>
      </c>
      <c r="OI142">
        <v>2008</v>
      </c>
      <c r="OL142" t="s">
        <v>1710</v>
      </c>
      <c r="ON142" t="s">
        <v>1178</v>
      </c>
      <c r="OO142" s="58">
        <v>46105</v>
      </c>
    </row>
    <row r="143" spans="1:405" ht="15.75" thickBot="1">
      <c r="A143" t="s">
        <v>248</v>
      </c>
      <c r="B143" t="s">
        <v>1889</v>
      </c>
      <c r="C143" t="s">
        <v>34</v>
      </c>
      <c r="D143" s="100" t="s">
        <v>31</v>
      </c>
      <c r="E143" s="90" t="s">
        <v>1676</v>
      </c>
      <c r="F143" s="100" t="s">
        <v>31</v>
      </c>
      <c r="G143" s="87" t="s">
        <v>2</v>
      </c>
      <c r="H143" s="87" t="s">
        <v>30</v>
      </c>
      <c r="I143">
        <v>-0.41666666699999999</v>
      </c>
      <c r="J143">
        <v>34.200000000000003</v>
      </c>
      <c r="K143" s="87" t="s">
        <v>29</v>
      </c>
      <c r="AV143" t="s">
        <v>1679</v>
      </c>
      <c r="AW143">
        <v>48</v>
      </c>
      <c r="AX143" t="s">
        <v>234</v>
      </c>
      <c r="AY143">
        <v>1</v>
      </c>
      <c r="AZ143" t="s">
        <v>1687</v>
      </c>
      <c r="BA143">
        <v>2007</v>
      </c>
      <c r="BB143">
        <v>2008</v>
      </c>
      <c r="BD143" t="s">
        <v>238</v>
      </c>
      <c r="BE143" t="s">
        <v>1663</v>
      </c>
      <c r="BF143" t="s">
        <v>57</v>
      </c>
      <c r="BH143" t="s">
        <v>23</v>
      </c>
      <c r="BI143" t="s">
        <v>1680</v>
      </c>
      <c r="BJ143" s="87" t="s">
        <v>22</v>
      </c>
      <c r="BK143">
        <v>44444</v>
      </c>
      <c r="BL143" t="s">
        <v>56</v>
      </c>
      <c r="BM143" t="s">
        <v>1664</v>
      </c>
      <c r="BN143" t="s">
        <v>234</v>
      </c>
      <c r="BO143" t="s">
        <v>234</v>
      </c>
      <c r="BP143" t="s">
        <v>234</v>
      </c>
      <c r="IF143" t="s">
        <v>1671</v>
      </c>
      <c r="IG143" s="84" t="s">
        <v>1683</v>
      </c>
      <c r="IH143" t="s">
        <v>660</v>
      </c>
      <c r="II143" t="s">
        <v>661</v>
      </c>
      <c r="IJ143" t="s">
        <v>838</v>
      </c>
      <c r="IK143" t="s">
        <v>838</v>
      </c>
      <c r="IL143" s="87" t="s">
        <v>29</v>
      </c>
      <c r="JH143" t="s">
        <v>1681</v>
      </c>
      <c r="JI143" t="s">
        <v>15</v>
      </c>
      <c r="JJ143" t="s">
        <v>14</v>
      </c>
      <c r="JK143" s="8" t="s">
        <v>1682</v>
      </c>
      <c r="JN143" t="s">
        <v>13</v>
      </c>
      <c r="JO143">
        <v>40</v>
      </c>
      <c r="JP143">
        <v>50</v>
      </c>
      <c r="KD143" t="s">
        <v>12</v>
      </c>
      <c r="MR143" t="s">
        <v>1658</v>
      </c>
      <c r="MS143">
        <v>36</v>
      </c>
      <c r="MT143" t="s">
        <v>709</v>
      </c>
      <c r="MV143" t="s">
        <v>709</v>
      </c>
      <c r="NA143" t="s">
        <v>205</v>
      </c>
      <c r="NB143" t="s">
        <v>711</v>
      </c>
      <c r="ND143" t="s">
        <v>1714</v>
      </c>
      <c r="NF143" s="4" t="s">
        <v>203</v>
      </c>
      <c r="NG143" t="s">
        <v>1713</v>
      </c>
      <c r="NO143" s="78"/>
      <c r="NP143" t="s">
        <v>6</v>
      </c>
      <c r="NQ143">
        <v>0.5</v>
      </c>
      <c r="NR143" s="4" t="s">
        <v>4</v>
      </c>
      <c r="NS143" s="4">
        <v>0.5</v>
      </c>
      <c r="NV143">
        <v>4</v>
      </c>
      <c r="OG143" t="s">
        <v>1709</v>
      </c>
      <c r="OH143" s="87" t="s">
        <v>2</v>
      </c>
      <c r="OI143">
        <v>2008</v>
      </c>
      <c r="OL143" t="s">
        <v>1710</v>
      </c>
      <c r="ON143" t="s">
        <v>1178</v>
      </c>
      <c r="OO143" s="58">
        <v>46105</v>
      </c>
    </row>
    <row r="144" spans="1:405" ht="15.75" thickBot="1">
      <c r="A144" t="s">
        <v>248</v>
      </c>
      <c r="B144" t="s">
        <v>1889</v>
      </c>
      <c r="C144" t="s">
        <v>34</v>
      </c>
      <c r="D144" s="100" t="s">
        <v>31</v>
      </c>
      <c r="E144" s="90" t="s">
        <v>1676</v>
      </c>
      <c r="F144" s="100" t="s">
        <v>31</v>
      </c>
      <c r="G144" s="87" t="s">
        <v>2</v>
      </c>
      <c r="H144" s="87" t="s">
        <v>30</v>
      </c>
      <c r="I144">
        <v>-0.41666666699999999</v>
      </c>
      <c r="J144">
        <v>34.200000000000003</v>
      </c>
      <c r="K144" s="87" t="s">
        <v>29</v>
      </c>
      <c r="AV144" t="s">
        <v>1679</v>
      </c>
      <c r="AW144">
        <v>49</v>
      </c>
      <c r="AX144" t="s">
        <v>234</v>
      </c>
      <c r="AY144">
        <v>1</v>
      </c>
      <c r="AZ144" t="s">
        <v>1687</v>
      </c>
      <c r="BA144">
        <v>2007</v>
      </c>
      <c r="BB144">
        <v>2008</v>
      </c>
      <c r="BD144" t="s">
        <v>238</v>
      </c>
      <c r="BE144" t="s">
        <v>1666</v>
      </c>
      <c r="BF144" t="s">
        <v>48</v>
      </c>
      <c r="BH144" t="s">
        <v>23</v>
      </c>
      <c r="BI144" t="s">
        <v>1680</v>
      </c>
      <c r="BJ144" s="87" t="s">
        <v>22</v>
      </c>
      <c r="BK144">
        <v>44444</v>
      </c>
      <c r="BL144" t="s">
        <v>56</v>
      </c>
      <c r="BM144" t="s">
        <v>1677</v>
      </c>
      <c r="BN144" t="s">
        <v>1678</v>
      </c>
      <c r="BO144" s="87" t="s">
        <v>22</v>
      </c>
      <c r="BP144">
        <v>44444</v>
      </c>
      <c r="BQ144" t="s">
        <v>56</v>
      </c>
      <c r="BR144" t="s">
        <v>1664</v>
      </c>
      <c r="BS144" t="s">
        <v>234</v>
      </c>
      <c r="BT144" t="s">
        <v>234</v>
      </c>
      <c r="BU144" t="s">
        <v>234</v>
      </c>
      <c r="IF144" t="s">
        <v>1672</v>
      </c>
      <c r="IG144" s="84" t="s">
        <v>1683</v>
      </c>
      <c r="IH144" t="s">
        <v>660</v>
      </c>
      <c r="II144" t="s">
        <v>661</v>
      </c>
      <c r="IJ144" t="s">
        <v>838</v>
      </c>
      <c r="IK144" t="s">
        <v>838</v>
      </c>
      <c r="IL144" s="87" t="s">
        <v>29</v>
      </c>
      <c r="JH144" t="s">
        <v>1681</v>
      </c>
      <c r="JI144" t="s">
        <v>15</v>
      </c>
      <c r="JJ144" t="s">
        <v>14</v>
      </c>
      <c r="JK144" s="8" t="s">
        <v>1682</v>
      </c>
      <c r="JN144" t="s">
        <v>13</v>
      </c>
      <c r="JO144">
        <v>40</v>
      </c>
      <c r="JP144">
        <v>50</v>
      </c>
      <c r="KD144" t="s">
        <v>12</v>
      </c>
      <c r="MR144" t="s">
        <v>1658</v>
      </c>
      <c r="MS144">
        <v>36</v>
      </c>
      <c r="MT144" t="s">
        <v>709</v>
      </c>
      <c r="MV144" t="s">
        <v>709</v>
      </c>
      <c r="NA144" t="s">
        <v>205</v>
      </c>
      <c r="NB144" t="s">
        <v>711</v>
      </c>
      <c r="ND144" t="s">
        <v>1714</v>
      </c>
      <c r="NF144" s="4" t="s">
        <v>203</v>
      </c>
      <c r="NG144" t="s">
        <v>1713</v>
      </c>
      <c r="NO144" s="78"/>
      <c r="NP144" t="s">
        <v>6</v>
      </c>
      <c r="NQ144">
        <v>1.5</v>
      </c>
      <c r="NR144" s="4" t="s">
        <v>4</v>
      </c>
      <c r="NS144" s="4">
        <v>1.2</v>
      </c>
      <c r="NV144">
        <v>4</v>
      </c>
      <c r="OG144" t="s">
        <v>1709</v>
      </c>
      <c r="OH144" s="87" t="s">
        <v>2</v>
      </c>
      <c r="OI144">
        <v>2008</v>
      </c>
      <c r="OL144" t="s">
        <v>1710</v>
      </c>
      <c r="ON144" t="s">
        <v>1178</v>
      </c>
      <c r="OO144" s="58">
        <v>46105</v>
      </c>
    </row>
    <row r="145" spans="1:413" ht="15.75" thickBot="1">
      <c r="A145" t="s">
        <v>248</v>
      </c>
      <c r="B145" t="s">
        <v>1889</v>
      </c>
      <c r="C145" t="s">
        <v>34</v>
      </c>
      <c r="D145" s="100" t="s">
        <v>31</v>
      </c>
      <c r="E145" s="90" t="s">
        <v>1676</v>
      </c>
      <c r="F145" s="100" t="s">
        <v>31</v>
      </c>
      <c r="G145" s="87" t="s">
        <v>2</v>
      </c>
      <c r="H145" s="87" t="s">
        <v>30</v>
      </c>
      <c r="I145">
        <v>-0.41666666699999999</v>
      </c>
      <c r="J145">
        <v>34.200000000000003</v>
      </c>
      <c r="K145" s="87" t="s">
        <v>29</v>
      </c>
      <c r="AV145" t="s">
        <v>1679</v>
      </c>
      <c r="AW145">
        <v>50</v>
      </c>
      <c r="AX145" t="s">
        <v>234</v>
      </c>
      <c r="AY145">
        <v>1</v>
      </c>
      <c r="AZ145" t="s">
        <v>1687</v>
      </c>
      <c r="BA145">
        <v>2007</v>
      </c>
      <c r="BB145">
        <v>2008</v>
      </c>
      <c r="BD145" t="s">
        <v>238</v>
      </c>
      <c r="BE145" t="s">
        <v>1690</v>
      </c>
      <c r="BF145" t="s">
        <v>43</v>
      </c>
      <c r="BH145" t="s">
        <v>23</v>
      </c>
      <c r="BI145" t="s">
        <v>1680</v>
      </c>
      <c r="BJ145" s="87" t="s">
        <v>22</v>
      </c>
      <c r="BK145">
        <v>44444</v>
      </c>
      <c r="BL145" t="s">
        <v>56</v>
      </c>
      <c r="BM145" t="s">
        <v>1677</v>
      </c>
      <c r="BN145" t="s">
        <v>1678</v>
      </c>
      <c r="BO145" s="87" t="s">
        <v>22</v>
      </c>
      <c r="BP145">
        <v>44444</v>
      </c>
      <c r="BQ145" t="s">
        <v>56</v>
      </c>
      <c r="BR145" t="s">
        <v>1664</v>
      </c>
      <c r="BS145" t="s">
        <v>234</v>
      </c>
      <c r="BT145" t="s">
        <v>234</v>
      </c>
      <c r="BU145" t="s">
        <v>234</v>
      </c>
      <c r="IF145" t="s">
        <v>1673</v>
      </c>
      <c r="IG145" s="84" t="s">
        <v>1683</v>
      </c>
      <c r="IH145" t="s">
        <v>660</v>
      </c>
      <c r="II145" t="s">
        <v>661</v>
      </c>
      <c r="IJ145" t="s">
        <v>838</v>
      </c>
      <c r="IK145" t="s">
        <v>838</v>
      </c>
      <c r="IL145" s="87" t="s">
        <v>29</v>
      </c>
      <c r="JH145" t="s">
        <v>1681</v>
      </c>
      <c r="JI145" t="s">
        <v>15</v>
      </c>
      <c r="JJ145" t="s">
        <v>14</v>
      </c>
      <c r="JK145" s="8" t="s">
        <v>1682</v>
      </c>
      <c r="JN145" t="s">
        <v>13</v>
      </c>
      <c r="JO145">
        <v>40</v>
      </c>
      <c r="JP145">
        <v>50</v>
      </c>
      <c r="KD145" t="s">
        <v>12</v>
      </c>
      <c r="MR145" t="s">
        <v>1658</v>
      </c>
      <c r="MS145">
        <v>36</v>
      </c>
      <c r="MT145" t="s">
        <v>709</v>
      </c>
      <c r="MV145" t="s">
        <v>709</v>
      </c>
      <c r="NA145" t="s">
        <v>205</v>
      </c>
      <c r="NB145" t="s">
        <v>711</v>
      </c>
      <c r="ND145" t="s">
        <v>1714</v>
      </c>
      <c r="NF145" s="4" t="s">
        <v>203</v>
      </c>
      <c r="NG145" t="s">
        <v>1713</v>
      </c>
      <c r="NO145" s="78"/>
      <c r="NP145" t="s">
        <v>6</v>
      </c>
      <c r="NQ145">
        <v>0</v>
      </c>
      <c r="NR145" s="4" t="s">
        <v>4</v>
      </c>
      <c r="NS145" s="4">
        <v>0</v>
      </c>
      <c r="NV145">
        <v>4</v>
      </c>
      <c r="OG145" t="s">
        <v>1709</v>
      </c>
      <c r="OH145" s="87" t="s">
        <v>2</v>
      </c>
      <c r="OI145">
        <v>2008</v>
      </c>
      <c r="OL145" t="s">
        <v>1710</v>
      </c>
      <c r="ON145" t="s">
        <v>1178</v>
      </c>
      <c r="OO145" s="58">
        <v>46105</v>
      </c>
    </row>
    <row r="146" spans="1:413" ht="15.75" thickBot="1">
      <c r="A146" t="s">
        <v>248</v>
      </c>
      <c r="B146" t="s">
        <v>1889</v>
      </c>
      <c r="C146" t="s">
        <v>34</v>
      </c>
      <c r="D146" s="100" t="s">
        <v>31</v>
      </c>
      <c r="E146" s="90" t="s">
        <v>1676</v>
      </c>
      <c r="F146" s="100" t="s">
        <v>31</v>
      </c>
      <c r="G146" s="87" t="s">
        <v>2</v>
      </c>
      <c r="H146" s="87" t="s">
        <v>30</v>
      </c>
      <c r="I146">
        <v>-0.41666666699999999</v>
      </c>
      <c r="J146">
        <v>34.200000000000003</v>
      </c>
      <c r="K146" s="87" t="s">
        <v>29</v>
      </c>
      <c r="AV146" t="s">
        <v>1679</v>
      </c>
      <c r="AW146">
        <v>51</v>
      </c>
      <c r="AX146" t="s">
        <v>234</v>
      </c>
      <c r="AY146">
        <v>1</v>
      </c>
      <c r="AZ146" t="s">
        <v>1685</v>
      </c>
      <c r="BA146">
        <v>2007</v>
      </c>
      <c r="BB146">
        <v>2008</v>
      </c>
      <c r="BD146" t="s">
        <v>19</v>
      </c>
      <c r="BE146" t="s">
        <v>1657</v>
      </c>
      <c r="BF146" t="s">
        <v>39</v>
      </c>
      <c r="BH146" t="s">
        <v>23</v>
      </c>
      <c r="BI146" t="s">
        <v>1680</v>
      </c>
      <c r="BJ146" s="87" t="s">
        <v>22</v>
      </c>
      <c r="BK146">
        <v>44444</v>
      </c>
      <c r="IF146" t="s">
        <v>1669</v>
      </c>
      <c r="IG146" t="s">
        <v>19</v>
      </c>
      <c r="JH146" t="s">
        <v>1681</v>
      </c>
      <c r="JI146" t="s">
        <v>15</v>
      </c>
      <c r="JJ146" t="s">
        <v>14</v>
      </c>
      <c r="JK146" s="8" t="s">
        <v>1682</v>
      </c>
      <c r="JN146" t="s">
        <v>13</v>
      </c>
      <c r="JO146">
        <v>40</v>
      </c>
      <c r="JP146">
        <v>50</v>
      </c>
      <c r="KD146" t="s">
        <v>12</v>
      </c>
      <c r="MR146" t="s">
        <v>1658</v>
      </c>
      <c r="MS146">
        <v>36</v>
      </c>
      <c r="MT146" t="s">
        <v>709</v>
      </c>
      <c r="MV146" t="s">
        <v>709</v>
      </c>
      <c r="NA146" t="s">
        <v>205</v>
      </c>
      <c r="NB146" t="s">
        <v>711</v>
      </c>
      <c r="ND146" t="s">
        <v>1714</v>
      </c>
      <c r="NF146" s="4" t="s">
        <v>203</v>
      </c>
      <c r="NG146" t="s">
        <v>1713</v>
      </c>
      <c r="NO146" s="78" t="s">
        <v>735</v>
      </c>
      <c r="NP146" t="s">
        <v>6</v>
      </c>
      <c r="NQ146">
        <v>460.2</v>
      </c>
      <c r="NR146" s="4" t="s">
        <v>4</v>
      </c>
      <c r="NS146" s="4">
        <v>202.2</v>
      </c>
      <c r="NV146">
        <v>4</v>
      </c>
      <c r="OG146" t="s">
        <v>1712</v>
      </c>
      <c r="OH146" s="87" t="s">
        <v>2</v>
      </c>
      <c r="OI146">
        <v>2008</v>
      </c>
      <c r="OL146" t="s">
        <v>1711</v>
      </c>
      <c r="ON146" t="s">
        <v>1178</v>
      </c>
      <c r="OO146" s="58">
        <v>46105</v>
      </c>
    </row>
    <row r="147" spans="1:413" ht="15.75" thickBot="1">
      <c r="A147" t="s">
        <v>248</v>
      </c>
      <c r="B147" t="s">
        <v>1889</v>
      </c>
      <c r="C147" t="s">
        <v>34</v>
      </c>
      <c r="D147" s="100" t="s">
        <v>31</v>
      </c>
      <c r="E147" s="90" t="s">
        <v>1676</v>
      </c>
      <c r="F147" s="100" t="s">
        <v>31</v>
      </c>
      <c r="G147" s="87" t="s">
        <v>2</v>
      </c>
      <c r="H147" s="87" t="s">
        <v>30</v>
      </c>
      <c r="I147">
        <v>-0.41666666699999999</v>
      </c>
      <c r="J147">
        <v>34.200000000000003</v>
      </c>
      <c r="K147" s="87" t="s">
        <v>29</v>
      </c>
      <c r="AV147" t="s">
        <v>1679</v>
      </c>
      <c r="AW147">
        <v>52</v>
      </c>
      <c r="AX147" t="s">
        <v>234</v>
      </c>
      <c r="AY147">
        <v>1</v>
      </c>
      <c r="AZ147" t="s">
        <v>1685</v>
      </c>
      <c r="BA147">
        <v>2007</v>
      </c>
      <c r="BB147">
        <v>2008</v>
      </c>
      <c r="BD147" t="s">
        <v>238</v>
      </c>
      <c r="BE147" t="s">
        <v>1661</v>
      </c>
      <c r="BF147" t="s">
        <v>64</v>
      </c>
      <c r="BH147" t="s">
        <v>23</v>
      </c>
      <c r="BI147" t="s">
        <v>1680</v>
      </c>
      <c r="BJ147" s="87" t="s">
        <v>22</v>
      </c>
      <c r="BK147">
        <v>44444</v>
      </c>
      <c r="BL147" t="s">
        <v>56</v>
      </c>
      <c r="BM147" t="s">
        <v>1677</v>
      </c>
      <c r="BN147" t="s">
        <v>1678</v>
      </c>
      <c r="BO147" s="87" t="s">
        <v>22</v>
      </c>
      <c r="BP147">
        <v>44444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8"/>
      <c r="IF147" t="s">
        <v>1670</v>
      </c>
      <c r="IG147" s="84" t="s">
        <v>1453</v>
      </c>
      <c r="IH147" t="s">
        <v>660</v>
      </c>
      <c r="II147" t="s">
        <v>661</v>
      </c>
      <c r="IJ147" t="s">
        <v>838</v>
      </c>
      <c r="IK147" t="s">
        <v>838</v>
      </c>
      <c r="IL147" s="87" t="s">
        <v>29</v>
      </c>
      <c r="JH147" t="s">
        <v>1681</v>
      </c>
      <c r="JI147" t="s">
        <v>15</v>
      </c>
      <c r="JJ147" t="s">
        <v>14</v>
      </c>
      <c r="JK147" s="8" t="s">
        <v>1682</v>
      </c>
      <c r="JN147" t="s">
        <v>13</v>
      </c>
      <c r="JO147">
        <v>40</v>
      </c>
      <c r="JP147">
        <v>50</v>
      </c>
      <c r="KD147" t="s">
        <v>12</v>
      </c>
      <c r="MR147" t="s">
        <v>1658</v>
      </c>
      <c r="MS147">
        <v>36</v>
      </c>
      <c r="MT147" t="s">
        <v>709</v>
      </c>
      <c r="MV147" t="s">
        <v>709</v>
      </c>
      <c r="NA147" t="s">
        <v>205</v>
      </c>
      <c r="NB147" t="s">
        <v>711</v>
      </c>
      <c r="ND147" t="s">
        <v>1714</v>
      </c>
      <c r="NF147" s="4" t="s">
        <v>203</v>
      </c>
      <c r="NG147" t="s">
        <v>1713</v>
      </c>
      <c r="NO147" s="78"/>
      <c r="NP147" t="s">
        <v>6</v>
      </c>
      <c r="NQ147">
        <v>269.2</v>
      </c>
      <c r="NR147" s="4" t="s">
        <v>4</v>
      </c>
      <c r="NS147" s="4">
        <v>191.3</v>
      </c>
      <c r="NV147">
        <v>4</v>
      </c>
      <c r="OG147" t="s">
        <v>1712</v>
      </c>
      <c r="OH147" s="87" t="s">
        <v>2</v>
      </c>
      <c r="OI147">
        <v>2008</v>
      </c>
      <c r="OL147" t="s">
        <v>1711</v>
      </c>
      <c r="ON147" t="s">
        <v>1178</v>
      </c>
      <c r="OO147" s="58">
        <v>46105</v>
      </c>
    </row>
    <row r="148" spans="1:413" ht="15.75" thickBot="1">
      <c r="A148" t="s">
        <v>248</v>
      </c>
      <c r="B148" t="s">
        <v>1889</v>
      </c>
      <c r="C148" t="s">
        <v>34</v>
      </c>
      <c r="D148" s="100" t="s">
        <v>31</v>
      </c>
      <c r="E148" s="90" t="s">
        <v>1676</v>
      </c>
      <c r="F148" s="100" t="s">
        <v>31</v>
      </c>
      <c r="G148" s="87" t="s">
        <v>2</v>
      </c>
      <c r="H148" s="87" t="s">
        <v>30</v>
      </c>
      <c r="I148">
        <v>-0.41666666699999999</v>
      </c>
      <c r="J148">
        <v>34.200000000000003</v>
      </c>
      <c r="K148" s="87" t="s">
        <v>29</v>
      </c>
      <c r="AV148" t="s">
        <v>1679</v>
      </c>
      <c r="AW148">
        <v>53</v>
      </c>
      <c r="AX148" t="s">
        <v>234</v>
      </c>
      <c r="AY148">
        <v>1</v>
      </c>
      <c r="AZ148" t="s">
        <v>1685</v>
      </c>
      <c r="BA148">
        <v>2007</v>
      </c>
      <c r="BB148">
        <v>2008</v>
      </c>
      <c r="BD148" t="s">
        <v>238</v>
      </c>
      <c r="BE148" t="s">
        <v>1663</v>
      </c>
      <c r="BF148" t="s">
        <v>57</v>
      </c>
      <c r="BH148" t="s">
        <v>23</v>
      </c>
      <c r="BI148" t="s">
        <v>1680</v>
      </c>
      <c r="BJ148" s="87" t="s">
        <v>22</v>
      </c>
      <c r="BK148">
        <v>44444</v>
      </c>
      <c r="BL148" t="s">
        <v>56</v>
      </c>
      <c r="BM148" t="s">
        <v>1664</v>
      </c>
      <c r="BN148" t="s">
        <v>234</v>
      </c>
      <c r="BO148" t="s">
        <v>234</v>
      </c>
      <c r="BP148" t="s">
        <v>234</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8"/>
      <c r="IF148" t="s">
        <v>1671</v>
      </c>
      <c r="IG148" s="84" t="s">
        <v>1683</v>
      </c>
      <c r="IH148" t="s">
        <v>660</v>
      </c>
      <c r="II148" t="s">
        <v>661</v>
      </c>
      <c r="IJ148" t="s">
        <v>838</v>
      </c>
      <c r="IK148" t="s">
        <v>838</v>
      </c>
      <c r="IL148" s="87" t="s">
        <v>29</v>
      </c>
      <c r="JH148" t="s">
        <v>1681</v>
      </c>
      <c r="JI148" t="s">
        <v>15</v>
      </c>
      <c r="JJ148" t="s">
        <v>14</v>
      </c>
      <c r="JK148" s="8" t="s">
        <v>1682</v>
      </c>
      <c r="JN148" t="s">
        <v>13</v>
      </c>
      <c r="JO148">
        <v>40</v>
      </c>
      <c r="JP148">
        <v>50</v>
      </c>
      <c r="KD148" t="s">
        <v>12</v>
      </c>
      <c r="MR148" t="s">
        <v>1658</v>
      </c>
      <c r="MS148">
        <v>36</v>
      </c>
      <c r="MT148" t="s">
        <v>709</v>
      </c>
      <c r="MV148" t="s">
        <v>709</v>
      </c>
      <c r="NA148" t="s">
        <v>205</v>
      </c>
      <c r="NB148" t="s">
        <v>711</v>
      </c>
      <c r="ND148" t="s">
        <v>1714</v>
      </c>
      <c r="NF148" s="4" t="s">
        <v>203</v>
      </c>
      <c r="NG148" t="s">
        <v>1713</v>
      </c>
      <c r="NO148" s="78"/>
      <c r="NP148" t="s">
        <v>6</v>
      </c>
      <c r="NQ148">
        <v>8.1999999999999993</v>
      </c>
      <c r="NR148" s="4" t="s">
        <v>4</v>
      </c>
      <c r="NS148" s="4">
        <v>3.7</v>
      </c>
      <c r="NV148">
        <v>4</v>
      </c>
      <c r="OG148" t="s">
        <v>1712</v>
      </c>
      <c r="OH148" s="87" t="s">
        <v>2</v>
      </c>
      <c r="OI148">
        <v>2008</v>
      </c>
      <c r="OL148" t="s">
        <v>1711</v>
      </c>
      <c r="ON148" t="s">
        <v>1178</v>
      </c>
      <c r="OO148" s="58">
        <v>46105</v>
      </c>
    </row>
    <row r="149" spans="1:413" ht="15.75" thickBot="1">
      <c r="A149" t="s">
        <v>248</v>
      </c>
      <c r="B149" t="s">
        <v>1889</v>
      </c>
      <c r="C149" t="s">
        <v>34</v>
      </c>
      <c r="D149" s="100" t="s">
        <v>31</v>
      </c>
      <c r="E149" s="90" t="s">
        <v>1676</v>
      </c>
      <c r="F149" s="100" t="s">
        <v>31</v>
      </c>
      <c r="G149" s="87" t="s">
        <v>2</v>
      </c>
      <c r="H149" s="87" t="s">
        <v>30</v>
      </c>
      <c r="I149">
        <v>-0.41666666699999999</v>
      </c>
      <c r="J149">
        <v>34.200000000000003</v>
      </c>
      <c r="K149" s="87" t="s">
        <v>29</v>
      </c>
      <c r="AV149" t="s">
        <v>1679</v>
      </c>
      <c r="AW149">
        <v>54</v>
      </c>
      <c r="AX149" t="s">
        <v>234</v>
      </c>
      <c r="AY149">
        <v>1</v>
      </c>
      <c r="AZ149" t="s">
        <v>1685</v>
      </c>
      <c r="BA149">
        <v>2007</v>
      </c>
      <c r="BB149">
        <v>2008</v>
      </c>
      <c r="BD149" t="s">
        <v>238</v>
      </c>
      <c r="BE149" t="s">
        <v>1666</v>
      </c>
      <c r="BF149" t="s">
        <v>48</v>
      </c>
      <c r="BH149" t="s">
        <v>23</v>
      </c>
      <c r="BI149" t="s">
        <v>1680</v>
      </c>
      <c r="BJ149" s="87" t="s">
        <v>22</v>
      </c>
      <c r="BK149">
        <v>44444</v>
      </c>
      <c r="BL149" t="s">
        <v>56</v>
      </c>
      <c r="BM149" t="s">
        <v>1677</v>
      </c>
      <c r="BN149" t="s">
        <v>1678</v>
      </c>
      <c r="BO149" s="87" t="s">
        <v>22</v>
      </c>
      <c r="BP149">
        <v>44444</v>
      </c>
      <c r="BQ149" t="s">
        <v>56</v>
      </c>
      <c r="BR149" t="s">
        <v>1664</v>
      </c>
      <c r="BS149" t="s">
        <v>234</v>
      </c>
      <c r="BT149" t="s">
        <v>234</v>
      </c>
      <c r="BU149" t="s">
        <v>234</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8"/>
      <c r="IF149" t="s">
        <v>1672</v>
      </c>
      <c r="IG149" s="84" t="s">
        <v>1683</v>
      </c>
      <c r="IH149" t="s">
        <v>660</v>
      </c>
      <c r="II149" t="s">
        <v>661</v>
      </c>
      <c r="IJ149" t="s">
        <v>838</v>
      </c>
      <c r="IK149" t="s">
        <v>838</v>
      </c>
      <c r="IL149" s="87" t="s">
        <v>29</v>
      </c>
      <c r="JH149" t="s">
        <v>1681</v>
      </c>
      <c r="JI149" t="s">
        <v>15</v>
      </c>
      <c r="JJ149" t="s">
        <v>14</v>
      </c>
      <c r="JK149" s="8" t="s">
        <v>1682</v>
      </c>
      <c r="JN149" t="s">
        <v>13</v>
      </c>
      <c r="JO149">
        <v>40</v>
      </c>
      <c r="JP149">
        <v>50</v>
      </c>
      <c r="KD149" t="s">
        <v>12</v>
      </c>
      <c r="MR149" t="s">
        <v>1658</v>
      </c>
      <c r="MS149">
        <v>36</v>
      </c>
      <c r="MT149" t="s">
        <v>709</v>
      </c>
      <c r="MV149" t="s">
        <v>709</v>
      </c>
      <c r="NA149" t="s">
        <v>205</v>
      </c>
      <c r="NB149" t="s">
        <v>711</v>
      </c>
      <c r="ND149" t="s">
        <v>1714</v>
      </c>
      <c r="NF149" s="4" t="s">
        <v>203</v>
      </c>
      <c r="NG149" t="s">
        <v>1713</v>
      </c>
      <c r="NO149" s="78"/>
      <c r="NP149" t="s">
        <v>6</v>
      </c>
      <c r="NQ149">
        <v>3.5</v>
      </c>
      <c r="NR149" s="4" t="s">
        <v>4</v>
      </c>
      <c r="NS149" s="4">
        <v>1.6</v>
      </c>
      <c r="NV149">
        <v>4</v>
      </c>
      <c r="OG149" t="s">
        <v>1712</v>
      </c>
      <c r="OH149" s="87" t="s">
        <v>2</v>
      </c>
      <c r="OI149">
        <v>2008</v>
      </c>
      <c r="OL149" t="s">
        <v>1711</v>
      </c>
      <c r="ON149" t="s">
        <v>1178</v>
      </c>
      <c r="OO149" s="58">
        <v>46105</v>
      </c>
    </row>
    <row r="150" spans="1:413" ht="15.75" thickBot="1">
      <c r="A150" t="s">
        <v>248</v>
      </c>
      <c r="B150" t="s">
        <v>1889</v>
      </c>
      <c r="C150" t="s">
        <v>34</v>
      </c>
      <c r="D150" s="100" t="s">
        <v>31</v>
      </c>
      <c r="E150" s="90" t="s">
        <v>1676</v>
      </c>
      <c r="F150" s="100" t="s">
        <v>31</v>
      </c>
      <c r="G150" s="87" t="s">
        <v>2</v>
      </c>
      <c r="H150" s="87" t="s">
        <v>30</v>
      </c>
      <c r="I150">
        <v>-0.41666666699999999</v>
      </c>
      <c r="J150">
        <v>34.200000000000003</v>
      </c>
      <c r="K150" s="87" t="s">
        <v>29</v>
      </c>
      <c r="AV150" t="s">
        <v>1679</v>
      </c>
      <c r="AW150">
        <v>55</v>
      </c>
      <c r="AX150" t="s">
        <v>234</v>
      </c>
      <c r="AY150">
        <v>1</v>
      </c>
      <c r="AZ150" t="s">
        <v>1685</v>
      </c>
      <c r="BA150">
        <v>2007</v>
      </c>
      <c r="BB150">
        <v>2008</v>
      </c>
      <c r="BD150" t="s">
        <v>238</v>
      </c>
      <c r="BE150" t="s">
        <v>1668</v>
      </c>
      <c r="BF150" t="s">
        <v>43</v>
      </c>
      <c r="BH150" t="s">
        <v>23</v>
      </c>
      <c r="BI150" t="s">
        <v>1680</v>
      </c>
      <c r="BJ150" s="87" t="s">
        <v>22</v>
      </c>
      <c r="BK150">
        <v>44444</v>
      </c>
      <c r="BL150" t="s">
        <v>56</v>
      </c>
      <c r="BM150" t="s">
        <v>1677</v>
      </c>
      <c r="BN150" t="s">
        <v>1678</v>
      </c>
      <c r="BO150" s="87" t="s">
        <v>22</v>
      </c>
      <c r="BP150">
        <v>44444</v>
      </c>
      <c r="BQ150" t="s">
        <v>56</v>
      </c>
      <c r="BR150" t="s">
        <v>1664</v>
      </c>
      <c r="BS150" t="s">
        <v>234</v>
      </c>
      <c r="BT150" t="s">
        <v>234</v>
      </c>
      <c r="BU150" t="s">
        <v>234</v>
      </c>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W150" s="58"/>
      <c r="IF150" t="s">
        <v>1673</v>
      </c>
      <c r="IG150" s="84" t="s">
        <v>1683</v>
      </c>
      <c r="IH150" t="s">
        <v>660</v>
      </c>
      <c r="II150" t="s">
        <v>661</v>
      </c>
      <c r="IJ150" t="s">
        <v>838</v>
      </c>
      <c r="IK150" t="s">
        <v>838</v>
      </c>
      <c r="IL150" s="87" t="s">
        <v>29</v>
      </c>
      <c r="JH150" t="s">
        <v>1681</v>
      </c>
      <c r="JI150" t="s">
        <v>15</v>
      </c>
      <c r="JJ150" t="s">
        <v>14</v>
      </c>
      <c r="JK150" s="8" t="s">
        <v>1682</v>
      </c>
      <c r="JN150" t="s">
        <v>13</v>
      </c>
      <c r="JO150">
        <v>40</v>
      </c>
      <c r="JP150">
        <v>50</v>
      </c>
      <c r="KD150" t="s">
        <v>12</v>
      </c>
      <c r="MR150" t="s">
        <v>1658</v>
      </c>
      <c r="MS150">
        <v>36</v>
      </c>
      <c r="MT150" t="s">
        <v>709</v>
      </c>
      <c r="MV150" t="s">
        <v>709</v>
      </c>
      <c r="NA150" t="s">
        <v>205</v>
      </c>
      <c r="NB150" t="s">
        <v>711</v>
      </c>
      <c r="ND150" t="s">
        <v>1714</v>
      </c>
      <c r="NF150" s="4" t="s">
        <v>203</v>
      </c>
      <c r="NG150" t="s">
        <v>1713</v>
      </c>
      <c r="NO150" s="78"/>
      <c r="NP150" t="s">
        <v>6</v>
      </c>
      <c r="NQ150">
        <v>1</v>
      </c>
      <c r="NR150" s="4" t="s">
        <v>4</v>
      </c>
      <c r="NS150" s="4">
        <v>0.7</v>
      </c>
      <c r="NV150">
        <v>4</v>
      </c>
      <c r="OG150" t="s">
        <v>1712</v>
      </c>
      <c r="OH150" s="87" t="s">
        <v>2</v>
      </c>
      <c r="OI150">
        <v>2008</v>
      </c>
      <c r="OL150" t="s">
        <v>1711</v>
      </c>
      <c r="ON150" t="s">
        <v>1178</v>
      </c>
      <c r="OO150" s="58">
        <v>46105</v>
      </c>
    </row>
    <row r="153" spans="1:413" ht="15.75" thickBot="1"/>
    <row r="154" spans="1:413" s="48" customFormat="1" ht="64.5" thickBot="1">
      <c r="A154" s="184" t="s">
        <v>2299</v>
      </c>
      <c r="B154" s="185" t="s">
        <v>652</v>
      </c>
      <c r="C154" s="186" t="s">
        <v>672</v>
      </c>
      <c r="D154" s="186" t="s">
        <v>651</v>
      </c>
      <c r="E154" s="186" t="s">
        <v>650</v>
      </c>
      <c r="F154" s="186" t="s">
        <v>649</v>
      </c>
      <c r="G154" s="186" t="s">
        <v>682</v>
      </c>
      <c r="H154" s="186" t="s">
        <v>648</v>
      </c>
      <c r="I154" s="186" t="s">
        <v>647</v>
      </c>
      <c r="J154" s="186" t="s">
        <v>646</v>
      </c>
      <c r="K154" s="186" t="s">
        <v>645</v>
      </c>
      <c r="L154" s="186" t="s">
        <v>674</v>
      </c>
      <c r="M154" s="186" t="s">
        <v>675</v>
      </c>
      <c r="N154" s="186" t="s">
        <v>676</v>
      </c>
      <c r="O154" s="186" t="s">
        <v>677</v>
      </c>
      <c r="P154" s="186" t="s">
        <v>678</v>
      </c>
      <c r="Q154" s="186" t="s">
        <v>679</v>
      </c>
      <c r="R154" s="186" t="s">
        <v>680</v>
      </c>
      <c r="S154" s="186" t="s">
        <v>681</v>
      </c>
      <c r="T154" s="186" t="s">
        <v>673</v>
      </c>
      <c r="U154" s="129" t="s">
        <v>1321</v>
      </c>
      <c r="V154" s="129" t="s">
        <v>1322</v>
      </c>
      <c r="W154" s="129" t="s">
        <v>1323</v>
      </c>
      <c r="X154" s="129" t="s">
        <v>1324</v>
      </c>
      <c r="Y154" s="129" t="s">
        <v>1325</v>
      </c>
      <c r="Z154" s="129" t="s">
        <v>1326</v>
      </c>
      <c r="AA154" s="129" t="s">
        <v>1327</v>
      </c>
      <c r="AB154" s="129" t="s">
        <v>1328</v>
      </c>
      <c r="AC154" s="129" t="s">
        <v>1318</v>
      </c>
      <c r="AD154" s="129" t="s">
        <v>1329</v>
      </c>
      <c r="AE154" s="129" t="s">
        <v>1330</v>
      </c>
      <c r="AF154" s="129" t="s">
        <v>1331</v>
      </c>
      <c r="AG154" s="129" t="s">
        <v>1332</v>
      </c>
      <c r="AH154" s="129" t="s">
        <v>1333</v>
      </c>
      <c r="AI154" s="129" t="s">
        <v>1334</v>
      </c>
      <c r="AJ154" s="129" t="s">
        <v>1335</v>
      </c>
      <c r="AK154" s="129" t="s">
        <v>1336</v>
      </c>
      <c r="AL154" s="129" t="s">
        <v>1319</v>
      </c>
      <c r="AM154" s="129" t="s">
        <v>1337</v>
      </c>
      <c r="AN154" s="129" t="s">
        <v>1338</v>
      </c>
      <c r="AO154" s="129" t="s">
        <v>1339</v>
      </c>
      <c r="AP154" s="129" t="s">
        <v>1340</v>
      </c>
      <c r="AQ154" s="129" t="s">
        <v>1341</v>
      </c>
      <c r="AR154" s="129" t="s">
        <v>1342</v>
      </c>
      <c r="AS154" s="129" t="s">
        <v>1343</v>
      </c>
      <c r="AT154" s="129" t="s">
        <v>1344</v>
      </c>
      <c r="AU154" s="129" t="s">
        <v>1320</v>
      </c>
      <c r="AV154" s="187" t="s">
        <v>644</v>
      </c>
      <c r="AW154" s="187" t="s">
        <v>643</v>
      </c>
      <c r="AX154" s="187" t="s">
        <v>642</v>
      </c>
      <c r="AY154" s="187" t="s">
        <v>641</v>
      </c>
      <c r="AZ154" s="188" t="s">
        <v>640</v>
      </c>
      <c r="BA154" s="188" t="s">
        <v>639</v>
      </c>
      <c r="BB154" s="188" t="s">
        <v>638</v>
      </c>
      <c r="BC154" s="188" t="s">
        <v>637</v>
      </c>
      <c r="BD154" s="189" t="s">
        <v>636</v>
      </c>
      <c r="BE154" s="189" t="s">
        <v>635</v>
      </c>
      <c r="BF154" s="189" t="s">
        <v>717</v>
      </c>
      <c r="BG154" s="189" t="s">
        <v>1746</v>
      </c>
      <c r="BH154" s="189" t="s">
        <v>634</v>
      </c>
      <c r="BI154" s="190" t="s">
        <v>633</v>
      </c>
      <c r="BJ154" s="190" t="s">
        <v>632</v>
      </c>
      <c r="BK154" s="190" t="s">
        <v>631</v>
      </c>
      <c r="BL154" s="190" t="s">
        <v>630</v>
      </c>
      <c r="BM154" s="190" t="s">
        <v>629</v>
      </c>
      <c r="BN154" s="190" t="s">
        <v>628</v>
      </c>
      <c r="BO154" s="190" t="s">
        <v>627</v>
      </c>
      <c r="BP154" s="190" t="s">
        <v>626</v>
      </c>
      <c r="BQ154" s="190" t="s">
        <v>625</v>
      </c>
      <c r="BR154" s="190" t="s">
        <v>624</v>
      </c>
      <c r="BS154" s="190" t="s">
        <v>623</v>
      </c>
      <c r="BT154" s="190" t="s">
        <v>622</v>
      </c>
      <c r="BU154" s="190" t="s">
        <v>621</v>
      </c>
      <c r="BV154" s="190" t="s">
        <v>620</v>
      </c>
      <c r="BW154" s="141" t="s">
        <v>1254</v>
      </c>
      <c r="BX154" s="141" t="s">
        <v>1255</v>
      </c>
      <c r="BY154" s="141" t="s">
        <v>1256</v>
      </c>
      <c r="BZ154" s="141" t="s">
        <v>1257</v>
      </c>
      <c r="CA154" s="141" t="s">
        <v>1249</v>
      </c>
      <c r="CB154" s="141" t="s">
        <v>1259</v>
      </c>
      <c r="CC154" s="141" t="s">
        <v>1260</v>
      </c>
      <c r="CD154" s="141" t="s">
        <v>1261</v>
      </c>
      <c r="CE154" s="141" t="s">
        <v>1262</v>
      </c>
      <c r="CF154" s="141" t="s">
        <v>1250</v>
      </c>
      <c r="CG154" s="141" t="s">
        <v>1263</v>
      </c>
      <c r="CH154" s="141" t="s">
        <v>1264</v>
      </c>
      <c r="CI154" s="141" t="s">
        <v>1265</v>
      </c>
      <c r="CJ154" s="141" t="s">
        <v>1266</v>
      </c>
      <c r="CK154" s="141" t="s">
        <v>1251</v>
      </c>
      <c r="CL154" s="141" t="s">
        <v>1267</v>
      </c>
      <c r="CM154" s="141" t="s">
        <v>1268</v>
      </c>
      <c r="CN154" s="141" t="s">
        <v>1269</v>
      </c>
      <c r="CO154" s="141" t="s">
        <v>1270</v>
      </c>
      <c r="CP154" s="141" t="s">
        <v>1252</v>
      </c>
      <c r="CQ154" s="141" t="s">
        <v>1271</v>
      </c>
      <c r="CR154" s="141" t="s">
        <v>1272</v>
      </c>
      <c r="CS154" s="141" t="s">
        <v>1273</v>
      </c>
      <c r="CT154" s="141" t="s">
        <v>1274</v>
      </c>
      <c r="CU154" s="141" t="s">
        <v>1253</v>
      </c>
      <c r="CV154" s="141" t="s">
        <v>1275</v>
      </c>
      <c r="CW154" s="141" t="s">
        <v>1276</v>
      </c>
      <c r="CX154" s="141" t="s">
        <v>1277</v>
      </c>
      <c r="CY154" s="141" t="s">
        <v>1278</v>
      </c>
      <c r="CZ154" s="141" t="s">
        <v>1258</v>
      </c>
      <c r="DA154" s="141" t="s">
        <v>1285</v>
      </c>
      <c r="DB154" s="141" t="s">
        <v>1286</v>
      </c>
      <c r="DC154" s="141" t="s">
        <v>1287</v>
      </c>
      <c r="DD154" s="141" t="s">
        <v>1288</v>
      </c>
      <c r="DE154" s="141" t="s">
        <v>1279</v>
      </c>
      <c r="DF154" s="141" t="s">
        <v>1289</v>
      </c>
      <c r="DG154" s="141" t="s">
        <v>1290</v>
      </c>
      <c r="DH154" s="141" t="s">
        <v>1291</v>
      </c>
      <c r="DI154" s="141" t="s">
        <v>1292</v>
      </c>
      <c r="DJ154" s="141" t="s">
        <v>1280</v>
      </c>
      <c r="DK154" s="141" t="s">
        <v>1293</v>
      </c>
      <c r="DL154" s="141" t="s">
        <v>1294</v>
      </c>
      <c r="DM154" s="141" t="s">
        <v>1295</v>
      </c>
      <c r="DN154" s="141" t="s">
        <v>1296</v>
      </c>
      <c r="DO154" s="141" t="s">
        <v>1281</v>
      </c>
      <c r="DP154" s="141" t="s">
        <v>1297</v>
      </c>
      <c r="DQ154" s="141" t="s">
        <v>1298</v>
      </c>
      <c r="DR154" s="141" t="s">
        <v>1299</v>
      </c>
      <c r="DS154" s="141" t="s">
        <v>1300</v>
      </c>
      <c r="DT154" s="141" t="s">
        <v>1282</v>
      </c>
      <c r="DU154" s="141" t="s">
        <v>1301</v>
      </c>
      <c r="DV154" s="141" t="s">
        <v>1302</v>
      </c>
      <c r="DW154" s="141" t="s">
        <v>1303</v>
      </c>
      <c r="DX154" s="141" t="s">
        <v>1304</v>
      </c>
      <c r="DY154" s="141" t="s">
        <v>1283</v>
      </c>
      <c r="DZ154" s="141" t="s">
        <v>1305</v>
      </c>
      <c r="EA154" s="141" t="s">
        <v>1306</v>
      </c>
      <c r="EB154" s="141" t="s">
        <v>1307</v>
      </c>
      <c r="EC154" s="141" t="s">
        <v>1308</v>
      </c>
      <c r="ED154" s="141" t="s">
        <v>1284</v>
      </c>
      <c r="EE154" s="189" t="s">
        <v>619</v>
      </c>
      <c r="EF154" s="189" t="s">
        <v>618</v>
      </c>
      <c r="EG154" s="189" t="s">
        <v>617</v>
      </c>
      <c r="EH154" s="189" t="s">
        <v>684</v>
      </c>
      <c r="EI154" s="189" t="s">
        <v>685</v>
      </c>
      <c r="EJ154" s="189" t="s">
        <v>686</v>
      </c>
      <c r="EK154" s="189" t="s">
        <v>687</v>
      </c>
      <c r="EL154" s="189" t="s">
        <v>688</v>
      </c>
      <c r="EM154" s="132" t="s">
        <v>1355</v>
      </c>
      <c r="EN154" s="132" t="s">
        <v>1356</v>
      </c>
      <c r="EO154" s="132" t="s">
        <v>1357</v>
      </c>
      <c r="EP154" s="132" t="s">
        <v>1345</v>
      </c>
      <c r="EQ154" s="132" t="s">
        <v>1358</v>
      </c>
      <c r="ER154" s="132" t="s">
        <v>1359</v>
      </c>
      <c r="ES154" s="132" t="s">
        <v>1360</v>
      </c>
      <c r="ET154" s="132" t="s">
        <v>1346</v>
      </c>
      <c r="EU154" s="132" t="s">
        <v>1361</v>
      </c>
      <c r="EV154" s="132" t="s">
        <v>1362</v>
      </c>
      <c r="EW154" s="132" t="s">
        <v>1363</v>
      </c>
      <c r="EX154" s="132" t="s">
        <v>1347</v>
      </c>
      <c r="EY154" s="132" t="s">
        <v>1367</v>
      </c>
      <c r="EZ154" s="132" t="s">
        <v>1368</v>
      </c>
      <c r="FA154" s="132" t="s">
        <v>1369</v>
      </c>
      <c r="FB154" s="132" t="s">
        <v>1348</v>
      </c>
      <c r="FC154" s="132" t="s">
        <v>1370</v>
      </c>
      <c r="FD154" s="132" t="s">
        <v>1371</v>
      </c>
      <c r="FE154" s="132" t="s">
        <v>1372</v>
      </c>
      <c r="FF154" s="132" t="s">
        <v>1349</v>
      </c>
      <c r="FG154" s="132" t="s">
        <v>1373</v>
      </c>
      <c r="FH154" s="132" t="s">
        <v>1374</v>
      </c>
      <c r="FI154" s="132" t="s">
        <v>1375</v>
      </c>
      <c r="FJ154" s="132" t="s">
        <v>1350</v>
      </c>
      <c r="FK154" s="132" t="s">
        <v>1376</v>
      </c>
      <c r="FL154" s="132" t="s">
        <v>1377</v>
      </c>
      <c r="FM154" s="132" t="s">
        <v>1378</v>
      </c>
      <c r="FN154" s="132" t="s">
        <v>1351</v>
      </c>
      <c r="FO154" s="132" t="s">
        <v>1379</v>
      </c>
      <c r="FP154" s="132" t="s">
        <v>1380</v>
      </c>
      <c r="FQ154" s="132" t="s">
        <v>1381</v>
      </c>
      <c r="FR154" s="132" t="s">
        <v>1352</v>
      </c>
      <c r="FS154" s="132" t="s">
        <v>1382</v>
      </c>
      <c r="FT154" s="132" t="s">
        <v>1383</v>
      </c>
      <c r="FU154" s="132" t="s">
        <v>1384</v>
      </c>
      <c r="FV154" s="132" t="s">
        <v>1353</v>
      </c>
      <c r="FW154" s="132" t="s">
        <v>1385</v>
      </c>
      <c r="FX154" s="132" t="s">
        <v>1386</v>
      </c>
      <c r="FY154" s="132" t="s">
        <v>1387</v>
      </c>
      <c r="FZ154" s="132" t="s">
        <v>1354</v>
      </c>
      <c r="GA154" s="132" t="s">
        <v>1388</v>
      </c>
      <c r="GB154" s="132" t="s">
        <v>1389</v>
      </c>
      <c r="GC154" s="132" t="s">
        <v>1390</v>
      </c>
      <c r="GD154" s="132" t="s">
        <v>1364</v>
      </c>
      <c r="GE154" s="132" t="s">
        <v>1391</v>
      </c>
      <c r="GF154" s="132" t="s">
        <v>1392</v>
      </c>
      <c r="GG154" s="132" t="s">
        <v>1393</v>
      </c>
      <c r="GH154" s="132" t="s">
        <v>1365</v>
      </c>
      <c r="GI154" s="132" t="s">
        <v>1394</v>
      </c>
      <c r="GJ154" s="132" t="s">
        <v>1395</v>
      </c>
      <c r="GK154" s="132" t="s">
        <v>1396</v>
      </c>
      <c r="GL154" s="132" t="s">
        <v>1366</v>
      </c>
      <c r="GM154" s="132" t="s">
        <v>691</v>
      </c>
      <c r="GN154" s="132" t="s">
        <v>700</v>
      </c>
      <c r="GO154" s="132" t="s">
        <v>689</v>
      </c>
      <c r="GP154" s="132" t="s">
        <v>690</v>
      </c>
      <c r="GQ154" s="132" t="s">
        <v>1104</v>
      </c>
      <c r="GR154" s="132" t="s">
        <v>693</v>
      </c>
      <c r="GS154" s="132" t="s">
        <v>699</v>
      </c>
      <c r="GT154" s="132" t="s">
        <v>694</v>
      </c>
      <c r="GU154" s="132" t="s">
        <v>692</v>
      </c>
      <c r="GV154" s="132" t="s">
        <v>1105</v>
      </c>
      <c r="GW154" s="132" t="s">
        <v>1400</v>
      </c>
      <c r="GX154" s="132" t="s">
        <v>1401</v>
      </c>
      <c r="GY154" s="132" t="s">
        <v>1402</v>
      </c>
      <c r="GZ154" s="132" t="s">
        <v>1403</v>
      </c>
      <c r="HA154" s="132" t="s">
        <v>1397</v>
      </c>
      <c r="HB154" s="132" t="s">
        <v>1404</v>
      </c>
      <c r="HC154" s="132" t="s">
        <v>1405</v>
      </c>
      <c r="HD154" s="132" t="s">
        <v>1406</v>
      </c>
      <c r="HE154" s="132" t="s">
        <v>1407</v>
      </c>
      <c r="HF154" s="132" t="s">
        <v>1398</v>
      </c>
      <c r="HG154" s="132" t="s">
        <v>1408</v>
      </c>
      <c r="HH154" s="132" t="s">
        <v>1409</v>
      </c>
      <c r="HI154" s="132" t="s">
        <v>1410</v>
      </c>
      <c r="HJ154" s="132" t="s">
        <v>1411</v>
      </c>
      <c r="HK154" s="132" t="s">
        <v>1399</v>
      </c>
      <c r="HL154" s="189" t="s">
        <v>616</v>
      </c>
      <c r="HM154" s="189" t="s">
        <v>615</v>
      </c>
      <c r="HN154" s="189" t="s">
        <v>614</v>
      </c>
      <c r="HO154" s="189" t="s">
        <v>613</v>
      </c>
      <c r="HP154" s="189" t="s">
        <v>612</v>
      </c>
      <c r="HQ154" s="189" t="s">
        <v>611</v>
      </c>
      <c r="HR154" s="189" t="s">
        <v>610</v>
      </c>
      <c r="HS154" s="189" t="s">
        <v>609</v>
      </c>
      <c r="HT154" s="189" t="s">
        <v>608</v>
      </c>
      <c r="HU154" s="189" t="s">
        <v>607</v>
      </c>
      <c r="HV154" s="189" t="s">
        <v>606</v>
      </c>
      <c r="HW154" s="189" t="s">
        <v>2300</v>
      </c>
      <c r="HX154" s="189" t="s">
        <v>695</v>
      </c>
      <c r="HY154" s="189" t="s">
        <v>696</v>
      </c>
      <c r="HZ154" s="189" t="s">
        <v>697</v>
      </c>
      <c r="IA154" s="189" t="s">
        <v>698</v>
      </c>
      <c r="IB154" s="191" t="s">
        <v>2301</v>
      </c>
      <c r="IC154" s="191" t="s">
        <v>701</v>
      </c>
      <c r="ID154" s="191" t="s">
        <v>725</v>
      </c>
      <c r="IE154" s="191" t="s">
        <v>702</v>
      </c>
      <c r="IF154" s="191" t="s">
        <v>703</v>
      </c>
      <c r="IG154" s="191" t="s">
        <v>1752</v>
      </c>
      <c r="IH154" s="189" t="s">
        <v>605</v>
      </c>
      <c r="II154" s="189" t="s">
        <v>604</v>
      </c>
      <c r="IJ154" s="189" t="s">
        <v>656</v>
      </c>
      <c r="IK154" s="189" t="s">
        <v>657</v>
      </c>
      <c r="IL154" s="189" t="s">
        <v>603</v>
      </c>
      <c r="IM154" s="189" t="s">
        <v>602</v>
      </c>
      <c r="IN154" s="189" t="s">
        <v>601</v>
      </c>
      <c r="IO154" s="189" t="s">
        <v>600</v>
      </c>
      <c r="IP154" s="189" t="s">
        <v>599</v>
      </c>
      <c r="IQ154" s="189" t="s">
        <v>598</v>
      </c>
      <c r="IR154" s="189" t="s">
        <v>597</v>
      </c>
      <c r="IS154" s="189" t="s">
        <v>596</v>
      </c>
      <c r="IT154" s="189" t="s">
        <v>595</v>
      </c>
      <c r="IU154" s="189" t="s">
        <v>594</v>
      </c>
      <c r="IV154" s="189" t="s">
        <v>2302</v>
      </c>
      <c r="IW154" s="189" t="s">
        <v>593</v>
      </c>
      <c r="IX154" s="192" t="s">
        <v>592</v>
      </c>
      <c r="IY154" s="193" t="s">
        <v>591</v>
      </c>
      <c r="IZ154" s="193" t="s">
        <v>715</v>
      </c>
      <c r="JA154" s="107" t="s">
        <v>1738</v>
      </c>
      <c r="JB154" s="193" t="s">
        <v>590</v>
      </c>
      <c r="JC154" s="193" t="s">
        <v>589</v>
      </c>
      <c r="JD154" s="193" t="s">
        <v>588</v>
      </c>
      <c r="JE154" s="193" t="s">
        <v>587</v>
      </c>
      <c r="JF154" s="193" t="s">
        <v>586</v>
      </c>
      <c r="JG154" s="193" t="s">
        <v>716</v>
      </c>
      <c r="JH154" s="193" t="s">
        <v>585</v>
      </c>
      <c r="JI154" s="193" t="s">
        <v>584</v>
      </c>
      <c r="JJ154" s="193" t="s">
        <v>583</v>
      </c>
      <c r="JK154" s="193" t="s">
        <v>582</v>
      </c>
      <c r="JL154" s="193" t="s">
        <v>581</v>
      </c>
      <c r="JM154" s="193" t="s">
        <v>580</v>
      </c>
      <c r="JN154" s="194" t="s">
        <v>579</v>
      </c>
      <c r="JO154" s="189" t="s">
        <v>2303</v>
      </c>
      <c r="JP154" s="189" t="s">
        <v>2304</v>
      </c>
      <c r="JQ154" s="189" t="s">
        <v>578</v>
      </c>
      <c r="JR154" s="189" t="s">
        <v>577</v>
      </c>
      <c r="JS154" s="189" t="s">
        <v>576</v>
      </c>
      <c r="JT154" s="189" t="s">
        <v>575</v>
      </c>
      <c r="JU154" s="189" t="s">
        <v>574</v>
      </c>
      <c r="JV154" s="189" t="s">
        <v>573</v>
      </c>
      <c r="JW154" s="189" t="s">
        <v>572</v>
      </c>
      <c r="JX154" s="189" t="s">
        <v>571</v>
      </c>
      <c r="JY154" s="189" t="s">
        <v>570</v>
      </c>
      <c r="JZ154" s="189" t="s">
        <v>569</v>
      </c>
      <c r="KA154" s="189" t="s">
        <v>568</v>
      </c>
      <c r="KB154" s="189" t="s">
        <v>567</v>
      </c>
      <c r="KC154" s="189" t="s">
        <v>566</v>
      </c>
      <c r="KD154" s="189" t="s">
        <v>565</v>
      </c>
      <c r="KE154" s="189" t="s">
        <v>564</v>
      </c>
      <c r="KF154" s="189" t="s">
        <v>2305</v>
      </c>
      <c r="KG154" s="189" t="s">
        <v>2306</v>
      </c>
      <c r="KH154" s="189" t="s">
        <v>563</v>
      </c>
      <c r="KI154" s="189" t="s">
        <v>562</v>
      </c>
      <c r="KJ154" s="189" t="s">
        <v>561</v>
      </c>
      <c r="KK154" s="189" t="s">
        <v>560</v>
      </c>
      <c r="KL154" s="189" t="s">
        <v>559</v>
      </c>
      <c r="KM154" s="189" t="s">
        <v>558</v>
      </c>
      <c r="KN154" s="189" t="s">
        <v>557</v>
      </c>
      <c r="KO154" s="189" t="s">
        <v>556</v>
      </c>
      <c r="KP154" s="189" t="s">
        <v>555</v>
      </c>
      <c r="KQ154" s="189" t="s">
        <v>554</v>
      </c>
      <c r="KR154" s="189" t="s">
        <v>553</v>
      </c>
      <c r="KS154" s="189" t="s">
        <v>552</v>
      </c>
      <c r="KT154" s="189" t="s">
        <v>551</v>
      </c>
      <c r="KU154" s="189" t="s">
        <v>550</v>
      </c>
      <c r="KV154" s="189" t="s">
        <v>549</v>
      </c>
      <c r="KW154" s="189" t="s">
        <v>548</v>
      </c>
      <c r="KX154" s="132" t="s">
        <v>1120</v>
      </c>
      <c r="KY154" s="132" t="s">
        <v>1117</v>
      </c>
      <c r="KZ154" s="132" t="s">
        <v>1118</v>
      </c>
      <c r="LA154" s="132" t="s">
        <v>1119</v>
      </c>
      <c r="LB154" s="189" t="s">
        <v>546</v>
      </c>
      <c r="LC154" s="189" t="s">
        <v>545</v>
      </c>
      <c r="LD154" s="189" t="s">
        <v>544</v>
      </c>
      <c r="LE154" s="189" t="s">
        <v>543</v>
      </c>
      <c r="LF154" s="189" t="s">
        <v>542</v>
      </c>
      <c r="LG154" s="189" t="s">
        <v>541</v>
      </c>
      <c r="LH154" s="189" t="s">
        <v>540</v>
      </c>
      <c r="LI154" s="189" t="s">
        <v>539</v>
      </c>
      <c r="LJ154" s="189" t="s">
        <v>538</v>
      </c>
      <c r="LK154" s="189" t="s">
        <v>537</v>
      </c>
      <c r="LL154" s="189" t="s">
        <v>536</v>
      </c>
      <c r="LM154" s="189" t="s">
        <v>535</v>
      </c>
      <c r="LN154" s="189" t="s">
        <v>534</v>
      </c>
      <c r="LO154" s="189" t="s">
        <v>2307</v>
      </c>
      <c r="LP154" s="189" t="s">
        <v>2308</v>
      </c>
      <c r="LQ154" s="189" t="s">
        <v>533</v>
      </c>
      <c r="LR154" s="189" t="s">
        <v>532</v>
      </c>
      <c r="LS154" s="192" t="s">
        <v>531</v>
      </c>
      <c r="LT154" s="193" t="s">
        <v>530</v>
      </c>
      <c r="LU154" s="193" t="s">
        <v>529</v>
      </c>
      <c r="LV154" s="193" t="s">
        <v>528</v>
      </c>
      <c r="LW154" s="193" t="s">
        <v>527</v>
      </c>
      <c r="LX154" s="195" t="s">
        <v>526</v>
      </c>
      <c r="LY154" s="195" t="s">
        <v>1099</v>
      </c>
      <c r="LZ154" s="195" t="s">
        <v>1096</v>
      </c>
      <c r="MA154" s="195" t="s">
        <v>1097</v>
      </c>
      <c r="MB154" s="195" t="s">
        <v>1098</v>
      </c>
      <c r="MC154" s="196" t="s">
        <v>524</v>
      </c>
      <c r="MD154" s="196" t="s">
        <v>523</v>
      </c>
      <c r="ME154" s="196" t="s">
        <v>522</v>
      </c>
      <c r="MF154" s="196" t="s">
        <v>521</v>
      </c>
      <c r="MG154" s="196" t="s">
        <v>520</v>
      </c>
      <c r="MH154" s="197" t="s">
        <v>1141</v>
      </c>
      <c r="MI154" s="197" t="s">
        <v>1149</v>
      </c>
      <c r="MJ154" s="197" t="s">
        <v>1148</v>
      </c>
      <c r="MK154" s="197" t="s">
        <v>1147</v>
      </c>
      <c r="ML154" s="197" t="s">
        <v>1146</v>
      </c>
      <c r="MM154" s="197" t="s">
        <v>1143</v>
      </c>
      <c r="MN154" s="197" t="s">
        <v>1144</v>
      </c>
      <c r="MO154" s="197" t="s">
        <v>1145</v>
      </c>
      <c r="MP154" s="198" t="s">
        <v>1726</v>
      </c>
      <c r="MQ154" s="198" t="s">
        <v>1727</v>
      </c>
      <c r="MR154" s="198" t="s">
        <v>1728</v>
      </c>
      <c r="MS154" s="198" t="s">
        <v>1729</v>
      </c>
      <c r="MT154" s="198" t="s">
        <v>1730</v>
      </c>
      <c r="MU154" s="106" t="s">
        <v>519</v>
      </c>
      <c r="MV154" s="106" t="s">
        <v>518</v>
      </c>
      <c r="MW154" t="s">
        <v>517</v>
      </c>
      <c r="MX154" s="199" t="s">
        <v>1221</v>
      </c>
      <c r="MY154" s="199" t="s">
        <v>516</v>
      </c>
      <c r="MZ154" s="199" t="s">
        <v>515</v>
      </c>
      <c r="NA154" s="199" t="s">
        <v>514</v>
      </c>
      <c r="NB154" s="199" t="s">
        <v>513</v>
      </c>
      <c r="NC154" s="199" t="s">
        <v>512</v>
      </c>
      <c r="ND154" s="199" t="s">
        <v>714</v>
      </c>
      <c r="NE154" s="199" t="s">
        <v>708</v>
      </c>
      <c r="NF154" s="189" t="s">
        <v>713</v>
      </c>
      <c r="NG154" s="189" t="s">
        <v>704</v>
      </c>
      <c r="NH154" s="189" t="s">
        <v>705</v>
      </c>
      <c r="NI154" s="189" t="s">
        <v>706</v>
      </c>
      <c r="NJ154" s="189" t="s">
        <v>707</v>
      </c>
      <c r="NK154" s="189" t="s">
        <v>511</v>
      </c>
      <c r="NL154" s="189" t="s">
        <v>510</v>
      </c>
      <c r="NM154" s="189" t="s">
        <v>509</v>
      </c>
      <c r="NN154" s="189" t="s">
        <v>508</v>
      </c>
      <c r="NO154" s="189" t="s">
        <v>507</v>
      </c>
      <c r="NP154" s="189" t="s">
        <v>506</v>
      </c>
      <c r="NQ154" s="189" t="s">
        <v>505</v>
      </c>
      <c r="NR154" s="189" t="s">
        <v>504</v>
      </c>
      <c r="NS154" s="189" t="s">
        <v>503</v>
      </c>
      <c r="NT154" s="189" t="s">
        <v>502</v>
      </c>
      <c r="NU154" s="189" t="s">
        <v>2309</v>
      </c>
      <c r="NV154" s="189" t="s">
        <v>2310</v>
      </c>
      <c r="NW154" s="189" t="s">
        <v>2311</v>
      </c>
      <c r="NX154" s="189" t="s">
        <v>2312</v>
      </c>
      <c r="NY154" s="189" t="s">
        <v>718</v>
      </c>
      <c r="NZ154" s="200" t="s">
        <v>1222</v>
      </c>
      <c r="OA154" s="200" t="s">
        <v>1223</v>
      </c>
      <c r="OB154" s="200" t="s">
        <v>1224</v>
      </c>
      <c r="OC154" s="200" t="s">
        <v>1225</v>
      </c>
      <c r="OD154" s="200" t="s">
        <v>1226</v>
      </c>
      <c r="OE154" s="200" t="s">
        <v>1227</v>
      </c>
      <c r="OF154" s="200" t="s">
        <v>1228</v>
      </c>
      <c r="OG154" s="200" t="s">
        <v>1229</v>
      </c>
      <c r="OH154" s="200" t="s">
        <v>1230</v>
      </c>
      <c r="OI154" s="200" t="s">
        <v>1231</v>
      </c>
      <c r="OJ154" s="189" t="s">
        <v>501</v>
      </c>
      <c r="OK154" s="189" t="s">
        <v>500</v>
      </c>
      <c r="OL154" s="189" t="s">
        <v>499</v>
      </c>
      <c r="OM154" s="189" t="s">
        <v>498</v>
      </c>
      <c r="ON154" s="189" t="s">
        <v>497</v>
      </c>
      <c r="OO154" s="189" t="s">
        <v>496</v>
      </c>
      <c r="OP154" s="189" t="s">
        <v>495</v>
      </c>
      <c r="OQ154" s="201" t="s">
        <v>1173</v>
      </c>
      <c r="OR154" s="201" t="s">
        <v>1174</v>
      </c>
      <c r="OS154" s="202" t="s">
        <v>1180</v>
      </c>
      <c r="OT154" s="202" t="s">
        <v>1175</v>
      </c>
      <c r="OU154" s="202" t="s">
        <v>1176</v>
      </c>
      <c r="OV154" s="202" t="s">
        <v>1179</v>
      </c>
      <c r="OW154" s="203" t="s">
        <v>1177</v>
      </c>
    </row>
    <row r="155" spans="1:413" ht="15.75" thickBot="1">
      <c r="A155" t="s">
        <v>248</v>
      </c>
      <c r="B155" t="s">
        <v>2287</v>
      </c>
      <c r="C155" t="s">
        <v>2286</v>
      </c>
      <c r="H155" t="s">
        <v>838</v>
      </c>
      <c r="I155">
        <v>-6.2750502700000004</v>
      </c>
      <c r="J155">
        <v>34.813145609999999</v>
      </c>
      <c r="K155" t="s">
        <v>838</v>
      </c>
      <c r="AV155" t="s">
        <v>2285</v>
      </c>
      <c r="AX155">
        <v>20</v>
      </c>
      <c r="AY155" t="s">
        <v>838</v>
      </c>
      <c r="AZ155" t="s">
        <v>2284</v>
      </c>
      <c r="BA155">
        <v>1993</v>
      </c>
      <c r="BB155">
        <v>1997</v>
      </c>
      <c r="BD155" t="s">
        <v>19</v>
      </c>
      <c r="BE155" t="s">
        <v>2290</v>
      </c>
      <c r="BF155" t="s">
        <v>39</v>
      </c>
      <c r="BG155" t="s">
        <v>1243</v>
      </c>
      <c r="BH155" t="s">
        <v>23</v>
      </c>
      <c r="BI155" t="s">
        <v>2282</v>
      </c>
      <c r="BJ155" t="s">
        <v>2281</v>
      </c>
      <c r="BK155">
        <v>25</v>
      </c>
      <c r="HT155" t="s">
        <v>2277</v>
      </c>
      <c r="IO155" t="s">
        <v>2289</v>
      </c>
      <c r="IP155" t="s">
        <v>1237</v>
      </c>
      <c r="IS155" t="s">
        <v>838</v>
      </c>
      <c r="IT155" t="s">
        <v>838</v>
      </c>
      <c r="IU155" t="s">
        <v>838</v>
      </c>
      <c r="IW155" s="2"/>
      <c r="IX155" s="2"/>
      <c r="JJ155" t="s">
        <v>254</v>
      </c>
      <c r="JK155" t="s">
        <v>838</v>
      </c>
      <c r="JM155" t="s">
        <v>14</v>
      </c>
      <c r="JN155" t="s">
        <v>2274</v>
      </c>
      <c r="JO155" s="2" t="s">
        <v>2273</v>
      </c>
      <c r="JP155">
        <v>4</v>
      </c>
      <c r="MU155" s="183"/>
      <c r="MV155" s="183"/>
      <c r="MW155" t="s">
        <v>2294</v>
      </c>
      <c r="MX155" s="2"/>
      <c r="MY155" s="2" t="s">
        <v>168</v>
      </c>
      <c r="MZ155" s="2"/>
      <c r="NA155" s="2"/>
      <c r="NB155" s="2"/>
      <c r="NC155" s="2"/>
      <c r="ND155" s="2"/>
      <c r="NE155" s="2"/>
      <c r="NF155" s="2"/>
      <c r="NG155" t="s">
        <v>2271</v>
      </c>
      <c r="NH155" t="s">
        <v>2294</v>
      </c>
      <c r="NI155" t="s">
        <v>1531</v>
      </c>
      <c r="NJ155" t="s">
        <v>2269</v>
      </c>
      <c r="NR155" t="s">
        <v>64</v>
      </c>
      <c r="NS155" s="166" t="s">
        <v>6</v>
      </c>
      <c r="NT155" s="97">
        <v>94245</v>
      </c>
      <c r="NU155" t="s">
        <v>29</v>
      </c>
      <c r="OJ155" t="s">
        <v>2268</v>
      </c>
      <c r="OL155" t="s">
        <v>2295</v>
      </c>
      <c r="OQ155" t="s">
        <v>1178</v>
      </c>
      <c r="OR155" s="58">
        <v>46134</v>
      </c>
    </row>
    <row r="156" spans="1:413" ht="15.75" thickBot="1">
      <c r="A156" t="s">
        <v>248</v>
      </c>
      <c r="B156" t="s">
        <v>2287</v>
      </c>
      <c r="C156" t="s">
        <v>2286</v>
      </c>
      <c r="D156" t="s">
        <v>245</v>
      </c>
      <c r="H156" t="s">
        <v>838</v>
      </c>
      <c r="I156">
        <v>-6.2750502700000004</v>
      </c>
      <c r="J156">
        <v>34.813145609999999</v>
      </c>
      <c r="K156" t="s">
        <v>838</v>
      </c>
      <c r="AV156" t="s">
        <v>2285</v>
      </c>
      <c r="AW156">
        <v>0.12</v>
      </c>
      <c r="AX156">
        <v>20</v>
      </c>
      <c r="AY156" t="s">
        <v>838</v>
      </c>
      <c r="AZ156" t="s">
        <v>2284</v>
      </c>
      <c r="BA156">
        <v>1993</v>
      </c>
      <c r="BB156">
        <v>1997</v>
      </c>
      <c r="BD156" t="s">
        <v>2002</v>
      </c>
      <c r="BE156" t="s">
        <v>2283</v>
      </c>
      <c r="BF156" t="s">
        <v>64</v>
      </c>
      <c r="BG156" t="s">
        <v>1243</v>
      </c>
      <c r="BH156" t="s">
        <v>23</v>
      </c>
      <c r="BI156" t="s">
        <v>2282</v>
      </c>
      <c r="BJ156" t="s">
        <v>2281</v>
      </c>
      <c r="BK156">
        <v>25</v>
      </c>
      <c r="EE156" t="s">
        <v>2280</v>
      </c>
      <c r="EF156" t="s">
        <v>22</v>
      </c>
      <c r="EG156">
        <v>625</v>
      </c>
      <c r="EH156" t="s">
        <v>56</v>
      </c>
      <c r="EI156" t="s">
        <v>2279</v>
      </c>
      <c r="EJ156" t="s">
        <v>22</v>
      </c>
      <c r="EK156">
        <v>625</v>
      </c>
      <c r="EL156" t="s">
        <v>56</v>
      </c>
      <c r="EM156" t="s">
        <v>2278</v>
      </c>
      <c r="EN156" t="s">
        <v>22</v>
      </c>
      <c r="EO156">
        <v>625</v>
      </c>
      <c r="HT156" t="s">
        <v>2277</v>
      </c>
      <c r="IO156" t="s">
        <v>2276</v>
      </c>
      <c r="IP156" t="s">
        <v>1737</v>
      </c>
      <c r="IS156" t="s">
        <v>838</v>
      </c>
      <c r="IT156" t="s">
        <v>838</v>
      </c>
      <c r="IU156" t="s">
        <v>838</v>
      </c>
      <c r="IV156" t="s">
        <v>2275</v>
      </c>
      <c r="IW156" s="2"/>
      <c r="IX156" s="2"/>
      <c r="JA156">
        <v>4.25</v>
      </c>
      <c r="JE156">
        <v>9.1</v>
      </c>
      <c r="JF156">
        <v>6.84</v>
      </c>
      <c r="JG156">
        <v>13.46</v>
      </c>
      <c r="JJ156" t="s">
        <v>254</v>
      </c>
      <c r="JK156" t="s">
        <v>838</v>
      </c>
      <c r="JM156" t="s">
        <v>14</v>
      </c>
      <c r="JN156" t="s">
        <v>2274</v>
      </c>
      <c r="JO156" s="2" t="s">
        <v>2273</v>
      </c>
      <c r="JP156">
        <v>4</v>
      </c>
      <c r="MU156" s="183"/>
      <c r="MV156" s="183"/>
      <c r="MW156" t="s">
        <v>2294</v>
      </c>
      <c r="MX156" s="2"/>
      <c r="MY156" s="2" t="s">
        <v>168</v>
      </c>
      <c r="MZ156" s="2"/>
      <c r="NA156" s="2"/>
      <c r="NB156" s="2"/>
      <c r="NC156" s="2"/>
      <c r="ND156" s="2"/>
      <c r="NE156" s="2"/>
      <c r="NF156" s="2"/>
      <c r="NG156" t="s">
        <v>2271</v>
      </c>
      <c r="NH156" t="s">
        <v>2294</v>
      </c>
      <c r="NI156" t="s">
        <v>1531</v>
      </c>
      <c r="NJ156" t="s">
        <v>2269</v>
      </c>
      <c r="NS156" s="166" t="s">
        <v>6</v>
      </c>
      <c r="NT156">
        <v>84812</v>
      </c>
      <c r="NU156" t="s">
        <v>29</v>
      </c>
      <c r="NY156">
        <v>60</v>
      </c>
      <c r="OJ156" t="s">
        <v>2268</v>
      </c>
      <c r="OL156" t="s">
        <v>2295</v>
      </c>
      <c r="OQ156" t="s">
        <v>1178</v>
      </c>
      <c r="OR156" s="58">
        <v>46134</v>
      </c>
    </row>
    <row r="157" spans="1:413" ht="15.75" thickBot="1">
      <c r="A157" t="s">
        <v>248</v>
      </c>
      <c r="B157" t="s">
        <v>2287</v>
      </c>
      <c r="C157" t="s">
        <v>2286</v>
      </c>
      <c r="H157" t="s">
        <v>838</v>
      </c>
      <c r="I157">
        <v>-6.2750502700000004</v>
      </c>
      <c r="J157">
        <v>34.813145609999999</v>
      </c>
      <c r="K157" t="s">
        <v>838</v>
      </c>
      <c r="AV157" t="s">
        <v>2285</v>
      </c>
      <c r="AX157">
        <v>20</v>
      </c>
      <c r="AY157" t="s">
        <v>838</v>
      </c>
      <c r="AZ157" t="s">
        <v>2284</v>
      </c>
      <c r="BA157">
        <v>1993</v>
      </c>
      <c r="BB157">
        <v>1997</v>
      </c>
      <c r="BD157" t="s">
        <v>19</v>
      </c>
      <c r="BE157" t="s">
        <v>2290</v>
      </c>
      <c r="BF157" t="s">
        <v>39</v>
      </c>
      <c r="BG157" t="s">
        <v>1243</v>
      </c>
      <c r="BH157" t="s">
        <v>23</v>
      </c>
      <c r="BI157" t="s">
        <v>2282</v>
      </c>
      <c r="BJ157" t="s">
        <v>2281</v>
      </c>
      <c r="BK157">
        <v>20</v>
      </c>
      <c r="HT157" t="s">
        <v>2277</v>
      </c>
      <c r="IO157" t="s">
        <v>2289</v>
      </c>
      <c r="IP157" t="s">
        <v>1237</v>
      </c>
      <c r="IS157" t="s">
        <v>838</v>
      </c>
      <c r="IT157" t="s">
        <v>838</v>
      </c>
      <c r="IU157" t="s">
        <v>838</v>
      </c>
      <c r="IW157" s="2"/>
      <c r="IX157" s="2"/>
      <c r="JJ157" t="s">
        <v>254</v>
      </c>
      <c r="JK157" t="s">
        <v>838</v>
      </c>
      <c r="JM157" t="s">
        <v>14</v>
      </c>
      <c r="JN157" t="s">
        <v>2274</v>
      </c>
      <c r="JO157" s="2" t="s">
        <v>2273</v>
      </c>
      <c r="JP157">
        <v>4</v>
      </c>
      <c r="MU157" s="183"/>
      <c r="MV157" s="183"/>
      <c r="MW157" t="s">
        <v>2294</v>
      </c>
      <c r="MX157" s="2"/>
      <c r="MY157" s="2" t="s">
        <v>168</v>
      </c>
      <c r="MZ157" s="2"/>
      <c r="NA157" s="2"/>
      <c r="NB157" s="2"/>
      <c r="NC157" s="2"/>
      <c r="ND157" s="2"/>
      <c r="NE157" s="2"/>
      <c r="NF157" s="2"/>
      <c r="NG157" t="s">
        <v>2271</v>
      </c>
      <c r="NH157" t="s">
        <v>2294</v>
      </c>
      <c r="NI157" t="s">
        <v>1531</v>
      </c>
      <c r="NJ157" t="s">
        <v>2269</v>
      </c>
      <c r="NR157" t="s">
        <v>64</v>
      </c>
      <c r="NS157" s="166" t="s">
        <v>6</v>
      </c>
      <c r="NT157" s="97">
        <v>94245</v>
      </c>
      <c r="NU157" t="s">
        <v>29</v>
      </c>
      <c r="OJ157" t="s">
        <v>2268</v>
      </c>
      <c r="OL157" t="s">
        <v>2291</v>
      </c>
      <c r="OQ157" t="s">
        <v>1178</v>
      </c>
      <c r="OR157" s="58">
        <v>46134</v>
      </c>
    </row>
    <row r="158" spans="1:413" ht="15.75" thickBot="1">
      <c r="A158" t="s">
        <v>248</v>
      </c>
      <c r="B158" t="s">
        <v>2287</v>
      </c>
      <c r="C158" t="s">
        <v>2286</v>
      </c>
      <c r="D158" t="s">
        <v>245</v>
      </c>
      <c r="H158" t="s">
        <v>838</v>
      </c>
      <c r="I158">
        <v>-6.2750502700000004</v>
      </c>
      <c r="J158">
        <v>34.813145609999999</v>
      </c>
      <c r="K158" t="s">
        <v>838</v>
      </c>
      <c r="AV158" t="s">
        <v>2285</v>
      </c>
      <c r="AW158">
        <v>0.12</v>
      </c>
      <c r="AX158">
        <v>20</v>
      </c>
      <c r="AY158" t="s">
        <v>838</v>
      </c>
      <c r="AZ158" t="s">
        <v>2284</v>
      </c>
      <c r="BA158">
        <v>1993</v>
      </c>
      <c r="BB158">
        <v>1997</v>
      </c>
      <c r="BD158" t="s">
        <v>2002</v>
      </c>
      <c r="BE158" t="s">
        <v>2283</v>
      </c>
      <c r="BF158" t="s">
        <v>64</v>
      </c>
      <c r="BG158" t="s">
        <v>1243</v>
      </c>
      <c r="BH158" t="s">
        <v>23</v>
      </c>
      <c r="BI158" t="s">
        <v>2282</v>
      </c>
      <c r="BJ158" t="s">
        <v>2281</v>
      </c>
      <c r="BK158">
        <v>20</v>
      </c>
      <c r="EE158" t="s">
        <v>2280</v>
      </c>
      <c r="EF158" t="s">
        <v>22</v>
      </c>
      <c r="EG158">
        <v>625</v>
      </c>
      <c r="EH158" t="s">
        <v>56</v>
      </c>
      <c r="EI158" t="s">
        <v>2279</v>
      </c>
      <c r="EJ158" t="s">
        <v>22</v>
      </c>
      <c r="EK158">
        <v>625</v>
      </c>
      <c r="EL158" t="s">
        <v>56</v>
      </c>
      <c r="EM158" t="s">
        <v>2278</v>
      </c>
      <c r="EN158" t="s">
        <v>22</v>
      </c>
      <c r="EO158">
        <v>625</v>
      </c>
      <c r="HT158" t="s">
        <v>2277</v>
      </c>
      <c r="IO158" t="s">
        <v>2276</v>
      </c>
      <c r="IP158" t="s">
        <v>1737</v>
      </c>
      <c r="IS158" t="s">
        <v>838</v>
      </c>
      <c r="IT158" t="s">
        <v>838</v>
      </c>
      <c r="IU158" t="s">
        <v>838</v>
      </c>
      <c r="IV158" t="s">
        <v>2275</v>
      </c>
      <c r="IW158" s="2"/>
      <c r="IX158" s="2"/>
      <c r="JA158">
        <v>4.25</v>
      </c>
      <c r="JE158">
        <v>9.1</v>
      </c>
      <c r="JF158">
        <v>6.84</v>
      </c>
      <c r="JG158">
        <v>13.46</v>
      </c>
      <c r="JJ158" t="s">
        <v>254</v>
      </c>
      <c r="JK158" t="s">
        <v>838</v>
      </c>
      <c r="JM158" t="s">
        <v>14</v>
      </c>
      <c r="JN158" t="s">
        <v>2274</v>
      </c>
      <c r="JO158" s="2" t="s">
        <v>2273</v>
      </c>
      <c r="JP158">
        <v>4</v>
      </c>
      <c r="MU158" s="183"/>
      <c r="MV158" s="183"/>
      <c r="MW158" t="s">
        <v>2293</v>
      </c>
      <c r="MX158" s="2"/>
      <c r="MY158" s="2" t="s">
        <v>168</v>
      </c>
      <c r="MZ158" s="2" t="s">
        <v>2272</v>
      </c>
      <c r="NA158" s="2"/>
      <c r="NB158" s="2"/>
      <c r="NC158" s="2"/>
      <c r="ND158" s="2"/>
      <c r="NE158" s="2"/>
      <c r="NF158" s="2"/>
      <c r="NG158" t="s">
        <v>2271</v>
      </c>
      <c r="NH158" t="s">
        <v>2292</v>
      </c>
      <c r="NI158" t="s">
        <v>1531</v>
      </c>
      <c r="NJ158" t="s">
        <v>2269</v>
      </c>
      <c r="NS158" s="166" t="s">
        <v>6</v>
      </c>
      <c r="NT158" s="97">
        <v>66865</v>
      </c>
      <c r="NU158" t="s">
        <v>29</v>
      </c>
      <c r="NY158">
        <v>60</v>
      </c>
      <c r="OJ158" t="s">
        <v>2268</v>
      </c>
      <c r="OL158" t="s">
        <v>2291</v>
      </c>
      <c r="OQ158" t="s">
        <v>1178</v>
      </c>
      <c r="OR158" s="58">
        <v>46134</v>
      </c>
    </row>
    <row r="159" spans="1:413" ht="15.75" thickBot="1">
      <c r="A159" t="s">
        <v>248</v>
      </c>
      <c r="B159" t="s">
        <v>2287</v>
      </c>
      <c r="C159" t="s">
        <v>2286</v>
      </c>
      <c r="H159" t="s">
        <v>838</v>
      </c>
      <c r="I159">
        <v>-6.2750502700000004</v>
      </c>
      <c r="J159">
        <v>34.813145609999999</v>
      </c>
      <c r="K159" t="s">
        <v>838</v>
      </c>
      <c r="AV159" t="s">
        <v>2285</v>
      </c>
      <c r="AX159">
        <v>20</v>
      </c>
      <c r="AY159" t="s">
        <v>838</v>
      </c>
      <c r="AZ159" t="s">
        <v>2284</v>
      </c>
      <c r="BA159">
        <v>1993</v>
      </c>
      <c r="BB159">
        <v>1997</v>
      </c>
      <c r="BD159" t="s">
        <v>19</v>
      </c>
      <c r="BE159" t="s">
        <v>2290</v>
      </c>
      <c r="BF159" t="s">
        <v>39</v>
      </c>
      <c r="BG159" t="s">
        <v>1243</v>
      </c>
      <c r="BH159" t="s">
        <v>23</v>
      </c>
      <c r="BI159" t="s">
        <v>2282</v>
      </c>
      <c r="BJ159" t="s">
        <v>2281</v>
      </c>
      <c r="BK159">
        <v>20</v>
      </c>
      <c r="HT159" t="s">
        <v>2277</v>
      </c>
      <c r="IO159" t="s">
        <v>2289</v>
      </c>
      <c r="IP159" t="s">
        <v>1237</v>
      </c>
      <c r="IS159" t="s">
        <v>838</v>
      </c>
      <c r="IT159" t="s">
        <v>838</v>
      </c>
      <c r="IU159" t="s">
        <v>838</v>
      </c>
      <c r="IW159" s="2"/>
      <c r="IX159" s="2"/>
      <c r="JJ159" t="s">
        <v>254</v>
      </c>
      <c r="JK159" t="s">
        <v>838</v>
      </c>
      <c r="JM159" t="s">
        <v>14</v>
      </c>
      <c r="JN159" t="s">
        <v>2274</v>
      </c>
      <c r="JO159" s="2" t="s">
        <v>2273</v>
      </c>
      <c r="JP159">
        <v>4</v>
      </c>
      <c r="MU159" s="183"/>
      <c r="MV159" s="183"/>
      <c r="MW159" t="s">
        <v>2288</v>
      </c>
      <c r="MX159" s="2"/>
      <c r="MY159" s="2"/>
      <c r="MZ159" s="2"/>
      <c r="NA159" s="2"/>
      <c r="NB159" s="2"/>
      <c r="NC159" s="2"/>
      <c r="ND159" s="2"/>
      <c r="NE159" s="2"/>
      <c r="NF159" s="2"/>
      <c r="NG159" t="s">
        <v>2271</v>
      </c>
      <c r="NH159" t="s">
        <v>2288</v>
      </c>
      <c r="NI159" t="s">
        <v>1531</v>
      </c>
      <c r="NJ159" t="s">
        <v>2269</v>
      </c>
      <c r="NR159" t="s">
        <v>64</v>
      </c>
      <c r="NS159" s="166" t="s">
        <v>6</v>
      </c>
      <c r="NT159" s="97">
        <v>0</v>
      </c>
      <c r="NU159" t="s">
        <v>29</v>
      </c>
      <c r="OJ159" t="s">
        <v>2268</v>
      </c>
      <c r="OL159" t="s">
        <v>2267</v>
      </c>
      <c r="OQ159" t="s">
        <v>1178</v>
      </c>
      <c r="OR159" s="58">
        <v>46134</v>
      </c>
    </row>
    <row r="160" spans="1:413" ht="15.75" thickBot="1">
      <c r="A160" t="s">
        <v>248</v>
      </c>
      <c r="B160" t="s">
        <v>2287</v>
      </c>
      <c r="C160" t="s">
        <v>2286</v>
      </c>
      <c r="D160" t="s">
        <v>245</v>
      </c>
      <c r="H160" t="s">
        <v>838</v>
      </c>
      <c r="I160">
        <v>-6.2750502700000004</v>
      </c>
      <c r="J160">
        <v>34.813145609999999</v>
      </c>
      <c r="K160" t="s">
        <v>838</v>
      </c>
      <c r="AV160" t="s">
        <v>2285</v>
      </c>
      <c r="AW160">
        <v>0.12</v>
      </c>
      <c r="AX160">
        <v>20</v>
      </c>
      <c r="AY160" t="s">
        <v>838</v>
      </c>
      <c r="AZ160" t="s">
        <v>2284</v>
      </c>
      <c r="BA160">
        <v>1993</v>
      </c>
      <c r="BB160">
        <v>1997</v>
      </c>
      <c r="BD160" t="s">
        <v>2002</v>
      </c>
      <c r="BE160" t="s">
        <v>2283</v>
      </c>
      <c r="BF160" t="s">
        <v>64</v>
      </c>
      <c r="BG160" t="s">
        <v>1243</v>
      </c>
      <c r="BH160" t="s">
        <v>23</v>
      </c>
      <c r="BI160" t="s">
        <v>2282</v>
      </c>
      <c r="BJ160" t="s">
        <v>2281</v>
      </c>
      <c r="BK160">
        <v>20</v>
      </c>
      <c r="EE160" t="s">
        <v>2280</v>
      </c>
      <c r="EF160" t="s">
        <v>22</v>
      </c>
      <c r="EG160">
        <v>625</v>
      </c>
      <c r="EH160" t="s">
        <v>56</v>
      </c>
      <c r="EI160" t="s">
        <v>2279</v>
      </c>
      <c r="EJ160" t="s">
        <v>22</v>
      </c>
      <c r="EK160">
        <v>625</v>
      </c>
      <c r="EL160" t="s">
        <v>56</v>
      </c>
      <c r="EM160" t="s">
        <v>2278</v>
      </c>
      <c r="EN160" t="s">
        <v>22</v>
      </c>
      <c r="EO160">
        <v>625</v>
      </c>
      <c r="HT160" t="s">
        <v>2277</v>
      </c>
      <c r="IO160" t="s">
        <v>2276</v>
      </c>
      <c r="IP160" t="s">
        <v>1737</v>
      </c>
      <c r="IS160" t="s">
        <v>838</v>
      </c>
      <c r="IT160" t="s">
        <v>838</v>
      </c>
      <c r="IU160" t="s">
        <v>838</v>
      </c>
      <c r="IV160" t="s">
        <v>2275</v>
      </c>
      <c r="IW160" s="2"/>
      <c r="IX160" s="2"/>
      <c r="JA160">
        <v>4.25</v>
      </c>
      <c r="JE160">
        <v>9.1</v>
      </c>
      <c r="JF160">
        <v>6.84</v>
      </c>
      <c r="JG160">
        <v>13.46</v>
      </c>
      <c r="JJ160" t="s">
        <v>254</v>
      </c>
      <c r="JK160" t="s">
        <v>838</v>
      </c>
      <c r="JM160" t="s">
        <v>14</v>
      </c>
      <c r="JN160" t="s">
        <v>2274</v>
      </c>
      <c r="JO160" s="2" t="s">
        <v>2273</v>
      </c>
      <c r="JP160">
        <v>4</v>
      </c>
      <c r="MU160" s="183"/>
      <c r="MV160" s="183"/>
      <c r="MW160" t="s">
        <v>2270</v>
      </c>
      <c r="MX160" s="2"/>
      <c r="MY160" s="2" t="s">
        <v>2272</v>
      </c>
      <c r="NA160" s="2"/>
      <c r="NB160" s="2"/>
      <c r="NC160" s="2"/>
      <c r="ND160" s="2"/>
      <c r="NE160" s="2"/>
      <c r="NF160" s="2"/>
      <c r="NG160" t="s">
        <v>2271</v>
      </c>
      <c r="NH160" t="s">
        <v>2270</v>
      </c>
      <c r="NI160" t="s">
        <v>1531</v>
      </c>
      <c r="NJ160" t="s">
        <v>2269</v>
      </c>
      <c r="NS160" s="166" t="s">
        <v>6</v>
      </c>
      <c r="NT160" s="97">
        <v>479936</v>
      </c>
      <c r="NU160" t="s">
        <v>29</v>
      </c>
      <c r="NY160">
        <v>60</v>
      </c>
      <c r="OJ160" t="s">
        <v>2268</v>
      </c>
      <c r="OL160" t="s">
        <v>2267</v>
      </c>
      <c r="OQ160" t="s">
        <v>1178</v>
      </c>
      <c r="OR160" s="58">
        <v>46134</v>
      </c>
    </row>
    <row r="161" spans="1:408" ht="15.75" thickBot="1">
      <c r="A161" t="s">
        <v>248</v>
      </c>
      <c r="B161" t="s">
        <v>2287</v>
      </c>
      <c r="C161" t="s">
        <v>2286</v>
      </c>
      <c r="H161" t="s">
        <v>838</v>
      </c>
      <c r="I161">
        <v>-6.2750502700000004</v>
      </c>
      <c r="J161">
        <v>34.813145609999999</v>
      </c>
      <c r="K161" t="s">
        <v>838</v>
      </c>
      <c r="AV161" t="s">
        <v>2285</v>
      </c>
      <c r="AX161">
        <v>20</v>
      </c>
      <c r="AY161" t="s">
        <v>838</v>
      </c>
      <c r="AZ161" t="s">
        <v>2284</v>
      </c>
      <c r="BA161">
        <v>1993</v>
      </c>
      <c r="BB161">
        <v>1997</v>
      </c>
      <c r="BD161" t="s">
        <v>19</v>
      </c>
      <c r="BE161" t="s">
        <v>2290</v>
      </c>
      <c r="BF161" t="s">
        <v>39</v>
      </c>
      <c r="BG161" t="s">
        <v>1243</v>
      </c>
      <c r="BH161" t="s">
        <v>23</v>
      </c>
      <c r="BI161" t="s">
        <v>2282</v>
      </c>
      <c r="BJ161" t="s">
        <v>2281</v>
      </c>
      <c r="BK161">
        <v>25</v>
      </c>
      <c r="IO161" t="s">
        <v>2289</v>
      </c>
      <c r="IP161" t="s">
        <v>1237</v>
      </c>
      <c r="IS161" t="s">
        <v>838</v>
      </c>
      <c r="IT161" t="s">
        <v>838</v>
      </c>
      <c r="IU161" t="s">
        <v>838</v>
      </c>
      <c r="IW161" s="2"/>
      <c r="IX161" s="2"/>
      <c r="JJ161" t="s">
        <v>254</v>
      </c>
      <c r="JK161" t="s">
        <v>838</v>
      </c>
      <c r="JM161" t="s">
        <v>14</v>
      </c>
      <c r="JN161" t="s">
        <v>2274</v>
      </c>
      <c r="JO161" s="2" t="s">
        <v>2273</v>
      </c>
      <c r="JP161">
        <v>4</v>
      </c>
      <c r="MU161" s="183"/>
      <c r="MV161" s="183"/>
      <c r="MX161" s="2"/>
      <c r="MY161" s="2"/>
      <c r="MZ161" s="2"/>
      <c r="NA161" s="2"/>
      <c r="NB161" s="2"/>
      <c r="NC161" s="2"/>
      <c r="ND161" s="2"/>
      <c r="NE161" s="2"/>
      <c r="NF161" s="183" t="s">
        <v>2298</v>
      </c>
      <c r="NG161" t="s">
        <v>2296</v>
      </c>
      <c r="NI161" t="s">
        <v>671</v>
      </c>
      <c r="NJ161" t="s">
        <v>2269</v>
      </c>
      <c r="NR161" t="s">
        <v>64</v>
      </c>
      <c r="NS161" s="166" t="s">
        <v>6</v>
      </c>
      <c r="NT161" s="173">
        <v>19600</v>
      </c>
      <c r="NU161" t="s">
        <v>29</v>
      </c>
      <c r="OJ161" t="s">
        <v>2268</v>
      </c>
      <c r="OL161" t="s">
        <v>2295</v>
      </c>
      <c r="OQ161" t="s">
        <v>1178</v>
      </c>
      <c r="OR161" s="58">
        <v>46134</v>
      </c>
    </row>
    <row r="162" spans="1:408" ht="15.75" thickBot="1">
      <c r="A162" t="s">
        <v>248</v>
      </c>
      <c r="B162" t="s">
        <v>2287</v>
      </c>
      <c r="C162" t="s">
        <v>2286</v>
      </c>
      <c r="D162" t="s">
        <v>245</v>
      </c>
      <c r="H162" t="s">
        <v>838</v>
      </c>
      <c r="I162">
        <v>-6.2750502700000004</v>
      </c>
      <c r="J162">
        <v>34.813145609999999</v>
      </c>
      <c r="K162" t="s">
        <v>838</v>
      </c>
      <c r="AV162" t="s">
        <v>2285</v>
      </c>
      <c r="AW162">
        <v>0.12</v>
      </c>
      <c r="AX162">
        <v>20</v>
      </c>
      <c r="AY162" t="s">
        <v>838</v>
      </c>
      <c r="AZ162" t="s">
        <v>2284</v>
      </c>
      <c r="BA162">
        <v>1993</v>
      </c>
      <c r="BB162">
        <v>1997</v>
      </c>
      <c r="BD162" t="s">
        <v>2002</v>
      </c>
      <c r="BE162" t="s">
        <v>2283</v>
      </c>
      <c r="BF162" t="s">
        <v>64</v>
      </c>
      <c r="BG162" t="s">
        <v>1243</v>
      </c>
      <c r="BH162" t="s">
        <v>23</v>
      </c>
      <c r="BI162" t="s">
        <v>2282</v>
      </c>
      <c r="BJ162" t="s">
        <v>2281</v>
      </c>
      <c r="BK162">
        <v>25</v>
      </c>
      <c r="EE162" t="s">
        <v>2280</v>
      </c>
      <c r="EF162" t="s">
        <v>22</v>
      </c>
      <c r="EG162">
        <v>625</v>
      </c>
      <c r="EH162" t="s">
        <v>56</v>
      </c>
      <c r="EI162" t="s">
        <v>2279</v>
      </c>
      <c r="EJ162" t="s">
        <v>22</v>
      </c>
      <c r="EK162">
        <v>625</v>
      </c>
      <c r="EL162" t="s">
        <v>56</v>
      </c>
      <c r="EM162" t="s">
        <v>2278</v>
      </c>
      <c r="EN162" t="s">
        <v>22</v>
      </c>
      <c r="EO162">
        <v>625</v>
      </c>
      <c r="IO162" t="s">
        <v>2276</v>
      </c>
      <c r="IP162" t="s">
        <v>1737</v>
      </c>
      <c r="IS162" t="s">
        <v>838</v>
      </c>
      <c r="IT162" t="s">
        <v>838</v>
      </c>
      <c r="IU162" t="s">
        <v>838</v>
      </c>
      <c r="IV162" t="s">
        <v>2275</v>
      </c>
      <c r="IW162" s="2"/>
      <c r="IX162" s="2"/>
      <c r="JA162">
        <v>4.25</v>
      </c>
      <c r="JE162">
        <v>9.1</v>
      </c>
      <c r="JF162">
        <v>6.84</v>
      </c>
      <c r="JG162">
        <v>13.46</v>
      </c>
      <c r="JJ162" t="s">
        <v>254</v>
      </c>
      <c r="JK162" t="s">
        <v>838</v>
      </c>
      <c r="JM162" t="s">
        <v>14</v>
      </c>
      <c r="JN162" t="s">
        <v>2274</v>
      </c>
      <c r="JO162" s="2" t="s">
        <v>2273</v>
      </c>
      <c r="JP162">
        <v>4</v>
      </c>
      <c r="MU162" s="183"/>
      <c r="MV162" s="183"/>
      <c r="MX162" s="2"/>
      <c r="MY162" s="2"/>
      <c r="MZ162" s="2"/>
      <c r="NA162" s="2"/>
      <c r="NB162" s="2"/>
      <c r="NC162" s="2"/>
      <c r="ND162" s="2"/>
      <c r="NE162" s="2"/>
      <c r="NF162" s="183" t="s">
        <v>2297</v>
      </c>
      <c r="NG162" t="s">
        <v>2296</v>
      </c>
      <c r="NI162" t="s">
        <v>671</v>
      </c>
      <c r="NJ162" t="s">
        <v>2269</v>
      </c>
      <c r="NS162" s="166" t="s">
        <v>6</v>
      </c>
      <c r="NT162" s="173">
        <v>22686</v>
      </c>
      <c r="NU162" t="s">
        <v>29</v>
      </c>
      <c r="OJ162" t="s">
        <v>2268</v>
      </c>
      <c r="OL162" t="s">
        <v>2295</v>
      </c>
      <c r="OQ162" t="s">
        <v>1178</v>
      </c>
      <c r="OR162" s="58">
        <v>46134</v>
      </c>
    </row>
    <row r="163" spans="1:408" ht="15.75" thickBot="1">
      <c r="A163" t="s">
        <v>248</v>
      </c>
      <c r="B163" t="s">
        <v>2287</v>
      </c>
      <c r="C163" t="s">
        <v>2286</v>
      </c>
      <c r="H163" t="s">
        <v>838</v>
      </c>
      <c r="I163">
        <v>-6.2750502700000004</v>
      </c>
      <c r="J163">
        <v>34.813145609999999</v>
      </c>
      <c r="K163" t="s">
        <v>838</v>
      </c>
      <c r="AV163" t="s">
        <v>2285</v>
      </c>
      <c r="AX163">
        <v>20</v>
      </c>
      <c r="AY163" t="s">
        <v>838</v>
      </c>
      <c r="AZ163" t="s">
        <v>2284</v>
      </c>
      <c r="BA163">
        <v>1993</v>
      </c>
      <c r="BB163">
        <v>1997</v>
      </c>
      <c r="BD163" t="s">
        <v>19</v>
      </c>
      <c r="BE163" t="s">
        <v>2290</v>
      </c>
      <c r="BF163" t="s">
        <v>39</v>
      </c>
      <c r="BG163" t="s">
        <v>1243</v>
      </c>
      <c r="BH163" t="s">
        <v>23</v>
      </c>
      <c r="BI163" t="s">
        <v>2282</v>
      </c>
      <c r="BJ163" t="s">
        <v>2281</v>
      </c>
      <c r="BK163">
        <v>20</v>
      </c>
      <c r="IO163" t="s">
        <v>2289</v>
      </c>
      <c r="IP163" t="s">
        <v>1237</v>
      </c>
      <c r="IS163" t="s">
        <v>838</v>
      </c>
      <c r="IT163" t="s">
        <v>838</v>
      </c>
      <c r="IU163" t="s">
        <v>838</v>
      </c>
      <c r="IW163" s="2"/>
      <c r="IX163" s="2"/>
      <c r="JJ163" t="s">
        <v>254</v>
      </c>
      <c r="JK163" t="s">
        <v>838</v>
      </c>
      <c r="JM163" t="s">
        <v>14</v>
      </c>
      <c r="JN163" t="s">
        <v>2274</v>
      </c>
      <c r="JO163" s="2" t="s">
        <v>2273</v>
      </c>
      <c r="JP163">
        <v>4</v>
      </c>
      <c r="MU163" s="183"/>
      <c r="MV163" s="183"/>
      <c r="MX163" s="2"/>
      <c r="MY163" s="2"/>
      <c r="MZ163" s="2"/>
      <c r="NA163" s="2"/>
      <c r="NB163" s="2"/>
      <c r="NC163" s="2"/>
      <c r="ND163" s="2"/>
      <c r="NE163" s="2"/>
      <c r="NF163" s="183"/>
      <c r="NG163" t="s">
        <v>2296</v>
      </c>
      <c r="NI163" t="s">
        <v>671</v>
      </c>
      <c r="NJ163" t="s">
        <v>2269</v>
      </c>
      <c r="NR163" t="s">
        <v>64</v>
      </c>
      <c r="NS163" s="166" t="s">
        <v>6</v>
      </c>
      <c r="NT163" s="173">
        <v>19600</v>
      </c>
      <c r="NU163" t="s">
        <v>29</v>
      </c>
      <c r="OJ163" t="s">
        <v>2268</v>
      </c>
      <c r="OL163" t="s">
        <v>2291</v>
      </c>
      <c r="OQ163" t="s">
        <v>1178</v>
      </c>
      <c r="OR163" s="58">
        <v>46134</v>
      </c>
    </row>
    <row r="164" spans="1:408" ht="15.75" thickBot="1">
      <c r="A164" t="s">
        <v>248</v>
      </c>
      <c r="B164" t="s">
        <v>2287</v>
      </c>
      <c r="C164" t="s">
        <v>2286</v>
      </c>
      <c r="D164" t="s">
        <v>245</v>
      </c>
      <c r="H164" t="s">
        <v>838</v>
      </c>
      <c r="I164">
        <v>-6.2750502700000004</v>
      </c>
      <c r="J164">
        <v>34.813145609999999</v>
      </c>
      <c r="K164" t="s">
        <v>838</v>
      </c>
      <c r="AV164" t="s">
        <v>2285</v>
      </c>
      <c r="AW164">
        <v>0.12</v>
      </c>
      <c r="AX164">
        <v>20</v>
      </c>
      <c r="AY164" t="s">
        <v>838</v>
      </c>
      <c r="AZ164" t="s">
        <v>2284</v>
      </c>
      <c r="BA164">
        <v>1993</v>
      </c>
      <c r="BB164">
        <v>1997</v>
      </c>
      <c r="BD164" t="s">
        <v>2002</v>
      </c>
      <c r="BE164" t="s">
        <v>2283</v>
      </c>
      <c r="BF164" t="s">
        <v>64</v>
      </c>
      <c r="BG164" t="s">
        <v>1243</v>
      </c>
      <c r="BH164" t="s">
        <v>23</v>
      </c>
      <c r="BI164" t="s">
        <v>2282</v>
      </c>
      <c r="BJ164" t="s">
        <v>2281</v>
      </c>
      <c r="BK164">
        <v>20</v>
      </c>
      <c r="EE164" t="s">
        <v>2280</v>
      </c>
      <c r="EF164" t="s">
        <v>22</v>
      </c>
      <c r="EG164">
        <v>625</v>
      </c>
      <c r="EH164" t="s">
        <v>56</v>
      </c>
      <c r="EI164" t="s">
        <v>2279</v>
      </c>
      <c r="EJ164" t="s">
        <v>22</v>
      </c>
      <c r="EK164">
        <v>625</v>
      </c>
      <c r="EL164" t="s">
        <v>56</v>
      </c>
      <c r="EM164" t="s">
        <v>2278</v>
      </c>
      <c r="EN164" t="s">
        <v>22</v>
      </c>
      <c r="EO164">
        <v>625</v>
      </c>
      <c r="IO164" t="s">
        <v>2276</v>
      </c>
      <c r="IP164" t="s">
        <v>1737</v>
      </c>
      <c r="IS164" t="s">
        <v>838</v>
      </c>
      <c r="IT164" t="s">
        <v>838</v>
      </c>
      <c r="IU164" t="s">
        <v>838</v>
      </c>
      <c r="IV164" t="s">
        <v>2275</v>
      </c>
      <c r="IW164" s="2"/>
      <c r="IX164" s="2"/>
      <c r="JA164">
        <v>4.25</v>
      </c>
      <c r="JE164">
        <v>9.1</v>
      </c>
      <c r="JF164">
        <v>6.84</v>
      </c>
      <c r="JG164">
        <v>13.46</v>
      </c>
      <c r="JJ164" t="s">
        <v>254</v>
      </c>
      <c r="JK164" t="s">
        <v>838</v>
      </c>
      <c r="JM164" t="s">
        <v>14</v>
      </c>
      <c r="JN164" t="s">
        <v>2274</v>
      </c>
      <c r="JO164" s="2" t="s">
        <v>2273</v>
      </c>
      <c r="JP164">
        <v>4</v>
      </c>
      <c r="MU164" s="183"/>
      <c r="MV164" s="183"/>
      <c r="MX164" s="2"/>
      <c r="MY164" s="2"/>
      <c r="MZ164" s="2"/>
      <c r="NA164" s="2"/>
      <c r="NB164" s="2"/>
      <c r="NC164" s="2"/>
      <c r="ND164" s="2"/>
      <c r="NE164" s="2"/>
      <c r="NF164" s="183"/>
      <c r="NG164" t="s">
        <v>2296</v>
      </c>
      <c r="NI164" t="s">
        <v>671</v>
      </c>
      <c r="NJ164" t="s">
        <v>2269</v>
      </c>
      <c r="NS164" s="166" t="s">
        <v>6</v>
      </c>
      <c r="NT164" s="173">
        <v>20608</v>
      </c>
      <c r="NU164" t="s">
        <v>29</v>
      </c>
      <c r="OJ164" t="s">
        <v>2268</v>
      </c>
      <c r="OL164" t="s">
        <v>2291</v>
      </c>
      <c r="OQ164" t="s">
        <v>1178</v>
      </c>
      <c r="OR164" s="58">
        <v>46134</v>
      </c>
    </row>
    <row r="165" spans="1:408" ht="15.75" thickBot="1">
      <c r="A165" t="s">
        <v>248</v>
      </c>
      <c r="B165" t="s">
        <v>2287</v>
      </c>
      <c r="C165" t="s">
        <v>2286</v>
      </c>
      <c r="H165" t="s">
        <v>838</v>
      </c>
      <c r="I165">
        <v>-6.2750502700000004</v>
      </c>
      <c r="J165">
        <v>34.813145609999999</v>
      </c>
      <c r="K165" t="s">
        <v>838</v>
      </c>
      <c r="AV165" t="s">
        <v>2285</v>
      </c>
      <c r="AX165">
        <v>20</v>
      </c>
      <c r="AY165" t="s">
        <v>838</v>
      </c>
      <c r="AZ165" t="s">
        <v>2284</v>
      </c>
      <c r="BA165">
        <v>1993</v>
      </c>
      <c r="BB165">
        <v>1997</v>
      </c>
      <c r="BD165" t="s">
        <v>19</v>
      </c>
      <c r="BE165" t="s">
        <v>2290</v>
      </c>
      <c r="BF165" t="s">
        <v>39</v>
      </c>
      <c r="BG165" t="s">
        <v>1243</v>
      </c>
      <c r="BH165" t="s">
        <v>23</v>
      </c>
      <c r="BI165" t="s">
        <v>2282</v>
      </c>
      <c r="BJ165" t="s">
        <v>2281</v>
      </c>
      <c r="BK165">
        <v>20</v>
      </c>
      <c r="IO165" t="s">
        <v>2289</v>
      </c>
      <c r="IP165" t="s">
        <v>1237</v>
      </c>
      <c r="IS165" t="s">
        <v>838</v>
      </c>
      <c r="IT165" t="s">
        <v>838</v>
      </c>
      <c r="IU165" t="s">
        <v>838</v>
      </c>
      <c r="IW165" s="2"/>
      <c r="IX165" s="2"/>
      <c r="JJ165" t="s">
        <v>254</v>
      </c>
      <c r="JK165" t="s">
        <v>838</v>
      </c>
      <c r="JM165" t="s">
        <v>14</v>
      </c>
      <c r="JN165" t="s">
        <v>2274</v>
      </c>
      <c r="JO165" s="2" t="s">
        <v>2273</v>
      </c>
      <c r="JP165">
        <v>4</v>
      </c>
      <c r="MU165" s="183"/>
      <c r="MV165" s="183"/>
      <c r="MX165" s="2"/>
      <c r="MY165" s="2"/>
      <c r="MZ165" s="2"/>
      <c r="NA165" s="2"/>
      <c r="NB165" s="2"/>
      <c r="NC165" s="2"/>
      <c r="ND165" s="2"/>
      <c r="NE165" s="2"/>
      <c r="NF165" s="183"/>
      <c r="NG165" t="s">
        <v>2296</v>
      </c>
      <c r="NI165" t="s">
        <v>671</v>
      </c>
      <c r="NJ165" t="s">
        <v>2269</v>
      </c>
      <c r="NR165" t="s">
        <v>64</v>
      </c>
      <c r="NS165" s="166" t="s">
        <v>6</v>
      </c>
      <c r="NT165" s="173">
        <v>0</v>
      </c>
      <c r="NU165" t="s">
        <v>29</v>
      </c>
      <c r="OJ165" t="s">
        <v>2268</v>
      </c>
      <c r="OL165" t="s">
        <v>2267</v>
      </c>
      <c r="OQ165" t="s">
        <v>1178</v>
      </c>
      <c r="OR165" s="58">
        <v>46134</v>
      </c>
    </row>
    <row r="166" spans="1:408">
      <c r="A166" t="s">
        <v>248</v>
      </c>
      <c r="B166" t="s">
        <v>2287</v>
      </c>
      <c r="C166" t="s">
        <v>2286</v>
      </c>
      <c r="D166" t="s">
        <v>245</v>
      </c>
      <c r="H166" t="s">
        <v>838</v>
      </c>
      <c r="I166">
        <v>-6.2750502700000004</v>
      </c>
      <c r="J166">
        <v>34.813145609999999</v>
      </c>
      <c r="K166" t="s">
        <v>838</v>
      </c>
      <c r="AV166" t="s">
        <v>2285</v>
      </c>
      <c r="AW166">
        <v>0.12</v>
      </c>
      <c r="AX166">
        <v>20</v>
      </c>
      <c r="AY166" t="s">
        <v>838</v>
      </c>
      <c r="AZ166" t="s">
        <v>2284</v>
      </c>
      <c r="BA166">
        <v>1993</v>
      </c>
      <c r="BB166">
        <v>1997</v>
      </c>
      <c r="BD166" t="s">
        <v>2002</v>
      </c>
      <c r="BE166" t="s">
        <v>2283</v>
      </c>
      <c r="BF166" t="s">
        <v>64</v>
      </c>
      <c r="BG166" t="s">
        <v>1243</v>
      </c>
      <c r="BH166" t="s">
        <v>23</v>
      </c>
      <c r="BI166" t="s">
        <v>2282</v>
      </c>
      <c r="BJ166" t="s">
        <v>2281</v>
      </c>
      <c r="BK166">
        <v>20</v>
      </c>
      <c r="EE166" t="s">
        <v>2280</v>
      </c>
      <c r="EF166" t="s">
        <v>22</v>
      </c>
      <c r="EG166">
        <v>625</v>
      </c>
      <c r="EH166" t="s">
        <v>56</v>
      </c>
      <c r="EI166" t="s">
        <v>2279</v>
      </c>
      <c r="EJ166" t="s">
        <v>22</v>
      </c>
      <c r="EK166">
        <v>625</v>
      </c>
      <c r="EL166" t="s">
        <v>56</v>
      </c>
      <c r="EM166" t="s">
        <v>2278</v>
      </c>
      <c r="EN166" t="s">
        <v>22</v>
      </c>
      <c r="EO166">
        <v>625</v>
      </c>
      <c r="IO166" t="s">
        <v>2276</v>
      </c>
      <c r="IP166" t="s">
        <v>1737</v>
      </c>
      <c r="IS166" t="s">
        <v>838</v>
      </c>
      <c r="IT166" t="s">
        <v>838</v>
      </c>
      <c r="IU166" t="s">
        <v>838</v>
      </c>
      <c r="IV166" t="s">
        <v>2275</v>
      </c>
      <c r="IW166" s="2"/>
      <c r="IX166" s="2"/>
      <c r="JA166">
        <v>4.25</v>
      </c>
      <c r="JE166">
        <v>9.1</v>
      </c>
      <c r="JF166">
        <v>6.84</v>
      </c>
      <c r="JG166">
        <v>13.46</v>
      </c>
      <c r="JJ166" t="s">
        <v>254</v>
      </c>
      <c r="JK166" t="s">
        <v>838</v>
      </c>
      <c r="JM166" t="s">
        <v>14</v>
      </c>
      <c r="JN166" t="s">
        <v>2274</v>
      </c>
      <c r="JO166" s="2" t="s">
        <v>2273</v>
      </c>
      <c r="JP166">
        <v>4</v>
      </c>
      <c r="MU166" s="183"/>
      <c r="MV166" s="183"/>
      <c r="MX166" s="2"/>
      <c r="MY166" s="2"/>
      <c r="NA166" s="2"/>
      <c r="NB166" s="2"/>
      <c r="NC166" s="2"/>
      <c r="ND166" s="2"/>
      <c r="NE166" s="2"/>
      <c r="NF166" s="183"/>
      <c r="NG166" t="s">
        <v>2296</v>
      </c>
      <c r="NI166" t="s">
        <v>671</v>
      </c>
      <c r="NJ166" t="s">
        <v>2269</v>
      </c>
      <c r="NS166" s="166" t="s">
        <v>6</v>
      </c>
      <c r="NT166" s="173">
        <v>55417</v>
      </c>
      <c r="NU166" t="s">
        <v>29</v>
      </c>
      <c r="OJ166" t="s">
        <v>2268</v>
      </c>
      <c r="OL166" t="s">
        <v>2267</v>
      </c>
      <c r="OQ166" t="s">
        <v>1178</v>
      </c>
      <c r="OR166" s="58">
        <v>46134</v>
      </c>
    </row>
  </sheetData>
  <conditionalFormatting sqref="C155:K166">
    <cfRule type="expression" dxfId="709" priority="13">
      <formula>AND(LEN(TRIM($C155))&gt;0,LEN(TRIM(C155))=0)</formula>
    </cfRule>
  </conditionalFormatting>
  <conditionalFormatting sqref="L155:T166">
    <cfRule type="expression" dxfId="708" priority="14">
      <formula>AND(LEN(TRIM($L155))&gt;0,LEN(TRIM(L155))=0)</formula>
    </cfRule>
  </conditionalFormatting>
  <conditionalFormatting sqref="U155:AC166">
    <cfRule type="expression" dxfId="707" priority="15">
      <formula>AND(LEN(TRIM($U155))&gt;0,LEN(TRIM(U155))=0)</formula>
    </cfRule>
  </conditionalFormatting>
  <conditionalFormatting sqref="AD155:AL166">
    <cfRule type="expression" dxfId="706" priority="16">
      <formula>AND(LEN(TRIM($AD155))&gt;0,LEN(TRIM(AD155))=0)</formula>
    </cfRule>
  </conditionalFormatting>
  <conditionalFormatting sqref="AM155:AU166">
    <cfRule type="expression" dxfId="705" priority="17">
      <formula>AND(LEN(TRIM($AM155))&gt;0,LEN(TRIM(AM155))=0)</formula>
    </cfRule>
  </conditionalFormatting>
  <conditionalFormatting sqref="AW155:BC166">
    <cfRule type="expression" dxfId="704" priority="18">
      <formula>AND(LEN(TRIM($AV155))&gt;0,LEN(TRIM(AW155))=0)</formula>
    </cfRule>
  </conditionalFormatting>
  <conditionalFormatting sqref="BE155:BG166">
    <cfRule type="expression" dxfId="703" priority="19">
      <formula>AND(LEN(TRIM($BD155))&gt;0,LEN(TRIM(BE155))=0)</formula>
    </cfRule>
  </conditionalFormatting>
  <conditionalFormatting sqref="BI155:BL166">
    <cfRule type="expression" dxfId="702" priority="20">
      <formula>AND(LEN(TRIM($BH155))&gt;0,LEN(TRIM(BI155))=0)</formula>
    </cfRule>
  </conditionalFormatting>
  <conditionalFormatting sqref="BN155:BQ166">
    <cfRule type="expression" dxfId="701" priority="21">
      <formula>AND(LEN(TRIM($BM155))&gt;0,LEN(TRIM(BN155))=0)</formula>
    </cfRule>
  </conditionalFormatting>
  <conditionalFormatting sqref="BS155:BV166">
    <cfRule type="expression" dxfId="700" priority="22">
      <formula>AND(LEN(TRIM($BR155))&gt;0,LEN(TRIM(BS155))=0)</formula>
    </cfRule>
  </conditionalFormatting>
  <conditionalFormatting sqref="BX155:CA166">
    <cfRule type="expression" dxfId="699" priority="23">
      <formula>AND(LEN(TRIM($BW155))&gt;0,LEN(TRIM(BX155))=0)</formula>
    </cfRule>
  </conditionalFormatting>
  <conditionalFormatting sqref="CC155:CF166">
    <cfRule type="expression" dxfId="698" priority="24">
      <formula>AND(LEN(TRIM($CB155))&gt;0,LEN(TRIM(CC155))=0)</formula>
    </cfRule>
  </conditionalFormatting>
  <conditionalFormatting sqref="CH155:CK166">
    <cfRule type="expression" dxfId="697" priority="25">
      <formula>AND(LEN(TRIM($CG155))&gt;0,LEN(TRIM(CH155))=0)</formula>
    </cfRule>
  </conditionalFormatting>
  <conditionalFormatting sqref="CM155:CP166">
    <cfRule type="expression" dxfId="696" priority="26">
      <formula>AND(LEN(TRIM($CL155))&gt;0,LEN(TRIM(CM155))=0)</formula>
    </cfRule>
  </conditionalFormatting>
  <conditionalFormatting sqref="CR155:CU166">
    <cfRule type="expression" dxfId="695" priority="27">
      <formula>AND(LEN(TRIM($CQ155))&gt;0,LEN(TRIM(CR155))=0)</formula>
    </cfRule>
  </conditionalFormatting>
  <conditionalFormatting sqref="CW155:CZ166">
    <cfRule type="expression" dxfId="694" priority="28">
      <formula>AND(LEN(TRIM($CV155))&gt;0,LEN(TRIM(CW155))=0)</formula>
    </cfRule>
  </conditionalFormatting>
  <conditionalFormatting sqref="DB155:DE166">
    <cfRule type="expression" dxfId="693" priority="29">
      <formula>AND(LEN(TRIM($DA155))&gt;0,LEN(TRIM(DB155))=0)</formula>
    </cfRule>
  </conditionalFormatting>
  <conditionalFormatting sqref="DG155:DJ166">
    <cfRule type="expression" dxfId="692" priority="30">
      <formula>AND(LEN(TRIM($DF155))&gt;0,LEN(TRIM(DG155))=0)</formula>
    </cfRule>
  </conditionalFormatting>
  <conditionalFormatting sqref="DL155:DO166">
    <cfRule type="expression" dxfId="691" priority="31">
      <formula>AND(LEN(TRIM($DK155))&gt;0,LEN(TRIM(DL155))=0)</formula>
    </cfRule>
  </conditionalFormatting>
  <conditionalFormatting sqref="DQ155:DT166">
    <cfRule type="expression" dxfId="690" priority="32">
      <formula>AND(LEN(TRIM($DP155))&gt;0,LEN(TRIM(DQ155))=0)</formula>
    </cfRule>
  </conditionalFormatting>
  <conditionalFormatting sqref="DV155:DY166">
    <cfRule type="expression" dxfId="689" priority="33">
      <formula>AND(LEN(TRIM($DU155))&gt;0,LEN(TRIM(DV155))=0)</formula>
    </cfRule>
  </conditionalFormatting>
  <conditionalFormatting sqref="EA155:ED166">
    <cfRule type="expression" dxfId="688" priority="34">
      <formula>AND(LEN(TRIM($DZ155))&gt;0,LEN(TRIM(EA155))=0)</formula>
    </cfRule>
  </conditionalFormatting>
  <conditionalFormatting sqref="EF155:EH166">
    <cfRule type="expression" dxfId="687" priority="35">
      <formula>AND(LEN(TRIM($EE155))&gt;0,LEN(TRIM(EF155))=0)</formula>
    </cfRule>
  </conditionalFormatting>
  <conditionalFormatting sqref="EJ156:EK156">
    <cfRule type="expression" dxfId="686" priority="105">
      <formula>AND(LEN(TRIM($EE156))&gt;0,LEN(TRIM(EJ156))=0)</formula>
    </cfRule>
  </conditionalFormatting>
  <conditionalFormatting sqref="EJ158:EK158">
    <cfRule type="expression" dxfId="685" priority="101">
      <formula>AND(LEN(TRIM($EE158))&gt;0,LEN(TRIM(EJ158))=0)</formula>
    </cfRule>
  </conditionalFormatting>
  <conditionalFormatting sqref="EJ160:EK160">
    <cfRule type="expression" dxfId="684" priority="98">
      <formula>AND(LEN(TRIM($EE160))&gt;0,LEN(TRIM(EJ160))=0)</formula>
    </cfRule>
  </conditionalFormatting>
  <conditionalFormatting sqref="EJ162:EK162">
    <cfRule type="expression" dxfId="683" priority="11">
      <formula>AND(LEN(TRIM($EE162))&gt;0,LEN(TRIM(EJ162))=0)</formula>
    </cfRule>
  </conditionalFormatting>
  <conditionalFormatting sqref="EJ164:EK164">
    <cfRule type="expression" dxfId="682" priority="8">
      <formula>AND(LEN(TRIM($EE164))&gt;0,LEN(TRIM(EJ164))=0)</formula>
    </cfRule>
  </conditionalFormatting>
  <conditionalFormatting sqref="EJ166:EK166">
    <cfRule type="expression" dxfId="681" priority="5">
      <formula>AND(LEN(TRIM($EE166))&gt;0,LEN(TRIM(EJ166))=0)</formula>
    </cfRule>
  </conditionalFormatting>
  <conditionalFormatting sqref="EJ155:EL155 EL156 EJ157:EL157 EL158 EJ159:EL159 EL160">
    <cfRule type="expression" dxfId="680" priority="130">
      <formula>AND(LEN(TRIM($EI155))&gt;0,LEN(TRIM(EJ155))=0)</formula>
    </cfRule>
  </conditionalFormatting>
  <conditionalFormatting sqref="EJ161:EL161 EL162 EJ163:EL163 EL164 EJ165:EL165 EL166">
    <cfRule type="expression" dxfId="679" priority="36">
      <formula>AND(LEN(TRIM($EI161))&gt;0,LEN(TRIM(EJ161))=0)</formula>
    </cfRule>
  </conditionalFormatting>
  <conditionalFormatting sqref="EM156">
    <cfRule type="duplicateValues" dxfId="678" priority="106"/>
  </conditionalFormatting>
  <conditionalFormatting sqref="EM158">
    <cfRule type="duplicateValues" dxfId="677" priority="102"/>
  </conditionalFormatting>
  <conditionalFormatting sqref="EM160">
    <cfRule type="duplicateValues" dxfId="676" priority="99"/>
  </conditionalFormatting>
  <conditionalFormatting sqref="EM162">
    <cfRule type="duplicateValues" dxfId="675" priority="12"/>
  </conditionalFormatting>
  <conditionalFormatting sqref="EM164">
    <cfRule type="duplicateValues" dxfId="674" priority="9"/>
  </conditionalFormatting>
  <conditionalFormatting sqref="EM166">
    <cfRule type="duplicateValues" dxfId="673" priority="6"/>
  </conditionalFormatting>
  <conditionalFormatting sqref="EN156:EO156">
    <cfRule type="expression" dxfId="672" priority="104">
      <formula>AND(LEN(TRIM($EE156))&gt;0,LEN(TRIM(EN156))=0)</formula>
    </cfRule>
  </conditionalFormatting>
  <conditionalFormatting sqref="EN158:EO158">
    <cfRule type="expression" dxfId="671" priority="100">
      <formula>AND(LEN(TRIM($EE158))&gt;0,LEN(TRIM(EN158))=0)</formula>
    </cfRule>
  </conditionalFormatting>
  <conditionalFormatting sqref="EN160:EO160">
    <cfRule type="expression" dxfId="670" priority="97">
      <formula>AND(LEN(TRIM($EE160))&gt;0,LEN(TRIM(EN160))=0)</formula>
    </cfRule>
  </conditionalFormatting>
  <conditionalFormatting sqref="EN162:EO162">
    <cfRule type="expression" dxfId="669" priority="10">
      <formula>AND(LEN(TRIM($EE162))&gt;0,LEN(TRIM(EN162))=0)</formula>
    </cfRule>
  </conditionalFormatting>
  <conditionalFormatting sqref="EN164:EO164">
    <cfRule type="expression" dxfId="668" priority="7">
      <formula>AND(LEN(TRIM($EE164))&gt;0,LEN(TRIM(EN164))=0)</formula>
    </cfRule>
  </conditionalFormatting>
  <conditionalFormatting sqref="EN166:EO166">
    <cfRule type="expression" dxfId="667" priority="4">
      <formula>AND(LEN(TRIM($EE166))&gt;0,LEN(TRIM(EN166))=0)</formula>
    </cfRule>
  </conditionalFormatting>
  <conditionalFormatting sqref="EN155:EP155 EP156 EN157:EP157 EP158 EN159:EP159 EP160">
    <cfRule type="expression" dxfId="666" priority="131">
      <formula>AND(LEN(TRIM($EM155))&gt;0,LEN(TRIM(EN155))=0)</formula>
    </cfRule>
  </conditionalFormatting>
  <conditionalFormatting sqref="EN161:EP161 EP162 EN163:EP163 EP164 EN165:EP165 EP166">
    <cfRule type="expression" dxfId="665" priority="37">
      <formula>AND(LEN(TRIM($EM161))&gt;0,LEN(TRIM(EN161))=0)</formula>
    </cfRule>
  </conditionalFormatting>
  <conditionalFormatting sqref="ER155:ET166">
    <cfRule type="expression" dxfId="664" priority="38">
      <formula>AND(LEN(TRIM($EQ155))&gt;0,LEN(TRIM(ER155))=0)</formula>
    </cfRule>
  </conditionalFormatting>
  <conditionalFormatting sqref="EV155:EX166">
    <cfRule type="expression" dxfId="663" priority="39">
      <formula>AND(LEN(TRIM($EU155))&gt;0,LEN(TRIM(EV155))=0)</formula>
    </cfRule>
  </conditionalFormatting>
  <conditionalFormatting sqref="EZ155:FB166">
    <cfRule type="expression" dxfId="662" priority="40">
      <formula>AND(LEN(TRIM($EY155))&gt;0,LEN(TRIM(EZ155))=0)</formula>
    </cfRule>
  </conditionalFormatting>
  <conditionalFormatting sqref="FD155:FF166">
    <cfRule type="expression" dxfId="661" priority="41">
      <formula>AND(LEN(TRIM($FC155))&gt;0,LEN(TRIM(FD155))=0)</formula>
    </cfRule>
  </conditionalFormatting>
  <conditionalFormatting sqref="FH155:FJ166">
    <cfRule type="expression" dxfId="660" priority="42">
      <formula>AND(LEN(TRIM($FG155))&gt;0,LEN(TRIM(FH155))=0)</formula>
    </cfRule>
  </conditionalFormatting>
  <conditionalFormatting sqref="FL155:FN166">
    <cfRule type="expression" dxfId="659" priority="43">
      <formula>AND(LEN(TRIM($FK155))&gt;0,LEN(TRIM(FL155))=0)</formula>
    </cfRule>
  </conditionalFormatting>
  <conditionalFormatting sqref="FP155:FR166">
    <cfRule type="expression" dxfId="658" priority="44">
      <formula>AND(LEN(TRIM($FO155))&gt;0,LEN(TRIM(FP155))=0)</formula>
    </cfRule>
  </conditionalFormatting>
  <conditionalFormatting sqref="FT155:FV166">
    <cfRule type="expression" dxfId="657" priority="45">
      <formula>AND(LEN(TRIM($FS155))&gt;0,LEN(TRIM(FT155))=0)</formula>
    </cfRule>
  </conditionalFormatting>
  <conditionalFormatting sqref="FX155:FZ166">
    <cfRule type="expression" dxfId="656" priority="46">
      <formula>AND(LEN(TRIM($FW155))&gt;0,LEN(TRIM(FX155))=0)</formula>
    </cfRule>
  </conditionalFormatting>
  <conditionalFormatting sqref="GB155:GD166">
    <cfRule type="expression" dxfId="655" priority="47">
      <formula>AND(LEN(TRIM($GA155))&gt;0,LEN(TRIM(GB155))=0)</formula>
    </cfRule>
  </conditionalFormatting>
  <conditionalFormatting sqref="GF155:GH166">
    <cfRule type="expression" dxfId="654" priority="48">
      <formula>AND(LEN(TRIM($GE155))&gt;0,LEN(TRIM(GF155))=0)</formula>
    </cfRule>
  </conditionalFormatting>
  <conditionalFormatting sqref="GJ155:GL166">
    <cfRule type="expression" dxfId="653" priority="49">
      <formula>AND(LEN(TRIM($GI155))&gt;0,LEN(TRIM(GJ155))=0)</formula>
    </cfRule>
  </conditionalFormatting>
  <conditionalFormatting sqref="GN155:GQ166">
    <cfRule type="expression" dxfId="652" priority="50">
      <formula>AND(LEN(TRIM($GM155))&gt;0,LEN(TRIM(GN155))=0)</formula>
    </cfRule>
  </conditionalFormatting>
  <conditionalFormatting sqref="GS155:GV166">
    <cfRule type="expression" dxfId="651" priority="51">
      <formula>AND(LEN(TRIM($GR155))&gt;0,LEN(TRIM(GS155))=0)</formula>
    </cfRule>
  </conditionalFormatting>
  <conditionalFormatting sqref="GX155:HA166">
    <cfRule type="expression" dxfId="650" priority="52">
      <formula>AND(LEN(TRIM($GW155))&gt;0,LEN(TRIM(GX155))=0)</formula>
    </cfRule>
  </conditionalFormatting>
  <conditionalFormatting sqref="HC155:HF166">
    <cfRule type="expression" dxfId="649" priority="53">
      <formula>AND(LEN(TRIM($HB155))&gt;0,LEN(TRIM(HC155))=0)</formula>
    </cfRule>
  </conditionalFormatting>
  <conditionalFormatting sqref="HH155:HK166">
    <cfRule type="expression" dxfId="648" priority="54">
      <formula>AND(LEN(TRIM($HG155))&gt;0,LEN(TRIM(HH155))=0)</formula>
    </cfRule>
  </conditionalFormatting>
  <conditionalFormatting sqref="HM155:HQ166">
    <cfRule type="expression" dxfId="647" priority="55">
      <formula>AND(LEN(TRIM($HL155))&gt;0,LEN(TRIM(HM155))=0)</formula>
    </cfRule>
  </conditionalFormatting>
  <conditionalFormatting sqref="HP155:HP166">
    <cfRule type="expression" dxfId="646" priority="56">
      <formula>AND($HP155&gt;50, $HP155&lt;&gt;"Unspecified")</formula>
    </cfRule>
  </conditionalFormatting>
  <conditionalFormatting sqref="HS155:HV166">
    <cfRule type="expression" dxfId="645" priority="57">
      <formula>AND(LEN(TRIM($HR155))&gt;0,LEN(TRIM(HS155))=0)</formula>
    </cfRule>
  </conditionalFormatting>
  <conditionalFormatting sqref="HW155:HW166">
    <cfRule type="expression" dxfId="644" priority="58">
      <formula>IF(AND(COUNTIF($BH155:$DZ155,$HW155)=0,$HW155&lt;&gt;""),1,0)=1</formula>
    </cfRule>
  </conditionalFormatting>
  <conditionalFormatting sqref="HX155:IA166">
    <cfRule type="expression" dxfId="643" priority="59">
      <formula>AND(LEN(TRIM($HW155))&gt;0,LEN(TRIM(HX155))=0)</formula>
    </cfRule>
  </conditionalFormatting>
  <conditionalFormatting sqref="IB155:IB166">
    <cfRule type="expression" dxfId="642" priority="60">
      <formula>IF(AND(COUNTIF(#REF!,$IB155)=0,$IB155&lt;&gt;""),1,0)=1</formula>
    </cfRule>
  </conditionalFormatting>
  <conditionalFormatting sqref="IC155:IG166">
    <cfRule type="expression" dxfId="641" priority="61">
      <formula>AND(LEN(TRIM($IB155))&gt;0,LEN(TRIM(IC155))=0)</formula>
    </cfRule>
  </conditionalFormatting>
  <conditionalFormatting sqref="II155:II166">
    <cfRule type="expression" dxfId="640" priority="62">
      <formula>AND(LEN(TRIM($IH155))&gt;0,LEN(TRIM(II155))=0)</formula>
    </cfRule>
  </conditionalFormatting>
  <conditionalFormatting sqref="IJ155:IN166">
    <cfRule type="expression" dxfId="639" priority="63">
      <formula>AND(LEN(TRIM($IH155))&gt;0,LEN(TRIM(IJ155))=0,$II155&lt;&gt;"Monoculture")</formula>
    </cfRule>
  </conditionalFormatting>
  <conditionalFormatting sqref="IO155:IO166">
    <cfRule type="expression" dxfId="638" priority="1">
      <formula>AND(LEN(TRIM($BD155))&gt;0,LEN(TRIM(IO155))=0)</formula>
    </cfRule>
  </conditionalFormatting>
  <conditionalFormatting sqref="IP155:IP166 IS155:IU166">
    <cfRule type="expression" dxfId="637" priority="64">
      <formula>AND(LEN(TRIM($IO155))&gt;0,LEN(TRIM(IP155))=0,$IP155&lt;&gt;"Monoculture",$IQ155&lt;&gt;"Monoculture",$IR155&lt;&gt;"Monoculture")</formula>
    </cfRule>
  </conditionalFormatting>
  <conditionalFormatting sqref="IW155:IZ166">
    <cfRule type="expression" dxfId="636" priority="65">
      <formula>AND(LEN(TRIM($IV155))&gt;0,LEN(TRIM(IW155))=0)</formula>
    </cfRule>
  </conditionalFormatting>
  <conditionalFormatting sqref="JB155:JB166">
    <cfRule type="expression" dxfId="635" priority="66">
      <formula>AND(OR($JB155&gt;100, $JB155&lt;0), JB155&lt;&gt;"Unspecified")</formula>
    </cfRule>
  </conditionalFormatting>
  <conditionalFormatting sqref="JB155:JJ166">
    <cfRule type="expression" dxfId="634" priority="67">
      <formula>AND(LEN(TRIM($IZ155))&gt;0,LEN(TRIM(JB155))=0)</formula>
    </cfRule>
  </conditionalFormatting>
  <conditionalFormatting sqref="JC155:JC166">
    <cfRule type="expression" dxfId="633" priority="68">
      <formula>AND(OR($JC155&gt;100, $JC155&lt;0), JD155&lt;&gt;"Unspecified")</formula>
    </cfRule>
  </conditionalFormatting>
  <conditionalFormatting sqref="JD155:JD166">
    <cfRule type="expression" dxfId="632" priority="69">
      <formula>AND(OR($JD155&gt;100, $JD155&lt;$JC155), $JD155&lt;&gt;"Unspecified")</formula>
    </cfRule>
  </conditionalFormatting>
  <conditionalFormatting sqref="JE155:JE166">
    <cfRule type="expression" dxfId="631" priority="70">
      <formula>AND($JE155&lt;0, $JE155&lt;&gt;"Unspecified")</formula>
    </cfRule>
  </conditionalFormatting>
  <conditionalFormatting sqref="JF155:JF166">
    <cfRule type="expression" dxfId="630" priority="71">
      <formula>AND($JF155&lt;0, $JF155&lt;&gt;"Unspecified")</formula>
    </cfRule>
  </conditionalFormatting>
  <conditionalFormatting sqref="JG155:JG166">
    <cfRule type="expression" dxfId="629" priority="72">
      <formula>AND($JG155&lt;$JF155, $JG155&lt;&gt;"Unspecified")</formula>
    </cfRule>
  </conditionalFormatting>
  <conditionalFormatting sqref="JH155:JH166">
    <cfRule type="expression" dxfId="628" priority="73">
      <formula>AND($JH155&lt;0, $JH155&lt;&gt;"Unspecified")</formula>
    </cfRule>
  </conditionalFormatting>
  <conditionalFormatting sqref="JI155:JI166">
    <cfRule type="expression" dxfId="627" priority="74">
      <formula>AND($JI155&lt;0, $JI155&lt;&gt;"Unspecified")</formula>
    </cfRule>
  </conditionalFormatting>
  <conditionalFormatting sqref="JJ155:JJ166">
    <cfRule type="expression" dxfId="626" priority="75">
      <formula>AND($JJ155&lt;$JI155, $JJ155&lt;&gt;"Unspecified")</formula>
    </cfRule>
  </conditionalFormatting>
  <conditionalFormatting sqref="JK11:JK50">
    <cfRule type="duplicateValues" dxfId="625" priority="197"/>
  </conditionalFormatting>
  <conditionalFormatting sqref="JK51:JK70">
    <cfRule type="duplicateValues" dxfId="624" priority="195"/>
  </conditionalFormatting>
  <conditionalFormatting sqref="JK71:JK90">
    <cfRule type="duplicateValues" dxfId="623" priority="194"/>
  </conditionalFormatting>
  <conditionalFormatting sqref="JK91:JK110">
    <cfRule type="duplicateValues" dxfId="622" priority="193"/>
  </conditionalFormatting>
  <conditionalFormatting sqref="JK111:JK130">
    <cfRule type="duplicateValues" dxfId="621" priority="191"/>
  </conditionalFormatting>
  <conditionalFormatting sqref="JK131:JK150">
    <cfRule type="duplicateValues" dxfId="620" priority="189"/>
  </conditionalFormatting>
  <conditionalFormatting sqref="JL155:JL166">
    <cfRule type="expression" dxfId="619" priority="76">
      <formula>AND(LEN(TRIM($JK155))&gt;0,LEN(TRIM(JL155))=0)</formula>
    </cfRule>
  </conditionalFormatting>
  <conditionalFormatting sqref="JN155:JV166">
    <cfRule type="expression" dxfId="618" priority="77">
      <formula>AND(LEN(TRIM($JM155))&gt;0,LEN(TRIM(JN155))=0)</formula>
    </cfRule>
  </conditionalFormatting>
  <conditionalFormatting sqref="JX155:KE166">
    <cfRule type="expression" dxfId="617" priority="78">
      <formula>AND(LEN(TRIM($JW155))&gt;0,LEN(TRIM(JX155))=0)</formula>
    </cfRule>
  </conditionalFormatting>
  <conditionalFormatting sqref="KG155:KI166">
    <cfRule type="expression" dxfId="616" priority="79">
      <formula>AND(LEN(TRIM($KF155))&gt;0,LEN(TRIM(KG155))=0)</formula>
    </cfRule>
  </conditionalFormatting>
  <conditionalFormatting sqref="KK155:KK166">
    <cfRule type="expression" dxfId="615" priority="80">
      <formula>AND(LEN(TRIM($KJ155))&gt;0,LEN(TRIM(KK155))=0)</formula>
    </cfRule>
  </conditionalFormatting>
  <conditionalFormatting sqref="KL155:KN166">
    <cfRule type="expression" dxfId="614" priority="81">
      <formula>AND(LEN(TRIM($KJ155))&gt;0,LEN(TRIM(KL155))=0,$KK155&lt;&gt;"Hand Hoe",LEFT($KK155,3)&lt;&gt;"No ")</formula>
    </cfRule>
  </conditionalFormatting>
  <conditionalFormatting sqref="KP155:KR166">
    <cfRule type="expression" dxfId="613" priority="82">
      <formula>AND(LEN(TRIM($KO155))&gt;0,LEN(TRIM(KP155))=0,$KO155&lt;&gt;"Hand Hoe",LEFT($KO155,3)&lt;&gt;"No ")</formula>
    </cfRule>
  </conditionalFormatting>
  <conditionalFormatting sqref="KT155:KV166">
    <cfRule type="expression" dxfId="612" priority="83">
      <formula>AND(LEN(TRIM($KS155))&gt;0,LEN(TRIM(KT155))=0,$KS155&lt;&gt;"Hand Hoe",LEFT($KS155,3)&lt;&gt;"No ")</formula>
    </cfRule>
  </conditionalFormatting>
  <conditionalFormatting sqref="LC155:LK166">
    <cfRule type="expression" dxfId="611" priority="84">
      <formula>AND(LEN(TRIM($KX155))&gt;0,LEN(TRIM(LC155))=0,$KX155&lt;&gt;"No mulch applied")</formula>
    </cfRule>
  </conditionalFormatting>
  <conditionalFormatting sqref="LM155:LP166">
    <cfRule type="expression" dxfId="610" priority="85">
      <formula>AND(LEN(TRIM($LL155))&gt;0,LEN(TRIM(LM155))=0)</formula>
    </cfRule>
  </conditionalFormatting>
  <conditionalFormatting sqref="LR155:LW166">
    <cfRule type="expression" dxfId="609" priority="86">
      <formula>AND(LEN(TRIM($LQ155))&gt;0,LEN(TRIM(LR155))=0)</formula>
    </cfRule>
  </conditionalFormatting>
  <conditionalFormatting sqref="LY155:LY166">
    <cfRule type="expression" dxfId="608" priority="87">
      <formula>AND(LEN(TRIM($LX155))&gt;0,LEN(TRIM(LY155))=0)</formula>
    </cfRule>
  </conditionalFormatting>
  <conditionalFormatting sqref="MD155:MG166">
    <cfRule type="expression" dxfId="607" priority="88">
      <formula>AND(LEN(TRIM($MC155))&gt;0,LEN(TRIM(MD155))=0)</formula>
    </cfRule>
  </conditionalFormatting>
  <conditionalFormatting sqref="MI155:MI166 MM155:MO166">
    <cfRule type="expression" dxfId="606" priority="89">
      <formula>AND(LEN(TRIM($MH155))&gt;0,LEN(TRIM(MI155))=0)</formula>
    </cfRule>
  </conditionalFormatting>
  <conditionalFormatting sqref="MQ155:MT166">
    <cfRule type="expression" dxfId="605" priority="90">
      <formula>AND(LEN(TRIM($MP155))&gt;0,LEN(TRIM(MQ155))=0)</formula>
    </cfRule>
  </conditionalFormatting>
  <conditionalFormatting sqref="MW155:MW166">
    <cfRule type="expression" dxfId="604" priority="3">
      <formula>AND(LEN(TRIM($NG155))&gt;0,LEN(TRIM(MW155))=0)</formula>
    </cfRule>
  </conditionalFormatting>
  <conditionalFormatting sqref="MY155:MY166">
    <cfRule type="expression" dxfId="603" priority="91">
      <formula>AND(LEN(TRIM($MW155))&gt;0,LEN(TRIM(MY155))=0)</formula>
    </cfRule>
  </conditionalFormatting>
  <conditionalFormatting sqref="NF11:NF30">
    <cfRule type="duplicateValues" dxfId="602" priority="196"/>
  </conditionalFormatting>
  <conditionalFormatting sqref="NF91:NF110">
    <cfRule type="duplicateValues" dxfId="601" priority="192"/>
  </conditionalFormatting>
  <conditionalFormatting sqref="NF111:NF130">
    <cfRule type="duplicateValues" dxfId="600" priority="190"/>
  </conditionalFormatting>
  <conditionalFormatting sqref="NF131:NF150">
    <cfRule type="duplicateValues" dxfId="599" priority="188"/>
  </conditionalFormatting>
  <conditionalFormatting sqref="NH155:NJ166">
    <cfRule type="expression" dxfId="598" priority="2">
      <formula>AND(LEN(TRIM($NG155))&gt;0,LEN(TRIM(NH155))=0)</formula>
    </cfRule>
  </conditionalFormatting>
  <conditionalFormatting sqref="NL155:NL166">
    <cfRule type="expression" dxfId="597" priority="93">
      <formula>AND($NL155&lt;$NK155, $NL155&lt;&gt;"Unspecified")</formula>
    </cfRule>
  </conditionalFormatting>
  <conditionalFormatting sqref="NT156">
    <cfRule type="expression" dxfId="596" priority="103">
      <formula>AND($NL156&lt;$NK156, $NL156&lt;&gt;"Unspecified")</formula>
    </cfRule>
  </conditionalFormatting>
  <dataValidations count="126">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5:JO166 JK155:JK166" xr:uid="{4ED76847-5B18-454C-9588-9145C9AB4FF5}"/>
    <dataValidation type="list" errorStyle="warning" allowBlank="1" showInputMessage="1" showErrorMessage="1" prompt="Country where the study site is located" sqref="C154:C166"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4:JQ166"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4:IT166" xr:uid="{ED7BD84D-0623-42F1-9059-72AC171D9983}"/>
    <dataValidation allowBlank="1" showInputMessage="1" showErrorMessage="1" prompt="Unique ID assigned to each site/treatment/managment." sqref="BF154:BF166"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5:IO166 BE154:BE166" xr:uid="{22E8112C-57F0-4F10-AE44-B53B6D43CA3F}"/>
    <dataValidation allowBlank="1" showInputMessage="1" showErrorMessage="1" prompt="Subpractice or specific implementation detail of the broader practice as reported (e.g., “reduced tillage”, “legume intercrop”, “organic manure application”)." sqref="BD154:BD166" xr:uid="{7AF3BD43-6152-4886-9E28-879D8A91FED3}"/>
    <dataValidation allowBlank="1" showInputMessage="1" showErrorMessage="1" prompt="Unique identifier assigned to each study" sqref="B154:B166" xr:uid="{86604966-3257-45BF-81DF-69BE17838536}"/>
    <dataValidation allowBlank="1" showInputMessage="1" showErrorMessage="1" prompt="Unique identifier assigned to the study by the original systematic synthesis." sqref="A154:A166" xr:uid="{DC347A44-A9B9-446C-AF76-0ECE5288BE47}"/>
    <dataValidation type="date" errorStyle="warning" allowBlank="1" showInputMessage="1" prompt="Planting Date End (dd/mm/yy)" sqref="HV155:HV166" xr:uid="{072EF12A-6411-4493-852C-C988439A49EF}">
      <formula1>HU158</formula1>
      <formula2>73415</formula2>
    </dataValidation>
    <dataValidation type="decimal" errorStyle="warning" allowBlank="1" showInputMessage="1" showErrorMessage="1" prompt="Duration (Days). Use with Weight Gain subindicator." sqref="NY155:NY166 NQ155:NQ166"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5:MU166" xr:uid="{8AA91A17-F66C-41FB-B82A-0B94DF857629}"/>
    <dataValidation type="whole" errorStyle="warning" operator="greaterThanOrEqual" allowBlank="1" showInputMessage="1" showErrorMessage="1" prompt="(Days after Storage for Postharvest)" sqref="MO155:MO166" xr:uid="{6C37C122-CDF3-483E-833E-C6EC6C668487}">
      <formula1>30</formula1>
    </dataValidation>
    <dataValidation type="whole" errorStyle="warning" operator="greaterThanOrEqual" allowBlank="1" showInputMessage="1" showErrorMessage="1" prompt="Harvest Days After Planting" sqref="MG155:MG166"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5:OD166" xr:uid="{C669A7E0-C2B2-404B-A1B7-7316E5EFF155}">
      <formula1>0</formula1>
    </dataValidation>
    <dataValidation type="decimal" errorStyle="warning" allowBlank="1" showInputMessage="1" showErrorMessage="1" prompt="Soil outcome depths (cm) upper. Upper depth of measurement (cm) for soil outcomes" sqref="NT156 NL155:NL166" xr:uid="{9FF782D7-06B1-431F-A83D-AB123CE480C0}">
      <formula1>0</formula1>
      <formula2>200</formula2>
    </dataValidation>
    <dataValidation type="decimal" errorStyle="warning" allowBlank="1" showInputMessage="1" showErrorMessage="1" prompt="Soil outcome depths (cm) lower. Lower depth of measurement (cm) for soil outcomes" sqref="NK155:NK166"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4:IV166"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5:HP166" xr:uid="{93EA95EA-C25E-4DE2-93C9-118CDFA44BE1}">
      <formula1>0</formula1>
      <formula2>150</formula2>
    </dataValidation>
    <dataValidation allowBlank="1" showInputMessage="1" showErrorMessage="1" prompt="Unit used to report elemental nutrient quantities (N, P, K) applied from organic fertilizers. Try to record kg/ha" sqref="KA155:KA166" xr:uid="{E50B9E90-C9B8-49AA-A95E-D0C1A6C38E08}"/>
    <dataValidation type="list" errorStyle="warning" allowBlank="1" showInputMessage="1" showErrorMessage="1" prompt="Standardised name of the specific study site" sqref="AO155:AO166" xr:uid="{3ACCAA2D-F34E-41CA-B869-1CB9772D2612}">
      <formula1>INDIRECT($AM155)</formula1>
    </dataValidation>
    <dataValidation type="list" errorStyle="warning" allowBlank="1" showInputMessage="1" showErrorMessage="1" prompt="Standardised name of the specific study site" sqref="AF155:AF166" xr:uid="{DC4006EF-AE94-4876-B524-5659986F7828}">
      <formula1>INDIRECT($AD155)</formula1>
    </dataValidation>
    <dataValidation type="list" errorStyle="warning" allowBlank="1" showInputMessage="1" showErrorMessage="1" prompt="Standardised name of the specific study site" sqref="W155:W166" xr:uid="{2BD3A263-10F1-43FC-86E8-CEAAAE1573E4}">
      <formula1>INDIRECT($U155)</formula1>
    </dataValidation>
    <dataValidation type="list" errorStyle="warning" allowBlank="1" showInputMessage="1" showErrorMessage="1" prompt="Standardised name of the specific study site" sqref="N155:N166" xr:uid="{0D59DB84-0D9C-4C8D-9156-17A1D3ED10C9}">
      <formula1>INDIRECT($L155)</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5:AU166 AL155:AL166 AC155:AC166 T155:T166 K155:K166"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5:AT166 AK155:AK166 AB155:AB166 S155:S166 J155:J166"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5:AS166 AJ155:AJ166 AA155:AA166 R155:R166 I155:I166" xr:uid="{43DCBAB0-0BBD-48C0-903A-9BE51E264862}"/>
    <dataValidation errorStyle="warning" allowBlank="1" showInputMessage="1" showErrorMessage="1" prompt="For biodiversity outcomes, specify the functional group related to taxa assessed, if specified in the article" sqref="ND155:ND166"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5:OE166"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5 OB155:OB166 NT157:NT166" xr:uid="{8A7B464E-AAF0-4222-AE4B-51EF55D1EF5E}">
      <formula1>-9.99999999999999E+30</formula1>
    </dataValidation>
    <dataValidation type="decimal" errorStyle="warning" operator="lessThanOrEqual" allowBlank="1" showInputMessage="1" showErrorMessage="1" prompt="Size of Harvested Plot (m2)." sqref="MV155:MV166" xr:uid="{E3478747-B97C-4EF0-8710-04654C72323D}">
      <formula1>AW155</formula1>
    </dataValidation>
    <dataValidation type="date" errorStyle="warning" allowBlank="1" showInputMessage="1" showErrorMessage="1" prompt="(Storage Date End for Postharvest)" sqref="MN155:MN166" xr:uid="{54E3AD9B-A97D-41D8-B958-2B6217DA0B6E}">
      <formula1>MM155</formula1>
      <formula2>73415</formula2>
    </dataValidation>
    <dataValidation type="date" errorStyle="warning" allowBlank="1" showInputMessage="1" showErrorMessage="1" prompt="(Storage Date Start for Postharvest)" sqref="MM155:MM166" xr:uid="{B5514CF3-2951-4CE4-8900-FD9162941260}">
      <formula1>1</formula1>
      <formula2>73415</formula2>
    </dataValidation>
    <dataValidation type="date" errorStyle="warning" operator="greaterThanOrEqual" allowBlank="1" showInputMessage="1" showErrorMessage="1" prompt="Harvest Date End (dd/mm/yy)" sqref="MF155:MF166" xr:uid="{5DCF576B-6A79-4EE6-ACEB-B8F0B8767C62}">
      <formula1>ME155</formula1>
    </dataValidation>
    <dataValidation type="date" errorStyle="warning" allowBlank="1" showInputMessage="1" showErrorMessage="1" prompt="Harvest Date Start (dd/mm/yy)" sqref="ME155:ME166" xr:uid="{23BC7648-6DAC-4867-81E5-465502C6F43C}">
      <formula1>1</formula1>
      <formula2>73415</formula2>
    </dataValidation>
    <dataValidation type="list" errorStyle="warning" allowBlank="1" showInputMessage="1" showErrorMessage="1" prompt="Tree (plant species). Only required if a material comes from a tree or shrub" sqref="LF155:LF166" xr:uid="{6A90E4E0-79FD-47C4-8CD3-F6A0991A138B}">
      <formula1>tree.latin.name</formula1>
    </dataValidation>
    <dataValidation type="list" errorStyle="warning" allowBlank="1" showInputMessage="1" showErrorMessage="1" prompt="Name of the organic fertilizer" sqref="JX155:JX166" xr:uid="{D0822299-31CD-4BFF-8D63-219F8D1CC5D4}">
      <formula1>INDIRECT($JW155)</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5:JN166" xr:uid="{F5B94E05-F145-44E0-8BF4-F517697B10A4}">
      <formula1>INDIRECT($JM155)</formula1>
    </dataValidation>
    <dataValidation errorStyle="warning" allowBlank="1" showInputMessage="1" showErrorMessage="1" prompt="Name of the agroforestry practice. This dimension captures whether trees are part of a rotation." sqref="IY155:IY166"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5:ID166" xr:uid="{4F1A25F5-1B89-4BA5-BCBF-237CAAAEB6C5}"/>
    <dataValidation type="list" errorStyle="warning" allowBlank="1" showInputMessage="1" showErrorMessage="1" prompt="Breed of the animal" sqref="IC155:IC166" xr:uid="{6A64258A-EC0D-4C9F-AFCF-1F72B09CEAEF}">
      <formula1>INDIRECT($IB155)</formula1>
    </dataValidation>
    <dataValidation type="list" errorStyle="warning" allowBlank="1" showInputMessage="1" showErrorMessage="1" prompt="Name of the animal" sqref="IB155:IB166"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5:GN166" xr:uid="{3C0262EE-1841-407B-B1D1-5B1756A961D4}">
      <formula1>INDIRECT($GM155)</formula1>
    </dataValidation>
    <dataValidation type="decimal" errorStyle="warning" operator="greaterThan" allowBlank="1" showInputMessage="1" showErrorMessage="1" prompt="Numerical value of animal growing density corresponding to the selected animal and density unit." sqref="HJ155:HJ166 HE155:HE166 GZ155:GZ166 GU155:GU166 GP155:GP166"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5:HG166 HB155:HB166 GW155:GW166 GR155:GR166 GM155:GM166"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5:BK166 DD155:DD166 DI155:DI166 DN155:DN166 DS155:DS166 DX155:DX166 EC155:EC166 CY155:CY166 BU155:BU166 BZ155:BZ166 CE155:CE166 CJ155:CJ166 CO155:CO166 CT155:CT166 BP155:BP166"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5:BI166 DB155:DB166 DG155:DG166 DL155:DL166 DQ155:DQ166 DV155:DV166 EA155:EA166 BN155:BN166 BS155:BS166 BX155:BX166 CC155:CC166 CH155:CH166 CM155:CM166 CR155:CR166 CW155:CW166" xr:uid="{F6261401-77DE-4BCD-9819-FA143552D056}">
      <formula1>INDIRECT(BH155)</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5:CV166 DA155:DA166 DF155:DF166 DK155:DK166 DP155:DP166 DU155:DU166 DZ155:DZ166 BM155:BM166 BR155:BR166 BW155:BW166 CB155:CB166 CG155:CG166 CL155:CL166 CQ155:CQ166 BH155:BH166" xr:uid="{D7D3B5A5-5EF8-4A31-B4B2-DB2BCE8B4D72}">
      <formula1>CropList</formula1>
    </dataValidation>
    <dataValidation type="decimal" errorStyle="warning" operator="greaterThanOrEqual" allowBlank="1" showInputMessage="1" showErrorMessage="1" prompt="Amount of Water Applied" sqref="LV155:LV166" xr:uid="{37896B8A-FBDD-4C56-9A52-A4AF2C0E4130}">
      <formula1>0</formula1>
    </dataValidation>
    <dataValidation type="date" errorStyle="warning" operator="greaterThanOrEqual" allowBlank="1" showInputMessage="1" showErrorMessage="1" prompt="Date End of the irrigation" sqref="LT155:LT166" xr:uid="{E92292F7-D056-4FFC-A372-96082A049E7A}">
      <formula1>LS155</formula1>
    </dataValidation>
    <dataValidation type="date" errorStyle="warning" allowBlank="1" showInputMessage="1" showErrorMessage="1" prompt="Date Start of the irrigation" sqref="LS155:LS166" xr:uid="{0C518A3D-AA51-4078-A257-525857C9C739}">
      <formula1>1</formula1>
      <formula2>73415</formula2>
    </dataValidation>
    <dataValidation type="list" errorStyle="warning" allowBlank="1" showInputMessage="1" showErrorMessage="1" prompt="Variety, cultivar of the crop" sqref="HX155:HX166" xr:uid="{D913C98B-7BF9-48FE-940D-3DF53333A480}">
      <formula1>INDIRECT($HW155)</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5:HW166" xr:uid="{42A80C0A-ACFD-4D49-86AB-37F887847F31}">
      <formula1>CropList</formula1>
    </dataValidation>
    <dataValidation type="date" errorStyle="warning" allowBlank="1" showInputMessage="1" prompt="Planting Date Start (dd/mm/yy)" sqref="HU155:HU166"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5:HR166" xr:uid="{89DCAD7B-6878-46E5-A763-A4F9454CFE7A}"/>
    <dataValidation type="whole" errorStyle="warning" operator="greaterThan" allowBlank="1" showInputMessage="1" showErrorMessage="1" prompt="How many times was the land tilled during one experimental season " sqref="HQ155:HQ166"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5:HL166"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5:OR166" xr:uid="{0C44F52F-2EA8-40B2-9B3F-F6B63E5E83F1}"/>
    <dataValidation type="decimal" errorStyle="warning" operator="greaterThanOrEqual" allowBlank="1" showInputMessage="1" showErrorMessage="1" prompt="Amount Applied. Captures the total amount of pH-altering material applied" sqref="LP155:LP166"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5:LK166"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5:KL166" xr:uid="{61140D34-C075-4E9A-9B19-0A9A5018372B}">
      <formula1>INDIRECT($KK155)</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5:KW166 LL155:LL166 LQ155:LQ166 MH155:MH166 MC155:MC166 MP155:MP166 LX154:LX166" xr:uid="{1861F155-AFAD-402C-B4FB-E8C1E358072F}"/>
    <dataValidation type="decimal" errorStyle="warning" operator="greaterThanOrEqual" allowBlank="1" showInputMessage="1" showErrorMessage="1" prompt="Chemical amount applied_x000a__x000a_Should be 0 or higher" sqref="KN155:KN166 KR155:KR166 KV155:KV166"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5:KF166" xr:uid="{38E7B35C-57B0-49B7-BB58-0D26C60A7CDC}"/>
    <dataValidation type="decimal" errorStyle="warning" operator="greaterThanOrEqual" allowBlank="1" showInputMessage="1" showErrorMessage="1" prompt="Total elemental potassium applied from organic sources (e.g., compost, manure, biosolid)." sqref="KD155:KD166"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5:KC166"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5:KB166" xr:uid="{B87E790A-639E-49D8-8F72-50852871A3F7}">
      <formula1>0</formula1>
    </dataValidation>
    <dataValidation type="whole" errorStyle="warning" allowBlank="1" showInputMessage="1" prompt="The start year of the crop rotation practice" sqref="IS155:IS166" xr:uid="{F5E450A8-DF0B-4A2C-8B13-8C96FDE5B20F}">
      <formula1>1900</formula1>
      <formula2>2100</formula2>
    </dataValidation>
    <dataValidation errorStyle="warning" allowBlank="1" showInputMessage="1" showErrorMessage="1" prompt="Intercropping start season" sqref="IM155:IM166" xr:uid="{A15F823F-5145-44A8-AAA0-7B1EFED0E2CE}"/>
    <dataValidation type="whole" errorStyle="warning" allowBlank="1" showInputMessage="1" showErrorMessage="1" prompt="Intercropping start year" sqref="IL155:IL166"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5:IH166"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5:EO166 EG155:EG166 EK155:EK166 ES155:ES166 EW155:EW166 FA155:FA166 FE155:FE166 FI155:FI166 FM155:FM166 FQ155:FQ166 FU155:FU166 FY155:FY166 GC155:GC166 GG155:GG166 GK155:GK166" xr:uid="{AFDCAC5D-DB0F-485B-BD70-A94CEC4DBA59}">
      <formula1>0</formula1>
    </dataValidation>
    <dataValidation errorStyle="warning" allowBlank="1" showInputMessage="1" showErrorMessage="1" prompt="Total elemental nitrogen, phosphorus, and potassium applied from inorganic sources (e.g., urea or DAP)." sqref="JP155:JP166"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5:OV166" xr:uid="{65C28106-D232-48DB-BAAE-2FD3D33FEFDA}">
      <formula1>OU155</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5:OU166" xr:uid="{2495B4C8-BEF1-4AB6-B1D6-7324002729D3}">
      <formula1>1900</formula1>
      <formula2>2100</formula2>
    </dataValidation>
    <dataValidation errorStyle="warning" allowBlank="1" showInputMessage="1" showErrorMessage="1" prompt="Season as stated by the author" sqref="BC155:BC166" xr:uid="{077FD991-887F-4313-ADAF-AD897A4D781E}"/>
    <dataValidation type="whole" errorStyle="warning" allowBlank="1" showInputMessage="1" showErrorMessage="1" prompt="Year when the experiment stopped. Year End as stated by the author _x000a__x000a_Should be equal to start year or later" sqref="BB155:BB166" xr:uid="{A8558041-960B-4AC6-BF38-C2E05E41035A}">
      <formula1>BA155</formula1>
      <formula2>2100</formula2>
    </dataValidation>
    <dataValidation type="whole" errorStyle="warning" allowBlank="1" showInputMessage="1" showErrorMessage="1" prompt="Year when the experiment started. Year Start as stated by the author" sqref="BA155:BA166" xr:uid="{782F4D90-BB80-41EB-982E-24EF0AAE166B}">
      <formula1>1900</formula1>
      <formula2>2100</formula2>
    </dataValidation>
    <dataValidation errorStyle="warning" allowBlank="1" showInputMessage="1" showErrorMessage="1" prompt="Complete with the specific time period name the study provide" sqref="AZ155:AZ166"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5:AY166" xr:uid="{D31EBF5A-08BE-44EE-AA87-7BDEACDD194C}">
      <formula1>0</formula1>
    </dataValidation>
    <dataValidation type="decimal" errorStyle="warning" operator="greaterThanOrEqual" allowBlank="1" showInputMessage="1" prompt="Field size in hectares_x000a__x000a_Should be greater than 0" sqref="AX155:AX166"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5:AW166"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5:AV166" xr:uid="{EDDC035C-057B-4774-8D32-8FF604A986B1}"/>
    <dataValidation type="decimal" errorStyle="warning" operator="greaterThanOrEqual" allowBlank="1" showInputMessage="1" prompt="Value should be above agrof_dhb_min, or write &quot;Unspecified&quot; if unknown." sqref="JJ155:JJ166" xr:uid="{DBB6253B-89ED-496D-BE09-9F3B6E01F908}">
      <formula1>JI155</formula1>
    </dataValidation>
    <dataValidation type="decimal" errorStyle="warning" operator="greaterThanOrEqual" allowBlank="1" showInputMessage="1" prompt="Value should be above 0, or write &quot;Unspecified&quot; if unknown." sqref="JI155:JI166" xr:uid="{DCBB8FD0-89A5-46F0-92FD-75D6F7E17582}">
      <formula1>0</formula1>
    </dataValidation>
    <dataValidation type="decimal" errorStyle="warning" operator="greaterThanOrEqual" allowBlank="1" showInputMessage="1" showErrorMessage="1" prompt="Value should be above 0, or write &quot;Unspecified&quot; if unknown." sqref="JH155:JH166"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5:JG166" xr:uid="{C403FA5F-BF79-4FCE-9776-2D3A201B909F}">
      <formula1>JF155</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5:JF166"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5:JE166"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5:JD166" xr:uid="{CE2D2C53-9CA6-4AC3-92F5-807C79CAABEA}">
      <formula1>JC155</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5:JC166"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5:JB166"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5:OW166"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5:NX166 NP155:NP166" xr:uid="{339557BB-B997-4773-8DA7-247F141F004D}"/>
    <dataValidation type="decimal" errorStyle="warning" operator="greaterThanOrEqual" allowBlank="1" showInputMessage="1" showErrorMessage="1" prompt="Starting Weight Unit. Use with Weight Gain subindicator." sqref="NW155:NW166 NO155:NO166" xr:uid="{6A4C10BC-1983-405A-9F17-6CF2E6D47E91}">
      <formula1>0</formula1>
    </dataValidation>
    <dataValidation type="decimal" errorStyle="warning" allowBlank="1" showInputMessage="1" showErrorMessage="1" prompt="Economic Discount Rate (%). Typically associated with calculations of Net Present Value (NPV)." sqref="NU155:NU166 NM155:NM166"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5:LE166"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5:LD166"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5:LC166"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5:KJ166" xr:uid="{AFA35621-8D0B-400C-A4B7-82BD455439B9}"/>
    <dataValidation errorStyle="warning" allowBlank="1" showInputMessage="1" showErrorMessage="1" prompt="Frequency of the weeding practice" sqref="KI155:KI166" xr:uid="{82893267-ED8F-4448-A781-80458DB5CD48}"/>
    <dataValidation errorStyle="warning" allowBlank="1" showInputMessage="1" showErrorMessage="1" prompt="Fate of crop residues from the previous season" sqref="IU155:IU166" xr:uid="{B89627BA-A74D-4896-98E9-11B7554C6F25}"/>
    <dataValidation type="list" errorStyle="warning" allowBlank="1" showInputMessage="1" showErrorMessage="1" prompt="Standardised name of the specific study site" sqref="E155:E166" xr:uid="{CEE1A8FE-5E45-48C7-9520-E1239425A8E2}">
      <formula1>INDIRECT($C155)</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5:OT166"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5:NV166 NN155:NN166"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5:KT166" xr:uid="{8BC0124F-AB47-479A-A3C4-C46BDD051EF8}">
      <formula1>INDIRECT($KS155)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5:KP166" xr:uid="{9C915441-B183-4EB4-A23E-EAFA6DCFF330}">
      <formula1>INDIRECT($KO155)</formula1>
    </dataValidation>
    <dataValidation type="decimal" errorStyle="warning" operator="greaterThanOrEqual" allowBlank="1" showInputMessage="1" showErrorMessage="1" prompt="Upper limit for variation in suboutcome when  variation is reported as a confidence interval or interquartile range." sqref="OF155:OF166" xr:uid="{671E211F-9837-40F8-BE23-C8E897947A60}">
      <formula1>OE155</formula1>
    </dataValidation>
    <dataValidation errorStyle="warning" allowBlank="1" showInputMessage="1" showErrorMessage="1" prompt="Comparison Treatment (e.g. for LER or fertilizer use efficiency outcomes)" sqref="NZ155:NZ166 NR155:NR166" xr:uid="{A7D5D6A6-94B5-45EA-BE49-BF00B0C3159D}"/>
    <dataValidation type="whole" errorStyle="warning" operator="greaterThanOrEqual" allowBlank="1" showInputMessage="1" prompt="Number of independent sampling units on which the sub-outcome estimate is based for this specific practice. " sqref="OG155:OG166"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5:JZ166"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5:GI166 EI155:EI166 EM155:EM166 EQ155:EQ166 EU155:EU166 EY155:EY166 FC155:FC166 FG155:FG166 FK155:FK166 FO155:FO166 FS155:FS166 FW155:FW166 GA155:GA166 GE155:GE166 EE155:EE166"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5:HH166" xr:uid="{AB08828D-3FF2-41BA-B7CA-FAEE726513DF}">
      <formula1>INDIRECT($HG155)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5:HC166" xr:uid="{BAC43D86-D199-4580-95F7-917CC6FE8A19}">
      <formula1>INDIRECT($HB155)</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5:GX166" xr:uid="{DFBFA131-2E89-434D-8907-1FC3DC639807}">
      <formula1>INDIRECT($GW155)</formula1>
    </dataValidation>
    <dataValidation type="list" errorStyle="warning" allowBlank="1" showInputMessage="1" showErrorMessage="1" errorTitle="Invalid Entry" error="Please select a country from the dropdown list." promptTitle="Country" prompt="Select a country from the dropdown list." sqref="L155:L166 AM155:AM166 AD155:AD166 U155:U166"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5:NG166"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5:MW166 NH155:NH166" xr:uid="{12CD9816-B1FC-43A8-9553-2D432CA07312}"/>
    <dataValidation type="decimal" errorStyle="warning" operator="greaterThanOrEqual" allowBlank="1" showInputMessage="1" showErrorMessage="1" sqref="JA155:JA166"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5:JV166"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5:JU166"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5:JT166"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5:JS166" xr:uid="{A5063EAC-7ADB-43DC-8237-295275041EE1}">
      <formula1>0</formula1>
    </dataValidation>
    <dataValidation type="decimal" errorStyle="warning" operator="greaterThanOrEqual" allowBlank="1" showInputMessage="1" showErrorMessage="1" prompt="Total elemental nitrogen applied from inorganic sources (e.g., urea or DAP)." sqref="JR155:JR166"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5:F166 AG155:AG166 X155:X166 O155:O166 AP155:AP166" xr:uid="{D4A75083-CC61-4A83-82F5-8CB55288E366}"/>
    <dataValidation type="list" errorStyle="warning" allowBlank="1" showInputMessage="1" showErrorMessage="1" sqref="GS155:GS166" xr:uid="{B4F37939-90A6-43EC-A10E-CB3BF984A5E6}">
      <formula1>INDIRECT($GR155)</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4ce307a2e56825cff9c9e7fcaaeda24">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0503e52156abb22d20ee02405306de7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3.xml><?xml version="1.0" encoding="utf-8"?>
<ds:datastoreItem xmlns:ds="http://schemas.openxmlformats.org/officeDocument/2006/customXml" ds:itemID="{803C16B7-F658-4BDF-9BA7-954B6AB8DF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2026-04-28T11:32:36Z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